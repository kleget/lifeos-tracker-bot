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" sheetId="1" state="visible" r:id="rId1"/>
    <sheet name="FoodLog" sheetId="2" state="visible" r:id="rId2"/>
    <sheet name="SessionLog" sheetId="3" state="visible" r:id="rId3"/>
    <sheet name="FoodItems" sheetId="4" state="visible" r:id="rId4"/>
    <sheet name="Portions" sheetId="5" state="visible" r:id="rId5"/>
    <sheet name="Dictionaries" sheetId="6" state="visible" r:id="rId6"/>
    <sheet name="Dashboar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 ht="22" customHeight="1">
      <c r="A1" s="1" t="inlineStr">
        <is>
          <t>Дата</t>
        </is>
      </c>
      <c r="B1" s="1" t="inlineStr">
        <is>
          <t>Тренировка</t>
        </is>
      </c>
      <c r="C1" s="1" t="inlineStr">
        <is>
          <t>Кардио_мин</t>
        </is>
      </c>
      <c r="D1" s="1" t="inlineStr">
        <is>
          <t>Шаги_категория</t>
        </is>
      </c>
      <c r="E1" s="1" t="inlineStr">
        <is>
          <t>Английский_мин</t>
        </is>
      </c>
      <c r="F1" s="1" t="inlineStr">
        <is>
          <t>Код_режим</t>
        </is>
      </c>
      <c r="G1" s="1" t="inlineStr">
        <is>
          <t>Код_тема</t>
        </is>
      </c>
      <c r="H1" s="1" t="inlineStr">
        <is>
          <t>Чтение_стр</t>
        </is>
      </c>
      <c r="I1" s="1" t="inlineStr">
        <is>
          <t>Отдых_время</t>
        </is>
      </c>
      <c r="J1" s="1" t="inlineStr">
        <is>
          <t>Отдых_тип</t>
        </is>
      </c>
      <c r="K1" s="1" t="inlineStr">
        <is>
          <t>Сон_отбой</t>
        </is>
      </c>
      <c r="L1" s="1" t="inlineStr">
        <is>
          <t>Сон_часы</t>
        </is>
      </c>
      <c r="M1" s="1" t="inlineStr">
        <is>
          <t>Режим</t>
        </is>
      </c>
      <c r="N1" s="1" t="inlineStr">
        <is>
          <t>Продуктивность</t>
        </is>
      </c>
      <c r="O1" s="1" t="inlineStr">
        <is>
          <t>Настроение</t>
        </is>
      </c>
      <c r="P1" t="inlineStr">
        <is>
          <t>Энергия</t>
        </is>
      </c>
      <c r="Q1" t="inlineStr">
        <is>
          <t>Вес</t>
        </is>
      </c>
      <c r="R1" t="inlineStr">
        <is>
          <t>О_чем_жалею</t>
        </is>
      </c>
      <c r="S1" t="inlineStr">
        <is>
          <t>Отзыв_о_дне</t>
        </is>
      </c>
      <c r="T1" t="inlineStr">
        <is>
          <t>Привычки</t>
        </is>
      </c>
      <c r="U1" t="inlineStr">
        <is>
          <t>Ккал</t>
        </is>
      </c>
      <c r="V1" t="inlineStr">
        <is>
          <t>Белки</t>
        </is>
      </c>
      <c r="W1" t="inlineStr">
        <is>
          <t>Жиры</t>
        </is>
      </c>
      <c r="X1" t="inlineStr">
        <is>
          <t>Угли</t>
        </is>
      </c>
      <c r="Y1" t="inlineStr">
        <is>
          <t>Качество_дня</t>
        </is>
      </c>
      <c r="Z1" t="inlineStr">
        <is>
          <t>Не_заполнено</t>
        </is>
      </c>
    </row>
    <row r="2">
      <c r="A2" s="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>
        <f>IF($A2="";"";IF(SUMIF(FoodLog!$A:$A;$A2;FoodLog!$I:$I)=0;"";SUMIF(FoodLog!$A:$A;$A2;FoodLog!$I:$I)))</f>
        <v/>
      </c>
      <c r="V2">
        <f>IF($A2="";"";IF(SUMIF(FoodLog!$A:$A;$A2;FoodLog!$F:$F)=0;"";SUMIF(FoodLog!$A:$A;$A2;FoodLog!$F:$F)))</f>
        <v/>
      </c>
      <c r="W2">
        <f>IF($A2="";"";IF(SUMIF(FoodLog!$A:$A;$A2;FoodLog!$G:$G)=0;"";SUMIF(FoodLog!$A:$A;$A2;FoodLog!$G:$G)))</f>
        <v/>
      </c>
      <c r="X2">
        <f>IF($A2="";"";IF(SUMIF(FoodLog!$A:$A;$A2;FoodLog!$H:$H)=0;"";SUMIF(FoodLog!$A:$A;$A2;FoodLog!$H:$H)))</f>
        <v/>
      </c>
      <c r="Y2">
        <f>IF($A2="";"";IFERROR(ROUND(100*AVERAGE(IF($B2="";"";XLOOKUP($B2;FILTER(Dictionaries!$B:$B;Dictionaries!$A:$A="Тренировка");FILTER(Dictionaries!$C:$C;Dictionaries!$A:$A="Тренировка")));IF($C2="";"";MIN($C2/40;1));IF($D2="";"";XLOOKUP($D2;FILTER(Dictionaries!$B:$B;Dictionaries!$A:$A="Шаги");FILTER(Dictionaries!$C:$C;Dictionaries!$A:$A="Шаги")));IF($E2="";"";MIN($E2/120;1));IF(OR($F2&lt;&gt;"";$G2&lt;&gt;"");1;"");IF($H2="";"";MIN($H2/100;1));IF($L2="";"";XLOOKUP($L2;FILTER(Dictionaries!$B:$B;Dictionaries!$A:$A="Сон_часы");FILTER(Dictionaries!$C:$C;Dictionaries!$A:$A="Сон_часы")));IF($M2="";"";XLOOKUP($M2;FILTER(Dictionaries!$B:$B;Dictionaries!$A:$A="Режим");FILTER(Dictionaries!$C:$C;Dictionaries!$A:$A="Режим")));IF($N2="";"";MIN($N2/100;1));IF($O2="";"";XLOOKUP($O2;FILTER(Dictionaries!$B:$B;Dictionaries!$A:$A="Настроение");FILTER(Dictionaries!$C:$C;Dictionaries!$A:$A="Настроение")));IF($P2="";"";XLOOKUP($P2;FILTER(Dictionaries!$B:$B;Dictionaries!$A:$A="Энергия");FILTER(Dictionaries!$C:$C;Dictionaries!$A:$A="Энергия")));IF($U2="";"";AVERAGE(IF(OR($B2="Ноги";$B2="Верх");IFS(AND($U2&gt;=1900;$U2&lt;=2050);1;AND($U2&gt;=1850;$U2&lt;1900);0,7;AND($U2&gt;2050;$U2&lt;=2100);0,7;TRUE;0,2);IFS(AND($U2&gt;=1700;$U2&lt;=1850);1;AND($U2&gt;=1650;$U2&lt;1700);0,7;AND($U2&gt;1850;$U2&lt;=1900);0,7;TRUE;0,2));IF(OR($B2="Ноги";$B2="Верх");IFS(AND($V2&gt;=125;$V2&lt;=135);1;AND($V2&gt;=115;$V2&lt;125);0,7;AND($V2&gt;135;$V2&lt;=145);0,7;AND($V2&gt;=105;$V2&lt;115);0,4;AND($V2&gt;145;$V2&lt;=155);0,4;TRUE;0,2);IFS(AND($V2&gt;=120;$V2&lt;=130);1;AND($V2&gt;=110;$V2&lt;120);0,7;AND($V2&gt;130;$V2&lt;=140);0,7;AND($V2&gt;=100;$V2&lt;110);0,4;AND($V2&gt;140;$V2&lt;=150);0,4;TRUE;0,2));IFS(AND($W2&gt;=55;$W2&lt;=65);1;AND($W2&gt;=50;$W2&lt;55);0,7;AND($W2&gt;65;$W2&lt;=70);0,7;AND($W2&gt;=45;$W2&lt;50);0,4;AND($W2&gt;70;$W2&lt;=75);0,4;TRUE;0,2);IF(OR($B2="Ноги";$B2="Верх");IFS(AND($X2&gt;=180;$X2&lt;=210);1;AND($X2&gt;=160;$X2&lt;180);0,7;AND($X2&gt;210;$X2&lt;=230);0,7;AND($X2&gt;=140;$X2&lt;160);0,4;AND($X2&gt;230;$X2&lt;=250);0,4;TRUE;0,2);IFS(AND($X2&gt;=140;$X2&lt;=170);1;AND($X2&gt;=120;$X2&lt;140);0,7;AND($X2&gt;170;$X2&lt;=190);0,7;AND($X2&gt;=100;$X2&lt;120);0,4;AND($X2&gt;190;$X2&lt;=210);0,4;TRUE;0,2)))));1);""))</f>
        <v/>
      </c>
      <c r="Z2">
        <f>IF($A2="";"";TEXTJOIN(", ";TRUE;IF($B2="";"Тренировка";"");IF($C2="";"Кардио";"");IF($D2="";"Шаги";"");IF($E2="";"Английский";"");IF($F2="";"Код-режим";"");IF($G2="";"Код-тема";"");IF($H2="";"Чтение";"");IF($L2="";"Сон";"");IF($M2="";"Режим";"");IF($N2="";"Продуктивность";"");IF($O2="";"Настроение";"");IF($P2="";"Энергия";"");IF($U2="";"Еда";"")))</f>
        <v/>
      </c>
    </row>
    <row r="3">
      <c r="A3" s="2" t="inlineStr"/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>
        <f>IF($A3="";"";IF(SUMIF(FoodLog!$A:$A;$A3;FoodLog!$I:$I)=0;"";SUMIF(FoodLog!$A:$A;$A3;FoodLog!$I:$I)))</f>
        <v/>
      </c>
      <c r="V3">
        <f>IF($A3="";"";IF(SUMIF(FoodLog!$A:$A;$A3;FoodLog!$F:$F)=0;"";SUMIF(FoodLog!$A:$A;$A3;FoodLog!$F:$F)))</f>
        <v/>
      </c>
      <c r="W3">
        <f>IF($A3="";"";IF(SUMIF(FoodLog!$A:$A;$A3;FoodLog!$G:$G)=0;"";SUMIF(FoodLog!$A:$A;$A3;FoodLog!$G:$G)))</f>
        <v/>
      </c>
      <c r="X3">
        <f>IF($A3="";"";IF(SUMIF(FoodLog!$A:$A;$A3;FoodLog!$H:$H)=0;"";SUMIF(FoodLog!$A:$A;$A3;FoodLog!$H:$H)))</f>
        <v/>
      </c>
      <c r="Y3">
        <f>IF($A3="";"";IFERROR(ROUND(100*AVERAGE(IF($B3="";"";XLOOKUP($B3;FILTER(Dictionaries!$B:$B;Dictionaries!$A:$A="Тренировка");FILTER(Dictionaries!$C:$C;Dictionaries!$A:$A="Тренировка")));IF($C3="";"";MIN($C3/40;1));IF($D3="";"";XLOOKUP($D3;FILTER(Dictionaries!$B:$B;Dictionaries!$A:$A="Шаги");FILTER(Dictionaries!$C:$C;Dictionaries!$A:$A="Шаги")));IF($E3="";"";MIN($E3/120;1));IF(OR($F3&lt;&gt;"";$G3&lt;&gt;"");1;"");IF($H3="";"";MIN($H3/100;1));IF($L3="";"";XLOOKUP($L3;FILTER(Dictionaries!$B:$B;Dictionaries!$A:$A="Сон_часы");FILTER(Dictionaries!$C:$C;Dictionaries!$A:$A="Сон_часы")));IF($M3="";"";XLOOKUP($M3;FILTER(Dictionaries!$B:$B;Dictionaries!$A:$A="Режим");FILTER(Dictionaries!$C:$C;Dictionaries!$A:$A="Режим")));IF($N3="";"";MIN($N3/100;1));IF($O3="";"";XLOOKUP($O3;FILTER(Dictionaries!$B:$B;Dictionaries!$A:$A="Настроение");FILTER(Dictionaries!$C:$C;Dictionaries!$A:$A="Настроение")));IF($P3="";"";XLOOKUP($P3;FILTER(Dictionaries!$B:$B;Dictionaries!$A:$A="Энергия");FILTER(Dictionaries!$C:$C;Dictionaries!$A:$A="Энергия")));IF($U3="";"";AVERAGE(IF(OR($B3="Ноги";$B3="Верх");IFS(AND($U3&gt;=1900;$U3&lt;=2050);1;AND($U3&gt;=1850;$U3&lt;1900);0,7;AND($U3&gt;2050;$U3&lt;=2100);0,7;TRUE;0,2);IFS(AND($U3&gt;=1700;$U3&lt;=1850);1;AND($U3&gt;=1650;$U3&lt;1700);0,7;AND($U3&gt;1850;$U3&lt;=1900);0,7;TRUE;0,2));IF(OR($B3="Ноги";$B3="Верх");IFS(AND($V3&gt;=125;$V3&lt;=135);1;AND($V3&gt;=115;$V3&lt;125);0,7;AND($V3&gt;135;$V3&lt;=145);0,7;AND($V3&gt;=105;$V3&lt;115);0,4;AND($V3&gt;145;$V3&lt;=155);0,4;TRUE;0,2);IFS(AND($V3&gt;=120;$V3&lt;=130);1;AND($V3&gt;=110;$V3&lt;120);0,7;AND($V3&gt;130;$V3&lt;=140);0,7;AND($V3&gt;=100;$V3&lt;110);0,4;AND($V3&gt;140;$V3&lt;=150);0,4;TRUE;0,2));IFS(AND($W3&gt;=55;$W3&lt;=65);1;AND($W3&gt;=50;$W3&lt;55);0,7;AND($W3&gt;65;$W3&lt;=70);0,7;AND($W3&gt;=45;$W3&lt;50);0,4;AND($W3&gt;70;$W3&lt;=75);0,4;TRUE;0,2);IF(OR($B3="Ноги";$B3="Верх");IFS(AND($X3&gt;=180;$X3&lt;=210);1;AND($X3&gt;=160;$X3&lt;180);0,7;AND($X3&gt;210;$X3&lt;=230);0,7;AND($X3&gt;=140;$X3&lt;160);0,4;AND($X3&gt;230;$X3&lt;=250);0,4;TRUE;0,2);IFS(AND($X3&gt;=140;$X3&lt;=170);1;AND($X3&gt;=120;$X3&lt;140);0,7;AND($X3&gt;170;$X3&lt;=190);0,7;AND($X3&gt;=100;$X3&lt;120);0,4;AND($X3&gt;190;$X3&lt;=210);0,4;TRUE;0,2)))));1);""))</f>
        <v/>
      </c>
      <c r="Z3">
        <f>IF($A3="";"";TEXTJOIN(", ";TRUE;IF($B3="";"Тренировка";"");IF($C3="";"Кардио";"");IF($D3="";"Шаги";"");IF($E3="";"Английский";"");IF($F3="";"Код-режим";"");IF($G3="";"Код-тема";"");IF($H3="";"Чтение";"");IF($L3="";"Сон";"");IF($M3="";"Режим";"");IF($N3="";"Продуктивность";"");IF($O3="";"Настроение";"");IF($P3="";"Энергия";"");IF($U3="";"Еда";"")))</f>
        <v/>
      </c>
    </row>
    <row r="4">
      <c r="A4" s="2" t="inlineStr"/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>
        <f>IF($A4="";"";IF(SUMIF(FoodLog!$A:$A;$A4;FoodLog!$I:$I)=0;"";SUMIF(FoodLog!$A:$A;$A4;FoodLog!$I:$I)))</f>
        <v/>
      </c>
      <c r="V4">
        <f>IF($A4="";"";IF(SUMIF(FoodLog!$A:$A;$A4;FoodLog!$F:$F)=0;"";SUMIF(FoodLog!$A:$A;$A4;FoodLog!$F:$F)))</f>
        <v/>
      </c>
      <c r="W4">
        <f>IF($A4="";"";IF(SUMIF(FoodLog!$A:$A;$A4;FoodLog!$G:$G)=0;"";SUMIF(FoodLog!$A:$A;$A4;FoodLog!$G:$G)))</f>
        <v/>
      </c>
      <c r="X4">
        <f>IF($A4="";"";IF(SUMIF(FoodLog!$A:$A;$A4;FoodLog!$H:$H)=0;"";SUMIF(FoodLog!$A:$A;$A4;FoodLog!$H:$H)))</f>
        <v/>
      </c>
      <c r="Y4">
        <f>IF($A4="";"";IFERROR(ROUND(100*AVERAGE(IF($B4="";"";XLOOKUP($B4;FILTER(Dictionaries!$B:$B;Dictionaries!$A:$A="Тренировка");FILTER(Dictionaries!$C:$C;Dictionaries!$A:$A="Тренировка")));IF($C4="";"";MIN($C4/40;1));IF($D4="";"";XLOOKUP($D4;FILTER(Dictionaries!$B:$B;Dictionaries!$A:$A="Шаги");FILTER(Dictionaries!$C:$C;Dictionaries!$A:$A="Шаги")));IF($E4="";"";MIN($E4/120;1));IF(OR($F4&lt;&gt;"";$G4&lt;&gt;"");1;"");IF($H4="";"";MIN($H4/100;1));IF($L4="";"";XLOOKUP($L4;FILTER(Dictionaries!$B:$B;Dictionaries!$A:$A="Сон_часы");FILTER(Dictionaries!$C:$C;Dictionaries!$A:$A="Сон_часы")));IF($M4="";"";XLOOKUP($M4;FILTER(Dictionaries!$B:$B;Dictionaries!$A:$A="Режим");FILTER(Dictionaries!$C:$C;Dictionaries!$A:$A="Режим")));IF($N4="";"";MIN($N4/100;1));IF($O4="";"";XLOOKUP($O4;FILTER(Dictionaries!$B:$B;Dictionaries!$A:$A="Настроение");FILTER(Dictionaries!$C:$C;Dictionaries!$A:$A="Настроение")));IF($P4="";"";XLOOKUP($P4;FILTER(Dictionaries!$B:$B;Dictionaries!$A:$A="Энергия");FILTER(Dictionaries!$C:$C;Dictionaries!$A:$A="Энергия")));IF($U4="";"";AVERAGE(IF(OR($B4="Ноги";$B4="Верх");IFS(AND($U4&gt;=1900;$U4&lt;=2050);1;AND($U4&gt;=1850;$U4&lt;1900);0,7;AND($U4&gt;2050;$U4&lt;=2100);0,7;TRUE;0,2);IFS(AND($U4&gt;=1700;$U4&lt;=1850);1;AND($U4&gt;=1650;$U4&lt;1700);0,7;AND($U4&gt;1850;$U4&lt;=1900);0,7;TRUE;0,2));IF(OR($B4="Ноги";$B4="Верх");IFS(AND($V4&gt;=125;$V4&lt;=135);1;AND($V4&gt;=115;$V4&lt;125);0,7;AND($V4&gt;135;$V4&lt;=145);0,7;AND($V4&gt;=105;$V4&lt;115);0,4;AND($V4&gt;145;$V4&lt;=155);0,4;TRUE;0,2);IFS(AND($V4&gt;=120;$V4&lt;=130);1;AND($V4&gt;=110;$V4&lt;120);0,7;AND($V4&gt;130;$V4&lt;=140);0,7;AND($V4&gt;=100;$V4&lt;110);0,4;AND($V4&gt;140;$V4&lt;=150);0,4;TRUE;0,2));IFS(AND($W4&gt;=55;$W4&lt;=65);1;AND($W4&gt;=50;$W4&lt;55);0,7;AND($W4&gt;65;$W4&lt;=70);0,7;AND($W4&gt;=45;$W4&lt;50);0,4;AND($W4&gt;70;$W4&lt;=75);0,4;TRUE;0,2);IF(OR($B4="Ноги";$B4="Верх");IFS(AND($X4&gt;=180;$X4&lt;=210);1;AND($X4&gt;=160;$X4&lt;180);0,7;AND($X4&gt;210;$X4&lt;=230);0,7;AND($X4&gt;=140;$X4&lt;160);0,4;AND($X4&gt;230;$X4&lt;=250);0,4;TRUE;0,2);IFS(AND($X4&gt;=140;$X4&lt;=170);1;AND($X4&gt;=120;$X4&lt;140);0,7;AND($X4&gt;170;$X4&lt;=190);0,7;AND($X4&gt;=100;$X4&lt;120);0,4;AND($X4&gt;190;$X4&lt;=210);0,4;TRUE;0,2)))));1);""))</f>
        <v/>
      </c>
      <c r="Z4">
        <f>IF($A4="";"";TEXTJOIN(", ";TRUE;IF($B4="";"Тренировка";"");IF($C4="";"Кардио";"");IF($D4="";"Шаги";"");IF($E4="";"Английский";"");IF($F4="";"Код-режим";"");IF($G4="";"Код-тема";"");IF($H4="";"Чтение";"");IF($L4="";"Сон";"");IF($M4="";"Режим";"");IF($N4="";"Продуктивность";"");IF($O4="";"Настроение";"");IF($P4="";"Энергия";"");IF($U4="";"Еда";"")))</f>
        <v/>
      </c>
    </row>
    <row r="5">
      <c r="A5" s="2" t="inlineStr"/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>
        <f>IF($A5="";"";IF(SUMIF(FoodLog!$A:$A;$A5;FoodLog!$I:$I)=0;"";SUMIF(FoodLog!$A:$A;$A5;FoodLog!$I:$I)))</f>
        <v/>
      </c>
      <c r="V5">
        <f>IF($A5="";"";IF(SUMIF(FoodLog!$A:$A;$A5;FoodLog!$F:$F)=0;"";SUMIF(FoodLog!$A:$A;$A5;FoodLog!$F:$F)))</f>
        <v/>
      </c>
      <c r="W5">
        <f>IF($A5="";"";IF(SUMIF(FoodLog!$A:$A;$A5;FoodLog!$G:$G)=0;"";SUMIF(FoodLog!$A:$A;$A5;FoodLog!$G:$G)))</f>
        <v/>
      </c>
      <c r="X5">
        <f>IF($A5="";"";IF(SUMIF(FoodLog!$A:$A;$A5;FoodLog!$H:$H)=0;"";SUMIF(FoodLog!$A:$A;$A5;FoodLog!$H:$H)))</f>
        <v/>
      </c>
      <c r="Y5">
        <f>IF($A5="";"";IFERROR(ROUND(100*AVERAGE(IF($B5="";"";XLOOKUP($B5;FILTER(Dictionaries!$B:$B;Dictionaries!$A:$A="Тренировка");FILTER(Dictionaries!$C:$C;Dictionaries!$A:$A="Тренировка")));IF($C5="";"";MIN($C5/40;1));IF($D5="";"";XLOOKUP($D5;FILTER(Dictionaries!$B:$B;Dictionaries!$A:$A="Шаги");FILTER(Dictionaries!$C:$C;Dictionaries!$A:$A="Шаги")));IF($E5="";"";MIN($E5/120;1));IF(OR($F5&lt;&gt;"";$G5&lt;&gt;"");1;"");IF($H5="";"";MIN($H5/100;1));IF($L5="";"";XLOOKUP($L5;FILTER(Dictionaries!$B:$B;Dictionaries!$A:$A="Сон_часы");FILTER(Dictionaries!$C:$C;Dictionaries!$A:$A="Сон_часы")));IF($M5="";"";XLOOKUP($M5;FILTER(Dictionaries!$B:$B;Dictionaries!$A:$A="Режим");FILTER(Dictionaries!$C:$C;Dictionaries!$A:$A="Режим")));IF($N5="";"";MIN($N5/100;1));IF($O5="";"";XLOOKUP($O5;FILTER(Dictionaries!$B:$B;Dictionaries!$A:$A="Настроение");FILTER(Dictionaries!$C:$C;Dictionaries!$A:$A="Настроение")));IF($P5="";"";XLOOKUP($P5;FILTER(Dictionaries!$B:$B;Dictionaries!$A:$A="Энергия");FILTER(Dictionaries!$C:$C;Dictionaries!$A:$A="Энергия")));IF($U5="";"";AVERAGE(IF(OR($B5="Ноги";$B5="Верх");IFS(AND($U5&gt;=1900;$U5&lt;=2050);1;AND($U5&gt;=1850;$U5&lt;1900);0,7;AND($U5&gt;2050;$U5&lt;=2100);0,7;TRUE;0,2);IFS(AND($U5&gt;=1700;$U5&lt;=1850);1;AND($U5&gt;=1650;$U5&lt;1700);0,7;AND($U5&gt;1850;$U5&lt;=1900);0,7;TRUE;0,2));IF(OR($B5="Ноги";$B5="Верх");IFS(AND($V5&gt;=125;$V5&lt;=135);1;AND($V5&gt;=115;$V5&lt;125);0,7;AND($V5&gt;135;$V5&lt;=145);0,7;AND($V5&gt;=105;$V5&lt;115);0,4;AND($V5&gt;145;$V5&lt;=155);0,4;TRUE;0,2);IFS(AND($V5&gt;=120;$V5&lt;=130);1;AND($V5&gt;=110;$V5&lt;120);0,7;AND($V5&gt;130;$V5&lt;=140);0,7;AND($V5&gt;=100;$V5&lt;110);0,4;AND($V5&gt;140;$V5&lt;=150);0,4;TRUE;0,2));IFS(AND($W5&gt;=55;$W5&lt;=65);1;AND($W5&gt;=50;$W5&lt;55);0,7;AND($W5&gt;65;$W5&lt;=70);0,7;AND($W5&gt;=45;$W5&lt;50);0,4;AND($W5&gt;70;$W5&lt;=75);0,4;TRUE;0,2);IF(OR($B5="Ноги";$B5="Верх");IFS(AND($X5&gt;=180;$X5&lt;=210);1;AND($X5&gt;=160;$X5&lt;180);0,7;AND($X5&gt;210;$X5&lt;=230);0,7;AND($X5&gt;=140;$X5&lt;160);0,4;AND($X5&gt;230;$X5&lt;=250);0,4;TRUE;0,2);IFS(AND($X5&gt;=140;$X5&lt;=170);1;AND($X5&gt;=120;$X5&lt;140);0,7;AND($X5&gt;170;$X5&lt;=190);0,7;AND($X5&gt;=100;$X5&lt;120);0,4;AND($X5&gt;190;$X5&lt;=210);0,4;TRUE;0,2)))));1);""))</f>
        <v/>
      </c>
      <c r="Z5">
        <f>IF($A5="";"";TEXTJOIN(", ";TRUE;IF($B5="";"Тренировка";"");IF($C5="";"Кардио";"");IF($D5="";"Шаги";"");IF($E5="";"Английский";"");IF($F5="";"Код-режим";"");IF($G5="";"Код-тема";"");IF($H5="";"Чтение";"");IF($L5="";"Сон";"");IF($M5="";"Режим";"");IF($N5="";"Продуктивность";"");IF($O5="";"Настроение";"");IF($P5="";"Энергия";"");IF($U5="";"Еда";"")))</f>
        <v/>
      </c>
    </row>
    <row r="6">
      <c r="A6" s="2" t="inlineStr"/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>
        <f>IF($A6="";"";IF(SUMIF(FoodLog!$A:$A;$A6;FoodLog!$I:$I)=0;"";SUMIF(FoodLog!$A:$A;$A6;FoodLog!$I:$I)))</f>
        <v/>
      </c>
      <c r="V6">
        <f>IF($A6="";"";IF(SUMIF(FoodLog!$A:$A;$A6;FoodLog!$F:$F)=0;"";SUMIF(FoodLog!$A:$A;$A6;FoodLog!$F:$F)))</f>
        <v/>
      </c>
      <c r="W6">
        <f>IF($A6="";"";IF(SUMIF(FoodLog!$A:$A;$A6;FoodLog!$G:$G)=0;"";SUMIF(FoodLog!$A:$A;$A6;FoodLog!$G:$G)))</f>
        <v/>
      </c>
      <c r="X6">
        <f>IF($A6="";"";IF(SUMIF(FoodLog!$A:$A;$A6;FoodLog!$H:$H)=0;"";SUMIF(FoodLog!$A:$A;$A6;FoodLog!$H:$H)))</f>
        <v/>
      </c>
      <c r="Y6">
        <f>IF($A6="";"";IFERROR(ROUND(100*AVERAGE(IF($B6="";"";XLOOKUP($B6;FILTER(Dictionaries!$B:$B;Dictionaries!$A:$A="Тренировка");FILTER(Dictionaries!$C:$C;Dictionaries!$A:$A="Тренировка")));IF($C6="";"";MIN($C6/40;1));IF($D6="";"";XLOOKUP($D6;FILTER(Dictionaries!$B:$B;Dictionaries!$A:$A="Шаги");FILTER(Dictionaries!$C:$C;Dictionaries!$A:$A="Шаги")));IF($E6="";"";MIN($E6/120;1));IF(OR($F6&lt;&gt;"";$G6&lt;&gt;"");1;"");IF($H6="";"";MIN($H6/100;1));IF($L6="";"";XLOOKUP($L6;FILTER(Dictionaries!$B:$B;Dictionaries!$A:$A="Сон_часы");FILTER(Dictionaries!$C:$C;Dictionaries!$A:$A="Сон_часы")));IF($M6="";"";XLOOKUP($M6;FILTER(Dictionaries!$B:$B;Dictionaries!$A:$A="Режим");FILTER(Dictionaries!$C:$C;Dictionaries!$A:$A="Режим")));IF($N6="";"";MIN($N6/100;1));IF($O6="";"";XLOOKUP($O6;FILTER(Dictionaries!$B:$B;Dictionaries!$A:$A="Настроение");FILTER(Dictionaries!$C:$C;Dictionaries!$A:$A="Настроение")));IF($P6="";"";XLOOKUP($P6;FILTER(Dictionaries!$B:$B;Dictionaries!$A:$A="Энергия");FILTER(Dictionaries!$C:$C;Dictionaries!$A:$A="Энергия")));IF($U6="";"";AVERAGE(IF(OR($B6="Ноги";$B6="Верх");IFS(AND($U6&gt;=1900;$U6&lt;=2050);1;AND($U6&gt;=1850;$U6&lt;1900);0,7;AND($U6&gt;2050;$U6&lt;=2100);0,7;TRUE;0,2);IFS(AND($U6&gt;=1700;$U6&lt;=1850);1;AND($U6&gt;=1650;$U6&lt;1700);0,7;AND($U6&gt;1850;$U6&lt;=1900);0,7;TRUE;0,2));IF(OR($B6="Ноги";$B6="Верх");IFS(AND($V6&gt;=125;$V6&lt;=135);1;AND($V6&gt;=115;$V6&lt;125);0,7;AND($V6&gt;135;$V6&lt;=145);0,7;AND($V6&gt;=105;$V6&lt;115);0,4;AND($V6&gt;145;$V6&lt;=155);0,4;TRUE;0,2);IFS(AND($V6&gt;=120;$V6&lt;=130);1;AND($V6&gt;=110;$V6&lt;120);0,7;AND($V6&gt;130;$V6&lt;=140);0,7;AND($V6&gt;=100;$V6&lt;110);0,4;AND($V6&gt;140;$V6&lt;=150);0,4;TRUE;0,2));IFS(AND($W6&gt;=55;$W6&lt;=65);1;AND($W6&gt;=50;$W6&lt;55);0,7;AND($W6&gt;65;$W6&lt;=70);0,7;AND($W6&gt;=45;$W6&lt;50);0,4;AND($W6&gt;70;$W6&lt;=75);0,4;TRUE;0,2);IF(OR($B6="Ноги";$B6="Верх");IFS(AND($X6&gt;=180;$X6&lt;=210);1;AND($X6&gt;=160;$X6&lt;180);0,7;AND($X6&gt;210;$X6&lt;=230);0,7;AND($X6&gt;=140;$X6&lt;160);0,4;AND($X6&gt;230;$X6&lt;=250);0,4;TRUE;0,2);IFS(AND($X6&gt;=140;$X6&lt;=170);1;AND($X6&gt;=120;$X6&lt;140);0,7;AND($X6&gt;170;$X6&lt;=190);0,7;AND($X6&gt;=100;$X6&lt;120);0,4;AND($X6&gt;190;$X6&lt;=210);0,4;TRUE;0,2)))));1);""))</f>
        <v/>
      </c>
      <c r="Z6">
        <f>IF($A6="";"";TEXTJOIN(", ";TRUE;IF($B6="";"Тренировка";"");IF($C6="";"Кардио";"");IF($D6="";"Шаги";"");IF($E6="";"Английский";"");IF($F6="";"Код-режим";"");IF($G6="";"Код-тема";"");IF($H6="";"Чтение";"");IF($L6="";"Сон";"");IF($M6="";"Режим";"");IF($N6="";"Продуктивность";"");IF($O6="";"Настроение";"");IF($P6="";"Энергия";"");IF($U6="";"Еда";"")))</f>
        <v/>
      </c>
    </row>
    <row r="7">
      <c r="A7" s="2" t="inlineStr"/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>
        <f>IF($A7="";"";IF(SUMIF(FoodLog!$A:$A;$A7;FoodLog!$I:$I)=0;"";SUMIF(FoodLog!$A:$A;$A7;FoodLog!$I:$I)))</f>
        <v/>
      </c>
      <c r="V7">
        <f>IF($A7="";"";IF(SUMIF(FoodLog!$A:$A;$A7;FoodLog!$F:$F)=0;"";SUMIF(FoodLog!$A:$A;$A7;FoodLog!$F:$F)))</f>
        <v/>
      </c>
      <c r="W7">
        <f>IF($A7="";"";IF(SUMIF(FoodLog!$A:$A;$A7;FoodLog!$G:$G)=0;"";SUMIF(FoodLog!$A:$A;$A7;FoodLog!$G:$G)))</f>
        <v/>
      </c>
      <c r="X7">
        <f>IF($A7="";"";IF(SUMIF(FoodLog!$A:$A;$A7;FoodLog!$H:$H)=0;"";SUMIF(FoodLog!$A:$A;$A7;FoodLog!$H:$H)))</f>
        <v/>
      </c>
      <c r="Y7">
        <f>IF($A7="";"";IFERROR(ROUND(100*AVERAGE(IF($B7="";"";XLOOKUP($B7;FILTER(Dictionaries!$B:$B;Dictionaries!$A:$A="Тренировка");FILTER(Dictionaries!$C:$C;Dictionaries!$A:$A="Тренировка")));IF($C7="";"";MIN($C7/40;1));IF($D7="";"";XLOOKUP($D7;FILTER(Dictionaries!$B:$B;Dictionaries!$A:$A="Шаги");FILTER(Dictionaries!$C:$C;Dictionaries!$A:$A="Шаги")));IF($E7="";"";MIN($E7/120;1));IF(OR($F7&lt;&gt;"";$G7&lt;&gt;"");1;"");IF($H7="";"";MIN($H7/100;1));IF($L7="";"";XLOOKUP($L7;FILTER(Dictionaries!$B:$B;Dictionaries!$A:$A="Сон_часы");FILTER(Dictionaries!$C:$C;Dictionaries!$A:$A="Сон_часы")));IF($M7="";"";XLOOKUP($M7;FILTER(Dictionaries!$B:$B;Dictionaries!$A:$A="Режим");FILTER(Dictionaries!$C:$C;Dictionaries!$A:$A="Режим")));IF($N7="";"";MIN($N7/100;1));IF($O7="";"";XLOOKUP($O7;FILTER(Dictionaries!$B:$B;Dictionaries!$A:$A="Настроение");FILTER(Dictionaries!$C:$C;Dictionaries!$A:$A="Настроение")));IF($P7="";"";XLOOKUP($P7;FILTER(Dictionaries!$B:$B;Dictionaries!$A:$A="Энергия");FILTER(Dictionaries!$C:$C;Dictionaries!$A:$A="Энергия")));IF($U7="";"";AVERAGE(IF(OR($B7="Ноги";$B7="Верх");IFS(AND($U7&gt;=1900;$U7&lt;=2050);1;AND($U7&gt;=1850;$U7&lt;1900);0,7;AND($U7&gt;2050;$U7&lt;=2100);0,7;TRUE;0,2);IFS(AND($U7&gt;=1700;$U7&lt;=1850);1;AND($U7&gt;=1650;$U7&lt;1700);0,7;AND($U7&gt;1850;$U7&lt;=1900);0,7;TRUE;0,2));IF(OR($B7="Ноги";$B7="Верх");IFS(AND($V7&gt;=125;$V7&lt;=135);1;AND($V7&gt;=115;$V7&lt;125);0,7;AND($V7&gt;135;$V7&lt;=145);0,7;AND($V7&gt;=105;$V7&lt;115);0,4;AND($V7&gt;145;$V7&lt;=155);0,4;TRUE;0,2);IFS(AND($V7&gt;=120;$V7&lt;=130);1;AND($V7&gt;=110;$V7&lt;120);0,7;AND($V7&gt;130;$V7&lt;=140);0,7;AND($V7&gt;=100;$V7&lt;110);0,4;AND($V7&gt;140;$V7&lt;=150);0,4;TRUE;0,2));IFS(AND($W7&gt;=55;$W7&lt;=65);1;AND($W7&gt;=50;$W7&lt;55);0,7;AND($W7&gt;65;$W7&lt;=70);0,7;AND($W7&gt;=45;$W7&lt;50);0,4;AND($W7&gt;70;$W7&lt;=75);0,4;TRUE;0,2);IF(OR($B7="Ноги";$B7="Верх");IFS(AND($X7&gt;=180;$X7&lt;=210);1;AND($X7&gt;=160;$X7&lt;180);0,7;AND($X7&gt;210;$X7&lt;=230);0,7;AND($X7&gt;=140;$X7&lt;160);0,4;AND($X7&gt;230;$X7&lt;=250);0,4;TRUE;0,2);IFS(AND($X7&gt;=140;$X7&lt;=170);1;AND($X7&gt;=120;$X7&lt;140);0,7;AND($X7&gt;170;$X7&lt;=190);0,7;AND($X7&gt;=100;$X7&lt;120);0,4;AND($X7&gt;190;$X7&lt;=210);0,4;TRUE;0,2)))));1);""))</f>
        <v/>
      </c>
      <c r="Z7">
        <f>IF($A7="";"";TEXTJOIN(", ";TRUE;IF($B7="";"Тренировка";"");IF($C7="";"Кардио";"");IF($D7="";"Шаги";"");IF($E7="";"Английский";"");IF($F7="";"Код-режим";"");IF($G7="";"Код-тема";"");IF($H7="";"Чтение";"");IF($L7="";"Сон";"");IF($M7="";"Режим";"");IF($N7="";"Продуктивность";"");IF($O7="";"Настроение";"");IF($P7="";"Энергия";"");IF($U7="";"Еда";"")))</f>
        <v/>
      </c>
    </row>
    <row r="8">
      <c r="A8" s="2" t="inlineStr"/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>
        <f>IF($A8="";"";IF(SUMIF(FoodLog!$A:$A;$A8;FoodLog!$I:$I)=0;"";SUMIF(FoodLog!$A:$A;$A8;FoodLog!$I:$I)))</f>
        <v/>
      </c>
      <c r="V8">
        <f>IF($A8="";"";IF(SUMIF(FoodLog!$A:$A;$A8;FoodLog!$F:$F)=0;"";SUMIF(FoodLog!$A:$A;$A8;FoodLog!$F:$F)))</f>
        <v/>
      </c>
      <c r="W8">
        <f>IF($A8="";"";IF(SUMIF(FoodLog!$A:$A;$A8;FoodLog!$G:$G)=0;"";SUMIF(FoodLog!$A:$A;$A8;FoodLog!$G:$G)))</f>
        <v/>
      </c>
      <c r="X8">
        <f>IF($A8="";"";IF(SUMIF(FoodLog!$A:$A;$A8;FoodLog!$H:$H)=0;"";SUMIF(FoodLog!$A:$A;$A8;FoodLog!$H:$H)))</f>
        <v/>
      </c>
      <c r="Y8">
        <f>IF($A8="";"";IFERROR(ROUND(100*AVERAGE(IF($B8="";"";XLOOKUP($B8;FILTER(Dictionaries!$B:$B;Dictionaries!$A:$A="Тренировка");FILTER(Dictionaries!$C:$C;Dictionaries!$A:$A="Тренировка")));IF($C8="";"";MIN($C8/40;1));IF($D8="";"";XLOOKUP($D8;FILTER(Dictionaries!$B:$B;Dictionaries!$A:$A="Шаги");FILTER(Dictionaries!$C:$C;Dictionaries!$A:$A="Шаги")));IF($E8="";"";MIN($E8/120;1));IF(OR($F8&lt;&gt;"";$G8&lt;&gt;"");1;"");IF($H8="";"";MIN($H8/100;1));IF($L8="";"";XLOOKUP($L8;FILTER(Dictionaries!$B:$B;Dictionaries!$A:$A="Сон_часы");FILTER(Dictionaries!$C:$C;Dictionaries!$A:$A="Сон_часы")));IF($M8="";"";XLOOKUP($M8;FILTER(Dictionaries!$B:$B;Dictionaries!$A:$A="Режим");FILTER(Dictionaries!$C:$C;Dictionaries!$A:$A="Режим")));IF($N8="";"";MIN($N8/100;1));IF($O8="";"";XLOOKUP($O8;FILTER(Dictionaries!$B:$B;Dictionaries!$A:$A="Настроение");FILTER(Dictionaries!$C:$C;Dictionaries!$A:$A="Настроение")));IF($P8="";"";XLOOKUP($P8;FILTER(Dictionaries!$B:$B;Dictionaries!$A:$A="Энергия");FILTER(Dictionaries!$C:$C;Dictionaries!$A:$A="Энергия")));IF($U8="";"";AVERAGE(IF(OR($B8="Ноги";$B8="Верх");IFS(AND($U8&gt;=1900;$U8&lt;=2050);1;AND($U8&gt;=1850;$U8&lt;1900);0,7;AND($U8&gt;2050;$U8&lt;=2100);0,7;TRUE;0,2);IFS(AND($U8&gt;=1700;$U8&lt;=1850);1;AND($U8&gt;=1650;$U8&lt;1700);0,7;AND($U8&gt;1850;$U8&lt;=1900);0,7;TRUE;0,2));IF(OR($B8="Ноги";$B8="Верх");IFS(AND($V8&gt;=125;$V8&lt;=135);1;AND($V8&gt;=115;$V8&lt;125);0,7;AND($V8&gt;135;$V8&lt;=145);0,7;AND($V8&gt;=105;$V8&lt;115);0,4;AND($V8&gt;145;$V8&lt;=155);0,4;TRUE;0,2);IFS(AND($V8&gt;=120;$V8&lt;=130);1;AND($V8&gt;=110;$V8&lt;120);0,7;AND($V8&gt;130;$V8&lt;=140);0,7;AND($V8&gt;=100;$V8&lt;110);0,4;AND($V8&gt;140;$V8&lt;=150);0,4;TRUE;0,2));IFS(AND($W8&gt;=55;$W8&lt;=65);1;AND($W8&gt;=50;$W8&lt;55);0,7;AND($W8&gt;65;$W8&lt;=70);0,7;AND($W8&gt;=45;$W8&lt;50);0,4;AND($W8&gt;70;$W8&lt;=75);0,4;TRUE;0,2);IF(OR($B8="Ноги";$B8="Верх");IFS(AND($X8&gt;=180;$X8&lt;=210);1;AND($X8&gt;=160;$X8&lt;180);0,7;AND($X8&gt;210;$X8&lt;=230);0,7;AND($X8&gt;=140;$X8&lt;160);0,4;AND($X8&gt;230;$X8&lt;=250);0,4;TRUE;0,2);IFS(AND($X8&gt;=140;$X8&lt;=170);1;AND($X8&gt;=120;$X8&lt;140);0,7;AND($X8&gt;170;$X8&lt;=190);0,7;AND($X8&gt;=100;$X8&lt;120);0,4;AND($X8&gt;190;$X8&lt;=210);0,4;TRUE;0,2)))));1);""))</f>
        <v/>
      </c>
      <c r="Z8">
        <f>IF($A8="";"";TEXTJOIN(", ";TRUE;IF($B8="";"Тренировка";"");IF($C8="";"Кардио";"");IF($D8="";"Шаги";"");IF($E8="";"Английский";"");IF($F8="";"Код-режим";"");IF($G8="";"Код-тема";"");IF($H8="";"Чтение";"");IF($L8="";"Сон";"");IF($M8="";"Режим";"");IF($N8="";"Продуктивность";"");IF($O8="";"Настроение";"");IF($P8="";"Энергия";"");IF($U8="";"Еда";"")))</f>
        <v/>
      </c>
    </row>
    <row r="9">
      <c r="A9" s="2" t="inlineStr"/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/>
      <c r="U9">
        <f>IF($A9="";"";IF(SUMIF(FoodLog!$A:$A;$A9;FoodLog!$I:$I)=0;"";SUMIF(FoodLog!$A:$A;$A9;FoodLog!$I:$I)))</f>
        <v/>
      </c>
      <c r="V9">
        <f>IF($A9="";"";IF(SUMIF(FoodLog!$A:$A;$A9;FoodLog!$F:$F)=0;"";SUMIF(FoodLog!$A:$A;$A9;FoodLog!$F:$F)))</f>
        <v/>
      </c>
      <c r="W9">
        <f>IF($A9="";"";IF(SUMIF(FoodLog!$A:$A;$A9;FoodLog!$G:$G)=0;"";SUMIF(FoodLog!$A:$A;$A9;FoodLog!$G:$G)))</f>
        <v/>
      </c>
      <c r="X9">
        <f>IF($A9="";"";IF(SUMIF(FoodLog!$A:$A;$A9;FoodLog!$H:$H)=0;"";SUMIF(FoodLog!$A:$A;$A9;FoodLog!$H:$H)))</f>
        <v/>
      </c>
      <c r="Y9">
        <f>IF($A9="";"";IFERROR(ROUND(100*AVERAGE(IF($B9="";"";XLOOKUP($B9;FILTER(Dictionaries!$B:$B;Dictionaries!$A:$A="Тренировка");FILTER(Dictionaries!$C:$C;Dictionaries!$A:$A="Тренировка")));IF($C9="";"";MIN($C9/40;1));IF($D9="";"";XLOOKUP($D9;FILTER(Dictionaries!$B:$B;Dictionaries!$A:$A="Шаги");FILTER(Dictionaries!$C:$C;Dictionaries!$A:$A="Шаги")));IF($E9="";"";MIN($E9/120;1));IF(OR($F9&lt;&gt;"";$G9&lt;&gt;"");1;"");IF($H9="";"";MIN($H9/100;1));IF($L9="";"";XLOOKUP($L9;FILTER(Dictionaries!$B:$B;Dictionaries!$A:$A="Сон_часы");FILTER(Dictionaries!$C:$C;Dictionaries!$A:$A="Сон_часы")));IF($M9="";"";XLOOKUP($M9;FILTER(Dictionaries!$B:$B;Dictionaries!$A:$A="Режим");FILTER(Dictionaries!$C:$C;Dictionaries!$A:$A="Режим")));IF($N9="";"";MIN($N9/100;1));IF($O9="";"";XLOOKUP($O9;FILTER(Dictionaries!$B:$B;Dictionaries!$A:$A="Настроение");FILTER(Dictionaries!$C:$C;Dictionaries!$A:$A="Настроение")));IF($P9="";"";XLOOKUP($P9;FILTER(Dictionaries!$B:$B;Dictionaries!$A:$A="Энергия");FILTER(Dictionaries!$C:$C;Dictionaries!$A:$A="Энергия")));IF($U9="";"";AVERAGE(IF(OR($B9="Ноги";$B9="Верх");IFS(AND($U9&gt;=1900;$U9&lt;=2050);1;AND($U9&gt;=1850;$U9&lt;1900);0,7;AND($U9&gt;2050;$U9&lt;=2100);0,7;TRUE;0,2);IFS(AND($U9&gt;=1700;$U9&lt;=1850);1;AND($U9&gt;=1650;$U9&lt;1700);0,7;AND($U9&gt;1850;$U9&lt;=1900);0,7;TRUE;0,2));IF(OR($B9="Ноги";$B9="Верх");IFS(AND($V9&gt;=125;$V9&lt;=135);1;AND($V9&gt;=115;$V9&lt;125);0,7;AND($V9&gt;135;$V9&lt;=145);0,7;AND($V9&gt;=105;$V9&lt;115);0,4;AND($V9&gt;145;$V9&lt;=155);0,4;TRUE;0,2);IFS(AND($V9&gt;=120;$V9&lt;=130);1;AND($V9&gt;=110;$V9&lt;120);0,7;AND($V9&gt;130;$V9&lt;=140);0,7;AND($V9&gt;=100;$V9&lt;110);0,4;AND($V9&gt;140;$V9&lt;=150);0,4;TRUE;0,2));IFS(AND($W9&gt;=55;$W9&lt;=65);1;AND($W9&gt;=50;$W9&lt;55);0,7;AND($W9&gt;65;$W9&lt;=70);0,7;AND($W9&gt;=45;$W9&lt;50);0,4;AND($W9&gt;70;$W9&lt;=75);0,4;TRUE;0,2);IF(OR($B9="Ноги";$B9="Верх");IFS(AND($X9&gt;=180;$X9&lt;=210);1;AND($X9&gt;=160;$X9&lt;180);0,7;AND($X9&gt;210;$X9&lt;=230);0,7;AND($X9&gt;=140;$X9&lt;160);0,4;AND($X9&gt;230;$X9&lt;=250);0,4;TRUE;0,2);IFS(AND($X9&gt;=140;$X9&lt;=170);1;AND($X9&gt;=120;$X9&lt;140);0,7;AND($X9&gt;170;$X9&lt;=190);0,7;AND($X9&gt;=100;$X9&lt;120);0,4;AND($X9&gt;190;$X9&lt;=210);0,4;TRUE;0,2)))));1);""))</f>
        <v/>
      </c>
      <c r="Z9">
        <f>IF($A9="";"";TEXTJOIN(", ";TRUE;IF($B9="";"Тренировка";"");IF($C9="";"Кардио";"");IF($D9="";"Шаги";"");IF($E9="";"Английский";"");IF($F9="";"Код-режим";"");IF($G9="";"Код-тема";"");IF($H9="";"Чтение";"");IF($L9="";"Сон";"");IF($M9="";"Режим";"");IF($N9="";"Продуктивность";"");IF($O9="";"Настроение";"");IF($P9="";"Энергия";"");IF($U9="";"Еда";"")))</f>
        <v/>
      </c>
    </row>
    <row r="10">
      <c r="A10" s="2" t="inlineStr"/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>
        <f>IF($A10="";"";IF(SUMIF(FoodLog!$A:$A;$A10;FoodLog!$I:$I)=0;"";SUMIF(FoodLog!$A:$A;$A10;FoodLog!$I:$I)))</f>
        <v/>
      </c>
      <c r="V10">
        <f>IF($A10="";"";IF(SUMIF(FoodLog!$A:$A;$A10;FoodLog!$F:$F)=0;"";SUMIF(FoodLog!$A:$A;$A10;FoodLog!$F:$F)))</f>
        <v/>
      </c>
      <c r="W10">
        <f>IF($A10="";"";IF(SUMIF(FoodLog!$A:$A;$A10;FoodLog!$G:$G)=0;"";SUMIF(FoodLog!$A:$A;$A10;FoodLog!$G:$G)))</f>
        <v/>
      </c>
      <c r="X10">
        <f>IF($A10="";"";IF(SUMIF(FoodLog!$A:$A;$A10;FoodLog!$H:$H)=0;"";SUMIF(FoodLog!$A:$A;$A10;FoodLog!$H:$H)))</f>
        <v/>
      </c>
      <c r="Y10">
        <f>IF($A10="";"";IFERROR(ROUND(100*AVERAGE(IF($B10="";"";XLOOKUP($B10;FILTER(Dictionaries!$B:$B;Dictionaries!$A:$A="Тренировка");FILTER(Dictionaries!$C:$C;Dictionaries!$A:$A="Тренировка")));IF($C10="";"";MIN($C10/40;1));IF($D10="";"";XLOOKUP($D10;FILTER(Dictionaries!$B:$B;Dictionaries!$A:$A="Шаги");FILTER(Dictionaries!$C:$C;Dictionaries!$A:$A="Шаги")));IF($E10="";"";MIN($E10/120;1));IF(OR($F10&lt;&gt;"";$G10&lt;&gt;"");1;"");IF($H10="";"";MIN($H10/100;1));IF($L10="";"";XLOOKUP($L10;FILTER(Dictionaries!$B:$B;Dictionaries!$A:$A="Сон_часы");FILTER(Dictionaries!$C:$C;Dictionaries!$A:$A="Сон_часы")));IF($M10="";"";XLOOKUP($M10;FILTER(Dictionaries!$B:$B;Dictionaries!$A:$A="Режим");FILTER(Dictionaries!$C:$C;Dictionaries!$A:$A="Режим")));IF($N10="";"";MIN($N10/100;1));IF($O10="";"";XLOOKUP($O10;FILTER(Dictionaries!$B:$B;Dictionaries!$A:$A="Настроение");FILTER(Dictionaries!$C:$C;Dictionaries!$A:$A="Настроение")));IF($P10="";"";XLOOKUP($P10;FILTER(Dictionaries!$B:$B;Dictionaries!$A:$A="Энергия");FILTER(Dictionaries!$C:$C;Dictionaries!$A:$A="Энергия")));IF($U10="";"";AVERAGE(IF(OR($B10="Ноги";$B10="Верх");IFS(AND($U10&gt;=1900;$U10&lt;=2050);1;AND($U10&gt;=1850;$U10&lt;1900);0,7;AND($U10&gt;2050;$U10&lt;=2100);0,7;TRUE;0,2);IFS(AND($U10&gt;=1700;$U10&lt;=1850);1;AND($U10&gt;=1650;$U10&lt;1700);0,7;AND($U10&gt;1850;$U10&lt;=1900);0,7;TRUE;0,2));IF(OR($B10="Ноги";$B10="Верх");IFS(AND($V10&gt;=125;$V10&lt;=135);1;AND($V10&gt;=115;$V10&lt;125);0,7;AND($V10&gt;135;$V10&lt;=145);0,7;AND($V10&gt;=105;$V10&lt;115);0,4;AND($V10&gt;145;$V10&lt;=155);0,4;TRUE;0,2);IFS(AND($V10&gt;=120;$V10&lt;=130);1;AND($V10&gt;=110;$V10&lt;120);0,7;AND($V10&gt;130;$V10&lt;=140);0,7;AND($V10&gt;=100;$V10&lt;110);0,4;AND($V10&gt;140;$V10&lt;=150);0,4;TRUE;0,2));IFS(AND($W10&gt;=55;$W10&lt;=65);1;AND($W10&gt;=50;$W10&lt;55);0,7;AND($W10&gt;65;$W10&lt;=70);0,7;AND($W10&gt;=45;$W10&lt;50);0,4;AND($W10&gt;70;$W10&lt;=75);0,4;TRUE;0,2);IF(OR($B10="Ноги";$B10="Верх");IFS(AND($X10&gt;=180;$X10&lt;=210);1;AND($X10&gt;=160;$X10&lt;180);0,7;AND($X10&gt;210;$X10&lt;=230);0,7;AND($X10&gt;=140;$X10&lt;160);0,4;AND($X10&gt;230;$X10&lt;=250);0,4;TRUE;0,2);IFS(AND($X10&gt;=140;$X10&lt;=170);1;AND($X10&gt;=120;$X10&lt;140);0,7;AND($X10&gt;170;$X10&lt;=190);0,7;AND($X10&gt;=100;$X10&lt;120);0,4;AND($X10&gt;190;$X10&lt;=210);0,4;TRUE;0,2)))));1);""))</f>
        <v/>
      </c>
      <c r="Z10">
        <f>IF($A10="";"";TEXTJOIN(", ";TRUE;IF($B10="";"Тренировка";"");IF($C10="";"Кардио";"");IF($D10="";"Шаги";"");IF($E10="";"Английский";"");IF($F10="";"Код-режим";"");IF($G10="";"Код-тема";"");IF($H10="";"Чтение";"");IF($L10="";"Сон";"");IF($M10="";"Режим";"");IF($N10="";"Продуктивность";"");IF($O10="";"Настроение";"");IF($P10="";"Энергия";"");IF($U10="";"Еда";"")))</f>
        <v/>
      </c>
    </row>
    <row r="11">
      <c r="A11" s="2" t="inlineStr"/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>
        <f>IF($A11="";"";IF(SUMIF(FoodLog!$A:$A;$A11;FoodLog!$I:$I)=0;"";SUMIF(FoodLog!$A:$A;$A11;FoodLog!$I:$I)))</f>
        <v/>
      </c>
      <c r="V11">
        <f>IF($A11="";"";IF(SUMIF(FoodLog!$A:$A;$A11;FoodLog!$F:$F)=0;"";SUMIF(FoodLog!$A:$A;$A11;FoodLog!$F:$F)))</f>
        <v/>
      </c>
      <c r="W11">
        <f>IF($A11="";"";IF(SUMIF(FoodLog!$A:$A;$A11;FoodLog!$G:$G)=0;"";SUMIF(FoodLog!$A:$A;$A11;FoodLog!$G:$G)))</f>
        <v/>
      </c>
      <c r="X11">
        <f>IF($A11="";"";IF(SUMIF(FoodLog!$A:$A;$A11;FoodLog!$H:$H)=0;"";SUMIF(FoodLog!$A:$A;$A11;FoodLog!$H:$H)))</f>
        <v/>
      </c>
      <c r="Y11">
        <f>IF($A11="";"";IFERROR(ROUND(100*AVERAGE(IF($B11="";"";XLOOKUP($B11;FILTER(Dictionaries!$B:$B;Dictionaries!$A:$A="Тренировка");FILTER(Dictionaries!$C:$C;Dictionaries!$A:$A="Тренировка")));IF($C11="";"";MIN($C11/40;1));IF($D11="";"";XLOOKUP($D11;FILTER(Dictionaries!$B:$B;Dictionaries!$A:$A="Шаги");FILTER(Dictionaries!$C:$C;Dictionaries!$A:$A="Шаги")));IF($E11="";"";MIN($E11/120;1));IF(OR($F11&lt;&gt;"";$G11&lt;&gt;"");1;"");IF($H11="";"";MIN($H11/100;1));IF($L11="";"";XLOOKUP($L11;FILTER(Dictionaries!$B:$B;Dictionaries!$A:$A="Сон_часы");FILTER(Dictionaries!$C:$C;Dictionaries!$A:$A="Сон_часы")));IF($M11="";"";XLOOKUP($M11;FILTER(Dictionaries!$B:$B;Dictionaries!$A:$A="Режим");FILTER(Dictionaries!$C:$C;Dictionaries!$A:$A="Режим")));IF($N11="";"";MIN($N11/100;1));IF($O11="";"";XLOOKUP($O11;FILTER(Dictionaries!$B:$B;Dictionaries!$A:$A="Настроение");FILTER(Dictionaries!$C:$C;Dictionaries!$A:$A="Настроение")));IF($P11="";"";XLOOKUP($P11;FILTER(Dictionaries!$B:$B;Dictionaries!$A:$A="Энергия");FILTER(Dictionaries!$C:$C;Dictionaries!$A:$A="Энергия")));IF($U11="";"";AVERAGE(IF(OR($B11="Ноги";$B11="Верх");IFS(AND($U11&gt;=1900;$U11&lt;=2050);1;AND($U11&gt;=1850;$U11&lt;1900);0,7;AND($U11&gt;2050;$U11&lt;=2100);0,7;TRUE;0,2);IFS(AND($U11&gt;=1700;$U11&lt;=1850);1;AND($U11&gt;=1650;$U11&lt;1700);0,7;AND($U11&gt;1850;$U11&lt;=1900);0,7;TRUE;0,2));IF(OR($B11="Ноги";$B11="Верх");IFS(AND($V11&gt;=125;$V11&lt;=135);1;AND($V11&gt;=115;$V11&lt;125);0,7;AND($V11&gt;135;$V11&lt;=145);0,7;AND($V11&gt;=105;$V11&lt;115);0,4;AND($V11&gt;145;$V11&lt;=155);0,4;TRUE;0,2);IFS(AND($V11&gt;=120;$V11&lt;=130);1;AND($V11&gt;=110;$V11&lt;120);0,7;AND($V11&gt;130;$V11&lt;=140);0,7;AND($V11&gt;=100;$V11&lt;110);0,4;AND($V11&gt;140;$V11&lt;=150);0,4;TRUE;0,2));IFS(AND($W11&gt;=55;$W11&lt;=65);1;AND($W11&gt;=50;$W11&lt;55);0,7;AND($W11&gt;65;$W11&lt;=70);0,7;AND($W11&gt;=45;$W11&lt;50);0,4;AND($W11&gt;70;$W11&lt;=75);0,4;TRUE;0,2);IF(OR($B11="Ноги";$B11="Верх");IFS(AND($X11&gt;=180;$X11&lt;=210);1;AND($X11&gt;=160;$X11&lt;180);0,7;AND($X11&gt;210;$X11&lt;=230);0,7;AND($X11&gt;=140;$X11&lt;160);0,4;AND($X11&gt;230;$X11&lt;=250);0,4;TRUE;0,2);IFS(AND($X11&gt;=140;$X11&lt;=170);1;AND($X11&gt;=120;$X11&lt;140);0,7;AND($X11&gt;170;$X11&lt;=190);0,7;AND($X11&gt;=100;$X11&lt;120);0,4;AND($X11&gt;190;$X11&lt;=210);0,4;TRUE;0,2)))));1);""))</f>
        <v/>
      </c>
      <c r="Z11">
        <f>IF($A11="";"";TEXTJOIN(", ";TRUE;IF($B11="";"Тренировка";"");IF($C11="";"Кардио";"");IF($D11="";"Шаги";"");IF($E11="";"Английский";"");IF($F11="";"Код-режим";"");IF($G11="";"Код-тема";"");IF($H11="";"Чтение";"");IF($L11="";"Сон";"");IF($M11="";"Режим";"");IF($N11="";"Продуктивность";"");IF($O11="";"Настроение";"");IF($P11="";"Энергия";"");IF($U11="";"Еда";"")))</f>
        <v/>
      </c>
    </row>
    <row r="12">
      <c r="A12" s="2" t="inlineStr"/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>
        <f>IF($A12="";"";IF(SUMIF(FoodLog!$A:$A;$A12;FoodLog!$I:$I)=0;"";SUMIF(FoodLog!$A:$A;$A12;FoodLog!$I:$I)))</f>
        <v/>
      </c>
      <c r="V12">
        <f>IF($A12="";"";IF(SUMIF(FoodLog!$A:$A;$A12;FoodLog!$F:$F)=0;"";SUMIF(FoodLog!$A:$A;$A12;FoodLog!$F:$F)))</f>
        <v/>
      </c>
      <c r="W12">
        <f>IF($A12="";"";IF(SUMIF(FoodLog!$A:$A;$A12;FoodLog!$G:$G)=0;"";SUMIF(FoodLog!$A:$A;$A12;FoodLog!$G:$G)))</f>
        <v/>
      </c>
      <c r="X12">
        <f>IF($A12="";"";IF(SUMIF(FoodLog!$A:$A;$A12;FoodLog!$H:$H)=0;"";SUMIF(FoodLog!$A:$A;$A12;FoodLog!$H:$H)))</f>
        <v/>
      </c>
      <c r="Y12">
        <f>IF($A12="";"";IFERROR(ROUND(100*AVERAGE(IF($B12="";"";XLOOKUP($B12;FILTER(Dictionaries!$B:$B;Dictionaries!$A:$A="Тренировка");FILTER(Dictionaries!$C:$C;Dictionaries!$A:$A="Тренировка")));IF($C12="";"";MIN($C12/40;1));IF($D12="";"";XLOOKUP($D12;FILTER(Dictionaries!$B:$B;Dictionaries!$A:$A="Шаги");FILTER(Dictionaries!$C:$C;Dictionaries!$A:$A="Шаги")));IF($E12="";"";MIN($E12/120;1));IF(OR($F12&lt;&gt;"";$G12&lt;&gt;"");1;"");IF($H12="";"";MIN($H12/100;1));IF($L12="";"";XLOOKUP($L12;FILTER(Dictionaries!$B:$B;Dictionaries!$A:$A="Сон_часы");FILTER(Dictionaries!$C:$C;Dictionaries!$A:$A="Сон_часы")));IF($M12="";"";XLOOKUP($M12;FILTER(Dictionaries!$B:$B;Dictionaries!$A:$A="Режим");FILTER(Dictionaries!$C:$C;Dictionaries!$A:$A="Режим")));IF($N12="";"";MIN($N12/100;1));IF($O12="";"";XLOOKUP($O12;FILTER(Dictionaries!$B:$B;Dictionaries!$A:$A="Настроение");FILTER(Dictionaries!$C:$C;Dictionaries!$A:$A="Настроение")));IF($P12="";"";XLOOKUP($P12;FILTER(Dictionaries!$B:$B;Dictionaries!$A:$A="Энергия");FILTER(Dictionaries!$C:$C;Dictionaries!$A:$A="Энергия")));IF($U12="";"";AVERAGE(IF(OR($B12="Ноги";$B12="Верх");IFS(AND($U12&gt;=1900;$U12&lt;=2050);1;AND($U12&gt;=1850;$U12&lt;1900);0,7;AND($U12&gt;2050;$U12&lt;=2100);0,7;TRUE;0,2);IFS(AND($U12&gt;=1700;$U12&lt;=1850);1;AND($U12&gt;=1650;$U12&lt;1700);0,7;AND($U12&gt;1850;$U12&lt;=1900);0,7;TRUE;0,2));IF(OR($B12="Ноги";$B12="Верх");IFS(AND($V12&gt;=125;$V12&lt;=135);1;AND($V12&gt;=115;$V12&lt;125);0,7;AND($V12&gt;135;$V12&lt;=145);0,7;AND($V12&gt;=105;$V12&lt;115);0,4;AND($V12&gt;145;$V12&lt;=155);0,4;TRUE;0,2);IFS(AND($V12&gt;=120;$V12&lt;=130);1;AND($V12&gt;=110;$V12&lt;120);0,7;AND($V12&gt;130;$V12&lt;=140);0,7;AND($V12&gt;=100;$V12&lt;110);0,4;AND($V12&gt;140;$V12&lt;=150);0,4;TRUE;0,2));IFS(AND($W12&gt;=55;$W12&lt;=65);1;AND($W12&gt;=50;$W12&lt;55);0,7;AND($W12&gt;65;$W12&lt;=70);0,7;AND($W12&gt;=45;$W12&lt;50);0,4;AND($W12&gt;70;$W12&lt;=75);0,4;TRUE;0,2);IF(OR($B12="Ноги";$B12="Верх");IFS(AND($X12&gt;=180;$X12&lt;=210);1;AND($X12&gt;=160;$X12&lt;180);0,7;AND($X12&gt;210;$X12&lt;=230);0,7;AND($X12&gt;=140;$X12&lt;160);0,4;AND($X12&gt;230;$X12&lt;=250);0,4;TRUE;0,2);IFS(AND($X12&gt;=140;$X12&lt;=170);1;AND($X12&gt;=120;$X12&lt;140);0,7;AND($X12&gt;170;$X12&lt;=190);0,7;AND($X12&gt;=100;$X12&lt;120);0,4;AND($X12&gt;190;$X12&lt;=210);0,4;TRUE;0,2)))));1);""))</f>
        <v/>
      </c>
      <c r="Z12">
        <f>IF($A12="";"";TEXTJOIN(", ";TRUE;IF($B12="";"Тренировка";"");IF($C12="";"Кардио";"");IF($D12="";"Шаги";"");IF($E12="";"Английский";"");IF($F12="";"Код-режим";"");IF($G12="";"Код-тема";"");IF($H12="";"Чтение";"");IF($L12="";"Сон";"");IF($M12="";"Режим";"");IF($N12="";"Продуктивность";"");IF($O12="";"Настроение";"");IF($P12="";"Энергия";"");IF($U12="";"Еда";"")))</f>
        <v/>
      </c>
    </row>
    <row r="13">
      <c r="A13" s="2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>
        <f>IF($A13="";"";IF(SUMIF(FoodLog!$A:$A;$A13;FoodLog!$I:$I)=0;"";SUMIF(FoodLog!$A:$A;$A13;FoodLog!$I:$I)))</f>
        <v/>
      </c>
      <c r="V13">
        <f>IF($A13="";"";IF(SUMIF(FoodLog!$A:$A;$A13;FoodLog!$F:$F)=0;"";SUMIF(FoodLog!$A:$A;$A13;FoodLog!$F:$F)))</f>
        <v/>
      </c>
      <c r="W13">
        <f>IF($A13="";"";IF(SUMIF(FoodLog!$A:$A;$A13;FoodLog!$G:$G)=0;"";SUMIF(FoodLog!$A:$A;$A13;FoodLog!$G:$G)))</f>
        <v/>
      </c>
      <c r="X13">
        <f>IF($A13="";"";IF(SUMIF(FoodLog!$A:$A;$A13;FoodLog!$H:$H)=0;"";SUMIF(FoodLog!$A:$A;$A13;FoodLog!$H:$H)))</f>
        <v/>
      </c>
      <c r="Y13">
        <f>IF($A13="";"";IFERROR(ROUND(100*AVERAGE(IF($B13="";"";XLOOKUP($B13;FILTER(Dictionaries!$B:$B;Dictionaries!$A:$A="Тренировка");FILTER(Dictionaries!$C:$C;Dictionaries!$A:$A="Тренировка")));IF($C13="";"";MIN($C13/40;1));IF($D13="";"";XLOOKUP($D13;FILTER(Dictionaries!$B:$B;Dictionaries!$A:$A="Шаги");FILTER(Dictionaries!$C:$C;Dictionaries!$A:$A="Шаги")));IF($E13="";"";MIN($E13/120;1));IF(OR($F13&lt;&gt;"";$G13&lt;&gt;"");1;"");IF($H13="";"";MIN($H13/100;1));IF($L13="";"";XLOOKUP($L13;FILTER(Dictionaries!$B:$B;Dictionaries!$A:$A="Сон_часы");FILTER(Dictionaries!$C:$C;Dictionaries!$A:$A="Сон_часы")));IF($M13="";"";XLOOKUP($M13;FILTER(Dictionaries!$B:$B;Dictionaries!$A:$A="Режим");FILTER(Dictionaries!$C:$C;Dictionaries!$A:$A="Режим")));IF($N13="";"";MIN($N13/100;1));IF($O13="";"";XLOOKUP($O13;FILTER(Dictionaries!$B:$B;Dictionaries!$A:$A="Настроение");FILTER(Dictionaries!$C:$C;Dictionaries!$A:$A="Настроение")));IF($P13="";"";XLOOKUP($P13;FILTER(Dictionaries!$B:$B;Dictionaries!$A:$A="Энергия");FILTER(Dictionaries!$C:$C;Dictionaries!$A:$A="Энергия")));IF($U13="";"";AVERAGE(IF(OR($B13="Ноги";$B13="Верх");IFS(AND($U13&gt;=1900;$U13&lt;=2050);1;AND($U13&gt;=1850;$U13&lt;1900);0,7;AND($U13&gt;2050;$U13&lt;=2100);0,7;TRUE;0,2);IFS(AND($U13&gt;=1700;$U13&lt;=1850);1;AND($U13&gt;=1650;$U13&lt;1700);0,7;AND($U13&gt;1850;$U13&lt;=1900);0,7;TRUE;0,2));IF(OR($B13="Ноги";$B13="Верх");IFS(AND($V13&gt;=125;$V13&lt;=135);1;AND($V13&gt;=115;$V13&lt;125);0,7;AND($V13&gt;135;$V13&lt;=145);0,7;AND($V13&gt;=105;$V13&lt;115);0,4;AND($V13&gt;145;$V13&lt;=155);0,4;TRUE;0,2);IFS(AND($V13&gt;=120;$V13&lt;=130);1;AND($V13&gt;=110;$V13&lt;120);0,7;AND($V13&gt;130;$V13&lt;=140);0,7;AND($V13&gt;=100;$V13&lt;110);0,4;AND($V13&gt;140;$V13&lt;=150);0,4;TRUE;0,2));IFS(AND($W13&gt;=55;$W13&lt;=65);1;AND($W13&gt;=50;$W13&lt;55);0,7;AND($W13&gt;65;$W13&lt;=70);0,7;AND($W13&gt;=45;$W13&lt;50);0,4;AND($W13&gt;70;$W13&lt;=75);0,4;TRUE;0,2);IF(OR($B13="Ноги";$B13="Верх");IFS(AND($X13&gt;=180;$X13&lt;=210);1;AND($X13&gt;=160;$X13&lt;180);0,7;AND($X13&gt;210;$X13&lt;=230);0,7;AND($X13&gt;=140;$X13&lt;160);0,4;AND($X13&gt;230;$X13&lt;=250);0,4;TRUE;0,2);IFS(AND($X13&gt;=140;$X13&lt;=170);1;AND($X13&gt;=120;$X13&lt;140);0,7;AND($X13&gt;170;$X13&lt;=190);0,7;AND($X13&gt;=100;$X13&lt;120);0,4;AND($X13&gt;190;$X13&lt;=210);0,4;TRUE;0,2)))));1);""))</f>
        <v/>
      </c>
      <c r="Z13">
        <f>IF($A13="";"";TEXTJOIN(", ";TRUE;IF($B13="";"Тренировка";"");IF($C13="";"Кардио";"");IF($D13="";"Шаги";"");IF($E13="";"Английский";"");IF($F13="";"Код-режим";"");IF($G13="";"Код-тема";"");IF($H13="";"Чтение";"");IF($L13="";"Сон";"");IF($M13="";"Режим";"");IF($N13="";"Продуктивность";"");IF($O13="";"Настроение";"");IF($P13="";"Энергия";"");IF($U13="";"Еда";"")))</f>
        <v/>
      </c>
    </row>
    <row r="14">
      <c r="A14" s="2" t="inlineStr"/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  <c r="U14">
        <f>IF($A14="";"";IF(SUMIF(FoodLog!$A:$A;$A14;FoodLog!$I:$I)=0;"";SUMIF(FoodLog!$A:$A;$A14;FoodLog!$I:$I)))</f>
        <v/>
      </c>
      <c r="V14">
        <f>IF($A14="";"";IF(SUMIF(FoodLog!$A:$A;$A14;FoodLog!$F:$F)=0;"";SUMIF(FoodLog!$A:$A;$A14;FoodLog!$F:$F)))</f>
        <v/>
      </c>
      <c r="W14">
        <f>IF($A14="";"";IF(SUMIF(FoodLog!$A:$A;$A14;FoodLog!$G:$G)=0;"";SUMIF(FoodLog!$A:$A;$A14;FoodLog!$G:$G)))</f>
        <v/>
      </c>
      <c r="X14">
        <f>IF($A14="";"";IF(SUMIF(FoodLog!$A:$A;$A14;FoodLog!$H:$H)=0;"";SUMIF(FoodLog!$A:$A;$A14;FoodLog!$H:$H)))</f>
        <v/>
      </c>
      <c r="Y14">
        <f>IF($A14="";"";IFERROR(ROUND(100*AVERAGE(IF($B14="";"";XLOOKUP($B14;FILTER(Dictionaries!$B:$B;Dictionaries!$A:$A="Тренировка");FILTER(Dictionaries!$C:$C;Dictionaries!$A:$A="Тренировка")));IF($C14="";"";MIN($C14/40;1));IF($D14="";"";XLOOKUP($D14;FILTER(Dictionaries!$B:$B;Dictionaries!$A:$A="Шаги");FILTER(Dictionaries!$C:$C;Dictionaries!$A:$A="Шаги")));IF($E14="";"";MIN($E14/120;1));IF(OR($F14&lt;&gt;"";$G14&lt;&gt;"");1;"");IF($H14="";"";MIN($H14/100;1));IF($L14="";"";XLOOKUP($L14;FILTER(Dictionaries!$B:$B;Dictionaries!$A:$A="Сон_часы");FILTER(Dictionaries!$C:$C;Dictionaries!$A:$A="Сон_часы")));IF($M14="";"";XLOOKUP($M14;FILTER(Dictionaries!$B:$B;Dictionaries!$A:$A="Режим");FILTER(Dictionaries!$C:$C;Dictionaries!$A:$A="Режим")));IF($N14="";"";MIN($N14/100;1));IF($O14="";"";XLOOKUP($O14;FILTER(Dictionaries!$B:$B;Dictionaries!$A:$A="Настроение");FILTER(Dictionaries!$C:$C;Dictionaries!$A:$A="Настроение")));IF($P14="";"";XLOOKUP($P14;FILTER(Dictionaries!$B:$B;Dictionaries!$A:$A="Энергия");FILTER(Dictionaries!$C:$C;Dictionaries!$A:$A="Энергия")));IF($U14="";"";AVERAGE(IF(OR($B14="Ноги";$B14="Верх");IFS(AND($U14&gt;=1900;$U14&lt;=2050);1;AND($U14&gt;=1850;$U14&lt;1900);0,7;AND($U14&gt;2050;$U14&lt;=2100);0,7;TRUE;0,2);IFS(AND($U14&gt;=1700;$U14&lt;=1850);1;AND($U14&gt;=1650;$U14&lt;1700);0,7;AND($U14&gt;1850;$U14&lt;=1900);0,7;TRUE;0,2));IF(OR($B14="Ноги";$B14="Верх");IFS(AND($V14&gt;=125;$V14&lt;=135);1;AND($V14&gt;=115;$V14&lt;125);0,7;AND($V14&gt;135;$V14&lt;=145);0,7;AND($V14&gt;=105;$V14&lt;115);0,4;AND($V14&gt;145;$V14&lt;=155);0,4;TRUE;0,2);IFS(AND($V14&gt;=120;$V14&lt;=130);1;AND($V14&gt;=110;$V14&lt;120);0,7;AND($V14&gt;130;$V14&lt;=140);0,7;AND($V14&gt;=100;$V14&lt;110);0,4;AND($V14&gt;140;$V14&lt;=150);0,4;TRUE;0,2));IFS(AND($W14&gt;=55;$W14&lt;=65);1;AND($W14&gt;=50;$W14&lt;55);0,7;AND($W14&gt;65;$W14&lt;=70);0,7;AND($W14&gt;=45;$W14&lt;50);0,4;AND($W14&gt;70;$W14&lt;=75);0,4;TRUE;0,2);IF(OR($B14="Ноги";$B14="Верх");IFS(AND($X14&gt;=180;$X14&lt;=210);1;AND($X14&gt;=160;$X14&lt;180);0,7;AND($X14&gt;210;$X14&lt;=230);0,7;AND($X14&gt;=140;$X14&lt;160);0,4;AND($X14&gt;230;$X14&lt;=250);0,4;TRUE;0,2);IFS(AND($X14&gt;=140;$X14&lt;=170);1;AND($X14&gt;=120;$X14&lt;140);0,7;AND($X14&gt;170;$X14&lt;=190);0,7;AND($X14&gt;=100;$X14&lt;120);0,4;AND($X14&gt;190;$X14&lt;=210);0,4;TRUE;0,2)))));1);""))</f>
        <v/>
      </c>
      <c r="Z14">
        <f>IF($A14="";"";TEXTJOIN(", ";TRUE;IF($B14="";"Тренировка";"");IF($C14="";"Кардио";"");IF($D14="";"Шаги";"");IF($E14="";"Английский";"");IF($F14="";"Код-режим";"");IF($G14="";"Код-тема";"");IF($H14="";"Чтение";"");IF($L14="";"Сон";"");IF($M14="";"Режим";"");IF($N14="";"Продуктивность";"");IF($O14="";"Настроение";"");IF($P14="";"Энергия";"");IF($U14="";"Еда";"")))</f>
        <v/>
      </c>
    </row>
    <row r="15">
      <c r="A15" s="2" t="inlineStr"/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>
        <f>IF($A15="";"";IF(SUMIF(FoodLog!$A:$A;$A15;FoodLog!$I:$I)=0;"";SUMIF(FoodLog!$A:$A;$A15;FoodLog!$I:$I)))</f>
        <v/>
      </c>
      <c r="V15">
        <f>IF($A15="";"";IF(SUMIF(FoodLog!$A:$A;$A15;FoodLog!$F:$F)=0;"";SUMIF(FoodLog!$A:$A;$A15;FoodLog!$F:$F)))</f>
        <v/>
      </c>
      <c r="W15">
        <f>IF($A15="";"";IF(SUMIF(FoodLog!$A:$A;$A15;FoodLog!$G:$G)=0;"";SUMIF(FoodLog!$A:$A;$A15;FoodLog!$G:$G)))</f>
        <v/>
      </c>
      <c r="X15">
        <f>IF($A15="";"";IF(SUMIF(FoodLog!$A:$A;$A15;FoodLog!$H:$H)=0;"";SUMIF(FoodLog!$A:$A;$A15;FoodLog!$H:$H)))</f>
        <v/>
      </c>
      <c r="Y15">
        <f>IF($A15="";"";IFERROR(ROUND(100*AVERAGE(IF($B15="";"";XLOOKUP($B15;FILTER(Dictionaries!$B:$B;Dictionaries!$A:$A="Тренировка");FILTER(Dictionaries!$C:$C;Dictionaries!$A:$A="Тренировка")));IF($C15="";"";MIN($C15/40;1));IF($D15="";"";XLOOKUP($D15;FILTER(Dictionaries!$B:$B;Dictionaries!$A:$A="Шаги");FILTER(Dictionaries!$C:$C;Dictionaries!$A:$A="Шаги")));IF($E15="";"";MIN($E15/120;1));IF(OR($F15&lt;&gt;"";$G15&lt;&gt;"");1;"");IF($H15="";"";MIN($H15/100;1));IF($L15="";"";XLOOKUP($L15;FILTER(Dictionaries!$B:$B;Dictionaries!$A:$A="Сон_часы");FILTER(Dictionaries!$C:$C;Dictionaries!$A:$A="Сон_часы")));IF($M15="";"";XLOOKUP($M15;FILTER(Dictionaries!$B:$B;Dictionaries!$A:$A="Режим");FILTER(Dictionaries!$C:$C;Dictionaries!$A:$A="Режим")));IF($N15="";"";MIN($N15/100;1));IF($O15="";"";XLOOKUP($O15;FILTER(Dictionaries!$B:$B;Dictionaries!$A:$A="Настроение");FILTER(Dictionaries!$C:$C;Dictionaries!$A:$A="Настроение")));IF($P15="";"";XLOOKUP($P15;FILTER(Dictionaries!$B:$B;Dictionaries!$A:$A="Энергия");FILTER(Dictionaries!$C:$C;Dictionaries!$A:$A="Энергия")));IF($U15="";"";AVERAGE(IF(OR($B15="Ноги";$B15="Верх");IFS(AND($U15&gt;=1900;$U15&lt;=2050);1;AND($U15&gt;=1850;$U15&lt;1900);0,7;AND($U15&gt;2050;$U15&lt;=2100);0,7;TRUE;0,2);IFS(AND($U15&gt;=1700;$U15&lt;=1850);1;AND($U15&gt;=1650;$U15&lt;1700);0,7;AND($U15&gt;1850;$U15&lt;=1900);0,7;TRUE;0,2));IF(OR($B15="Ноги";$B15="Верх");IFS(AND($V15&gt;=125;$V15&lt;=135);1;AND($V15&gt;=115;$V15&lt;125);0,7;AND($V15&gt;135;$V15&lt;=145);0,7;AND($V15&gt;=105;$V15&lt;115);0,4;AND($V15&gt;145;$V15&lt;=155);0,4;TRUE;0,2);IFS(AND($V15&gt;=120;$V15&lt;=130);1;AND($V15&gt;=110;$V15&lt;120);0,7;AND($V15&gt;130;$V15&lt;=140);0,7;AND($V15&gt;=100;$V15&lt;110);0,4;AND($V15&gt;140;$V15&lt;=150);0,4;TRUE;0,2));IFS(AND($W15&gt;=55;$W15&lt;=65);1;AND($W15&gt;=50;$W15&lt;55);0,7;AND($W15&gt;65;$W15&lt;=70);0,7;AND($W15&gt;=45;$W15&lt;50);0,4;AND($W15&gt;70;$W15&lt;=75);0,4;TRUE;0,2);IF(OR($B15="Ноги";$B15="Верх");IFS(AND($X15&gt;=180;$X15&lt;=210);1;AND($X15&gt;=160;$X15&lt;180);0,7;AND($X15&gt;210;$X15&lt;=230);0,7;AND($X15&gt;=140;$X15&lt;160);0,4;AND($X15&gt;230;$X15&lt;=250);0,4;TRUE;0,2);IFS(AND($X15&gt;=140;$X15&lt;=170);1;AND($X15&gt;=120;$X15&lt;140);0,7;AND($X15&gt;170;$X15&lt;=190);0,7;AND($X15&gt;=100;$X15&lt;120);0,4;AND($X15&gt;190;$X15&lt;=210);0,4;TRUE;0,2)))));1);""))</f>
        <v/>
      </c>
      <c r="Z15">
        <f>IF($A15="";"";TEXTJOIN(", ";TRUE;IF($B15="";"Тренировка";"");IF($C15="";"Кардио";"");IF($D15="";"Шаги";"");IF($E15="";"Английский";"");IF($F15="";"Код-режим";"");IF($G15="";"Код-тема";"");IF($H15="";"Чтение";"");IF($L15="";"Сон";"");IF($M15="";"Режим";"");IF($N15="";"Продуктивность";"");IF($O15="";"Настроение";"");IF($P15="";"Энергия";"");IF($U15="";"Еда";"")))</f>
        <v/>
      </c>
    </row>
    <row r="16">
      <c r="A16" s="2" t="inlineStr"/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>
        <f>IF($A16="";"";IF(SUMIF(FoodLog!$A:$A;$A16;FoodLog!$I:$I)=0;"";SUMIF(FoodLog!$A:$A;$A16;FoodLog!$I:$I)))</f>
        <v/>
      </c>
      <c r="V16">
        <f>IF($A16="";"";IF(SUMIF(FoodLog!$A:$A;$A16;FoodLog!$F:$F)=0;"";SUMIF(FoodLog!$A:$A;$A16;FoodLog!$F:$F)))</f>
        <v/>
      </c>
      <c r="W16">
        <f>IF($A16="";"";IF(SUMIF(FoodLog!$A:$A;$A16;FoodLog!$G:$G)=0;"";SUMIF(FoodLog!$A:$A;$A16;FoodLog!$G:$G)))</f>
        <v/>
      </c>
      <c r="X16">
        <f>IF($A16="";"";IF(SUMIF(FoodLog!$A:$A;$A16;FoodLog!$H:$H)=0;"";SUMIF(FoodLog!$A:$A;$A16;FoodLog!$H:$H)))</f>
        <v/>
      </c>
      <c r="Y16">
        <f>IF($A16="";"";IFERROR(ROUND(100*AVERAGE(IF($B16="";"";XLOOKUP($B16;FILTER(Dictionaries!$B:$B;Dictionaries!$A:$A="Тренировка");FILTER(Dictionaries!$C:$C;Dictionaries!$A:$A="Тренировка")));IF($C16="";"";MIN($C16/40;1));IF($D16="";"";XLOOKUP($D16;FILTER(Dictionaries!$B:$B;Dictionaries!$A:$A="Шаги");FILTER(Dictionaries!$C:$C;Dictionaries!$A:$A="Шаги")));IF($E16="";"";MIN($E16/120;1));IF(OR($F16&lt;&gt;"";$G16&lt;&gt;"");1;"");IF($H16="";"";MIN($H16/100;1));IF($L16="";"";XLOOKUP($L16;FILTER(Dictionaries!$B:$B;Dictionaries!$A:$A="Сон_часы");FILTER(Dictionaries!$C:$C;Dictionaries!$A:$A="Сон_часы")));IF($M16="";"";XLOOKUP($M16;FILTER(Dictionaries!$B:$B;Dictionaries!$A:$A="Режим");FILTER(Dictionaries!$C:$C;Dictionaries!$A:$A="Режим")));IF($N16="";"";MIN($N16/100;1));IF($O16="";"";XLOOKUP($O16;FILTER(Dictionaries!$B:$B;Dictionaries!$A:$A="Настроение");FILTER(Dictionaries!$C:$C;Dictionaries!$A:$A="Настроение")));IF($P16="";"";XLOOKUP($P16;FILTER(Dictionaries!$B:$B;Dictionaries!$A:$A="Энергия");FILTER(Dictionaries!$C:$C;Dictionaries!$A:$A="Энергия")));IF($U16="";"";AVERAGE(IF(OR($B16="Ноги";$B16="Верх");IFS(AND($U16&gt;=1900;$U16&lt;=2050);1;AND($U16&gt;=1850;$U16&lt;1900);0,7;AND($U16&gt;2050;$U16&lt;=2100);0,7;TRUE;0,2);IFS(AND($U16&gt;=1700;$U16&lt;=1850);1;AND($U16&gt;=1650;$U16&lt;1700);0,7;AND($U16&gt;1850;$U16&lt;=1900);0,7;TRUE;0,2));IF(OR($B16="Ноги";$B16="Верх");IFS(AND($V16&gt;=125;$V16&lt;=135);1;AND($V16&gt;=115;$V16&lt;125);0,7;AND($V16&gt;135;$V16&lt;=145);0,7;AND($V16&gt;=105;$V16&lt;115);0,4;AND($V16&gt;145;$V16&lt;=155);0,4;TRUE;0,2);IFS(AND($V16&gt;=120;$V16&lt;=130);1;AND($V16&gt;=110;$V16&lt;120);0,7;AND($V16&gt;130;$V16&lt;=140);0,7;AND($V16&gt;=100;$V16&lt;110);0,4;AND($V16&gt;140;$V16&lt;=150);0,4;TRUE;0,2));IFS(AND($W16&gt;=55;$W16&lt;=65);1;AND($W16&gt;=50;$W16&lt;55);0,7;AND($W16&gt;65;$W16&lt;=70);0,7;AND($W16&gt;=45;$W16&lt;50);0,4;AND($W16&gt;70;$W16&lt;=75);0,4;TRUE;0,2);IF(OR($B16="Ноги";$B16="Верх");IFS(AND($X16&gt;=180;$X16&lt;=210);1;AND($X16&gt;=160;$X16&lt;180);0,7;AND($X16&gt;210;$X16&lt;=230);0,7;AND($X16&gt;=140;$X16&lt;160);0,4;AND($X16&gt;230;$X16&lt;=250);0,4;TRUE;0,2);IFS(AND($X16&gt;=140;$X16&lt;=170);1;AND($X16&gt;=120;$X16&lt;140);0,7;AND($X16&gt;170;$X16&lt;=190);0,7;AND($X16&gt;=100;$X16&lt;120);0,4;AND($X16&gt;190;$X16&lt;=210);0,4;TRUE;0,2)))));1);""))</f>
        <v/>
      </c>
      <c r="Z16">
        <f>IF($A16="";"";TEXTJOIN(", ";TRUE;IF($B16="";"Тренировка";"");IF($C16="";"Кардио";"");IF($D16="";"Шаги";"");IF($E16="";"Английский";"");IF($F16="";"Код-режим";"");IF($G16="";"Код-тема";"");IF($H16="";"Чтение";"");IF($L16="";"Сон";"");IF($M16="";"Режим";"");IF($N16="";"Продуктивность";"");IF($O16="";"Настроение";"");IF($P16="";"Энергия";"");IF($U16="";"Еда";"")))</f>
        <v/>
      </c>
    </row>
    <row r="17">
      <c r="A17" s="2" t="inlineStr"/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>
        <f>IF($A17="";"";IF(SUMIF(FoodLog!$A:$A;$A17;FoodLog!$I:$I)=0;"";SUMIF(FoodLog!$A:$A;$A17;FoodLog!$I:$I)))</f>
        <v/>
      </c>
      <c r="V17">
        <f>IF($A17="";"";IF(SUMIF(FoodLog!$A:$A;$A17;FoodLog!$F:$F)=0;"";SUMIF(FoodLog!$A:$A;$A17;FoodLog!$F:$F)))</f>
        <v/>
      </c>
      <c r="W17">
        <f>IF($A17="";"";IF(SUMIF(FoodLog!$A:$A;$A17;FoodLog!$G:$G)=0;"";SUMIF(FoodLog!$A:$A;$A17;FoodLog!$G:$G)))</f>
        <v/>
      </c>
      <c r="X17">
        <f>IF($A17="";"";IF(SUMIF(FoodLog!$A:$A;$A17;FoodLog!$H:$H)=0;"";SUMIF(FoodLog!$A:$A;$A17;FoodLog!$H:$H)))</f>
        <v/>
      </c>
      <c r="Y17">
        <f>IF($A17="";"";IFERROR(ROUND(100*AVERAGE(IF($B17="";"";XLOOKUP($B17;FILTER(Dictionaries!$B:$B;Dictionaries!$A:$A="Тренировка");FILTER(Dictionaries!$C:$C;Dictionaries!$A:$A="Тренировка")));IF($C17="";"";MIN($C17/40;1));IF($D17="";"";XLOOKUP($D17;FILTER(Dictionaries!$B:$B;Dictionaries!$A:$A="Шаги");FILTER(Dictionaries!$C:$C;Dictionaries!$A:$A="Шаги")));IF($E17="";"";MIN($E17/120;1));IF(OR($F17&lt;&gt;"";$G17&lt;&gt;"");1;"");IF($H17="";"";MIN($H17/100;1));IF($L17="";"";XLOOKUP($L17;FILTER(Dictionaries!$B:$B;Dictionaries!$A:$A="Сон_часы");FILTER(Dictionaries!$C:$C;Dictionaries!$A:$A="Сон_часы")));IF($M17="";"";XLOOKUP($M17;FILTER(Dictionaries!$B:$B;Dictionaries!$A:$A="Режим");FILTER(Dictionaries!$C:$C;Dictionaries!$A:$A="Режим")));IF($N17="";"";MIN($N17/100;1));IF($O17="";"";XLOOKUP($O17;FILTER(Dictionaries!$B:$B;Dictionaries!$A:$A="Настроение");FILTER(Dictionaries!$C:$C;Dictionaries!$A:$A="Настроение")));IF($P17="";"";XLOOKUP($P17;FILTER(Dictionaries!$B:$B;Dictionaries!$A:$A="Энергия");FILTER(Dictionaries!$C:$C;Dictionaries!$A:$A="Энергия")));IF($U17="";"";AVERAGE(IF(OR($B17="Ноги";$B17="Верх");IFS(AND($U17&gt;=1900;$U17&lt;=2050);1;AND($U17&gt;=1850;$U17&lt;1900);0,7;AND($U17&gt;2050;$U17&lt;=2100);0,7;TRUE;0,2);IFS(AND($U17&gt;=1700;$U17&lt;=1850);1;AND($U17&gt;=1650;$U17&lt;1700);0,7;AND($U17&gt;1850;$U17&lt;=1900);0,7;TRUE;0,2));IF(OR($B17="Ноги";$B17="Верх");IFS(AND($V17&gt;=125;$V17&lt;=135);1;AND($V17&gt;=115;$V17&lt;125);0,7;AND($V17&gt;135;$V17&lt;=145);0,7;AND($V17&gt;=105;$V17&lt;115);0,4;AND($V17&gt;145;$V17&lt;=155);0,4;TRUE;0,2);IFS(AND($V17&gt;=120;$V17&lt;=130);1;AND($V17&gt;=110;$V17&lt;120);0,7;AND($V17&gt;130;$V17&lt;=140);0,7;AND($V17&gt;=100;$V17&lt;110);0,4;AND($V17&gt;140;$V17&lt;=150);0,4;TRUE;0,2));IFS(AND($W17&gt;=55;$W17&lt;=65);1;AND($W17&gt;=50;$W17&lt;55);0,7;AND($W17&gt;65;$W17&lt;=70);0,7;AND($W17&gt;=45;$W17&lt;50);0,4;AND($W17&gt;70;$W17&lt;=75);0,4;TRUE;0,2);IF(OR($B17="Ноги";$B17="Верх");IFS(AND($X17&gt;=180;$X17&lt;=210);1;AND($X17&gt;=160;$X17&lt;180);0,7;AND($X17&gt;210;$X17&lt;=230);0,7;AND($X17&gt;=140;$X17&lt;160);0,4;AND($X17&gt;230;$X17&lt;=250);0,4;TRUE;0,2);IFS(AND($X17&gt;=140;$X17&lt;=170);1;AND($X17&gt;=120;$X17&lt;140);0,7;AND($X17&gt;170;$X17&lt;=190);0,7;AND($X17&gt;=100;$X17&lt;120);0,4;AND($X17&gt;190;$X17&lt;=210);0,4;TRUE;0,2)))));1);""))</f>
        <v/>
      </c>
      <c r="Z17">
        <f>IF($A17="";"";TEXTJOIN(", ";TRUE;IF($B17="";"Тренировка";"");IF($C17="";"Кардио";"");IF($D17="";"Шаги";"");IF($E17="";"Английский";"");IF($F17="";"Код-режим";"");IF($G17="";"Код-тема";"");IF($H17="";"Чтение";"");IF($L17="";"Сон";"");IF($M17="";"Режим";"");IF($N17="";"Продуктивность";"");IF($O17="";"Настроение";"");IF($P17="";"Энергия";"");IF($U17="";"Еда";"")))</f>
        <v/>
      </c>
    </row>
    <row r="18">
      <c r="A18" s="2" t="inlineStr"/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>
        <f>IF($A18="";"";IF(SUMIF(FoodLog!$A:$A;$A18;FoodLog!$I:$I)=0;"";SUMIF(FoodLog!$A:$A;$A18;FoodLog!$I:$I)))</f>
        <v/>
      </c>
      <c r="V18">
        <f>IF($A18="";"";IF(SUMIF(FoodLog!$A:$A;$A18;FoodLog!$F:$F)=0;"";SUMIF(FoodLog!$A:$A;$A18;FoodLog!$F:$F)))</f>
        <v/>
      </c>
      <c r="W18">
        <f>IF($A18="";"";IF(SUMIF(FoodLog!$A:$A;$A18;FoodLog!$G:$G)=0;"";SUMIF(FoodLog!$A:$A;$A18;FoodLog!$G:$G)))</f>
        <v/>
      </c>
      <c r="X18">
        <f>IF($A18="";"";IF(SUMIF(FoodLog!$A:$A;$A18;FoodLog!$H:$H)=0;"";SUMIF(FoodLog!$A:$A;$A18;FoodLog!$H:$H)))</f>
        <v/>
      </c>
      <c r="Y18">
        <f>IF($A18="";"";IFERROR(ROUND(100*AVERAGE(IF($B18="";"";XLOOKUP($B18;FILTER(Dictionaries!$B:$B;Dictionaries!$A:$A="Тренировка");FILTER(Dictionaries!$C:$C;Dictionaries!$A:$A="Тренировка")));IF($C18="";"";MIN($C18/40;1));IF($D18="";"";XLOOKUP($D18;FILTER(Dictionaries!$B:$B;Dictionaries!$A:$A="Шаги");FILTER(Dictionaries!$C:$C;Dictionaries!$A:$A="Шаги")));IF($E18="";"";MIN($E18/120;1));IF(OR($F18&lt;&gt;"";$G18&lt;&gt;"");1;"");IF($H18="";"";MIN($H18/100;1));IF($L18="";"";XLOOKUP($L18;FILTER(Dictionaries!$B:$B;Dictionaries!$A:$A="Сон_часы");FILTER(Dictionaries!$C:$C;Dictionaries!$A:$A="Сон_часы")));IF($M18="";"";XLOOKUP($M18;FILTER(Dictionaries!$B:$B;Dictionaries!$A:$A="Режим");FILTER(Dictionaries!$C:$C;Dictionaries!$A:$A="Режим")));IF($N18="";"";MIN($N18/100;1));IF($O18="";"";XLOOKUP($O18;FILTER(Dictionaries!$B:$B;Dictionaries!$A:$A="Настроение");FILTER(Dictionaries!$C:$C;Dictionaries!$A:$A="Настроение")));IF($P18="";"";XLOOKUP($P18;FILTER(Dictionaries!$B:$B;Dictionaries!$A:$A="Энергия");FILTER(Dictionaries!$C:$C;Dictionaries!$A:$A="Энергия")));IF($U18="";"";AVERAGE(IF(OR($B18="Ноги";$B18="Верх");IFS(AND($U18&gt;=1900;$U18&lt;=2050);1;AND($U18&gt;=1850;$U18&lt;1900);0,7;AND($U18&gt;2050;$U18&lt;=2100);0,7;TRUE;0,2);IFS(AND($U18&gt;=1700;$U18&lt;=1850);1;AND($U18&gt;=1650;$U18&lt;1700);0,7;AND($U18&gt;1850;$U18&lt;=1900);0,7;TRUE;0,2));IF(OR($B18="Ноги";$B18="Верх");IFS(AND($V18&gt;=125;$V18&lt;=135);1;AND($V18&gt;=115;$V18&lt;125);0,7;AND($V18&gt;135;$V18&lt;=145);0,7;AND($V18&gt;=105;$V18&lt;115);0,4;AND($V18&gt;145;$V18&lt;=155);0,4;TRUE;0,2);IFS(AND($V18&gt;=120;$V18&lt;=130);1;AND($V18&gt;=110;$V18&lt;120);0,7;AND($V18&gt;130;$V18&lt;=140);0,7;AND($V18&gt;=100;$V18&lt;110);0,4;AND($V18&gt;140;$V18&lt;=150);0,4;TRUE;0,2));IFS(AND($W18&gt;=55;$W18&lt;=65);1;AND($W18&gt;=50;$W18&lt;55);0,7;AND($W18&gt;65;$W18&lt;=70);0,7;AND($W18&gt;=45;$W18&lt;50);0,4;AND($W18&gt;70;$W18&lt;=75);0,4;TRUE;0,2);IF(OR($B18="Ноги";$B18="Верх");IFS(AND($X18&gt;=180;$X18&lt;=210);1;AND($X18&gt;=160;$X18&lt;180);0,7;AND($X18&gt;210;$X18&lt;=230);0,7;AND($X18&gt;=140;$X18&lt;160);0,4;AND($X18&gt;230;$X18&lt;=250);0,4;TRUE;0,2);IFS(AND($X18&gt;=140;$X18&lt;=170);1;AND($X18&gt;=120;$X18&lt;140);0,7;AND($X18&gt;170;$X18&lt;=190);0,7;AND($X18&gt;=100;$X18&lt;120);0,4;AND($X18&gt;190;$X18&lt;=210);0,4;TRUE;0,2)))));1);""))</f>
        <v/>
      </c>
      <c r="Z18">
        <f>IF($A18="";"";TEXTJOIN(", ";TRUE;IF($B18="";"Тренировка";"");IF($C18="";"Кардио";"");IF($D18="";"Шаги";"");IF($E18="";"Английский";"");IF($F18="";"Код-режим";"");IF($G18="";"Код-тема";"");IF($H18="";"Чтение";"");IF($L18="";"Сон";"");IF($M18="";"Режим";"");IF($N18="";"Продуктивность";"");IF($O18="";"Настроение";"");IF($P18="";"Энергия";"");IF($U18="";"Еда";"")))</f>
        <v/>
      </c>
    </row>
    <row r="19">
      <c r="A19" s="2" t="inlineStr"/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  <c r="P19" t="inlineStr"/>
      <c r="Q19" t="inlineStr"/>
      <c r="R19" t="inlineStr"/>
      <c r="S19" t="inlineStr"/>
      <c r="T19" t="inlineStr"/>
      <c r="U19">
        <f>IF($A19="";"";IF(SUMIF(FoodLog!$A:$A;$A19;FoodLog!$I:$I)=0;"";SUMIF(FoodLog!$A:$A;$A19;FoodLog!$I:$I)))</f>
        <v/>
      </c>
      <c r="V19">
        <f>IF($A19="";"";IF(SUMIF(FoodLog!$A:$A;$A19;FoodLog!$F:$F)=0;"";SUMIF(FoodLog!$A:$A;$A19;FoodLog!$F:$F)))</f>
        <v/>
      </c>
      <c r="W19">
        <f>IF($A19="";"";IF(SUMIF(FoodLog!$A:$A;$A19;FoodLog!$G:$G)=0;"";SUMIF(FoodLog!$A:$A;$A19;FoodLog!$G:$G)))</f>
        <v/>
      </c>
      <c r="X19">
        <f>IF($A19="";"";IF(SUMIF(FoodLog!$A:$A;$A19;FoodLog!$H:$H)=0;"";SUMIF(FoodLog!$A:$A;$A19;FoodLog!$H:$H)))</f>
        <v/>
      </c>
      <c r="Y19">
        <f>IF($A19="";"";IFERROR(ROUND(100*AVERAGE(IF($B19="";"";XLOOKUP($B19;FILTER(Dictionaries!$B:$B;Dictionaries!$A:$A="Тренировка");FILTER(Dictionaries!$C:$C;Dictionaries!$A:$A="Тренировка")));IF($C19="";"";MIN($C19/40;1));IF($D19="";"";XLOOKUP($D19;FILTER(Dictionaries!$B:$B;Dictionaries!$A:$A="Шаги");FILTER(Dictionaries!$C:$C;Dictionaries!$A:$A="Шаги")));IF($E19="";"";MIN($E19/120;1));IF(OR($F19&lt;&gt;"";$G19&lt;&gt;"");1;"");IF($H19="";"";MIN($H19/100;1));IF($L19="";"";XLOOKUP($L19;FILTER(Dictionaries!$B:$B;Dictionaries!$A:$A="Сон_часы");FILTER(Dictionaries!$C:$C;Dictionaries!$A:$A="Сон_часы")));IF($M19="";"";XLOOKUP($M19;FILTER(Dictionaries!$B:$B;Dictionaries!$A:$A="Режим");FILTER(Dictionaries!$C:$C;Dictionaries!$A:$A="Режим")));IF($N19="";"";MIN($N19/100;1));IF($O19="";"";XLOOKUP($O19;FILTER(Dictionaries!$B:$B;Dictionaries!$A:$A="Настроение");FILTER(Dictionaries!$C:$C;Dictionaries!$A:$A="Настроение")));IF($P19="";"";XLOOKUP($P19;FILTER(Dictionaries!$B:$B;Dictionaries!$A:$A="Энергия");FILTER(Dictionaries!$C:$C;Dictionaries!$A:$A="Энергия")));IF($U19="";"";AVERAGE(IF(OR($B19="Ноги";$B19="Верх");IFS(AND($U19&gt;=1900;$U19&lt;=2050);1;AND($U19&gt;=1850;$U19&lt;1900);0,7;AND($U19&gt;2050;$U19&lt;=2100);0,7;TRUE;0,2);IFS(AND($U19&gt;=1700;$U19&lt;=1850);1;AND($U19&gt;=1650;$U19&lt;1700);0,7;AND($U19&gt;1850;$U19&lt;=1900);0,7;TRUE;0,2));IF(OR($B19="Ноги";$B19="Верх");IFS(AND($V19&gt;=125;$V19&lt;=135);1;AND($V19&gt;=115;$V19&lt;125);0,7;AND($V19&gt;135;$V19&lt;=145);0,7;AND($V19&gt;=105;$V19&lt;115);0,4;AND($V19&gt;145;$V19&lt;=155);0,4;TRUE;0,2);IFS(AND($V19&gt;=120;$V19&lt;=130);1;AND($V19&gt;=110;$V19&lt;120);0,7;AND($V19&gt;130;$V19&lt;=140);0,7;AND($V19&gt;=100;$V19&lt;110);0,4;AND($V19&gt;140;$V19&lt;=150);0,4;TRUE;0,2));IFS(AND($W19&gt;=55;$W19&lt;=65);1;AND($W19&gt;=50;$W19&lt;55);0,7;AND($W19&gt;65;$W19&lt;=70);0,7;AND($W19&gt;=45;$W19&lt;50);0,4;AND($W19&gt;70;$W19&lt;=75);0,4;TRUE;0,2);IF(OR($B19="Ноги";$B19="Верх");IFS(AND($X19&gt;=180;$X19&lt;=210);1;AND($X19&gt;=160;$X19&lt;180);0,7;AND($X19&gt;210;$X19&lt;=230);0,7;AND($X19&gt;=140;$X19&lt;160);0,4;AND($X19&gt;230;$X19&lt;=250);0,4;TRUE;0,2);IFS(AND($X19&gt;=140;$X19&lt;=170);1;AND($X19&gt;=120;$X19&lt;140);0,7;AND($X19&gt;170;$X19&lt;=190);0,7;AND($X19&gt;=100;$X19&lt;120);0,4;AND($X19&gt;190;$X19&lt;=210);0,4;TRUE;0,2)))));1);""))</f>
        <v/>
      </c>
      <c r="Z19">
        <f>IF($A19="";"";TEXTJOIN(", ";TRUE;IF($B19="";"Тренировка";"");IF($C19="";"Кардио";"");IF($D19="";"Шаги";"");IF($E19="";"Английский";"");IF($F19="";"Код-режим";"");IF($G19="";"Код-тема";"");IF($H19="";"Чтение";"");IF($L19="";"Сон";"");IF($M19="";"Режим";"");IF($N19="";"Продуктивность";"");IF($O19="";"Настроение";"");IF($P19="";"Энергия";"");IF($U19="";"Еда";"")))</f>
        <v/>
      </c>
    </row>
    <row r="20">
      <c r="A20" s="2" t="inlineStr"/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>
        <f>IF($A20="";"";IF(SUMIF(FoodLog!$A:$A;$A20;FoodLog!$I:$I)=0;"";SUMIF(FoodLog!$A:$A;$A20;FoodLog!$I:$I)))</f>
        <v/>
      </c>
      <c r="V20">
        <f>IF($A20="";"";IF(SUMIF(FoodLog!$A:$A;$A20;FoodLog!$F:$F)=0;"";SUMIF(FoodLog!$A:$A;$A20;FoodLog!$F:$F)))</f>
        <v/>
      </c>
      <c r="W20">
        <f>IF($A20="";"";IF(SUMIF(FoodLog!$A:$A;$A20;FoodLog!$G:$G)=0;"";SUMIF(FoodLog!$A:$A;$A20;FoodLog!$G:$G)))</f>
        <v/>
      </c>
      <c r="X20">
        <f>IF($A20="";"";IF(SUMIF(FoodLog!$A:$A;$A20;FoodLog!$H:$H)=0;"";SUMIF(FoodLog!$A:$A;$A20;FoodLog!$H:$H)))</f>
        <v/>
      </c>
      <c r="Y20">
        <f>IF($A20="";"";IFERROR(ROUND(100*AVERAGE(IF($B20="";"";XLOOKUP($B20;FILTER(Dictionaries!$B:$B;Dictionaries!$A:$A="Тренировка");FILTER(Dictionaries!$C:$C;Dictionaries!$A:$A="Тренировка")));IF($C20="";"";MIN($C20/40;1));IF($D20="";"";XLOOKUP($D20;FILTER(Dictionaries!$B:$B;Dictionaries!$A:$A="Шаги");FILTER(Dictionaries!$C:$C;Dictionaries!$A:$A="Шаги")));IF($E20="";"";MIN($E20/120;1));IF(OR($F20&lt;&gt;"";$G20&lt;&gt;"");1;"");IF($H20="";"";MIN($H20/100;1));IF($L20="";"";XLOOKUP($L20;FILTER(Dictionaries!$B:$B;Dictionaries!$A:$A="Сон_часы");FILTER(Dictionaries!$C:$C;Dictionaries!$A:$A="Сон_часы")));IF($M20="";"";XLOOKUP($M20;FILTER(Dictionaries!$B:$B;Dictionaries!$A:$A="Режим");FILTER(Dictionaries!$C:$C;Dictionaries!$A:$A="Режим")));IF($N20="";"";MIN($N20/100;1));IF($O20="";"";XLOOKUP($O20;FILTER(Dictionaries!$B:$B;Dictionaries!$A:$A="Настроение");FILTER(Dictionaries!$C:$C;Dictionaries!$A:$A="Настроение")));IF($P20="";"";XLOOKUP($P20;FILTER(Dictionaries!$B:$B;Dictionaries!$A:$A="Энергия");FILTER(Dictionaries!$C:$C;Dictionaries!$A:$A="Энергия")));IF($U20="";"";AVERAGE(IF(OR($B20="Ноги";$B20="Верх");IFS(AND($U20&gt;=1900;$U20&lt;=2050);1;AND($U20&gt;=1850;$U20&lt;1900);0,7;AND($U20&gt;2050;$U20&lt;=2100);0,7;TRUE;0,2);IFS(AND($U20&gt;=1700;$U20&lt;=1850);1;AND($U20&gt;=1650;$U20&lt;1700);0,7;AND($U20&gt;1850;$U20&lt;=1900);0,7;TRUE;0,2));IF(OR($B20="Ноги";$B20="Верх");IFS(AND($V20&gt;=125;$V20&lt;=135);1;AND($V20&gt;=115;$V20&lt;125);0,7;AND($V20&gt;135;$V20&lt;=145);0,7;AND($V20&gt;=105;$V20&lt;115);0,4;AND($V20&gt;145;$V20&lt;=155);0,4;TRUE;0,2);IFS(AND($V20&gt;=120;$V20&lt;=130);1;AND($V20&gt;=110;$V20&lt;120);0,7;AND($V20&gt;130;$V20&lt;=140);0,7;AND($V20&gt;=100;$V20&lt;110);0,4;AND($V20&gt;140;$V20&lt;=150);0,4;TRUE;0,2));IFS(AND($W20&gt;=55;$W20&lt;=65);1;AND($W20&gt;=50;$W20&lt;55);0,7;AND($W20&gt;65;$W20&lt;=70);0,7;AND($W20&gt;=45;$W20&lt;50);0,4;AND($W20&gt;70;$W20&lt;=75);0,4;TRUE;0,2);IF(OR($B20="Ноги";$B20="Верх");IFS(AND($X20&gt;=180;$X20&lt;=210);1;AND($X20&gt;=160;$X20&lt;180);0,7;AND($X20&gt;210;$X20&lt;=230);0,7;AND($X20&gt;=140;$X20&lt;160);0,4;AND($X20&gt;230;$X20&lt;=250);0,4;TRUE;0,2);IFS(AND($X20&gt;=140;$X20&lt;=170);1;AND($X20&gt;=120;$X20&lt;140);0,7;AND($X20&gt;170;$X20&lt;=190);0,7;AND($X20&gt;=100;$X20&lt;120);0,4;AND($X20&gt;190;$X20&lt;=210);0,4;TRUE;0,2)))));1);""))</f>
        <v/>
      </c>
      <c r="Z20">
        <f>IF($A20="";"";TEXTJOIN(", ";TRUE;IF($B20="";"Тренировка";"");IF($C20="";"Кардио";"");IF($D20="";"Шаги";"");IF($E20="";"Английский";"");IF($F20="";"Код-режим";"");IF($G20="";"Код-тема";"");IF($H20="";"Чтение";"");IF($L20="";"Сон";"");IF($M20="";"Режим";"");IF($N20="";"Продуктивность";"");IF($O20="";"Настроение";"");IF($P20="";"Энергия";"");IF($U20="";"Еда";"")))</f>
        <v/>
      </c>
    </row>
    <row r="21">
      <c r="A21" s="2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>
        <f>IF($A21="";"";IF(SUMIF(FoodLog!$A:$A;$A21;FoodLog!$I:$I)=0;"";SUMIF(FoodLog!$A:$A;$A21;FoodLog!$I:$I)))</f>
        <v/>
      </c>
      <c r="V21">
        <f>IF($A21="";"";IF(SUMIF(FoodLog!$A:$A;$A21;FoodLog!$F:$F)=0;"";SUMIF(FoodLog!$A:$A;$A21;FoodLog!$F:$F)))</f>
        <v/>
      </c>
      <c r="W21">
        <f>IF($A21="";"";IF(SUMIF(FoodLog!$A:$A;$A21;FoodLog!$G:$G)=0;"";SUMIF(FoodLog!$A:$A;$A21;FoodLog!$G:$G)))</f>
        <v/>
      </c>
      <c r="X21">
        <f>IF($A21="";"";IF(SUMIF(FoodLog!$A:$A;$A21;FoodLog!$H:$H)=0;"";SUMIF(FoodLog!$A:$A;$A21;FoodLog!$H:$H)))</f>
        <v/>
      </c>
      <c r="Y21">
        <f>IF($A21="";"";IFERROR(ROUND(100*AVERAGE(IF($B21="";"";XLOOKUP($B21;FILTER(Dictionaries!$B:$B;Dictionaries!$A:$A="Тренировка");FILTER(Dictionaries!$C:$C;Dictionaries!$A:$A="Тренировка")));IF($C21="";"";MIN($C21/40;1));IF($D21="";"";XLOOKUP($D21;FILTER(Dictionaries!$B:$B;Dictionaries!$A:$A="Шаги");FILTER(Dictionaries!$C:$C;Dictionaries!$A:$A="Шаги")));IF($E21="";"";MIN($E21/120;1));IF(OR($F21&lt;&gt;"";$G21&lt;&gt;"");1;"");IF($H21="";"";MIN($H21/100;1));IF($L21="";"";XLOOKUP($L21;FILTER(Dictionaries!$B:$B;Dictionaries!$A:$A="Сон_часы");FILTER(Dictionaries!$C:$C;Dictionaries!$A:$A="Сон_часы")));IF($M21="";"";XLOOKUP($M21;FILTER(Dictionaries!$B:$B;Dictionaries!$A:$A="Режим");FILTER(Dictionaries!$C:$C;Dictionaries!$A:$A="Режим")));IF($N21="";"";MIN($N21/100;1));IF($O21="";"";XLOOKUP($O21;FILTER(Dictionaries!$B:$B;Dictionaries!$A:$A="Настроение");FILTER(Dictionaries!$C:$C;Dictionaries!$A:$A="Настроение")));IF($P21="";"";XLOOKUP($P21;FILTER(Dictionaries!$B:$B;Dictionaries!$A:$A="Энергия");FILTER(Dictionaries!$C:$C;Dictionaries!$A:$A="Энергия")));IF($U21="";"";AVERAGE(IF(OR($B21="Ноги";$B21="Верх");IFS(AND($U21&gt;=1900;$U21&lt;=2050);1;AND($U21&gt;=1850;$U21&lt;1900);0,7;AND($U21&gt;2050;$U21&lt;=2100);0,7;TRUE;0,2);IFS(AND($U21&gt;=1700;$U21&lt;=1850);1;AND($U21&gt;=1650;$U21&lt;1700);0,7;AND($U21&gt;1850;$U21&lt;=1900);0,7;TRUE;0,2));IF(OR($B21="Ноги";$B21="Верх");IFS(AND($V21&gt;=125;$V21&lt;=135);1;AND($V21&gt;=115;$V21&lt;125);0,7;AND($V21&gt;135;$V21&lt;=145);0,7;AND($V21&gt;=105;$V21&lt;115);0,4;AND($V21&gt;145;$V21&lt;=155);0,4;TRUE;0,2);IFS(AND($V21&gt;=120;$V21&lt;=130);1;AND($V21&gt;=110;$V21&lt;120);0,7;AND($V21&gt;130;$V21&lt;=140);0,7;AND($V21&gt;=100;$V21&lt;110);0,4;AND($V21&gt;140;$V21&lt;=150);0,4;TRUE;0,2));IFS(AND($W21&gt;=55;$W21&lt;=65);1;AND($W21&gt;=50;$W21&lt;55);0,7;AND($W21&gt;65;$W21&lt;=70);0,7;AND($W21&gt;=45;$W21&lt;50);0,4;AND($W21&gt;70;$W21&lt;=75);0,4;TRUE;0,2);IF(OR($B21="Ноги";$B21="Верх");IFS(AND($X21&gt;=180;$X21&lt;=210);1;AND($X21&gt;=160;$X21&lt;180);0,7;AND($X21&gt;210;$X21&lt;=230);0,7;AND($X21&gt;=140;$X21&lt;160);0,4;AND($X21&gt;230;$X21&lt;=250);0,4;TRUE;0,2);IFS(AND($X21&gt;=140;$X21&lt;=170);1;AND($X21&gt;=120;$X21&lt;140);0,7;AND($X21&gt;170;$X21&lt;=190);0,7;AND($X21&gt;=100;$X21&lt;120);0,4;AND($X21&gt;190;$X21&lt;=210);0,4;TRUE;0,2)))));1);""))</f>
        <v/>
      </c>
      <c r="Z21">
        <f>IF($A21="";"";TEXTJOIN(", ";TRUE;IF($B21="";"Тренировка";"");IF($C21="";"Кардио";"");IF($D21="";"Шаги";"");IF($E21="";"Английский";"");IF($F21="";"Код-режим";"");IF($G21="";"Код-тема";"");IF($H21="";"Чтение";"");IF($L21="";"Сон";"");IF($M21="";"Режим";"");IF($N21="";"Продуктивность";"");IF($O21="";"Настроение";"");IF($P21="";"Энергия";"");IF($U21="";"Еда";"")))</f>
        <v/>
      </c>
    </row>
    <row r="22">
      <c r="A22" s="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>
        <f>IF($A22="";"";IF(SUMIF(FoodLog!$A:$A;$A22;FoodLog!$I:$I)=0;"";SUMIF(FoodLog!$A:$A;$A22;FoodLog!$I:$I)))</f>
        <v/>
      </c>
      <c r="V22">
        <f>IF($A22="";"";IF(SUMIF(FoodLog!$A:$A;$A22;FoodLog!$F:$F)=0;"";SUMIF(FoodLog!$A:$A;$A22;FoodLog!$F:$F)))</f>
        <v/>
      </c>
      <c r="W22">
        <f>IF($A22="";"";IF(SUMIF(FoodLog!$A:$A;$A22;FoodLog!$G:$G)=0;"";SUMIF(FoodLog!$A:$A;$A22;FoodLog!$G:$G)))</f>
        <v/>
      </c>
      <c r="X22">
        <f>IF($A22="";"";IF(SUMIF(FoodLog!$A:$A;$A22;FoodLog!$H:$H)=0;"";SUMIF(FoodLog!$A:$A;$A22;FoodLog!$H:$H)))</f>
        <v/>
      </c>
      <c r="Y22">
        <f>IF($A22="";"";IFERROR(ROUND(100*AVERAGE(IF($B22="";"";XLOOKUP($B22;FILTER(Dictionaries!$B:$B;Dictionaries!$A:$A="Тренировка");FILTER(Dictionaries!$C:$C;Dictionaries!$A:$A="Тренировка")));IF($C22="";"";MIN($C22/40;1));IF($D22="";"";XLOOKUP($D22;FILTER(Dictionaries!$B:$B;Dictionaries!$A:$A="Шаги");FILTER(Dictionaries!$C:$C;Dictionaries!$A:$A="Шаги")));IF($E22="";"";MIN($E22/120;1));IF(OR($F22&lt;&gt;"";$G22&lt;&gt;"");1;"");IF($H22="";"";MIN($H22/100;1));IF($L22="";"";XLOOKUP($L22;FILTER(Dictionaries!$B:$B;Dictionaries!$A:$A="Сон_часы");FILTER(Dictionaries!$C:$C;Dictionaries!$A:$A="Сон_часы")));IF($M22="";"";XLOOKUP($M22;FILTER(Dictionaries!$B:$B;Dictionaries!$A:$A="Режим");FILTER(Dictionaries!$C:$C;Dictionaries!$A:$A="Режим")));IF($N22="";"";MIN($N22/100;1));IF($O22="";"";XLOOKUP($O22;FILTER(Dictionaries!$B:$B;Dictionaries!$A:$A="Настроение");FILTER(Dictionaries!$C:$C;Dictionaries!$A:$A="Настроение")));IF($P22="";"";XLOOKUP($P22;FILTER(Dictionaries!$B:$B;Dictionaries!$A:$A="Энергия");FILTER(Dictionaries!$C:$C;Dictionaries!$A:$A="Энергия")));IF($U22="";"";AVERAGE(IF(OR($B22="Ноги";$B22="Верх");IFS(AND($U22&gt;=1900;$U22&lt;=2050);1;AND($U22&gt;=1850;$U22&lt;1900);0,7;AND($U22&gt;2050;$U22&lt;=2100);0,7;TRUE;0,2);IFS(AND($U22&gt;=1700;$U22&lt;=1850);1;AND($U22&gt;=1650;$U22&lt;1700);0,7;AND($U22&gt;1850;$U22&lt;=1900);0,7;TRUE;0,2));IF(OR($B22="Ноги";$B22="Верх");IFS(AND($V22&gt;=125;$V22&lt;=135);1;AND($V22&gt;=115;$V22&lt;125);0,7;AND($V22&gt;135;$V22&lt;=145);0,7;AND($V22&gt;=105;$V22&lt;115);0,4;AND($V22&gt;145;$V22&lt;=155);0,4;TRUE;0,2);IFS(AND($V22&gt;=120;$V22&lt;=130);1;AND($V22&gt;=110;$V22&lt;120);0,7;AND($V22&gt;130;$V22&lt;=140);0,7;AND($V22&gt;=100;$V22&lt;110);0,4;AND($V22&gt;140;$V22&lt;=150);0,4;TRUE;0,2));IFS(AND($W22&gt;=55;$W22&lt;=65);1;AND($W22&gt;=50;$W22&lt;55);0,7;AND($W22&gt;65;$W22&lt;=70);0,7;AND($W22&gt;=45;$W22&lt;50);0,4;AND($W22&gt;70;$W22&lt;=75);0,4;TRUE;0,2);IF(OR($B22="Ноги";$B22="Верх");IFS(AND($X22&gt;=180;$X22&lt;=210);1;AND($X22&gt;=160;$X22&lt;180);0,7;AND($X22&gt;210;$X22&lt;=230);0,7;AND($X22&gt;=140;$X22&lt;160);0,4;AND($X22&gt;230;$X22&lt;=250);0,4;TRUE;0,2);IFS(AND($X22&gt;=140;$X22&lt;=170);1;AND($X22&gt;=120;$X22&lt;140);0,7;AND($X22&gt;170;$X22&lt;=190);0,7;AND($X22&gt;=100;$X22&lt;120);0,4;AND($X22&gt;190;$X22&lt;=210);0,4;TRUE;0,2)))));1);""))</f>
        <v/>
      </c>
      <c r="Z22">
        <f>IF($A22="";"";TEXTJOIN(", ";TRUE;IF($B22="";"Тренировка";"");IF($C22="";"Кардио";"");IF($D22="";"Шаги";"");IF($E22="";"Английский";"");IF($F22="";"Код-режим";"");IF($G22="";"Код-тема";"");IF($H22="";"Чтение";"");IF($L22="";"Сон";"");IF($M22="";"Режим";"");IF($N22="";"Продуктивность";"");IF($O22="";"Настроение";"");IF($P22="";"Энергия";"");IF($U22="";"Еда";"")))</f>
        <v/>
      </c>
    </row>
    <row r="23">
      <c r="A23" s="2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>
        <f>IF($A23="";"";IF(SUMIF(FoodLog!$A:$A;$A23;FoodLog!$I:$I)=0;"";SUMIF(FoodLog!$A:$A;$A23;FoodLog!$I:$I)))</f>
        <v/>
      </c>
      <c r="V23">
        <f>IF($A23="";"";IF(SUMIF(FoodLog!$A:$A;$A23;FoodLog!$F:$F)=0;"";SUMIF(FoodLog!$A:$A;$A23;FoodLog!$F:$F)))</f>
        <v/>
      </c>
      <c r="W23">
        <f>IF($A23="";"";IF(SUMIF(FoodLog!$A:$A;$A23;FoodLog!$G:$G)=0;"";SUMIF(FoodLog!$A:$A;$A23;FoodLog!$G:$G)))</f>
        <v/>
      </c>
      <c r="X23">
        <f>IF($A23="";"";IF(SUMIF(FoodLog!$A:$A;$A23;FoodLog!$H:$H)=0;"";SUMIF(FoodLog!$A:$A;$A23;FoodLog!$H:$H)))</f>
        <v/>
      </c>
      <c r="Y23">
        <f>IF($A23="";"";IFERROR(ROUND(100*AVERAGE(IF($B23="";"";XLOOKUP($B23;FILTER(Dictionaries!$B:$B;Dictionaries!$A:$A="Тренировка");FILTER(Dictionaries!$C:$C;Dictionaries!$A:$A="Тренировка")));IF($C23="";"";MIN($C23/40;1));IF($D23="";"";XLOOKUP($D23;FILTER(Dictionaries!$B:$B;Dictionaries!$A:$A="Шаги");FILTER(Dictionaries!$C:$C;Dictionaries!$A:$A="Шаги")));IF($E23="";"";MIN($E23/120;1));IF(OR($F23&lt;&gt;"";$G23&lt;&gt;"");1;"");IF($H23="";"";MIN($H23/100;1));IF($L23="";"";XLOOKUP($L23;FILTER(Dictionaries!$B:$B;Dictionaries!$A:$A="Сон_часы");FILTER(Dictionaries!$C:$C;Dictionaries!$A:$A="Сон_часы")));IF($M23="";"";XLOOKUP($M23;FILTER(Dictionaries!$B:$B;Dictionaries!$A:$A="Режим");FILTER(Dictionaries!$C:$C;Dictionaries!$A:$A="Режим")));IF($N23="";"";MIN($N23/100;1));IF($O23="";"";XLOOKUP($O23;FILTER(Dictionaries!$B:$B;Dictionaries!$A:$A="Настроение");FILTER(Dictionaries!$C:$C;Dictionaries!$A:$A="Настроение")));IF($P23="";"";XLOOKUP($P23;FILTER(Dictionaries!$B:$B;Dictionaries!$A:$A="Энергия");FILTER(Dictionaries!$C:$C;Dictionaries!$A:$A="Энергия")));IF($U23="";"";AVERAGE(IF(OR($B23="Ноги";$B23="Верх");IFS(AND($U23&gt;=1900;$U23&lt;=2050);1;AND($U23&gt;=1850;$U23&lt;1900);0,7;AND($U23&gt;2050;$U23&lt;=2100);0,7;TRUE;0,2);IFS(AND($U23&gt;=1700;$U23&lt;=1850);1;AND($U23&gt;=1650;$U23&lt;1700);0,7;AND($U23&gt;1850;$U23&lt;=1900);0,7;TRUE;0,2));IF(OR($B23="Ноги";$B23="Верх");IFS(AND($V23&gt;=125;$V23&lt;=135);1;AND($V23&gt;=115;$V23&lt;125);0,7;AND($V23&gt;135;$V23&lt;=145);0,7;AND($V23&gt;=105;$V23&lt;115);0,4;AND($V23&gt;145;$V23&lt;=155);0,4;TRUE;0,2);IFS(AND($V23&gt;=120;$V23&lt;=130);1;AND($V23&gt;=110;$V23&lt;120);0,7;AND($V23&gt;130;$V23&lt;=140);0,7;AND($V23&gt;=100;$V23&lt;110);0,4;AND($V23&gt;140;$V23&lt;=150);0,4;TRUE;0,2));IFS(AND($W23&gt;=55;$W23&lt;=65);1;AND($W23&gt;=50;$W23&lt;55);0,7;AND($W23&gt;65;$W23&lt;=70);0,7;AND($W23&gt;=45;$W23&lt;50);0,4;AND($W23&gt;70;$W23&lt;=75);0,4;TRUE;0,2);IF(OR($B23="Ноги";$B23="Верх");IFS(AND($X23&gt;=180;$X23&lt;=210);1;AND($X23&gt;=160;$X23&lt;180);0,7;AND($X23&gt;210;$X23&lt;=230);0,7;AND($X23&gt;=140;$X23&lt;160);0,4;AND($X23&gt;230;$X23&lt;=250);0,4;TRUE;0,2);IFS(AND($X23&gt;=140;$X23&lt;=170);1;AND($X23&gt;=120;$X23&lt;140);0,7;AND($X23&gt;170;$X23&lt;=190);0,7;AND($X23&gt;=100;$X23&lt;120);0,4;AND($X23&gt;190;$X23&lt;=210);0,4;TRUE;0,2)))));1);""))</f>
        <v/>
      </c>
      <c r="Z23">
        <f>IF($A23="";"";TEXTJOIN(", ";TRUE;IF($B23="";"Тренировка";"");IF($C23="";"Кардио";"");IF($D23="";"Шаги";"");IF($E23="";"Английский";"");IF($F23="";"Код-режим";"");IF($G23="";"Код-тема";"");IF($H23="";"Чтение";"");IF($L23="";"Сон";"");IF($M23="";"Режим";"");IF($N23="";"Продуктивность";"");IF($O23="";"Настроение";"");IF($P23="";"Энергия";"");IF($U23="";"Еда";"")))</f>
        <v/>
      </c>
    </row>
    <row r="24">
      <c r="A24" s="2" t="inlineStr"/>
      <c r="B24" t="inlineStr"/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/>
      <c r="S24" t="inlineStr"/>
      <c r="T24" t="inlineStr"/>
      <c r="U24">
        <f>IF($A24="";"";IF(SUMIF(FoodLog!$A:$A;$A24;FoodLog!$I:$I)=0;"";SUMIF(FoodLog!$A:$A;$A24;FoodLog!$I:$I)))</f>
        <v/>
      </c>
      <c r="V24">
        <f>IF($A24="";"";IF(SUMIF(FoodLog!$A:$A;$A24;FoodLog!$F:$F)=0;"";SUMIF(FoodLog!$A:$A;$A24;FoodLog!$F:$F)))</f>
        <v/>
      </c>
      <c r="W24">
        <f>IF($A24="";"";IF(SUMIF(FoodLog!$A:$A;$A24;FoodLog!$G:$G)=0;"";SUMIF(FoodLog!$A:$A;$A24;FoodLog!$G:$G)))</f>
        <v/>
      </c>
      <c r="X24">
        <f>IF($A24="";"";IF(SUMIF(FoodLog!$A:$A;$A24;FoodLog!$H:$H)=0;"";SUMIF(FoodLog!$A:$A;$A24;FoodLog!$H:$H)))</f>
        <v/>
      </c>
      <c r="Y24">
        <f>IF($A24="";"";IFERROR(ROUND(100*AVERAGE(IF($B24="";"";XLOOKUP($B24;FILTER(Dictionaries!$B:$B;Dictionaries!$A:$A="Тренировка");FILTER(Dictionaries!$C:$C;Dictionaries!$A:$A="Тренировка")));IF($C24="";"";MIN($C24/40;1));IF($D24="";"";XLOOKUP($D24;FILTER(Dictionaries!$B:$B;Dictionaries!$A:$A="Шаги");FILTER(Dictionaries!$C:$C;Dictionaries!$A:$A="Шаги")));IF($E24="";"";MIN($E24/120;1));IF(OR($F24&lt;&gt;"";$G24&lt;&gt;"");1;"");IF($H24="";"";MIN($H24/100;1));IF($L24="";"";XLOOKUP($L24;FILTER(Dictionaries!$B:$B;Dictionaries!$A:$A="Сон_часы");FILTER(Dictionaries!$C:$C;Dictionaries!$A:$A="Сон_часы")));IF($M24="";"";XLOOKUP($M24;FILTER(Dictionaries!$B:$B;Dictionaries!$A:$A="Режим");FILTER(Dictionaries!$C:$C;Dictionaries!$A:$A="Режим")));IF($N24="";"";MIN($N24/100;1));IF($O24="";"";XLOOKUP($O24;FILTER(Dictionaries!$B:$B;Dictionaries!$A:$A="Настроение");FILTER(Dictionaries!$C:$C;Dictionaries!$A:$A="Настроение")));IF($P24="";"";XLOOKUP($P24;FILTER(Dictionaries!$B:$B;Dictionaries!$A:$A="Энергия");FILTER(Dictionaries!$C:$C;Dictionaries!$A:$A="Энергия")));IF($U24="";"";AVERAGE(IF(OR($B24="Ноги";$B24="Верх");IFS(AND($U24&gt;=1900;$U24&lt;=2050);1;AND($U24&gt;=1850;$U24&lt;1900);0,7;AND($U24&gt;2050;$U24&lt;=2100);0,7;TRUE;0,2);IFS(AND($U24&gt;=1700;$U24&lt;=1850);1;AND($U24&gt;=1650;$U24&lt;1700);0,7;AND($U24&gt;1850;$U24&lt;=1900);0,7;TRUE;0,2));IF(OR($B24="Ноги";$B24="Верх");IFS(AND($V24&gt;=125;$V24&lt;=135);1;AND($V24&gt;=115;$V24&lt;125);0,7;AND($V24&gt;135;$V24&lt;=145);0,7;AND($V24&gt;=105;$V24&lt;115);0,4;AND($V24&gt;145;$V24&lt;=155);0,4;TRUE;0,2);IFS(AND($V24&gt;=120;$V24&lt;=130);1;AND($V24&gt;=110;$V24&lt;120);0,7;AND($V24&gt;130;$V24&lt;=140);0,7;AND($V24&gt;=100;$V24&lt;110);0,4;AND($V24&gt;140;$V24&lt;=150);0,4;TRUE;0,2));IFS(AND($W24&gt;=55;$W24&lt;=65);1;AND($W24&gt;=50;$W24&lt;55);0,7;AND($W24&gt;65;$W24&lt;=70);0,7;AND($W24&gt;=45;$W24&lt;50);0,4;AND($W24&gt;70;$W24&lt;=75);0,4;TRUE;0,2);IF(OR($B24="Ноги";$B24="Верх");IFS(AND($X24&gt;=180;$X24&lt;=210);1;AND($X24&gt;=160;$X24&lt;180);0,7;AND($X24&gt;210;$X24&lt;=230);0,7;AND($X24&gt;=140;$X24&lt;160);0,4;AND($X24&gt;230;$X24&lt;=250);0,4;TRUE;0,2);IFS(AND($X24&gt;=140;$X24&lt;=170);1;AND($X24&gt;=120;$X24&lt;140);0,7;AND($X24&gt;170;$X24&lt;=190);0,7;AND($X24&gt;=100;$X24&lt;120);0,4;AND($X24&gt;190;$X24&lt;=210);0,4;TRUE;0,2)))));1);""))</f>
        <v/>
      </c>
      <c r="Z24">
        <f>IF($A24="";"";TEXTJOIN(", ";TRUE;IF($B24="";"Тренировка";"");IF($C24="";"Кардио";"");IF($D24="";"Шаги";"");IF($E24="";"Английский";"");IF($F24="";"Код-режим";"");IF($G24="";"Код-тема";"");IF($H24="";"Чтение";"");IF($L24="";"Сон";"");IF($M24="";"Режим";"");IF($N24="";"Продуктивность";"");IF($O24="";"Настроение";"");IF($P24="";"Энергия";"");IF($U24="";"Еда";"")))</f>
        <v/>
      </c>
    </row>
    <row r="25">
      <c r="A25" s="2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t="inlineStr"/>
      <c r="T25" t="inlineStr"/>
      <c r="U25">
        <f>IF($A25="";"";IF(SUMIF(FoodLog!$A:$A;$A25;FoodLog!$I:$I)=0;"";SUMIF(FoodLog!$A:$A;$A25;FoodLog!$I:$I)))</f>
        <v/>
      </c>
      <c r="V25">
        <f>IF($A25="";"";IF(SUMIF(FoodLog!$A:$A;$A25;FoodLog!$F:$F)=0;"";SUMIF(FoodLog!$A:$A;$A25;FoodLog!$F:$F)))</f>
        <v/>
      </c>
      <c r="W25">
        <f>IF($A25="";"";IF(SUMIF(FoodLog!$A:$A;$A25;FoodLog!$G:$G)=0;"";SUMIF(FoodLog!$A:$A;$A25;FoodLog!$G:$G)))</f>
        <v/>
      </c>
      <c r="X25">
        <f>IF($A25="";"";IF(SUMIF(FoodLog!$A:$A;$A25;FoodLog!$H:$H)=0;"";SUMIF(FoodLog!$A:$A;$A25;FoodLog!$H:$H)))</f>
        <v/>
      </c>
      <c r="Y25">
        <f>IF($A25="";"";IFERROR(ROUND(100*AVERAGE(IF($B25="";"";XLOOKUP($B25;FILTER(Dictionaries!$B:$B;Dictionaries!$A:$A="Тренировка");FILTER(Dictionaries!$C:$C;Dictionaries!$A:$A="Тренировка")));IF($C25="";"";MIN($C25/40;1));IF($D25="";"";XLOOKUP($D25;FILTER(Dictionaries!$B:$B;Dictionaries!$A:$A="Шаги");FILTER(Dictionaries!$C:$C;Dictionaries!$A:$A="Шаги")));IF($E25="";"";MIN($E25/120;1));IF(OR($F25&lt;&gt;"";$G25&lt;&gt;"");1;"");IF($H25="";"";MIN($H25/100;1));IF($L25="";"";XLOOKUP($L25;FILTER(Dictionaries!$B:$B;Dictionaries!$A:$A="Сон_часы");FILTER(Dictionaries!$C:$C;Dictionaries!$A:$A="Сон_часы")));IF($M25="";"";XLOOKUP($M25;FILTER(Dictionaries!$B:$B;Dictionaries!$A:$A="Режим");FILTER(Dictionaries!$C:$C;Dictionaries!$A:$A="Режим")));IF($N25="";"";MIN($N25/100;1));IF($O25="";"";XLOOKUP($O25;FILTER(Dictionaries!$B:$B;Dictionaries!$A:$A="Настроение");FILTER(Dictionaries!$C:$C;Dictionaries!$A:$A="Настроение")));IF($P25="";"";XLOOKUP($P25;FILTER(Dictionaries!$B:$B;Dictionaries!$A:$A="Энергия");FILTER(Dictionaries!$C:$C;Dictionaries!$A:$A="Энергия")));IF($U25="";"";AVERAGE(IF(OR($B25="Ноги";$B25="Верх");IFS(AND($U25&gt;=1900;$U25&lt;=2050);1;AND($U25&gt;=1850;$U25&lt;1900);0,7;AND($U25&gt;2050;$U25&lt;=2100);0,7;TRUE;0,2);IFS(AND($U25&gt;=1700;$U25&lt;=1850);1;AND($U25&gt;=1650;$U25&lt;1700);0,7;AND($U25&gt;1850;$U25&lt;=1900);0,7;TRUE;0,2));IF(OR($B25="Ноги";$B25="Верх");IFS(AND($V25&gt;=125;$V25&lt;=135);1;AND($V25&gt;=115;$V25&lt;125);0,7;AND($V25&gt;135;$V25&lt;=145);0,7;AND($V25&gt;=105;$V25&lt;115);0,4;AND($V25&gt;145;$V25&lt;=155);0,4;TRUE;0,2);IFS(AND($V25&gt;=120;$V25&lt;=130);1;AND($V25&gt;=110;$V25&lt;120);0,7;AND($V25&gt;130;$V25&lt;=140);0,7;AND($V25&gt;=100;$V25&lt;110);0,4;AND($V25&gt;140;$V25&lt;=150);0,4;TRUE;0,2));IFS(AND($W25&gt;=55;$W25&lt;=65);1;AND($W25&gt;=50;$W25&lt;55);0,7;AND($W25&gt;65;$W25&lt;=70);0,7;AND($W25&gt;=45;$W25&lt;50);0,4;AND($W25&gt;70;$W25&lt;=75);0,4;TRUE;0,2);IF(OR($B25="Ноги";$B25="Верх");IFS(AND($X25&gt;=180;$X25&lt;=210);1;AND($X25&gt;=160;$X25&lt;180);0,7;AND($X25&gt;210;$X25&lt;=230);0,7;AND($X25&gt;=140;$X25&lt;160);0,4;AND($X25&gt;230;$X25&lt;=250);0,4;TRUE;0,2);IFS(AND($X25&gt;=140;$X25&lt;=170);1;AND($X25&gt;=120;$X25&lt;140);0,7;AND($X25&gt;170;$X25&lt;=190);0,7;AND($X25&gt;=100;$X25&lt;120);0,4;AND($X25&gt;190;$X25&lt;=210);0,4;TRUE;0,2)))));1);""))</f>
        <v/>
      </c>
      <c r="Z25">
        <f>IF($A25="";"";TEXTJOIN(", ";TRUE;IF($B25="";"Тренировка";"");IF($C25="";"Кардио";"");IF($D25="";"Шаги";"");IF($E25="";"Английский";"");IF($F25="";"Код-режим";"");IF($G25="";"Код-тема";"");IF($H25="";"Чтение";"");IF($L25="";"Сон";"");IF($M25="";"Режим";"");IF($N25="";"Продуктивность";"");IF($O25="";"Настроение";"");IF($P25="";"Энергия";"");IF($U25="";"Еда";"")))</f>
        <v/>
      </c>
    </row>
    <row r="26">
      <c r="A26" s="2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>
        <f>IF($A26="";"";IF(SUMIF(FoodLog!$A:$A;$A26;FoodLog!$I:$I)=0;"";SUMIF(FoodLog!$A:$A;$A26;FoodLog!$I:$I)))</f>
        <v/>
      </c>
      <c r="V26">
        <f>IF($A26="";"";IF(SUMIF(FoodLog!$A:$A;$A26;FoodLog!$F:$F)=0;"";SUMIF(FoodLog!$A:$A;$A26;FoodLog!$F:$F)))</f>
        <v/>
      </c>
      <c r="W26">
        <f>IF($A26="";"";IF(SUMIF(FoodLog!$A:$A;$A26;FoodLog!$G:$G)=0;"";SUMIF(FoodLog!$A:$A;$A26;FoodLog!$G:$G)))</f>
        <v/>
      </c>
      <c r="X26">
        <f>IF($A26="";"";IF(SUMIF(FoodLog!$A:$A;$A26;FoodLog!$H:$H)=0;"";SUMIF(FoodLog!$A:$A;$A26;FoodLog!$H:$H)))</f>
        <v/>
      </c>
      <c r="Y26">
        <f>IF($A26="";"";IFERROR(ROUND(100*AVERAGE(IF($B26="";"";XLOOKUP($B26;FILTER(Dictionaries!$B:$B;Dictionaries!$A:$A="Тренировка");FILTER(Dictionaries!$C:$C;Dictionaries!$A:$A="Тренировка")));IF($C26="";"";MIN($C26/40;1));IF($D26="";"";XLOOKUP($D26;FILTER(Dictionaries!$B:$B;Dictionaries!$A:$A="Шаги");FILTER(Dictionaries!$C:$C;Dictionaries!$A:$A="Шаги")));IF($E26="";"";MIN($E26/120;1));IF(OR($F26&lt;&gt;"";$G26&lt;&gt;"");1;"");IF($H26="";"";MIN($H26/100;1));IF($L26="";"";XLOOKUP($L26;FILTER(Dictionaries!$B:$B;Dictionaries!$A:$A="Сон_часы");FILTER(Dictionaries!$C:$C;Dictionaries!$A:$A="Сон_часы")));IF($M26="";"";XLOOKUP($M26;FILTER(Dictionaries!$B:$B;Dictionaries!$A:$A="Режим");FILTER(Dictionaries!$C:$C;Dictionaries!$A:$A="Режим")));IF($N26="";"";MIN($N26/100;1));IF($O26="";"";XLOOKUP($O26;FILTER(Dictionaries!$B:$B;Dictionaries!$A:$A="Настроение");FILTER(Dictionaries!$C:$C;Dictionaries!$A:$A="Настроение")));IF($P26="";"";XLOOKUP($P26;FILTER(Dictionaries!$B:$B;Dictionaries!$A:$A="Энергия");FILTER(Dictionaries!$C:$C;Dictionaries!$A:$A="Энергия")));IF($U26="";"";AVERAGE(IF(OR($B26="Ноги";$B26="Верх");IFS(AND($U26&gt;=1900;$U26&lt;=2050);1;AND($U26&gt;=1850;$U26&lt;1900);0,7;AND($U26&gt;2050;$U26&lt;=2100);0,7;TRUE;0,2);IFS(AND($U26&gt;=1700;$U26&lt;=1850);1;AND($U26&gt;=1650;$U26&lt;1700);0,7;AND($U26&gt;1850;$U26&lt;=1900);0,7;TRUE;0,2));IF(OR($B26="Ноги";$B26="Верх");IFS(AND($V26&gt;=125;$V26&lt;=135);1;AND($V26&gt;=115;$V26&lt;125);0,7;AND($V26&gt;135;$V26&lt;=145);0,7;AND($V26&gt;=105;$V26&lt;115);0,4;AND($V26&gt;145;$V26&lt;=155);0,4;TRUE;0,2);IFS(AND($V26&gt;=120;$V26&lt;=130);1;AND($V26&gt;=110;$V26&lt;120);0,7;AND($V26&gt;130;$V26&lt;=140);0,7;AND($V26&gt;=100;$V26&lt;110);0,4;AND($V26&gt;140;$V26&lt;=150);0,4;TRUE;0,2));IFS(AND($W26&gt;=55;$W26&lt;=65);1;AND($W26&gt;=50;$W26&lt;55);0,7;AND($W26&gt;65;$W26&lt;=70);0,7;AND($W26&gt;=45;$W26&lt;50);0,4;AND($W26&gt;70;$W26&lt;=75);0,4;TRUE;0,2);IF(OR($B26="Ноги";$B26="Верх");IFS(AND($X26&gt;=180;$X26&lt;=210);1;AND($X26&gt;=160;$X26&lt;180);0,7;AND($X26&gt;210;$X26&lt;=230);0,7;AND($X26&gt;=140;$X26&lt;160);0,4;AND($X26&gt;230;$X26&lt;=250);0,4;TRUE;0,2);IFS(AND($X26&gt;=140;$X26&lt;=170);1;AND($X26&gt;=120;$X26&lt;140);0,7;AND($X26&gt;170;$X26&lt;=190);0,7;AND($X26&gt;=100;$X26&lt;120);0,4;AND($X26&gt;190;$X26&lt;=210);0,4;TRUE;0,2)))));1);""))</f>
        <v/>
      </c>
      <c r="Z26">
        <f>IF($A26="";"";TEXTJOIN(", ";TRUE;IF($B26="";"Тренировка";"");IF($C26="";"Кардио";"");IF($D26="";"Шаги";"");IF($E26="";"Английский";"");IF($F26="";"Код-режим";"");IF($G26="";"Код-тема";"");IF($H26="";"Чтение";"");IF($L26="";"Сон";"");IF($M26="";"Режим";"");IF($N26="";"Продуктивность";"");IF($O26="";"Настроение";"");IF($P26="";"Энергия";"");IF($U26="";"Еда";"")))</f>
        <v/>
      </c>
    </row>
    <row r="27">
      <c r="A27" s="2" t="inlineStr"/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>
        <f>IF($A27="";"";IF(SUMIF(FoodLog!$A:$A;$A27;FoodLog!$I:$I)=0;"";SUMIF(FoodLog!$A:$A;$A27;FoodLog!$I:$I)))</f>
        <v/>
      </c>
      <c r="V27">
        <f>IF($A27="";"";IF(SUMIF(FoodLog!$A:$A;$A27;FoodLog!$F:$F)=0;"";SUMIF(FoodLog!$A:$A;$A27;FoodLog!$F:$F)))</f>
        <v/>
      </c>
      <c r="W27">
        <f>IF($A27="";"";IF(SUMIF(FoodLog!$A:$A;$A27;FoodLog!$G:$G)=0;"";SUMIF(FoodLog!$A:$A;$A27;FoodLog!$G:$G)))</f>
        <v/>
      </c>
      <c r="X27">
        <f>IF($A27="";"";IF(SUMIF(FoodLog!$A:$A;$A27;FoodLog!$H:$H)=0;"";SUMIF(FoodLog!$A:$A;$A27;FoodLog!$H:$H)))</f>
        <v/>
      </c>
      <c r="Y27">
        <f>IF($A27="";"";IFERROR(ROUND(100*AVERAGE(IF($B27="";"";XLOOKUP($B27;FILTER(Dictionaries!$B:$B;Dictionaries!$A:$A="Тренировка");FILTER(Dictionaries!$C:$C;Dictionaries!$A:$A="Тренировка")));IF($C27="";"";MIN($C27/40;1));IF($D27="";"";XLOOKUP($D27;FILTER(Dictionaries!$B:$B;Dictionaries!$A:$A="Шаги");FILTER(Dictionaries!$C:$C;Dictionaries!$A:$A="Шаги")));IF($E27="";"";MIN($E27/120;1));IF(OR($F27&lt;&gt;"";$G27&lt;&gt;"");1;"");IF($H27="";"";MIN($H27/100;1));IF($L27="";"";XLOOKUP($L27;FILTER(Dictionaries!$B:$B;Dictionaries!$A:$A="Сон_часы");FILTER(Dictionaries!$C:$C;Dictionaries!$A:$A="Сон_часы")));IF($M27="";"";XLOOKUP($M27;FILTER(Dictionaries!$B:$B;Dictionaries!$A:$A="Режим");FILTER(Dictionaries!$C:$C;Dictionaries!$A:$A="Режим")));IF($N27="";"";MIN($N27/100;1));IF($O27="";"";XLOOKUP($O27;FILTER(Dictionaries!$B:$B;Dictionaries!$A:$A="Настроение");FILTER(Dictionaries!$C:$C;Dictionaries!$A:$A="Настроение")));IF($P27="";"";XLOOKUP($P27;FILTER(Dictionaries!$B:$B;Dictionaries!$A:$A="Энергия");FILTER(Dictionaries!$C:$C;Dictionaries!$A:$A="Энергия")));IF($U27="";"";AVERAGE(IF(OR($B27="Ноги";$B27="Верх");IFS(AND($U27&gt;=1900;$U27&lt;=2050);1;AND($U27&gt;=1850;$U27&lt;1900);0,7;AND($U27&gt;2050;$U27&lt;=2100);0,7;TRUE;0,2);IFS(AND($U27&gt;=1700;$U27&lt;=1850);1;AND($U27&gt;=1650;$U27&lt;1700);0,7;AND($U27&gt;1850;$U27&lt;=1900);0,7;TRUE;0,2));IF(OR($B27="Ноги";$B27="Верх");IFS(AND($V27&gt;=125;$V27&lt;=135);1;AND($V27&gt;=115;$V27&lt;125);0,7;AND($V27&gt;135;$V27&lt;=145);0,7;AND($V27&gt;=105;$V27&lt;115);0,4;AND($V27&gt;145;$V27&lt;=155);0,4;TRUE;0,2);IFS(AND($V27&gt;=120;$V27&lt;=130);1;AND($V27&gt;=110;$V27&lt;120);0,7;AND($V27&gt;130;$V27&lt;=140);0,7;AND($V27&gt;=100;$V27&lt;110);0,4;AND($V27&gt;140;$V27&lt;=150);0,4;TRUE;0,2));IFS(AND($W27&gt;=55;$W27&lt;=65);1;AND($W27&gt;=50;$W27&lt;55);0,7;AND($W27&gt;65;$W27&lt;=70);0,7;AND($W27&gt;=45;$W27&lt;50);0,4;AND($W27&gt;70;$W27&lt;=75);0,4;TRUE;0,2);IF(OR($B27="Ноги";$B27="Верх");IFS(AND($X27&gt;=180;$X27&lt;=210);1;AND($X27&gt;=160;$X27&lt;180);0,7;AND($X27&gt;210;$X27&lt;=230);0,7;AND($X27&gt;=140;$X27&lt;160);0,4;AND($X27&gt;230;$X27&lt;=250);0,4;TRUE;0,2);IFS(AND($X27&gt;=140;$X27&lt;=170);1;AND($X27&gt;=120;$X27&lt;140);0,7;AND($X27&gt;170;$X27&lt;=190);0,7;AND($X27&gt;=100;$X27&lt;120);0,4;AND($X27&gt;190;$X27&lt;=210);0,4;TRUE;0,2)))));1);""))</f>
        <v/>
      </c>
      <c r="Z27">
        <f>IF($A27="";"";TEXTJOIN(", ";TRUE;IF($B27="";"Тренировка";"");IF($C27="";"Кардио";"");IF($D27="";"Шаги";"");IF($E27="";"Английский";"");IF($F27="";"Код-режим";"");IF($G27="";"Код-тема";"");IF($H27="";"Чтение";"");IF($L27="";"Сон";"");IF($M27="";"Режим";"");IF($N27="";"Продуктивность";"");IF($O27="";"Настроение";"");IF($P27="";"Энергия";"");IF($U27="";"Еда";"")))</f>
        <v/>
      </c>
    </row>
    <row r="28">
      <c r="A28" s="2" t="inlineStr"/>
      <c r="B28" t="inlineStr"/>
      <c r="C28" t="inlineStr"/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  <c r="U28">
        <f>IF($A28="";"";IF(SUMIF(FoodLog!$A:$A;$A28;FoodLog!$I:$I)=0;"";SUMIF(FoodLog!$A:$A;$A28;FoodLog!$I:$I)))</f>
        <v/>
      </c>
      <c r="V28">
        <f>IF($A28="";"";IF(SUMIF(FoodLog!$A:$A;$A28;FoodLog!$F:$F)=0;"";SUMIF(FoodLog!$A:$A;$A28;FoodLog!$F:$F)))</f>
        <v/>
      </c>
      <c r="W28">
        <f>IF($A28="";"";IF(SUMIF(FoodLog!$A:$A;$A28;FoodLog!$G:$G)=0;"";SUMIF(FoodLog!$A:$A;$A28;FoodLog!$G:$G)))</f>
        <v/>
      </c>
      <c r="X28">
        <f>IF($A28="";"";IF(SUMIF(FoodLog!$A:$A;$A28;FoodLog!$H:$H)=0;"";SUMIF(FoodLog!$A:$A;$A28;FoodLog!$H:$H)))</f>
        <v/>
      </c>
      <c r="Y28">
        <f>IF($A28="";"";IFERROR(ROUND(100*AVERAGE(IF($B28="";"";XLOOKUP($B28;FILTER(Dictionaries!$B:$B;Dictionaries!$A:$A="Тренировка");FILTER(Dictionaries!$C:$C;Dictionaries!$A:$A="Тренировка")));IF($C28="";"";MIN($C28/40;1));IF($D28="";"";XLOOKUP($D28;FILTER(Dictionaries!$B:$B;Dictionaries!$A:$A="Шаги");FILTER(Dictionaries!$C:$C;Dictionaries!$A:$A="Шаги")));IF($E28="";"";MIN($E28/120;1));IF(OR($F28&lt;&gt;"";$G28&lt;&gt;"");1;"");IF($H28="";"";MIN($H28/100;1));IF($L28="";"";XLOOKUP($L28;FILTER(Dictionaries!$B:$B;Dictionaries!$A:$A="Сон_часы");FILTER(Dictionaries!$C:$C;Dictionaries!$A:$A="Сон_часы")));IF($M28="";"";XLOOKUP($M28;FILTER(Dictionaries!$B:$B;Dictionaries!$A:$A="Режим");FILTER(Dictionaries!$C:$C;Dictionaries!$A:$A="Режим")));IF($N28="";"";MIN($N28/100;1));IF($O28="";"";XLOOKUP($O28;FILTER(Dictionaries!$B:$B;Dictionaries!$A:$A="Настроение");FILTER(Dictionaries!$C:$C;Dictionaries!$A:$A="Настроение")));IF($P28="";"";XLOOKUP($P28;FILTER(Dictionaries!$B:$B;Dictionaries!$A:$A="Энергия");FILTER(Dictionaries!$C:$C;Dictionaries!$A:$A="Энергия")));IF($U28="";"";AVERAGE(IF(OR($B28="Ноги";$B28="Верх");IFS(AND($U28&gt;=1900;$U28&lt;=2050);1;AND($U28&gt;=1850;$U28&lt;1900);0,7;AND($U28&gt;2050;$U28&lt;=2100);0,7;TRUE;0,2);IFS(AND($U28&gt;=1700;$U28&lt;=1850);1;AND($U28&gt;=1650;$U28&lt;1700);0,7;AND($U28&gt;1850;$U28&lt;=1900);0,7;TRUE;0,2));IF(OR($B28="Ноги";$B28="Верх");IFS(AND($V28&gt;=125;$V28&lt;=135);1;AND($V28&gt;=115;$V28&lt;125);0,7;AND($V28&gt;135;$V28&lt;=145);0,7;AND($V28&gt;=105;$V28&lt;115);0,4;AND($V28&gt;145;$V28&lt;=155);0,4;TRUE;0,2);IFS(AND($V28&gt;=120;$V28&lt;=130);1;AND($V28&gt;=110;$V28&lt;120);0,7;AND($V28&gt;130;$V28&lt;=140);0,7;AND($V28&gt;=100;$V28&lt;110);0,4;AND($V28&gt;140;$V28&lt;=150);0,4;TRUE;0,2));IFS(AND($W28&gt;=55;$W28&lt;=65);1;AND($W28&gt;=50;$W28&lt;55);0,7;AND($W28&gt;65;$W28&lt;=70);0,7;AND($W28&gt;=45;$W28&lt;50);0,4;AND($W28&gt;70;$W28&lt;=75);0,4;TRUE;0,2);IF(OR($B28="Ноги";$B28="Верх");IFS(AND($X28&gt;=180;$X28&lt;=210);1;AND($X28&gt;=160;$X28&lt;180);0,7;AND($X28&gt;210;$X28&lt;=230);0,7;AND($X28&gt;=140;$X28&lt;160);0,4;AND($X28&gt;230;$X28&lt;=250);0,4;TRUE;0,2);IFS(AND($X28&gt;=140;$X28&lt;=170);1;AND($X28&gt;=120;$X28&lt;140);0,7;AND($X28&gt;170;$X28&lt;=190);0,7;AND($X28&gt;=100;$X28&lt;120);0,4;AND($X28&gt;190;$X28&lt;=210);0,4;TRUE;0,2)))));1);""))</f>
        <v/>
      </c>
      <c r="Z28">
        <f>IF($A28="";"";TEXTJOIN(", ";TRUE;IF($B28="";"Тренировка";"");IF($C28="";"Кардио";"");IF($D28="";"Шаги";"");IF($E28="";"Английский";"");IF($F28="";"Код-режим";"");IF($G28="";"Код-тема";"");IF($H28="";"Чтение";"");IF($L28="";"Сон";"");IF($M28="";"Режим";"");IF($N28="";"Продуктивность";"");IF($O28="";"Настроение";"");IF($P28="";"Энергия";"");IF($U28="";"Еда";"")))</f>
        <v/>
      </c>
    </row>
    <row r="29">
      <c r="A29" s="2" t="inlineStr"/>
      <c r="B29" t="inlineStr"/>
      <c r="C29" t="inlineStr"/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>
        <f>IF($A29="";"";IF(SUMIF(FoodLog!$A:$A;$A29;FoodLog!$I:$I)=0;"";SUMIF(FoodLog!$A:$A;$A29;FoodLog!$I:$I)))</f>
        <v/>
      </c>
      <c r="V29">
        <f>IF($A29="";"";IF(SUMIF(FoodLog!$A:$A;$A29;FoodLog!$F:$F)=0;"";SUMIF(FoodLog!$A:$A;$A29;FoodLog!$F:$F)))</f>
        <v/>
      </c>
      <c r="W29">
        <f>IF($A29="";"";IF(SUMIF(FoodLog!$A:$A;$A29;FoodLog!$G:$G)=0;"";SUMIF(FoodLog!$A:$A;$A29;FoodLog!$G:$G)))</f>
        <v/>
      </c>
      <c r="X29">
        <f>IF($A29="";"";IF(SUMIF(FoodLog!$A:$A;$A29;FoodLog!$H:$H)=0;"";SUMIF(FoodLog!$A:$A;$A29;FoodLog!$H:$H)))</f>
        <v/>
      </c>
      <c r="Y29">
        <f>IF($A29="";"";IFERROR(ROUND(100*AVERAGE(IF($B29="";"";XLOOKUP($B29;FILTER(Dictionaries!$B:$B;Dictionaries!$A:$A="Тренировка");FILTER(Dictionaries!$C:$C;Dictionaries!$A:$A="Тренировка")));IF($C29="";"";MIN($C29/40;1));IF($D29="";"";XLOOKUP($D29;FILTER(Dictionaries!$B:$B;Dictionaries!$A:$A="Шаги");FILTER(Dictionaries!$C:$C;Dictionaries!$A:$A="Шаги")));IF($E29="";"";MIN($E29/120;1));IF(OR($F29&lt;&gt;"";$G29&lt;&gt;"");1;"");IF($H29="";"";MIN($H29/100;1));IF($L29="";"";XLOOKUP($L29;FILTER(Dictionaries!$B:$B;Dictionaries!$A:$A="Сон_часы");FILTER(Dictionaries!$C:$C;Dictionaries!$A:$A="Сон_часы")));IF($M29="";"";XLOOKUP($M29;FILTER(Dictionaries!$B:$B;Dictionaries!$A:$A="Режим");FILTER(Dictionaries!$C:$C;Dictionaries!$A:$A="Режим")));IF($N29="";"";MIN($N29/100;1));IF($O29="";"";XLOOKUP($O29;FILTER(Dictionaries!$B:$B;Dictionaries!$A:$A="Настроение");FILTER(Dictionaries!$C:$C;Dictionaries!$A:$A="Настроение")));IF($P29="";"";XLOOKUP($P29;FILTER(Dictionaries!$B:$B;Dictionaries!$A:$A="Энергия");FILTER(Dictionaries!$C:$C;Dictionaries!$A:$A="Энергия")));IF($U29="";"";AVERAGE(IF(OR($B29="Ноги";$B29="Верх");IFS(AND($U29&gt;=1900;$U29&lt;=2050);1;AND($U29&gt;=1850;$U29&lt;1900);0,7;AND($U29&gt;2050;$U29&lt;=2100);0,7;TRUE;0,2);IFS(AND($U29&gt;=1700;$U29&lt;=1850);1;AND($U29&gt;=1650;$U29&lt;1700);0,7;AND($U29&gt;1850;$U29&lt;=1900);0,7;TRUE;0,2));IF(OR($B29="Ноги";$B29="Верх");IFS(AND($V29&gt;=125;$V29&lt;=135);1;AND($V29&gt;=115;$V29&lt;125);0,7;AND($V29&gt;135;$V29&lt;=145);0,7;AND($V29&gt;=105;$V29&lt;115);0,4;AND($V29&gt;145;$V29&lt;=155);0,4;TRUE;0,2);IFS(AND($V29&gt;=120;$V29&lt;=130);1;AND($V29&gt;=110;$V29&lt;120);0,7;AND($V29&gt;130;$V29&lt;=140);0,7;AND($V29&gt;=100;$V29&lt;110);0,4;AND($V29&gt;140;$V29&lt;=150);0,4;TRUE;0,2));IFS(AND($W29&gt;=55;$W29&lt;=65);1;AND($W29&gt;=50;$W29&lt;55);0,7;AND($W29&gt;65;$W29&lt;=70);0,7;AND($W29&gt;=45;$W29&lt;50);0,4;AND($W29&gt;70;$W29&lt;=75);0,4;TRUE;0,2);IF(OR($B29="Ноги";$B29="Верх");IFS(AND($X29&gt;=180;$X29&lt;=210);1;AND($X29&gt;=160;$X29&lt;180);0,7;AND($X29&gt;210;$X29&lt;=230);0,7;AND($X29&gt;=140;$X29&lt;160);0,4;AND($X29&gt;230;$X29&lt;=250);0,4;TRUE;0,2);IFS(AND($X29&gt;=140;$X29&lt;=170);1;AND($X29&gt;=120;$X29&lt;140);0,7;AND($X29&gt;170;$X29&lt;=190);0,7;AND($X29&gt;=100;$X29&lt;120);0,4;AND($X29&gt;190;$X29&lt;=210);0,4;TRUE;0,2)))));1);""))</f>
        <v/>
      </c>
      <c r="Z29">
        <f>IF($A29="";"";TEXTJOIN(", ";TRUE;IF($B29="";"Тренировка";"");IF($C29="";"Кардио";"");IF($D29="";"Шаги";"");IF($E29="";"Английский";"");IF($F29="";"Код-режим";"");IF($G29="";"Код-тема";"");IF($H29="";"Чтение";"");IF($L29="";"Сон";"");IF($M29="";"Режим";"");IF($N29="";"Продуктивность";"");IF($O29="";"Настроение";"");IF($P29="";"Энергия";"");IF($U29="";"Еда";"")))</f>
        <v/>
      </c>
    </row>
    <row r="30">
      <c r="A30" s="2" t="inlineStr"/>
      <c r="B30" t="inlineStr"/>
      <c r="C30" t="inlineStr"/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>
        <f>IF($A30="";"";IF(SUMIF(FoodLog!$A:$A;$A30;FoodLog!$I:$I)=0;"";SUMIF(FoodLog!$A:$A;$A30;FoodLog!$I:$I)))</f>
        <v/>
      </c>
      <c r="V30">
        <f>IF($A30="";"";IF(SUMIF(FoodLog!$A:$A;$A30;FoodLog!$F:$F)=0;"";SUMIF(FoodLog!$A:$A;$A30;FoodLog!$F:$F)))</f>
        <v/>
      </c>
      <c r="W30">
        <f>IF($A30="";"";IF(SUMIF(FoodLog!$A:$A;$A30;FoodLog!$G:$G)=0;"";SUMIF(FoodLog!$A:$A;$A30;FoodLog!$G:$G)))</f>
        <v/>
      </c>
      <c r="X30">
        <f>IF($A30="";"";IF(SUMIF(FoodLog!$A:$A;$A30;FoodLog!$H:$H)=0;"";SUMIF(FoodLog!$A:$A;$A30;FoodLog!$H:$H)))</f>
        <v/>
      </c>
      <c r="Y30">
        <f>IF($A30="";"";IFERROR(ROUND(100*AVERAGE(IF($B30="";"";XLOOKUP($B30;FILTER(Dictionaries!$B:$B;Dictionaries!$A:$A="Тренировка");FILTER(Dictionaries!$C:$C;Dictionaries!$A:$A="Тренировка")));IF($C30="";"";MIN($C30/40;1));IF($D30="";"";XLOOKUP($D30;FILTER(Dictionaries!$B:$B;Dictionaries!$A:$A="Шаги");FILTER(Dictionaries!$C:$C;Dictionaries!$A:$A="Шаги")));IF($E30="";"";MIN($E30/120;1));IF(OR($F30&lt;&gt;"";$G30&lt;&gt;"");1;"");IF($H30="";"";MIN($H30/100;1));IF($L30="";"";XLOOKUP($L30;FILTER(Dictionaries!$B:$B;Dictionaries!$A:$A="Сон_часы");FILTER(Dictionaries!$C:$C;Dictionaries!$A:$A="Сон_часы")));IF($M30="";"";XLOOKUP($M30;FILTER(Dictionaries!$B:$B;Dictionaries!$A:$A="Режим");FILTER(Dictionaries!$C:$C;Dictionaries!$A:$A="Режим")));IF($N30="";"";MIN($N30/100;1));IF($O30="";"";XLOOKUP($O30;FILTER(Dictionaries!$B:$B;Dictionaries!$A:$A="Настроение");FILTER(Dictionaries!$C:$C;Dictionaries!$A:$A="Настроение")));IF($P30="";"";XLOOKUP($P30;FILTER(Dictionaries!$B:$B;Dictionaries!$A:$A="Энергия");FILTER(Dictionaries!$C:$C;Dictionaries!$A:$A="Энергия")));IF($U30="";"";AVERAGE(IF(OR($B30="Ноги";$B30="Верх");IFS(AND($U30&gt;=1900;$U30&lt;=2050);1;AND($U30&gt;=1850;$U30&lt;1900);0,7;AND($U30&gt;2050;$U30&lt;=2100);0,7;TRUE;0,2);IFS(AND($U30&gt;=1700;$U30&lt;=1850);1;AND($U30&gt;=1650;$U30&lt;1700);0,7;AND($U30&gt;1850;$U30&lt;=1900);0,7;TRUE;0,2));IF(OR($B30="Ноги";$B30="Верх");IFS(AND($V30&gt;=125;$V30&lt;=135);1;AND($V30&gt;=115;$V30&lt;125);0,7;AND($V30&gt;135;$V30&lt;=145);0,7;AND($V30&gt;=105;$V30&lt;115);0,4;AND($V30&gt;145;$V30&lt;=155);0,4;TRUE;0,2);IFS(AND($V30&gt;=120;$V30&lt;=130);1;AND($V30&gt;=110;$V30&lt;120);0,7;AND($V30&gt;130;$V30&lt;=140);0,7;AND($V30&gt;=100;$V30&lt;110);0,4;AND($V30&gt;140;$V30&lt;=150);0,4;TRUE;0,2));IFS(AND($W30&gt;=55;$W30&lt;=65);1;AND($W30&gt;=50;$W30&lt;55);0,7;AND($W30&gt;65;$W30&lt;=70);0,7;AND($W30&gt;=45;$W30&lt;50);0,4;AND($W30&gt;70;$W30&lt;=75);0,4;TRUE;0,2);IF(OR($B30="Ноги";$B30="Верх");IFS(AND($X30&gt;=180;$X30&lt;=210);1;AND($X30&gt;=160;$X30&lt;180);0,7;AND($X30&gt;210;$X30&lt;=230);0,7;AND($X30&gt;=140;$X30&lt;160);0,4;AND($X30&gt;230;$X30&lt;=250);0,4;TRUE;0,2);IFS(AND($X30&gt;=140;$X30&lt;=170);1;AND($X30&gt;=120;$X30&lt;140);0,7;AND($X30&gt;170;$X30&lt;=190);0,7;AND($X30&gt;=100;$X30&lt;120);0,4;AND($X30&gt;190;$X30&lt;=210);0,4;TRUE;0,2)))));1);""))</f>
        <v/>
      </c>
      <c r="Z30">
        <f>IF($A30="";"";TEXTJOIN(", ";TRUE;IF($B30="";"Тренировка";"");IF($C30="";"Кардио";"");IF($D30="";"Шаги";"");IF($E30="";"Английский";"");IF($F30="";"Код-режим";"");IF($G30="";"Код-тема";"");IF($H30="";"Чтение";"");IF($L30="";"Сон";"");IF($M30="";"Режим";"");IF($N30="";"Продуктивность";"");IF($O30="";"Настроение";"");IF($P30="";"Энергия";"");IF($U30="";"Еда";"")))</f>
        <v/>
      </c>
    </row>
    <row r="31">
      <c r="A31" s="2" t="inlineStr"/>
      <c r="B31" t="inlineStr"/>
      <c r="C31" t="inlineStr"/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/>
      <c r="U31">
        <f>IF($A31="";"";IF(SUMIF(FoodLog!$A:$A;$A31;FoodLog!$I:$I)=0;"";SUMIF(FoodLog!$A:$A;$A31;FoodLog!$I:$I)))</f>
        <v/>
      </c>
      <c r="V31">
        <f>IF($A31="";"";IF(SUMIF(FoodLog!$A:$A;$A31;FoodLog!$F:$F)=0;"";SUMIF(FoodLog!$A:$A;$A31;FoodLog!$F:$F)))</f>
        <v/>
      </c>
      <c r="W31">
        <f>IF($A31="";"";IF(SUMIF(FoodLog!$A:$A;$A31;FoodLog!$G:$G)=0;"";SUMIF(FoodLog!$A:$A;$A31;FoodLog!$G:$G)))</f>
        <v/>
      </c>
      <c r="X31">
        <f>IF($A31="";"";IF(SUMIF(FoodLog!$A:$A;$A31;FoodLog!$H:$H)=0;"";SUMIF(FoodLog!$A:$A;$A31;FoodLog!$H:$H)))</f>
        <v/>
      </c>
      <c r="Y31">
        <f>IF($A31="";"";IFERROR(ROUND(100*AVERAGE(IF($B31="";"";XLOOKUP($B31;FILTER(Dictionaries!$B:$B;Dictionaries!$A:$A="Тренировка");FILTER(Dictionaries!$C:$C;Dictionaries!$A:$A="Тренировка")));IF($C31="";"";MIN($C31/40;1));IF($D31="";"";XLOOKUP($D31;FILTER(Dictionaries!$B:$B;Dictionaries!$A:$A="Шаги");FILTER(Dictionaries!$C:$C;Dictionaries!$A:$A="Шаги")));IF($E31="";"";MIN($E31/120;1));IF(OR($F31&lt;&gt;"";$G31&lt;&gt;"");1;"");IF($H31="";"";MIN($H31/100;1));IF($L31="";"";XLOOKUP($L31;FILTER(Dictionaries!$B:$B;Dictionaries!$A:$A="Сон_часы");FILTER(Dictionaries!$C:$C;Dictionaries!$A:$A="Сон_часы")));IF($M31="";"";XLOOKUP($M31;FILTER(Dictionaries!$B:$B;Dictionaries!$A:$A="Режим");FILTER(Dictionaries!$C:$C;Dictionaries!$A:$A="Режим")));IF($N31="";"";MIN($N31/100;1));IF($O31="";"";XLOOKUP($O31;FILTER(Dictionaries!$B:$B;Dictionaries!$A:$A="Настроение");FILTER(Dictionaries!$C:$C;Dictionaries!$A:$A="Настроение")));IF($P31="";"";XLOOKUP($P31;FILTER(Dictionaries!$B:$B;Dictionaries!$A:$A="Энергия");FILTER(Dictionaries!$C:$C;Dictionaries!$A:$A="Энергия")));IF($U31="";"";AVERAGE(IF(OR($B31="Ноги";$B31="Верх");IFS(AND($U31&gt;=1900;$U31&lt;=2050);1;AND($U31&gt;=1850;$U31&lt;1900);0,7;AND($U31&gt;2050;$U31&lt;=2100);0,7;TRUE;0,2);IFS(AND($U31&gt;=1700;$U31&lt;=1850);1;AND($U31&gt;=1650;$U31&lt;1700);0,7;AND($U31&gt;1850;$U31&lt;=1900);0,7;TRUE;0,2));IF(OR($B31="Ноги";$B31="Верх");IFS(AND($V31&gt;=125;$V31&lt;=135);1;AND($V31&gt;=115;$V31&lt;125);0,7;AND($V31&gt;135;$V31&lt;=145);0,7;AND($V31&gt;=105;$V31&lt;115);0,4;AND($V31&gt;145;$V31&lt;=155);0,4;TRUE;0,2);IFS(AND($V31&gt;=120;$V31&lt;=130);1;AND($V31&gt;=110;$V31&lt;120);0,7;AND($V31&gt;130;$V31&lt;=140);0,7;AND($V31&gt;=100;$V31&lt;110);0,4;AND($V31&gt;140;$V31&lt;=150);0,4;TRUE;0,2));IFS(AND($W31&gt;=55;$W31&lt;=65);1;AND($W31&gt;=50;$W31&lt;55);0,7;AND($W31&gt;65;$W31&lt;=70);0,7;AND($W31&gt;=45;$W31&lt;50);0,4;AND($W31&gt;70;$W31&lt;=75);0,4;TRUE;0,2);IF(OR($B31="Ноги";$B31="Верх");IFS(AND($X31&gt;=180;$X31&lt;=210);1;AND($X31&gt;=160;$X31&lt;180);0,7;AND($X31&gt;210;$X31&lt;=230);0,7;AND($X31&gt;=140;$X31&lt;160);0,4;AND($X31&gt;230;$X31&lt;=250);0,4;TRUE;0,2);IFS(AND($X31&gt;=140;$X31&lt;=170);1;AND($X31&gt;=120;$X31&lt;140);0,7;AND($X31&gt;170;$X31&lt;=190);0,7;AND($X31&gt;=100;$X31&lt;120);0,4;AND($X31&gt;190;$X31&lt;=210);0,4;TRUE;0,2)))));1);""))</f>
        <v/>
      </c>
      <c r="Z31">
        <f>IF($A31="";"";TEXTJOIN(", ";TRUE;IF($B31="";"Тренировка";"");IF($C31="";"Кардио";"");IF($D31="";"Шаги";"");IF($E31="";"Английский";"");IF($F31="";"Код-режим";"");IF($G31="";"Код-тема";"");IF($H31="";"Чтение";"");IF($L31="";"Сон";"");IF($M31="";"Режим";"");IF($N31="";"Продуктивность";"");IF($O31="";"Настроение";"");IF($P31="";"Энергия";"");IF($U31="";"Еда";"")))</f>
        <v/>
      </c>
    </row>
    <row r="32">
      <c r="A32" s="2" t="inlineStr"/>
      <c r="B32" t="inlineStr"/>
      <c r="C32" t="inlineStr"/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>
        <f>IF($A32="";"";IF(SUMIF(FoodLog!$A:$A;$A32;FoodLog!$I:$I)=0;"";SUMIF(FoodLog!$A:$A;$A32;FoodLog!$I:$I)))</f>
        <v/>
      </c>
      <c r="V32">
        <f>IF($A32="";"";IF(SUMIF(FoodLog!$A:$A;$A32;FoodLog!$F:$F)=0;"";SUMIF(FoodLog!$A:$A;$A32;FoodLog!$F:$F)))</f>
        <v/>
      </c>
      <c r="W32">
        <f>IF($A32="";"";IF(SUMIF(FoodLog!$A:$A;$A32;FoodLog!$G:$G)=0;"";SUMIF(FoodLog!$A:$A;$A32;FoodLog!$G:$G)))</f>
        <v/>
      </c>
      <c r="X32">
        <f>IF($A32="";"";IF(SUMIF(FoodLog!$A:$A;$A32;FoodLog!$H:$H)=0;"";SUMIF(FoodLog!$A:$A;$A32;FoodLog!$H:$H)))</f>
        <v/>
      </c>
      <c r="Y32">
        <f>IF($A32="";"";IFERROR(ROUND(100*AVERAGE(IF($B32="";"";XLOOKUP($B32;FILTER(Dictionaries!$B:$B;Dictionaries!$A:$A="Тренировка");FILTER(Dictionaries!$C:$C;Dictionaries!$A:$A="Тренировка")));IF($C32="";"";MIN($C32/40;1));IF($D32="";"";XLOOKUP($D32;FILTER(Dictionaries!$B:$B;Dictionaries!$A:$A="Шаги");FILTER(Dictionaries!$C:$C;Dictionaries!$A:$A="Шаги")));IF($E32="";"";MIN($E32/120;1));IF(OR($F32&lt;&gt;"";$G32&lt;&gt;"");1;"");IF($H32="";"";MIN($H32/100;1));IF($L32="";"";XLOOKUP($L32;FILTER(Dictionaries!$B:$B;Dictionaries!$A:$A="Сон_часы");FILTER(Dictionaries!$C:$C;Dictionaries!$A:$A="Сон_часы")));IF($M32="";"";XLOOKUP($M32;FILTER(Dictionaries!$B:$B;Dictionaries!$A:$A="Режим");FILTER(Dictionaries!$C:$C;Dictionaries!$A:$A="Режим")));IF($N32="";"";MIN($N32/100;1));IF($O32="";"";XLOOKUP($O32;FILTER(Dictionaries!$B:$B;Dictionaries!$A:$A="Настроение");FILTER(Dictionaries!$C:$C;Dictionaries!$A:$A="Настроение")));IF($P32="";"";XLOOKUP($P32;FILTER(Dictionaries!$B:$B;Dictionaries!$A:$A="Энергия");FILTER(Dictionaries!$C:$C;Dictionaries!$A:$A="Энергия")));IF($U32="";"";AVERAGE(IF(OR($B32="Ноги";$B32="Верх");IFS(AND($U32&gt;=1900;$U32&lt;=2050);1;AND($U32&gt;=1850;$U32&lt;1900);0,7;AND($U32&gt;2050;$U32&lt;=2100);0,7;TRUE;0,2);IFS(AND($U32&gt;=1700;$U32&lt;=1850);1;AND($U32&gt;=1650;$U32&lt;1700);0,7;AND($U32&gt;1850;$U32&lt;=1900);0,7;TRUE;0,2));IF(OR($B32="Ноги";$B32="Верх");IFS(AND($V32&gt;=125;$V32&lt;=135);1;AND($V32&gt;=115;$V32&lt;125);0,7;AND($V32&gt;135;$V32&lt;=145);0,7;AND($V32&gt;=105;$V32&lt;115);0,4;AND($V32&gt;145;$V32&lt;=155);0,4;TRUE;0,2);IFS(AND($V32&gt;=120;$V32&lt;=130);1;AND($V32&gt;=110;$V32&lt;120);0,7;AND($V32&gt;130;$V32&lt;=140);0,7;AND($V32&gt;=100;$V32&lt;110);0,4;AND($V32&gt;140;$V32&lt;=150);0,4;TRUE;0,2));IFS(AND($W32&gt;=55;$W32&lt;=65);1;AND($W32&gt;=50;$W32&lt;55);0,7;AND($W32&gt;65;$W32&lt;=70);0,7;AND($W32&gt;=45;$W32&lt;50);0,4;AND($W32&gt;70;$W32&lt;=75);0,4;TRUE;0,2);IF(OR($B32="Ноги";$B32="Верх");IFS(AND($X32&gt;=180;$X32&lt;=210);1;AND($X32&gt;=160;$X32&lt;180);0,7;AND($X32&gt;210;$X32&lt;=230);0,7;AND($X32&gt;=140;$X32&lt;160);0,4;AND($X32&gt;230;$X32&lt;=250);0,4;TRUE;0,2);IFS(AND($X32&gt;=140;$X32&lt;=170);1;AND($X32&gt;=120;$X32&lt;140);0,7;AND($X32&gt;170;$X32&lt;=190);0,7;AND($X32&gt;=100;$X32&lt;120);0,4;AND($X32&gt;190;$X32&lt;=210);0,4;TRUE;0,2)))));1);""))</f>
        <v/>
      </c>
      <c r="Z32">
        <f>IF($A32="";"";TEXTJOIN(", ";TRUE;IF($B32="";"Тренировка";"");IF($C32="";"Кардио";"");IF($D32="";"Шаги";"");IF($E32="";"Английский";"");IF($F32="";"Код-режим";"");IF($G32="";"Код-тема";"");IF($H32="";"Чтение";"");IF($L32="";"Сон";"");IF($M32="";"Режим";"");IF($N32="";"Продуктивность";"");IF($O32="";"Настроение";"");IF($P32="";"Энергия";"");IF($U32="";"Еда";"")))</f>
        <v/>
      </c>
    </row>
    <row r="33">
      <c r="A33" s="2" t="inlineStr"/>
      <c r="B33" t="inlineStr"/>
      <c r="C33" t="inlineStr"/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>
        <f>IF($A33="";"";IF(SUMIF(FoodLog!$A:$A;$A33;FoodLog!$I:$I)=0;"";SUMIF(FoodLog!$A:$A;$A33;FoodLog!$I:$I)))</f>
        <v/>
      </c>
      <c r="V33">
        <f>IF($A33="";"";IF(SUMIF(FoodLog!$A:$A;$A33;FoodLog!$F:$F)=0;"";SUMIF(FoodLog!$A:$A;$A33;FoodLog!$F:$F)))</f>
        <v/>
      </c>
      <c r="W33">
        <f>IF($A33="";"";IF(SUMIF(FoodLog!$A:$A;$A33;FoodLog!$G:$G)=0;"";SUMIF(FoodLog!$A:$A;$A33;FoodLog!$G:$G)))</f>
        <v/>
      </c>
      <c r="X33">
        <f>IF($A33="";"";IF(SUMIF(FoodLog!$A:$A;$A33;FoodLog!$H:$H)=0;"";SUMIF(FoodLog!$A:$A;$A33;FoodLog!$H:$H)))</f>
        <v/>
      </c>
      <c r="Y33">
        <f>IF($A33="";"";IFERROR(ROUND(100*AVERAGE(IF($B33="";"";XLOOKUP($B33;FILTER(Dictionaries!$B:$B;Dictionaries!$A:$A="Тренировка");FILTER(Dictionaries!$C:$C;Dictionaries!$A:$A="Тренировка")));IF($C33="";"";MIN($C33/40;1));IF($D33="";"";XLOOKUP($D33;FILTER(Dictionaries!$B:$B;Dictionaries!$A:$A="Шаги");FILTER(Dictionaries!$C:$C;Dictionaries!$A:$A="Шаги")));IF($E33="";"";MIN($E33/120;1));IF(OR($F33&lt;&gt;"";$G33&lt;&gt;"");1;"");IF($H33="";"";MIN($H33/100;1));IF($L33="";"";XLOOKUP($L33;FILTER(Dictionaries!$B:$B;Dictionaries!$A:$A="Сон_часы");FILTER(Dictionaries!$C:$C;Dictionaries!$A:$A="Сон_часы")));IF($M33="";"";XLOOKUP($M33;FILTER(Dictionaries!$B:$B;Dictionaries!$A:$A="Режим");FILTER(Dictionaries!$C:$C;Dictionaries!$A:$A="Режим")));IF($N33="";"";MIN($N33/100;1));IF($O33="";"";XLOOKUP($O33;FILTER(Dictionaries!$B:$B;Dictionaries!$A:$A="Настроение");FILTER(Dictionaries!$C:$C;Dictionaries!$A:$A="Настроение")));IF($P33="";"";XLOOKUP($P33;FILTER(Dictionaries!$B:$B;Dictionaries!$A:$A="Энергия");FILTER(Dictionaries!$C:$C;Dictionaries!$A:$A="Энергия")));IF($U33="";"";AVERAGE(IF(OR($B33="Ноги";$B33="Верх");IFS(AND($U33&gt;=1900;$U33&lt;=2050);1;AND($U33&gt;=1850;$U33&lt;1900);0,7;AND($U33&gt;2050;$U33&lt;=2100);0,7;TRUE;0,2);IFS(AND($U33&gt;=1700;$U33&lt;=1850);1;AND($U33&gt;=1650;$U33&lt;1700);0,7;AND($U33&gt;1850;$U33&lt;=1900);0,7;TRUE;0,2));IF(OR($B33="Ноги";$B33="Верх");IFS(AND($V33&gt;=125;$V33&lt;=135);1;AND($V33&gt;=115;$V33&lt;125);0,7;AND($V33&gt;135;$V33&lt;=145);0,7;AND($V33&gt;=105;$V33&lt;115);0,4;AND($V33&gt;145;$V33&lt;=155);0,4;TRUE;0,2);IFS(AND($V33&gt;=120;$V33&lt;=130);1;AND($V33&gt;=110;$V33&lt;120);0,7;AND($V33&gt;130;$V33&lt;=140);0,7;AND($V33&gt;=100;$V33&lt;110);0,4;AND($V33&gt;140;$V33&lt;=150);0,4;TRUE;0,2));IFS(AND($W33&gt;=55;$W33&lt;=65);1;AND($W33&gt;=50;$W33&lt;55);0,7;AND($W33&gt;65;$W33&lt;=70);0,7;AND($W33&gt;=45;$W33&lt;50);0,4;AND($W33&gt;70;$W33&lt;=75);0,4;TRUE;0,2);IF(OR($B33="Ноги";$B33="Верх");IFS(AND($X33&gt;=180;$X33&lt;=210);1;AND($X33&gt;=160;$X33&lt;180);0,7;AND($X33&gt;210;$X33&lt;=230);0,7;AND($X33&gt;=140;$X33&lt;160);0,4;AND($X33&gt;230;$X33&lt;=250);0,4;TRUE;0,2);IFS(AND($X33&gt;=140;$X33&lt;=170);1;AND($X33&gt;=120;$X33&lt;140);0,7;AND($X33&gt;170;$X33&lt;=190);0,7;AND($X33&gt;=100;$X33&lt;120);0,4;AND($X33&gt;190;$X33&lt;=210);0,4;TRUE;0,2)))));1);""))</f>
        <v/>
      </c>
      <c r="Z33">
        <f>IF($A33="";"";TEXTJOIN(", ";TRUE;IF($B33="";"Тренировка";"");IF($C33="";"Кардио";"");IF($D33="";"Шаги";"");IF($E33="";"Английский";"");IF($F33="";"Код-режим";"");IF($G33="";"Код-тема";"");IF($H33="";"Чтение";"");IF($L33="";"Сон";"");IF($M33="";"Режим";"");IF($N33="";"Продуктивность";"");IF($O33="";"Настроение";"");IF($P33="";"Энергия";"");IF($U33="";"Еда";"")))</f>
        <v/>
      </c>
    </row>
    <row r="34">
      <c r="A34" s="2" t="inlineStr"/>
      <c r="B34" t="inlineStr"/>
      <c r="C34" t="inlineStr"/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>
        <f>IF($A34="";"";IF(SUMIF(FoodLog!$A:$A;$A34;FoodLog!$I:$I)=0;"";SUMIF(FoodLog!$A:$A;$A34;FoodLog!$I:$I)))</f>
        <v/>
      </c>
      <c r="V34">
        <f>IF($A34="";"";IF(SUMIF(FoodLog!$A:$A;$A34;FoodLog!$F:$F)=0;"";SUMIF(FoodLog!$A:$A;$A34;FoodLog!$F:$F)))</f>
        <v/>
      </c>
      <c r="W34">
        <f>IF($A34="";"";IF(SUMIF(FoodLog!$A:$A;$A34;FoodLog!$G:$G)=0;"";SUMIF(FoodLog!$A:$A;$A34;FoodLog!$G:$G)))</f>
        <v/>
      </c>
      <c r="X34">
        <f>IF($A34="";"";IF(SUMIF(FoodLog!$A:$A;$A34;FoodLog!$H:$H)=0;"";SUMIF(FoodLog!$A:$A;$A34;FoodLog!$H:$H)))</f>
        <v/>
      </c>
      <c r="Y34">
        <f>IF($A34="";"";IFERROR(ROUND(100*AVERAGE(IF($B34="";"";XLOOKUP($B34;FILTER(Dictionaries!$B:$B;Dictionaries!$A:$A="Тренировка");FILTER(Dictionaries!$C:$C;Dictionaries!$A:$A="Тренировка")));IF($C34="";"";MIN($C34/40;1));IF($D34="";"";XLOOKUP($D34;FILTER(Dictionaries!$B:$B;Dictionaries!$A:$A="Шаги");FILTER(Dictionaries!$C:$C;Dictionaries!$A:$A="Шаги")));IF($E34="";"";MIN($E34/120;1));IF(OR($F34&lt;&gt;"";$G34&lt;&gt;"");1;"");IF($H34="";"";MIN($H34/100;1));IF($L34="";"";XLOOKUP($L34;FILTER(Dictionaries!$B:$B;Dictionaries!$A:$A="Сон_часы");FILTER(Dictionaries!$C:$C;Dictionaries!$A:$A="Сон_часы")));IF($M34="";"";XLOOKUP($M34;FILTER(Dictionaries!$B:$B;Dictionaries!$A:$A="Режим");FILTER(Dictionaries!$C:$C;Dictionaries!$A:$A="Режим")));IF($N34="";"";MIN($N34/100;1));IF($O34="";"";XLOOKUP($O34;FILTER(Dictionaries!$B:$B;Dictionaries!$A:$A="Настроение");FILTER(Dictionaries!$C:$C;Dictionaries!$A:$A="Настроение")));IF($P34="";"";XLOOKUP($P34;FILTER(Dictionaries!$B:$B;Dictionaries!$A:$A="Энергия");FILTER(Dictionaries!$C:$C;Dictionaries!$A:$A="Энергия")));IF($U34="";"";AVERAGE(IF(OR($B34="Ноги";$B34="Верх");IFS(AND($U34&gt;=1900;$U34&lt;=2050);1;AND($U34&gt;=1850;$U34&lt;1900);0,7;AND($U34&gt;2050;$U34&lt;=2100);0,7;TRUE;0,2);IFS(AND($U34&gt;=1700;$U34&lt;=1850);1;AND($U34&gt;=1650;$U34&lt;1700);0,7;AND($U34&gt;1850;$U34&lt;=1900);0,7;TRUE;0,2));IF(OR($B34="Ноги";$B34="Верх");IFS(AND($V34&gt;=125;$V34&lt;=135);1;AND($V34&gt;=115;$V34&lt;125);0,7;AND($V34&gt;135;$V34&lt;=145);0,7;AND($V34&gt;=105;$V34&lt;115);0,4;AND($V34&gt;145;$V34&lt;=155);0,4;TRUE;0,2);IFS(AND($V34&gt;=120;$V34&lt;=130);1;AND($V34&gt;=110;$V34&lt;120);0,7;AND($V34&gt;130;$V34&lt;=140);0,7;AND($V34&gt;=100;$V34&lt;110);0,4;AND($V34&gt;140;$V34&lt;=150);0,4;TRUE;0,2));IFS(AND($W34&gt;=55;$W34&lt;=65);1;AND($W34&gt;=50;$W34&lt;55);0,7;AND($W34&gt;65;$W34&lt;=70);0,7;AND($W34&gt;=45;$W34&lt;50);0,4;AND($W34&gt;70;$W34&lt;=75);0,4;TRUE;0,2);IF(OR($B34="Ноги";$B34="Верх");IFS(AND($X34&gt;=180;$X34&lt;=210);1;AND($X34&gt;=160;$X34&lt;180);0,7;AND($X34&gt;210;$X34&lt;=230);0,7;AND($X34&gt;=140;$X34&lt;160);0,4;AND($X34&gt;230;$X34&lt;=250);0,4;TRUE;0,2);IFS(AND($X34&gt;=140;$X34&lt;=170);1;AND($X34&gt;=120;$X34&lt;140);0,7;AND($X34&gt;170;$X34&lt;=190);0,7;AND($X34&gt;=100;$X34&lt;120);0,4;AND($X34&gt;190;$X34&lt;=210);0,4;TRUE;0,2)))));1);""))</f>
        <v/>
      </c>
      <c r="Z34">
        <f>IF($A34="";"";TEXTJOIN(", ";TRUE;IF($B34="";"Тренировка";"");IF($C34="";"Кардио";"");IF($D34="";"Шаги";"");IF($E34="";"Английский";"");IF($F34="";"Код-режим";"");IF($G34="";"Код-тема";"");IF($H34="";"Чтение";"");IF($L34="";"Сон";"");IF($M34="";"Режим";"");IF($N34="";"Продуктивность";"");IF($O34="";"Настроение";"");IF($P34="";"Энергия";"");IF($U34="";"Еда";"")))</f>
        <v/>
      </c>
    </row>
    <row r="35">
      <c r="A35" s="2" t="inlineStr"/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>
        <f>IF($A35="";"";IF(SUMIF(FoodLog!$A:$A;$A35;FoodLog!$I:$I)=0;"";SUMIF(FoodLog!$A:$A;$A35;FoodLog!$I:$I)))</f>
        <v/>
      </c>
      <c r="V35">
        <f>IF($A35="";"";IF(SUMIF(FoodLog!$A:$A;$A35;FoodLog!$F:$F)=0;"";SUMIF(FoodLog!$A:$A;$A35;FoodLog!$F:$F)))</f>
        <v/>
      </c>
      <c r="W35">
        <f>IF($A35="";"";IF(SUMIF(FoodLog!$A:$A;$A35;FoodLog!$G:$G)=0;"";SUMIF(FoodLog!$A:$A;$A35;FoodLog!$G:$G)))</f>
        <v/>
      </c>
      <c r="X35">
        <f>IF($A35="";"";IF(SUMIF(FoodLog!$A:$A;$A35;FoodLog!$H:$H)=0;"";SUMIF(FoodLog!$A:$A;$A35;FoodLog!$H:$H)))</f>
        <v/>
      </c>
      <c r="Y35">
        <f>IF($A35="";"";IFERROR(ROUND(100*AVERAGE(IF($B35="";"";XLOOKUP($B35;FILTER(Dictionaries!$B:$B;Dictionaries!$A:$A="Тренировка");FILTER(Dictionaries!$C:$C;Dictionaries!$A:$A="Тренировка")));IF($C35="";"";MIN($C35/40;1));IF($D35="";"";XLOOKUP($D35;FILTER(Dictionaries!$B:$B;Dictionaries!$A:$A="Шаги");FILTER(Dictionaries!$C:$C;Dictionaries!$A:$A="Шаги")));IF($E35="";"";MIN($E35/120;1));IF(OR($F35&lt;&gt;"";$G35&lt;&gt;"");1;"");IF($H35="";"";MIN($H35/100;1));IF($L35="";"";XLOOKUP($L35;FILTER(Dictionaries!$B:$B;Dictionaries!$A:$A="Сон_часы");FILTER(Dictionaries!$C:$C;Dictionaries!$A:$A="Сон_часы")));IF($M35="";"";XLOOKUP($M35;FILTER(Dictionaries!$B:$B;Dictionaries!$A:$A="Режим");FILTER(Dictionaries!$C:$C;Dictionaries!$A:$A="Режим")));IF($N35="";"";MIN($N35/100;1));IF($O35="";"";XLOOKUP($O35;FILTER(Dictionaries!$B:$B;Dictionaries!$A:$A="Настроение");FILTER(Dictionaries!$C:$C;Dictionaries!$A:$A="Настроение")));IF($P35="";"";XLOOKUP($P35;FILTER(Dictionaries!$B:$B;Dictionaries!$A:$A="Энергия");FILTER(Dictionaries!$C:$C;Dictionaries!$A:$A="Энергия")));IF($U35="";"";AVERAGE(IF(OR($B35="Ноги";$B35="Верх");IFS(AND($U35&gt;=1900;$U35&lt;=2050);1;AND($U35&gt;=1850;$U35&lt;1900);0,7;AND($U35&gt;2050;$U35&lt;=2100);0,7;TRUE;0,2);IFS(AND($U35&gt;=1700;$U35&lt;=1850);1;AND($U35&gt;=1650;$U35&lt;1700);0,7;AND($U35&gt;1850;$U35&lt;=1900);0,7;TRUE;0,2));IF(OR($B35="Ноги";$B35="Верх");IFS(AND($V35&gt;=125;$V35&lt;=135);1;AND($V35&gt;=115;$V35&lt;125);0,7;AND($V35&gt;135;$V35&lt;=145);0,7;AND($V35&gt;=105;$V35&lt;115);0,4;AND($V35&gt;145;$V35&lt;=155);0,4;TRUE;0,2);IFS(AND($V35&gt;=120;$V35&lt;=130);1;AND($V35&gt;=110;$V35&lt;120);0,7;AND($V35&gt;130;$V35&lt;=140);0,7;AND($V35&gt;=100;$V35&lt;110);0,4;AND($V35&gt;140;$V35&lt;=150);0,4;TRUE;0,2));IFS(AND($W35&gt;=55;$W35&lt;=65);1;AND($W35&gt;=50;$W35&lt;55);0,7;AND($W35&gt;65;$W35&lt;=70);0,7;AND($W35&gt;=45;$W35&lt;50);0,4;AND($W35&gt;70;$W35&lt;=75);0,4;TRUE;0,2);IF(OR($B35="Ноги";$B35="Верх");IFS(AND($X35&gt;=180;$X35&lt;=210);1;AND($X35&gt;=160;$X35&lt;180);0,7;AND($X35&gt;210;$X35&lt;=230);0,7;AND($X35&gt;=140;$X35&lt;160);0,4;AND($X35&gt;230;$X35&lt;=250);0,4;TRUE;0,2);IFS(AND($X35&gt;=140;$X35&lt;=170);1;AND($X35&gt;=120;$X35&lt;140);0,7;AND($X35&gt;170;$X35&lt;=190);0,7;AND($X35&gt;=100;$X35&lt;120);0,4;AND($X35&gt;190;$X35&lt;=210);0,4;TRUE;0,2)))));1);""))</f>
        <v/>
      </c>
      <c r="Z35">
        <f>IF($A35="";"";TEXTJOIN(", ";TRUE;IF($B35="";"Тренировка";"");IF($C35="";"Кардио";"");IF($D35="";"Шаги";"");IF($E35="";"Английский";"");IF($F35="";"Код-режим";"");IF($G35="";"Код-тема";"");IF($H35="";"Чтение";"");IF($L35="";"Сон";"");IF($M35="";"Режим";"");IF($N35="";"Продуктивность";"");IF($O35="";"Настроение";"");IF($P35="";"Энергия";"");IF($U35="";"Еда";"")))</f>
        <v/>
      </c>
    </row>
    <row r="36">
      <c r="A36" s="2" t="inlineStr"/>
      <c r="B36" t="inlineStr"/>
      <c r="C36" t="inlineStr"/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t="inlineStr"/>
      <c r="U36">
        <f>IF($A36="";"";IF(SUMIF(FoodLog!$A:$A;$A36;FoodLog!$I:$I)=0;"";SUMIF(FoodLog!$A:$A;$A36;FoodLog!$I:$I)))</f>
        <v/>
      </c>
      <c r="V36">
        <f>IF($A36="";"";IF(SUMIF(FoodLog!$A:$A;$A36;FoodLog!$F:$F)=0;"";SUMIF(FoodLog!$A:$A;$A36;FoodLog!$F:$F)))</f>
        <v/>
      </c>
      <c r="W36">
        <f>IF($A36="";"";IF(SUMIF(FoodLog!$A:$A;$A36;FoodLog!$G:$G)=0;"";SUMIF(FoodLog!$A:$A;$A36;FoodLog!$G:$G)))</f>
        <v/>
      </c>
      <c r="X36">
        <f>IF($A36="";"";IF(SUMIF(FoodLog!$A:$A;$A36;FoodLog!$H:$H)=0;"";SUMIF(FoodLog!$A:$A;$A36;FoodLog!$H:$H)))</f>
        <v/>
      </c>
      <c r="Y36">
        <f>IF($A36="";"";IFERROR(ROUND(100*AVERAGE(IF($B36="";"";XLOOKUP($B36;FILTER(Dictionaries!$B:$B;Dictionaries!$A:$A="Тренировка");FILTER(Dictionaries!$C:$C;Dictionaries!$A:$A="Тренировка")));IF($C36="";"";MIN($C36/40;1));IF($D36="";"";XLOOKUP($D36;FILTER(Dictionaries!$B:$B;Dictionaries!$A:$A="Шаги");FILTER(Dictionaries!$C:$C;Dictionaries!$A:$A="Шаги")));IF($E36="";"";MIN($E36/120;1));IF(OR($F36&lt;&gt;"";$G36&lt;&gt;"");1;"");IF($H36="";"";MIN($H36/100;1));IF($L36="";"";XLOOKUP($L36;FILTER(Dictionaries!$B:$B;Dictionaries!$A:$A="Сон_часы");FILTER(Dictionaries!$C:$C;Dictionaries!$A:$A="Сон_часы")));IF($M36="";"";XLOOKUP($M36;FILTER(Dictionaries!$B:$B;Dictionaries!$A:$A="Режим");FILTER(Dictionaries!$C:$C;Dictionaries!$A:$A="Режим")));IF($N36="";"";MIN($N36/100;1));IF($O36="";"";XLOOKUP($O36;FILTER(Dictionaries!$B:$B;Dictionaries!$A:$A="Настроение");FILTER(Dictionaries!$C:$C;Dictionaries!$A:$A="Настроение")));IF($P36="";"";XLOOKUP($P36;FILTER(Dictionaries!$B:$B;Dictionaries!$A:$A="Энергия");FILTER(Dictionaries!$C:$C;Dictionaries!$A:$A="Энергия")));IF($U36="";"";AVERAGE(IF(OR($B36="Ноги";$B36="Верх");IFS(AND($U36&gt;=1900;$U36&lt;=2050);1;AND($U36&gt;=1850;$U36&lt;1900);0,7;AND($U36&gt;2050;$U36&lt;=2100);0,7;TRUE;0,2);IFS(AND($U36&gt;=1700;$U36&lt;=1850);1;AND($U36&gt;=1650;$U36&lt;1700);0,7;AND($U36&gt;1850;$U36&lt;=1900);0,7;TRUE;0,2));IF(OR($B36="Ноги";$B36="Верх");IFS(AND($V36&gt;=125;$V36&lt;=135);1;AND($V36&gt;=115;$V36&lt;125);0,7;AND($V36&gt;135;$V36&lt;=145);0,7;AND($V36&gt;=105;$V36&lt;115);0,4;AND($V36&gt;145;$V36&lt;=155);0,4;TRUE;0,2);IFS(AND($V36&gt;=120;$V36&lt;=130);1;AND($V36&gt;=110;$V36&lt;120);0,7;AND($V36&gt;130;$V36&lt;=140);0,7;AND($V36&gt;=100;$V36&lt;110);0,4;AND($V36&gt;140;$V36&lt;=150);0,4;TRUE;0,2));IFS(AND($W36&gt;=55;$W36&lt;=65);1;AND($W36&gt;=50;$W36&lt;55);0,7;AND($W36&gt;65;$W36&lt;=70);0,7;AND($W36&gt;=45;$W36&lt;50);0,4;AND($W36&gt;70;$W36&lt;=75);0,4;TRUE;0,2);IF(OR($B36="Ноги";$B36="Верх");IFS(AND($X36&gt;=180;$X36&lt;=210);1;AND($X36&gt;=160;$X36&lt;180);0,7;AND($X36&gt;210;$X36&lt;=230);0,7;AND($X36&gt;=140;$X36&lt;160);0,4;AND($X36&gt;230;$X36&lt;=250);0,4;TRUE;0,2);IFS(AND($X36&gt;=140;$X36&lt;=170);1;AND($X36&gt;=120;$X36&lt;140);0,7;AND($X36&gt;170;$X36&lt;=190);0,7;AND($X36&gt;=100;$X36&lt;120);0,4;AND($X36&gt;190;$X36&lt;=210);0,4;TRUE;0,2)))));1);""))</f>
        <v/>
      </c>
      <c r="Z36">
        <f>IF($A36="";"";TEXTJOIN(", ";TRUE;IF($B36="";"Тренировка";"");IF($C36="";"Кардио";"");IF($D36="";"Шаги";"");IF($E36="";"Английский";"");IF($F36="";"Код-режим";"");IF($G36="";"Код-тема";"");IF($H36="";"Чтение";"");IF($L36="";"Сон";"");IF($M36="";"Режим";"");IF($N36="";"Продуктивность";"");IF($O36="";"Настроение";"");IF($P36="";"Энергия";"");IF($U36="";"Еда";"")))</f>
        <v/>
      </c>
    </row>
    <row r="37">
      <c r="A37" s="2" t="inlineStr"/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>
        <f>IF($A37="";"";IF(SUMIF(FoodLog!$A:$A;$A37;FoodLog!$I:$I)=0;"";SUMIF(FoodLog!$A:$A;$A37;FoodLog!$I:$I)))</f>
        <v/>
      </c>
      <c r="V37">
        <f>IF($A37="";"";IF(SUMIF(FoodLog!$A:$A;$A37;FoodLog!$F:$F)=0;"";SUMIF(FoodLog!$A:$A;$A37;FoodLog!$F:$F)))</f>
        <v/>
      </c>
      <c r="W37">
        <f>IF($A37="";"";IF(SUMIF(FoodLog!$A:$A;$A37;FoodLog!$G:$G)=0;"";SUMIF(FoodLog!$A:$A;$A37;FoodLog!$G:$G)))</f>
        <v/>
      </c>
      <c r="X37">
        <f>IF($A37="";"";IF(SUMIF(FoodLog!$A:$A;$A37;FoodLog!$H:$H)=0;"";SUMIF(FoodLog!$A:$A;$A37;FoodLog!$H:$H)))</f>
        <v/>
      </c>
      <c r="Y37">
        <f>IF($A37="";"";IFERROR(ROUND(100*AVERAGE(IF($B37="";"";XLOOKUP($B37;FILTER(Dictionaries!$B:$B;Dictionaries!$A:$A="Тренировка");FILTER(Dictionaries!$C:$C;Dictionaries!$A:$A="Тренировка")));IF($C37="";"";MIN($C37/40;1));IF($D37="";"";XLOOKUP($D37;FILTER(Dictionaries!$B:$B;Dictionaries!$A:$A="Шаги");FILTER(Dictionaries!$C:$C;Dictionaries!$A:$A="Шаги")));IF($E37="";"";MIN($E37/120;1));IF(OR($F37&lt;&gt;"";$G37&lt;&gt;"");1;"");IF($H37="";"";MIN($H37/100;1));IF($L37="";"";XLOOKUP($L37;FILTER(Dictionaries!$B:$B;Dictionaries!$A:$A="Сон_часы");FILTER(Dictionaries!$C:$C;Dictionaries!$A:$A="Сон_часы")));IF($M37="";"";XLOOKUP($M37;FILTER(Dictionaries!$B:$B;Dictionaries!$A:$A="Режим");FILTER(Dictionaries!$C:$C;Dictionaries!$A:$A="Режим")));IF($N37="";"";MIN($N37/100;1));IF($O37="";"";XLOOKUP($O37;FILTER(Dictionaries!$B:$B;Dictionaries!$A:$A="Настроение");FILTER(Dictionaries!$C:$C;Dictionaries!$A:$A="Настроение")));IF($P37="";"";XLOOKUP($P37;FILTER(Dictionaries!$B:$B;Dictionaries!$A:$A="Энергия");FILTER(Dictionaries!$C:$C;Dictionaries!$A:$A="Энергия")));IF($U37="";"";AVERAGE(IF(OR($B37="Ноги";$B37="Верх");IFS(AND($U37&gt;=1900;$U37&lt;=2050);1;AND($U37&gt;=1850;$U37&lt;1900);0,7;AND($U37&gt;2050;$U37&lt;=2100);0,7;TRUE;0,2);IFS(AND($U37&gt;=1700;$U37&lt;=1850);1;AND($U37&gt;=1650;$U37&lt;1700);0,7;AND($U37&gt;1850;$U37&lt;=1900);0,7;TRUE;0,2));IF(OR($B37="Ноги";$B37="Верх");IFS(AND($V37&gt;=125;$V37&lt;=135);1;AND($V37&gt;=115;$V37&lt;125);0,7;AND($V37&gt;135;$V37&lt;=145);0,7;AND($V37&gt;=105;$V37&lt;115);0,4;AND($V37&gt;145;$V37&lt;=155);0,4;TRUE;0,2);IFS(AND($V37&gt;=120;$V37&lt;=130);1;AND($V37&gt;=110;$V37&lt;120);0,7;AND($V37&gt;130;$V37&lt;=140);0,7;AND($V37&gt;=100;$V37&lt;110);0,4;AND($V37&gt;140;$V37&lt;=150);0,4;TRUE;0,2));IFS(AND($W37&gt;=55;$W37&lt;=65);1;AND($W37&gt;=50;$W37&lt;55);0,7;AND($W37&gt;65;$W37&lt;=70);0,7;AND($W37&gt;=45;$W37&lt;50);0,4;AND($W37&gt;70;$W37&lt;=75);0,4;TRUE;0,2);IF(OR($B37="Ноги";$B37="Верх");IFS(AND($X37&gt;=180;$X37&lt;=210);1;AND($X37&gt;=160;$X37&lt;180);0,7;AND($X37&gt;210;$X37&lt;=230);0,7;AND($X37&gt;=140;$X37&lt;160);0,4;AND($X37&gt;230;$X37&lt;=250);0,4;TRUE;0,2);IFS(AND($X37&gt;=140;$X37&lt;=170);1;AND($X37&gt;=120;$X37&lt;140);0,7;AND($X37&gt;170;$X37&lt;=190);0,7;AND($X37&gt;=100;$X37&lt;120);0,4;AND($X37&gt;190;$X37&lt;=210);0,4;TRUE;0,2)))));1);""))</f>
        <v/>
      </c>
      <c r="Z37">
        <f>IF($A37="";"";TEXTJOIN(", ";TRUE;IF($B37="";"Тренировка";"");IF($C37="";"Кардио";"");IF($D37="";"Шаги";"");IF($E37="";"Английский";"");IF($F37="";"Код-режим";"");IF($G37="";"Код-тема";"");IF($H37="";"Чтение";"");IF($L37="";"Сон";"");IF($M37="";"Режим";"");IF($N37="";"Продуктивность";"");IF($O37="";"Настроение";"");IF($P37="";"Энергия";"");IF($U37="";"Еда";"")))</f>
        <v/>
      </c>
    </row>
    <row r="38">
      <c r="A38" s="2" t="inlineStr"/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>
        <f>IF($A38="";"";IF(SUMIF(FoodLog!$A:$A;$A38;FoodLog!$I:$I)=0;"";SUMIF(FoodLog!$A:$A;$A38;FoodLog!$I:$I)))</f>
        <v/>
      </c>
      <c r="V38">
        <f>IF($A38="";"";IF(SUMIF(FoodLog!$A:$A;$A38;FoodLog!$F:$F)=0;"";SUMIF(FoodLog!$A:$A;$A38;FoodLog!$F:$F)))</f>
        <v/>
      </c>
      <c r="W38">
        <f>IF($A38="";"";IF(SUMIF(FoodLog!$A:$A;$A38;FoodLog!$G:$G)=0;"";SUMIF(FoodLog!$A:$A;$A38;FoodLog!$G:$G)))</f>
        <v/>
      </c>
      <c r="X38">
        <f>IF($A38="";"";IF(SUMIF(FoodLog!$A:$A;$A38;FoodLog!$H:$H)=0;"";SUMIF(FoodLog!$A:$A;$A38;FoodLog!$H:$H)))</f>
        <v/>
      </c>
      <c r="Y38">
        <f>IF($A38="";"";IFERROR(ROUND(100*AVERAGE(IF($B38="";"";XLOOKUP($B38;FILTER(Dictionaries!$B:$B;Dictionaries!$A:$A="Тренировка");FILTER(Dictionaries!$C:$C;Dictionaries!$A:$A="Тренировка")));IF($C38="";"";MIN($C38/40;1));IF($D38="";"";XLOOKUP($D38;FILTER(Dictionaries!$B:$B;Dictionaries!$A:$A="Шаги");FILTER(Dictionaries!$C:$C;Dictionaries!$A:$A="Шаги")));IF($E38="";"";MIN($E38/120;1));IF(OR($F38&lt;&gt;"";$G38&lt;&gt;"");1;"");IF($H38="";"";MIN($H38/100;1));IF($L38="";"";XLOOKUP($L38;FILTER(Dictionaries!$B:$B;Dictionaries!$A:$A="Сон_часы");FILTER(Dictionaries!$C:$C;Dictionaries!$A:$A="Сон_часы")));IF($M38="";"";XLOOKUP($M38;FILTER(Dictionaries!$B:$B;Dictionaries!$A:$A="Режим");FILTER(Dictionaries!$C:$C;Dictionaries!$A:$A="Режим")));IF($N38="";"";MIN($N38/100;1));IF($O38="";"";XLOOKUP($O38;FILTER(Dictionaries!$B:$B;Dictionaries!$A:$A="Настроение");FILTER(Dictionaries!$C:$C;Dictionaries!$A:$A="Настроение")));IF($P38="";"";XLOOKUP($P38;FILTER(Dictionaries!$B:$B;Dictionaries!$A:$A="Энергия");FILTER(Dictionaries!$C:$C;Dictionaries!$A:$A="Энергия")));IF($U38="";"";AVERAGE(IF(OR($B38="Ноги";$B38="Верх");IFS(AND($U38&gt;=1900;$U38&lt;=2050);1;AND($U38&gt;=1850;$U38&lt;1900);0,7;AND($U38&gt;2050;$U38&lt;=2100);0,7;TRUE;0,2);IFS(AND($U38&gt;=1700;$U38&lt;=1850);1;AND($U38&gt;=1650;$U38&lt;1700);0,7;AND($U38&gt;1850;$U38&lt;=1900);0,7;TRUE;0,2));IF(OR($B38="Ноги";$B38="Верх");IFS(AND($V38&gt;=125;$V38&lt;=135);1;AND($V38&gt;=115;$V38&lt;125);0,7;AND($V38&gt;135;$V38&lt;=145);0,7;AND($V38&gt;=105;$V38&lt;115);0,4;AND($V38&gt;145;$V38&lt;=155);0,4;TRUE;0,2);IFS(AND($V38&gt;=120;$V38&lt;=130);1;AND($V38&gt;=110;$V38&lt;120);0,7;AND($V38&gt;130;$V38&lt;=140);0,7;AND($V38&gt;=100;$V38&lt;110);0,4;AND($V38&gt;140;$V38&lt;=150);0,4;TRUE;0,2));IFS(AND($W38&gt;=55;$W38&lt;=65);1;AND($W38&gt;=50;$W38&lt;55);0,7;AND($W38&gt;65;$W38&lt;=70);0,7;AND($W38&gt;=45;$W38&lt;50);0,4;AND($W38&gt;70;$W38&lt;=75);0,4;TRUE;0,2);IF(OR($B38="Ноги";$B38="Верх");IFS(AND($X38&gt;=180;$X38&lt;=210);1;AND($X38&gt;=160;$X38&lt;180);0,7;AND($X38&gt;210;$X38&lt;=230);0,7;AND($X38&gt;=140;$X38&lt;160);0,4;AND($X38&gt;230;$X38&lt;=250);0,4;TRUE;0,2);IFS(AND($X38&gt;=140;$X38&lt;=170);1;AND($X38&gt;=120;$X38&lt;140);0,7;AND($X38&gt;170;$X38&lt;=190);0,7;AND($X38&gt;=100;$X38&lt;120);0,4;AND($X38&gt;190;$X38&lt;=210);0,4;TRUE;0,2)))));1);""))</f>
        <v/>
      </c>
      <c r="Z38">
        <f>IF($A38="";"";TEXTJOIN(", ";TRUE;IF($B38="";"Тренировка";"");IF($C38="";"Кардио";"");IF($D38="";"Шаги";"");IF($E38="";"Английский";"");IF($F38="";"Код-режим";"");IF($G38="";"Код-тема";"");IF($H38="";"Чтение";"");IF($L38="";"Сон";"");IF($M38="";"Режим";"");IF($N38="";"Продуктивность";"");IF($O38="";"Настроение";"");IF($P38="";"Энергия";"");IF($U38="";"Еда";"")))</f>
        <v/>
      </c>
    </row>
    <row r="39">
      <c r="A39" s="2" t="inlineStr"/>
      <c r="B39" t="inlineStr"/>
      <c r="C39" t="inlineStr"/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>
        <f>IF($A39="";"";IF(SUMIF(FoodLog!$A:$A;$A39;FoodLog!$I:$I)=0;"";SUMIF(FoodLog!$A:$A;$A39;FoodLog!$I:$I)))</f>
        <v/>
      </c>
      <c r="V39">
        <f>IF($A39="";"";IF(SUMIF(FoodLog!$A:$A;$A39;FoodLog!$F:$F)=0;"";SUMIF(FoodLog!$A:$A;$A39;FoodLog!$F:$F)))</f>
        <v/>
      </c>
      <c r="W39">
        <f>IF($A39="";"";IF(SUMIF(FoodLog!$A:$A;$A39;FoodLog!$G:$G)=0;"";SUMIF(FoodLog!$A:$A;$A39;FoodLog!$G:$G)))</f>
        <v/>
      </c>
      <c r="X39">
        <f>IF($A39="";"";IF(SUMIF(FoodLog!$A:$A;$A39;FoodLog!$H:$H)=0;"";SUMIF(FoodLog!$A:$A;$A39;FoodLog!$H:$H)))</f>
        <v/>
      </c>
      <c r="Y39">
        <f>IF($A39="";"";IFERROR(ROUND(100*AVERAGE(IF($B39="";"";XLOOKUP($B39;FILTER(Dictionaries!$B:$B;Dictionaries!$A:$A="Тренировка");FILTER(Dictionaries!$C:$C;Dictionaries!$A:$A="Тренировка")));IF($C39="";"";MIN($C39/40;1));IF($D39="";"";XLOOKUP($D39;FILTER(Dictionaries!$B:$B;Dictionaries!$A:$A="Шаги");FILTER(Dictionaries!$C:$C;Dictionaries!$A:$A="Шаги")));IF($E39="";"";MIN($E39/120;1));IF(OR($F39&lt;&gt;"";$G39&lt;&gt;"");1;"");IF($H39="";"";MIN($H39/100;1));IF($L39="";"";XLOOKUP($L39;FILTER(Dictionaries!$B:$B;Dictionaries!$A:$A="Сон_часы");FILTER(Dictionaries!$C:$C;Dictionaries!$A:$A="Сон_часы")));IF($M39="";"";XLOOKUP($M39;FILTER(Dictionaries!$B:$B;Dictionaries!$A:$A="Режим");FILTER(Dictionaries!$C:$C;Dictionaries!$A:$A="Режим")));IF($N39="";"";MIN($N39/100;1));IF($O39="";"";XLOOKUP($O39;FILTER(Dictionaries!$B:$B;Dictionaries!$A:$A="Настроение");FILTER(Dictionaries!$C:$C;Dictionaries!$A:$A="Настроение")));IF($P39="";"";XLOOKUP($P39;FILTER(Dictionaries!$B:$B;Dictionaries!$A:$A="Энергия");FILTER(Dictionaries!$C:$C;Dictionaries!$A:$A="Энергия")));IF($U39="";"";AVERAGE(IF(OR($B39="Ноги";$B39="Верх");IFS(AND($U39&gt;=1900;$U39&lt;=2050);1;AND($U39&gt;=1850;$U39&lt;1900);0,7;AND($U39&gt;2050;$U39&lt;=2100);0,7;TRUE;0,2);IFS(AND($U39&gt;=1700;$U39&lt;=1850);1;AND($U39&gt;=1650;$U39&lt;1700);0,7;AND($U39&gt;1850;$U39&lt;=1900);0,7;TRUE;0,2));IF(OR($B39="Ноги";$B39="Верх");IFS(AND($V39&gt;=125;$V39&lt;=135);1;AND($V39&gt;=115;$V39&lt;125);0,7;AND($V39&gt;135;$V39&lt;=145);0,7;AND($V39&gt;=105;$V39&lt;115);0,4;AND($V39&gt;145;$V39&lt;=155);0,4;TRUE;0,2);IFS(AND($V39&gt;=120;$V39&lt;=130);1;AND($V39&gt;=110;$V39&lt;120);0,7;AND($V39&gt;130;$V39&lt;=140);0,7;AND($V39&gt;=100;$V39&lt;110);0,4;AND($V39&gt;140;$V39&lt;=150);0,4;TRUE;0,2));IFS(AND($W39&gt;=55;$W39&lt;=65);1;AND($W39&gt;=50;$W39&lt;55);0,7;AND($W39&gt;65;$W39&lt;=70);0,7;AND($W39&gt;=45;$W39&lt;50);0,4;AND($W39&gt;70;$W39&lt;=75);0,4;TRUE;0,2);IF(OR($B39="Ноги";$B39="Верх");IFS(AND($X39&gt;=180;$X39&lt;=210);1;AND($X39&gt;=160;$X39&lt;180);0,7;AND($X39&gt;210;$X39&lt;=230);0,7;AND($X39&gt;=140;$X39&lt;160);0,4;AND($X39&gt;230;$X39&lt;=250);0,4;TRUE;0,2);IFS(AND($X39&gt;=140;$X39&lt;=170);1;AND($X39&gt;=120;$X39&lt;140);0,7;AND($X39&gt;170;$X39&lt;=190);0,7;AND($X39&gt;=100;$X39&lt;120);0,4;AND($X39&gt;190;$X39&lt;=210);0,4;TRUE;0,2)))));1);""))</f>
        <v/>
      </c>
      <c r="Z39">
        <f>IF($A39="";"";TEXTJOIN(", ";TRUE;IF($B39="";"Тренировка";"");IF($C39="";"Кардио";"");IF($D39="";"Шаги";"");IF($E39="";"Английский";"");IF($F39="";"Код-режим";"");IF($G39="";"Код-тема";"");IF($H39="";"Чтение";"");IF($L39="";"Сон";"");IF($M39="";"Режим";"");IF($N39="";"Продуктивность";"");IF($O39="";"Настроение";"");IF($P39="";"Энергия";"");IF($U39="";"Еда";"")))</f>
        <v/>
      </c>
    </row>
    <row r="40">
      <c r="A40" s="2" t="inlineStr"/>
      <c r="B40" t="inlineStr"/>
      <c r="C40" t="inlineStr"/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>
        <f>IF($A40="";"";IF(SUMIF(FoodLog!$A:$A;$A40;FoodLog!$I:$I)=0;"";SUMIF(FoodLog!$A:$A;$A40;FoodLog!$I:$I)))</f>
        <v/>
      </c>
      <c r="V40">
        <f>IF($A40="";"";IF(SUMIF(FoodLog!$A:$A;$A40;FoodLog!$F:$F)=0;"";SUMIF(FoodLog!$A:$A;$A40;FoodLog!$F:$F)))</f>
        <v/>
      </c>
      <c r="W40">
        <f>IF($A40="";"";IF(SUMIF(FoodLog!$A:$A;$A40;FoodLog!$G:$G)=0;"";SUMIF(FoodLog!$A:$A;$A40;FoodLog!$G:$G)))</f>
        <v/>
      </c>
      <c r="X40">
        <f>IF($A40="";"";IF(SUMIF(FoodLog!$A:$A;$A40;FoodLog!$H:$H)=0;"";SUMIF(FoodLog!$A:$A;$A40;FoodLog!$H:$H)))</f>
        <v/>
      </c>
      <c r="Y40">
        <f>IF($A40="";"";IFERROR(ROUND(100*AVERAGE(IF($B40="";"";XLOOKUP($B40;FILTER(Dictionaries!$B:$B;Dictionaries!$A:$A="Тренировка");FILTER(Dictionaries!$C:$C;Dictionaries!$A:$A="Тренировка")));IF($C40="";"";MIN($C40/40;1));IF($D40="";"";XLOOKUP($D40;FILTER(Dictionaries!$B:$B;Dictionaries!$A:$A="Шаги");FILTER(Dictionaries!$C:$C;Dictionaries!$A:$A="Шаги")));IF($E40="";"";MIN($E40/120;1));IF(OR($F40&lt;&gt;"";$G40&lt;&gt;"");1;"");IF($H40="";"";MIN($H40/100;1));IF($L40="";"";XLOOKUP($L40;FILTER(Dictionaries!$B:$B;Dictionaries!$A:$A="Сон_часы");FILTER(Dictionaries!$C:$C;Dictionaries!$A:$A="Сон_часы")));IF($M40="";"";XLOOKUP($M40;FILTER(Dictionaries!$B:$B;Dictionaries!$A:$A="Режим");FILTER(Dictionaries!$C:$C;Dictionaries!$A:$A="Режим")));IF($N40="";"";MIN($N40/100;1));IF($O40="";"";XLOOKUP($O40;FILTER(Dictionaries!$B:$B;Dictionaries!$A:$A="Настроение");FILTER(Dictionaries!$C:$C;Dictionaries!$A:$A="Настроение")));IF($P40="";"";XLOOKUP($P40;FILTER(Dictionaries!$B:$B;Dictionaries!$A:$A="Энергия");FILTER(Dictionaries!$C:$C;Dictionaries!$A:$A="Энергия")));IF($U40="";"";AVERAGE(IF(OR($B40="Ноги";$B40="Верх");IFS(AND($U40&gt;=1900;$U40&lt;=2050);1;AND($U40&gt;=1850;$U40&lt;1900);0,7;AND($U40&gt;2050;$U40&lt;=2100);0,7;TRUE;0,2);IFS(AND($U40&gt;=1700;$U40&lt;=1850);1;AND($U40&gt;=1650;$U40&lt;1700);0,7;AND($U40&gt;1850;$U40&lt;=1900);0,7;TRUE;0,2));IF(OR($B40="Ноги";$B40="Верх");IFS(AND($V40&gt;=125;$V40&lt;=135);1;AND($V40&gt;=115;$V40&lt;125);0,7;AND($V40&gt;135;$V40&lt;=145);0,7;AND($V40&gt;=105;$V40&lt;115);0,4;AND($V40&gt;145;$V40&lt;=155);0,4;TRUE;0,2);IFS(AND($V40&gt;=120;$V40&lt;=130);1;AND($V40&gt;=110;$V40&lt;120);0,7;AND($V40&gt;130;$V40&lt;=140);0,7;AND($V40&gt;=100;$V40&lt;110);0,4;AND($V40&gt;140;$V40&lt;=150);0,4;TRUE;0,2));IFS(AND($W40&gt;=55;$W40&lt;=65);1;AND($W40&gt;=50;$W40&lt;55);0,7;AND($W40&gt;65;$W40&lt;=70);0,7;AND($W40&gt;=45;$W40&lt;50);0,4;AND($W40&gt;70;$W40&lt;=75);0,4;TRUE;0,2);IF(OR($B40="Ноги";$B40="Верх");IFS(AND($X40&gt;=180;$X40&lt;=210);1;AND($X40&gt;=160;$X40&lt;180);0,7;AND($X40&gt;210;$X40&lt;=230);0,7;AND($X40&gt;=140;$X40&lt;160);0,4;AND($X40&gt;230;$X40&lt;=250);0,4;TRUE;0,2);IFS(AND($X40&gt;=140;$X40&lt;=170);1;AND($X40&gt;=120;$X40&lt;140);0,7;AND($X40&gt;170;$X40&lt;=190);0,7;AND($X40&gt;=100;$X40&lt;120);0,4;AND($X40&gt;190;$X40&lt;=210);0,4;TRUE;0,2)))));1);""))</f>
        <v/>
      </c>
      <c r="Z40">
        <f>IF($A40="";"";TEXTJOIN(", ";TRUE;IF($B40="";"Тренировка";"");IF($C40="";"Кардио";"");IF($D40="";"Шаги";"");IF($E40="";"Английский";"");IF($F40="";"Код-режим";"");IF($G40="";"Код-тема";"");IF($H40="";"Чтение";"");IF($L40="";"Сон";"");IF($M40="";"Режим";"");IF($N40="";"Продуктивность";"");IF($O40="";"Настроение";"");IF($P40="";"Энергия";"");IF($U40="";"Еда";"")))</f>
        <v/>
      </c>
    </row>
    <row r="41">
      <c r="A41" s="2" t="inlineStr"/>
      <c r="B41" t="inlineStr"/>
      <c r="C41" t="inlineStr"/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>
        <f>IF($A41="";"";IF(SUMIF(FoodLog!$A:$A;$A41;FoodLog!$I:$I)=0;"";SUMIF(FoodLog!$A:$A;$A41;FoodLog!$I:$I)))</f>
        <v/>
      </c>
      <c r="V41">
        <f>IF($A41="";"";IF(SUMIF(FoodLog!$A:$A;$A41;FoodLog!$F:$F)=0;"";SUMIF(FoodLog!$A:$A;$A41;FoodLog!$F:$F)))</f>
        <v/>
      </c>
      <c r="W41">
        <f>IF($A41="";"";IF(SUMIF(FoodLog!$A:$A;$A41;FoodLog!$G:$G)=0;"";SUMIF(FoodLog!$A:$A;$A41;FoodLog!$G:$G)))</f>
        <v/>
      </c>
      <c r="X41">
        <f>IF($A41="";"";IF(SUMIF(FoodLog!$A:$A;$A41;FoodLog!$H:$H)=0;"";SUMIF(FoodLog!$A:$A;$A41;FoodLog!$H:$H)))</f>
        <v/>
      </c>
      <c r="Y41">
        <f>IF($A41="";"";IFERROR(ROUND(100*AVERAGE(IF($B41="";"";XLOOKUP($B41;FILTER(Dictionaries!$B:$B;Dictionaries!$A:$A="Тренировка");FILTER(Dictionaries!$C:$C;Dictionaries!$A:$A="Тренировка")));IF($C41="";"";MIN($C41/40;1));IF($D41="";"";XLOOKUP($D41;FILTER(Dictionaries!$B:$B;Dictionaries!$A:$A="Шаги");FILTER(Dictionaries!$C:$C;Dictionaries!$A:$A="Шаги")));IF($E41="";"";MIN($E41/120;1));IF(OR($F41&lt;&gt;"";$G41&lt;&gt;"");1;"");IF($H41="";"";MIN($H41/100;1));IF($L41="";"";XLOOKUP($L41;FILTER(Dictionaries!$B:$B;Dictionaries!$A:$A="Сон_часы");FILTER(Dictionaries!$C:$C;Dictionaries!$A:$A="Сон_часы")));IF($M41="";"";XLOOKUP($M41;FILTER(Dictionaries!$B:$B;Dictionaries!$A:$A="Режим");FILTER(Dictionaries!$C:$C;Dictionaries!$A:$A="Режим")));IF($N41="";"";MIN($N41/100;1));IF($O41="";"";XLOOKUP($O41;FILTER(Dictionaries!$B:$B;Dictionaries!$A:$A="Настроение");FILTER(Dictionaries!$C:$C;Dictionaries!$A:$A="Настроение")));IF($P41="";"";XLOOKUP($P41;FILTER(Dictionaries!$B:$B;Dictionaries!$A:$A="Энергия");FILTER(Dictionaries!$C:$C;Dictionaries!$A:$A="Энергия")));IF($U41="";"";AVERAGE(IF(OR($B41="Ноги";$B41="Верх");IFS(AND($U41&gt;=1900;$U41&lt;=2050);1;AND($U41&gt;=1850;$U41&lt;1900);0,7;AND($U41&gt;2050;$U41&lt;=2100);0,7;TRUE;0,2);IFS(AND($U41&gt;=1700;$U41&lt;=1850);1;AND($U41&gt;=1650;$U41&lt;1700);0,7;AND($U41&gt;1850;$U41&lt;=1900);0,7;TRUE;0,2));IF(OR($B41="Ноги";$B41="Верх");IFS(AND($V41&gt;=125;$V41&lt;=135);1;AND($V41&gt;=115;$V41&lt;125);0,7;AND($V41&gt;135;$V41&lt;=145);0,7;AND($V41&gt;=105;$V41&lt;115);0,4;AND($V41&gt;145;$V41&lt;=155);0,4;TRUE;0,2);IFS(AND($V41&gt;=120;$V41&lt;=130);1;AND($V41&gt;=110;$V41&lt;120);0,7;AND($V41&gt;130;$V41&lt;=140);0,7;AND($V41&gt;=100;$V41&lt;110);0,4;AND($V41&gt;140;$V41&lt;=150);0,4;TRUE;0,2));IFS(AND($W41&gt;=55;$W41&lt;=65);1;AND($W41&gt;=50;$W41&lt;55);0,7;AND($W41&gt;65;$W41&lt;=70);0,7;AND($W41&gt;=45;$W41&lt;50);0,4;AND($W41&gt;70;$W41&lt;=75);0,4;TRUE;0,2);IF(OR($B41="Ноги";$B41="Верх");IFS(AND($X41&gt;=180;$X41&lt;=210);1;AND($X41&gt;=160;$X41&lt;180);0,7;AND($X41&gt;210;$X41&lt;=230);0,7;AND($X41&gt;=140;$X41&lt;160);0,4;AND($X41&gt;230;$X41&lt;=250);0,4;TRUE;0,2);IFS(AND($X41&gt;=140;$X41&lt;=170);1;AND($X41&gt;=120;$X41&lt;140);0,7;AND($X41&gt;170;$X41&lt;=190);0,7;AND($X41&gt;=100;$X41&lt;120);0,4;AND($X41&gt;190;$X41&lt;=210);0,4;TRUE;0,2)))));1);""))</f>
        <v/>
      </c>
      <c r="Z41">
        <f>IF($A41="";"";TEXTJOIN(", ";TRUE;IF($B41="";"Тренировка";"");IF($C41="";"Кардио";"");IF($D41="";"Шаги";"");IF($E41="";"Английский";"");IF($F41="";"Код-режим";"");IF($G41="";"Код-тема";"");IF($H41="";"Чтение";"");IF($L41="";"Сон";"");IF($M41="";"Режим";"");IF($N41="";"Продуктивность";"");IF($O41="";"Настроение";"");IF($P41="";"Энергия";"");IF($U41="";"Еда";"")))</f>
        <v/>
      </c>
    </row>
    <row r="42">
      <c r="A42" s="2" t="inlineStr"/>
      <c r="B42" t="inlineStr"/>
      <c r="C42" t="inlineStr"/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>
        <f>IF($A42="";"";IF(SUMIF(FoodLog!$A:$A;$A42;FoodLog!$I:$I)=0;"";SUMIF(FoodLog!$A:$A;$A42;FoodLog!$I:$I)))</f>
        <v/>
      </c>
      <c r="V42">
        <f>IF($A42="";"";IF(SUMIF(FoodLog!$A:$A;$A42;FoodLog!$F:$F)=0;"";SUMIF(FoodLog!$A:$A;$A42;FoodLog!$F:$F)))</f>
        <v/>
      </c>
      <c r="W42">
        <f>IF($A42="";"";IF(SUMIF(FoodLog!$A:$A;$A42;FoodLog!$G:$G)=0;"";SUMIF(FoodLog!$A:$A;$A42;FoodLog!$G:$G)))</f>
        <v/>
      </c>
      <c r="X42">
        <f>IF($A42="";"";IF(SUMIF(FoodLog!$A:$A;$A42;FoodLog!$H:$H)=0;"";SUMIF(FoodLog!$A:$A;$A42;FoodLog!$H:$H)))</f>
        <v/>
      </c>
      <c r="Y42">
        <f>IF($A42="";"";IFERROR(ROUND(100*AVERAGE(IF($B42="";"";XLOOKUP($B42;FILTER(Dictionaries!$B:$B;Dictionaries!$A:$A="Тренировка");FILTER(Dictionaries!$C:$C;Dictionaries!$A:$A="Тренировка")));IF($C42="";"";MIN($C42/40;1));IF($D42="";"";XLOOKUP($D42;FILTER(Dictionaries!$B:$B;Dictionaries!$A:$A="Шаги");FILTER(Dictionaries!$C:$C;Dictionaries!$A:$A="Шаги")));IF($E42="";"";MIN($E42/120;1));IF(OR($F42&lt;&gt;"";$G42&lt;&gt;"");1;"");IF($H42="";"";MIN($H42/100;1));IF($L42="";"";XLOOKUP($L42;FILTER(Dictionaries!$B:$B;Dictionaries!$A:$A="Сон_часы");FILTER(Dictionaries!$C:$C;Dictionaries!$A:$A="Сон_часы")));IF($M42="";"";XLOOKUP($M42;FILTER(Dictionaries!$B:$B;Dictionaries!$A:$A="Режим");FILTER(Dictionaries!$C:$C;Dictionaries!$A:$A="Режим")));IF($N42="";"";MIN($N42/100;1));IF($O42="";"";XLOOKUP($O42;FILTER(Dictionaries!$B:$B;Dictionaries!$A:$A="Настроение");FILTER(Dictionaries!$C:$C;Dictionaries!$A:$A="Настроение")));IF($P42="";"";XLOOKUP($P42;FILTER(Dictionaries!$B:$B;Dictionaries!$A:$A="Энергия");FILTER(Dictionaries!$C:$C;Dictionaries!$A:$A="Энергия")));IF($U42="";"";AVERAGE(IF(OR($B42="Ноги";$B42="Верх");IFS(AND($U42&gt;=1900;$U42&lt;=2050);1;AND($U42&gt;=1850;$U42&lt;1900);0,7;AND($U42&gt;2050;$U42&lt;=2100);0,7;TRUE;0,2);IFS(AND($U42&gt;=1700;$U42&lt;=1850);1;AND($U42&gt;=1650;$U42&lt;1700);0,7;AND($U42&gt;1850;$U42&lt;=1900);0,7;TRUE;0,2));IF(OR($B42="Ноги";$B42="Верх");IFS(AND($V42&gt;=125;$V42&lt;=135);1;AND($V42&gt;=115;$V42&lt;125);0,7;AND($V42&gt;135;$V42&lt;=145);0,7;AND($V42&gt;=105;$V42&lt;115);0,4;AND($V42&gt;145;$V42&lt;=155);0,4;TRUE;0,2);IFS(AND($V42&gt;=120;$V42&lt;=130);1;AND($V42&gt;=110;$V42&lt;120);0,7;AND($V42&gt;130;$V42&lt;=140);0,7;AND($V42&gt;=100;$V42&lt;110);0,4;AND($V42&gt;140;$V42&lt;=150);0,4;TRUE;0,2));IFS(AND($W42&gt;=55;$W42&lt;=65);1;AND($W42&gt;=50;$W42&lt;55);0,7;AND($W42&gt;65;$W42&lt;=70);0,7;AND($W42&gt;=45;$W42&lt;50);0,4;AND($W42&gt;70;$W42&lt;=75);0,4;TRUE;0,2);IF(OR($B42="Ноги";$B42="Верх");IFS(AND($X42&gt;=180;$X42&lt;=210);1;AND($X42&gt;=160;$X42&lt;180);0,7;AND($X42&gt;210;$X42&lt;=230);0,7;AND($X42&gt;=140;$X42&lt;160);0,4;AND($X42&gt;230;$X42&lt;=250);0,4;TRUE;0,2);IFS(AND($X42&gt;=140;$X42&lt;=170);1;AND($X42&gt;=120;$X42&lt;140);0,7;AND($X42&gt;170;$X42&lt;=190);0,7;AND($X42&gt;=100;$X42&lt;120);0,4;AND($X42&gt;190;$X42&lt;=210);0,4;TRUE;0,2)))));1);""))</f>
        <v/>
      </c>
      <c r="Z42">
        <f>IF($A42="";"";TEXTJOIN(", ";TRUE;IF($B42="";"Тренировка";"");IF($C42="";"Кардио";"");IF($D42="";"Шаги";"");IF($E42="";"Английский";"");IF($F42="";"Код-режим";"");IF($G42="";"Код-тема";"");IF($H42="";"Чтение";"");IF($L42="";"Сон";"");IF($M42="";"Режим";"");IF($N42="";"Продуктивность";"");IF($O42="";"Настроение";"");IF($P42="";"Энергия";"");IF($U42="";"Еда";"")))</f>
        <v/>
      </c>
    </row>
    <row r="43">
      <c r="A43" s="2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>
        <f>IF($A43="";"";IF(SUMIF(FoodLog!$A:$A;$A43;FoodLog!$I:$I)=0;"";SUMIF(FoodLog!$A:$A;$A43;FoodLog!$I:$I)))</f>
        <v/>
      </c>
      <c r="V43">
        <f>IF($A43="";"";IF(SUMIF(FoodLog!$A:$A;$A43;FoodLog!$F:$F)=0;"";SUMIF(FoodLog!$A:$A;$A43;FoodLog!$F:$F)))</f>
        <v/>
      </c>
      <c r="W43">
        <f>IF($A43="";"";IF(SUMIF(FoodLog!$A:$A;$A43;FoodLog!$G:$G)=0;"";SUMIF(FoodLog!$A:$A;$A43;FoodLog!$G:$G)))</f>
        <v/>
      </c>
      <c r="X43">
        <f>IF($A43="";"";IF(SUMIF(FoodLog!$A:$A;$A43;FoodLog!$H:$H)=0;"";SUMIF(FoodLog!$A:$A;$A43;FoodLog!$H:$H)))</f>
        <v/>
      </c>
      <c r="Y43">
        <f>IF($A43="";"";IFERROR(ROUND(100*AVERAGE(IF($B43="";"";XLOOKUP($B43;FILTER(Dictionaries!$B:$B;Dictionaries!$A:$A="Тренировка");FILTER(Dictionaries!$C:$C;Dictionaries!$A:$A="Тренировка")));IF($C43="";"";MIN($C43/40;1));IF($D43="";"";XLOOKUP($D43;FILTER(Dictionaries!$B:$B;Dictionaries!$A:$A="Шаги");FILTER(Dictionaries!$C:$C;Dictionaries!$A:$A="Шаги")));IF($E43="";"";MIN($E43/120;1));IF(OR($F43&lt;&gt;"";$G43&lt;&gt;"");1;"");IF($H43="";"";MIN($H43/100;1));IF($L43="";"";XLOOKUP($L43;FILTER(Dictionaries!$B:$B;Dictionaries!$A:$A="Сон_часы");FILTER(Dictionaries!$C:$C;Dictionaries!$A:$A="Сон_часы")));IF($M43="";"";XLOOKUP($M43;FILTER(Dictionaries!$B:$B;Dictionaries!$A:$A="Режим");FILTER(Dictionaries!$C:$C;Dictionaries!$A:$A="Режим")));IF($N43="";"";MIN($N43/100;1));IF($O43="";"";XLOOKUP($O43;FILTER(Dictionaries!$B:$B;Dictionaries!$A:$A="Настроение");FILTER(Dictionaries!$C:$C;Dictionaries!$A:$A="Настроение")));IF($P43="";"";XLOOKUP($P43;FILTER(Dictionaries!$B:$B;Dictionaries!$A:$A="Энергия");FILTER(Dictionaries!$C:$C;Dictionaries!$A:$A="Энергия")));IF($U43="";"";AVERAGE(IF(OR($B43="Ноги";$B43="Верх");IFS(AND($U43&gt;=1900;$U43&lt;=2050);1;AND($U43&gt;=1850;$U43&lt;1900);0,7;AND($U43&gt;2050;$U43&lt;=2100);0,7;TRUE;0,2);IFS(AND($U43&gt;=1700;$U43&lt;=1850);1;AND($U43&gt;=1650;$U43&lt;1700);0,7;AND($U43&gt;1850;$U43&lt;=1900);0,7;TRUE;0,2));IF(OR($B43="Ноги";$B43="Верх");IFS(AND($V43&gt;=125;$V43&lt;=135);1;AND($V43&gt;=115;$V43&lt;125);0,7;AND($V43&gt;135;$V43&lt;=145);0,7;AND($V43&gt;=105;$V43&lt;115);0,4;AND($V43&gt;145;$V43&lt;=155);0,4;TRUE;0,2);IFS(AND($V43&gt;=120;$V43&lt;=130);1;AND($V43&gt;=110;$V43&lt;120);0,7;AND($V43&gt;130;$V43&lt;=140);0,7;AND($V43&gt;=100;$V43&lt;110);0,4;AND($V43&gt;140;$V43&lt;=150);0,4;TRUE;0,2));IFS(AND($W43&gt;=55;$W43&lt;=65);1;AND($W43&gt;=50;$W43&lt;55);0,7;AND($W43&gt;65;$W43&lt;=70);0,7;AND($W43&gt;=45;$W43&lt;50);0,4;AND($W43&gt;70;$W43&lt;=75);0,4;TRUE;0,2);IF(OR($B43="Ноги";$B43="Верх");IFS(AND($X43&gt;=180;$X43&lt;=210);1;AND($X43&gt;=160;$X43&lt;180);0,7;AND($X43&gt;210;$X43&lt;=230);0,7;AND($X43&gt;=140;$X43&lt;160);0,4;AND($X43&gt;230;$X43&lt;=250);0,4;TRUE;0,2);IFS(AND($X43&gt;=140;$X43&lt;=170);1;AND($X43&gt;=120;$X43&lt;140);0,7;AND($X43&gt;170;$X43&lt;=190);0,7;AND($X43&gt;=100;$X43&lt;120);0,4;AND($X43&gt;190;$X43&lt;=210);0,4;TRUE;0,2)))));1);""))</f>
        <v/>
      </c>
      <c r="Z43">
        <f>IF($A43="";"";TEXTJOIN(", ";TRUE;IF($B43="";"Тренировка";"");IF($C43="";"Кардио";"");IF($D43="";"Шаги";"");IF($E43="";"Английский";"");IF($F43="";"Код-режим";"");IF($G43="";"Код-тема";"");IF($H43="";"Чтение";"");IF($L43="";"Сон";"");IF($M43="";"Режим";"");IF($N43="";"Продуктивность";"");IF($O43="";"Настроение";"");IF($P43="";"Энергия";"");IF($U43="";"Еда";"")))</f>
        <v/>
      </c>
    </row>
    <row r="44">
      <c r="A44" s="2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>
        <f>IF($A44="";"";IF(SUMIF(FoodLog!$A:$A;$A44;FoodLog!$I:$I)=0;"";SUMIF(FoodLog!$A:$A;$A44;FoodLog!$I:$I)))</f>
        <v/>
      </c>
      <c r="V44">
        <f>IF($A44="";"";IF(SUMIF(FoodLog!$A:$A;$A44;FoodLog!$F:$F)=0;"";SUMIF(FoodLog!$A:$A;$A44;FoodLog!$F:$F)))</f>
        <v/>
      </c>
      <c r="W44">
        <f>IF($A44="";"";IF(SUMIF(FoodLog!$A:$A;$A44;FoodLog!$G:$G)=0;"";SUMIF(FoodLog!$A:$A;$A44;FoodLog!$G:$G)))</f>
        <v/>
      </c>
      <c r="X44">
        <f>IF($A44="";"";IF(SUMIF(FoodLog!$A:$A;$A44;FoodLog!$H:$H)=0;"";SUMIF(FoodLog!$A:$A;$A44;FoodLog!$H:$H)))</f>
        <v/>
      </c>
      <c r="Y44">
        <f>IF($A44="";"";IFERROR(ROUND(100*AVERAGE(IF($B44="";"";XLOOKUP($B44;FILTER(Dictionaries!$B:$B;Dictionaries!$A:$A="Тренировка");FILTER(Dictionaries!$C:$C;Dictionaries!$A:$A="Тренировка")));IF($C44="";"";MIN($C44/40;1));IF($D44="";"";XLOOKUP($D44;FILTER(Dictionaries!$B:$B;Dictionaries!$A:$A="Шаги");FILTER(Dictionaries!$C:$C;Dictionaries!$A:$A="Шаги")));IF($E44="";"";MIN($E44/120;1));IF(OR($F44&lt;&gt;"";$G44&lt;&gt;"");1;"");IF($H44="";"";MIN($H44/100;1));IF($L44="";"";XLOOKUP($L44;FILTER(Dictionaries!$B:$B;Dictionaries!$A:$A="Сон_часы");FILTER(Dictionaries!$C:$C;Dictionaries!$A:$A="Сон_часы")));IF($M44="";"";XLOOKUP($M44;FILTER(Dictionaries!$B:$B;Dictionaries!$A:$A="Режим");FILTER(Dictionaries!$C:$C;Dictionaries!$A:$A="Режим")));IF($N44="";"";MIN($N44/100;1));IF($O44="";"";XLOOKUP($O44;FILTER(Dictionaries!$B:$B;Dictionaries!$A:$A="Настроение");FILTER(Dictionaries!$C:$C;Dictionaries!$A:$A="Настроение")));IF($P44="";"";XLOOKUP($P44;FILTER(Dictionaries!$B:$B;Dictionaries!$A:$A="Энергия");FILTER(Dictionaries!$C:$C;Dictionaries!$A:$A="Энергия")));IF($U44="";"";AVERAGE(IF(OR($B44="Ноги";$B44="Верх");IFS(AND($U44&gt;=1900;$U44&lt;=2050);1;AND($U44&gt;=1850;$U44&lt;1900);0,7;AND($U44&gt;2050;$U44&lt;=2100);0,7;TRUE;0,2);IFS(AND($U44&gt;=1700;$U44&lt;=1850);1;AND($U44&gt;=1650;$U44&lt;1700);0,7;AND($U44&gt;1850;$U44&lt;=1900);0,7;TRUE;0,2));IF(OR($B44="Ноги";$B44="Верх");IFS(AND($V44&gt;=125;$V44&lt;=135);1;AND($V44&gt;=115;$V44&lt;125);0,7;AND($V44&gt;135;$V44&lt;=145);0,7;AND($V44&gt;=105;$V44&lt;115);0,4;AND($V44&gt;145;$V44&lt;=155);0,4;TRUE;0,2);IFS(AND($V44&gt;=120;$V44&lt;=130);1;AND($V44&gt;=110;$V44&lt;120);0,7;AND($V44&gt;130;$V44&lt;=140);0,7;AND($V44&gt;=100;$V44&lt;110);0,4;AND($V44&gt;140;$V44&lt;=150);0,4;TRUE;0,2));IFS(AND($W44&gt;=55;$W44&lt;=65);1;AND($W44&gt;=50;$W44&lt;55);0,7;AND($W44&gt;65;$W44&lt;=70);0,7;AND($W44&gt;=45;$W44&lt;50);0,4;AND($W44&gt;70;$W44&lt;=75);0,4;TRUE;0,2);IF(OR($B44="Ноги";$B44="Верх");IFS(AND($X44&gt;=180;$X44&lt;=210);1;AND($X44&gt;=160;$X44&lt;180);0,7;AND($X44&gt;210;$X44&lt;=230);0,7;AND($X44&gt;=140;$X44&lt;160);0,4;AND($X44&gt;230;$X44&lt;=250);0,4;TRUE;0,2);IFS(AND($X44&gt;=140;$X44&lt;=170);1;AND($X44&gt;=120;$X44&lt;140);0,7;AND($X44&gt;170;$X44&lt;=190);0,7;AND($X44&gt;=100;$X44&lt;120);0,4;AND($X44&gt;190;$X44&lt;=210);0,4;TRUE;0,2)))));1);""))</f>
        <v/>
      </c>
      <c r="Z44">
        <f>IF($A44="";"";TEXTJOIN(", ";TRUE;IF($B44="";"Тренировка";"");IF($C44="";"Кардио";"");IF($D44="";"Шаги";"");IF($E44="";"Английский";"");IF($F44="";"Код-режим";"");IF($G44="";"Код-тема";"");IF($H44="";"Чтение";"");IF($L44="";"Сон";"");IF($M44="";"Режим";"");IF($N44="";"Продуктивность";"");IF($O44="";"Настроение";"");IF($P44="";"Энергия";"");IF($U44="";"Еда";"")))</f>
        <v/>
      </c>
    </row>
    <row r="45">
      <c r="A45" s="2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>
        <f>IF($A45="";"";IF(SUMIF(FoodLog!$A:$A;$A45;FoodLog!$I:$I)=0;"";SUMIF(FoodLog!$A:$A;$A45;FoodLog!$I:$I)))</f>
        <v/>
      </c>
      <c r="V45">
        <f>IF($A45="";"";IF(SUMIF(FoodLog!$A:$A;$A45;FoodLog!$F:$F)=0;"";SUMIF(FoodLog!$A:$A;$A45;FoodLog!$F:$F)))</f>
        <v/>
      </c>
      <c r="W45">
        <f>IF($A45="";"";IF(SUMIF(FoodLog!$A:$A;$A45;FoodLog!$G:$G)=0;"";SUMIF(FoodLog!$A:$A;$A45;FoodLog!$G:$G)))</f>
        <v/>
      </c>
      <c r="X45">
        <f>IF($A45="";"";IF(SUMIF(FoodLog!$A:$A;$A45;FoodLog!$H:$H)=0;"";SUMIF(FoodLog!$A:$A;$A45;FoodLog!$H:$H)))</f>
        <v/>
      </c>
      <c r="Y45">
        <f>IF($A45="";"";IFERROR(ROUND(100*AVERAGE(IF($B45="";"";XLOOKUP($B45;FILTER(Dictionaries!$B:$B;Dictionaries!$A:$A="Тренировка");FILTER(Dictionaries!$C:$C;Dictionaries!$A:$A="Тренировка")));IF($C45="";"";MIN($C45/40;1));IF($D45="";"";XLOOKUP($D45;FILTER(Dictionaries!$B:$B;Dictionaries!$A:$A="Шаги");FILTER(Dictionaries!$C:$C;Dictionaries!$A:$A="Шаги")));IF($E45="";"";MIN($E45/120;1));IF(OR($F45&lt;&gt;"";$G45&lt;&gt;"");1;"");IF($H45="";"";MIN($H45/100;1));IF($L45="";"";XLOOKUP($L45;FILTER(Dictionaries!$B:$B;Dictionaries!$A:$A="Сон_часы");FILTER(Dictionaries!$C:$C;Dictionaries!$A:$A="Сон_часы")));IF($M45="";"";XLOOKUP($M45;FILTER(Dictionaries!$B:$B;Dictionaries!$A:$A="Режим");FILTER(Dictionaries!$C:$C;Dictionaries!$A:$A="Режим")));IF($N45="";"";MIN($N45/100;1));IF($O45="";"";XLOOKUP($O45;FILTER(Dictionaries!$B:$B;Dictionaries!$A:$A="Настроение");FILTER(Dictionaries!$C:$C;Dictionaries!$A:$A="Настроение")));IF($P45="";"";XLOOKUP($P45;FILTER(Dictionaries!$B:$B;Dictionaries!$A:$A="Энергия");FILTER(Dictionaries!$C:$C;Dictionaries!$A:$A="Энергия")));IF($U45="";"";AVERAGE(IF(OR($B45="Ноги";$B45="Верх");IFS(AND($U45&gt;=1900;$U45&lt;=2050);1;AND($U45&gt;=1850;$U45&lt;1900);0,7;AND($U45&gt;2050;$U45&lt;=2100);0,7;TRUE;0,2);IFS(AND($U45&gt;=1700;$U45&lt;=1850);1;AND($U45&gt;=1650;$U45&lt;1700);0,7;AND($U45&gt;1850;$U45&lt;=1900);0,7;TRUE;0,2));IF(OR($B45="Ноги";$B45="Верх");IFS(AND($V45&gt;=125;$V45&lt;=135);1;AND($V45&gt;=115;$V45&lt;125);0,7;AND($V45&gt;135;$V45&lt;=145);0,7;AND($V45&gt;=105;$V45&lt;115);0,4;AND($V45&gt;145;$V45&lt;=155);0,4;TRUE;0,2);IFS(AND($V45&gt;=120;$V45&lt;=130);1;AND($V45&gt;=110;$V45&lt;120);0,7;AND($V45&gt;130;$V45&lt;=140);0,7;AND($V45&gt;=100;$V45&lt;110);0,4;AND($V45&gt;140;$V45&lt;=150);0,4;TRUE;0,2));IFS(AND($W45&gt;=55;$W45&lt;=65);1;AND($W45&gt;=50;$W45&lt;55);0,7;AND($W45&gt;65;$W45&lt;=70);0,7;AND($W45&gt;=45;$W45&lt;50);0,4;AND($W45&gt;70;$W45&lt;=75);0,4;TRUE;0,2);IF(OR($B45="Ноги";$B45="Верх");IFS(AND($X45&gt;=180;$X45&lt;=210);1;AND($X45&gt;=160;$X45&lt;180);0,7;AND($X45&gt;210;$X45&lt;=230);0,7;AND($X45&gt;=140;$X45&lt;160);0,4;AND($X45&gt;230;$X45&lt;=250);0,4;TRUE;0,2);IFS(AND($X45&gt;=140;$X45&lt;=170);1;AND($X45&gt;=120;$X45&lt;140);0,7;AND($X45&gt;170;$X45&lt;=190);0,7;AND($X45&gt;=100;$X45&lt;120);0,4;AND($X45&gt;190;$X45&lt;=210);0,4;TRUE;0,2)))));1);""))</f>
        <v/>
      </c>
      <c r="Z45">
        <f>IF($A45="";"";TEXTJOIN(", ";TRUE;IF($B45="";"Тренировка";"");IF($C45="";"Кардио";"");IF($D45="";"Шаги";"");IF($E45="";"Английский";"");IF($F45="";"Код-режим";"");IF($G45="";"Код-тема";"");IF($H45="";"Чтение";"");IF($L45="";"Сон";"");IF($M45="";"Режим";"");IF($N45="";"Продуктивность";"");IF($O45="";"Настроение";"");IF($P45="";"Энергия";"");IF($U45="";"Еда";"")))</f>
        <v/>
      </c>
    </row>
    <row r="46">
      <c r="A46" s="2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>
        <f>IF($A46="";"";IF(SUMIF(FoodLog!$A:$A;$A46;FoodLog!$I:$I)=0;"";SUMIF(FoodLog!$A:$A;$A46;FoodLog!$I:$I)))</f>
        <v/>
      </c>
      <c r="V46">
        <f>IF($A46="";"";IF(SUMIF(FoodLog!$A:$A;$A46;FoodLog!$F:$F)=0;"";SUMIF(FoodLog!$A:$A;$A46;FoodLog!$F:$F)))</f>
        <v/>
      </c>
      <c r="W46">
        <f>IF($A46="";"";IF(SUMIF(FoodLog!$A:$A;$A46;FoodLog!$G:$G)=0;"";SUMIF(FoodLog!$A:$A;$A46;FoodLog!$G:$G)))</f>
        <v/>
      </c>
      <c r="X46">
        <f>IF($A46="";"";IF(SUMIF(FoodLog!$A:$A;$A46;FoodLog!$H:$H)=0;"";SUMIF(FoodLog!$A:$A;$A46;FoodLog!$H:$H)))</f>
        <v/>
      </c>
      <c r="Y46">
        <f>IF($A46="";"";IFERROR(ROUND(100*AVERAGE(IF($B46="";"";XLOOKUP($B46;FILTER(Dictionaries!$B:$B;Dictionaries!$A:$A="Тренировка");FILTER(Dictionaries!$C:$C;Dictionaries!$A:$A="Тренировка")));IF($C46="";"";MIN($C46/40;1));IF($D46="";"";XLOOKUP($D46;FILTER(Dictionaries!$B:$B;Dictionaries!$A:$A="Шаги");FILTER(Dictionaries!$C:$C;Dictionaries!$A:$A="Шаги")));IF($E46="";"";MIN($E46/120;1));IF(OR($F46&lt;&gt;"";$G46&lt;&gt;"");1;"");IF($H46="";"";MIN($H46/100;1));IF($L46="";"";XLOOKUP($L46;FILTER(Dictionaries!$B:$B;Dictionaries!$A:$A="Сон_часы");FILTER(Dictionaries!$C:$C;Dictionaries!$A:$A="Сон_часы")));IF($M46="";"";XLOOKUP($M46;FILTER(Dictionaries!$B:$B;Dictionaries!$A:$A="Режим");FILTER(Dictionaries!$C:$C;Dictionaries!$A:$A="Режим")));IF($N46="";"";MIN($N46/100;1));IF($O46="";"";XLOOKUP($O46;FILTER(Dictionaries!$B:$B;Dictionaries!$A:$A="Настроение");FILTER(Dictionaries!$C:$C;Dictionaries!$A:$A="Настроение")));IF($P46="";"";XLOOKUP($P46;FILTER(Dictionaries!$B:$B;Dictionaries!$A:$A="Энергия");FILTER(Dictionaries!$C:$C;Dictionaries!$A:$A="Энергия")));IF($U46="";"";AVERAGE(IF(OR($B46="Ноги";$B46="Верх");IFS(AND($U46&gt;=1900;$U46&lt;=2050);1;AND($U46&gt;=1850;$U46&lt;1900);0,7;AND($U46&gt;2050;$U46&lt;=2100);0,7;TRUE;0,2);IFS(AND($U46&gt;=1700;$U46&lt;=1850);1;AND($U46&gt;=1650;$U46&lt;1700);0,7;AND($U46&gt;1850;$U46&lt;=1900);0,7;TRUE;0,2));IF(OR($B46="Ноги";$B46="Верх");IFS(AND($V46&gt;=125;$V46&lt;=135);1;AND($V46&gt;=115;$V46&lt;125);0,7;AND($V46&gt;135;$V46&lt;=145);0,7;AND($V46&gt;=105;$V46&lt;115);0,4;AND($V46&gt;145;$V46&lt;=155);0,4;TRUE;0,2);IFS(AND($V46&gt;=120;$V46&lt;=130);1;AND($V46&gt;=110;$V46&lt;120);0,7;AND($V46&gt;130;$V46&lt;=140);0,7;AND($V46&gt;=100;$V46&lt;110);0,4;AND($V46&gt;140;$V46&lt;=150);0,4;TRUE;0,2));IFS(AND($W46&gt;=55;$W46&lt;=65);1;AND($W46&gt;=50;$W46&lt;55);0,7;AND($W46&gt;65;$W46&lt;=70);0,7;AND($W46&gt;=45;$W46&lt;50);0,4;AND($W46&gt;70;$W46&lt;=75);0,4;TRUE;0,2);IF(OR($B46="Ноги";$B46="Верх");IFS(AND($X46&gt;=180;$X46&lt;=210);1;AND($X46&gt;=160;$X46&lt;180);0,7;AND($X46&gt;210;$X46&lt;=230);0,7;AND($X46&gt;=140;$X46&lt;160);0,4;AND($X46&gt;230;$X46&lt;=250);0,4;TRUE;0,2);IFS(AND($X46&gt;=140;$X46&lt;=170);1;AND($X46&gt;=120;$X46&lt;140);0,7;AND($X46&gt;170;$X46&lt;=190);0,7;AND($X46&gt;=100;$X46&lt;120);0,4;AND($X46&gt;190;$X46&lt;=210);0,4;TRUE;0,2)))));1);""))</f>
        <v/>
      </c>
      <c r="Z46">
        <f>IF($A46="";"";TEXTJOIN(", ";TRUE;IF($B46="";"Тренировка";"");IF($C46="";"Кардио";"");IF($D46="";"Шаги";"");IF($E46="";"Английский";"");IF($F46="";"Код-режим";"");IF($G46="";"Код-тема";"");IF($H46="";"Чтение";"");IF($L46="";"Сон";"");IF($M46="";"Режим";"");IF($N46="";"Продуктивность";"");IF($O46="";"Настроение";"");IF($P46="";"Энергия";"");IF($U46="";"Еда";"")))</f>
        <v/>
      </c>
    </row>
    <row r="47">
      <c r="A47" s="2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>
        <f>IF($A47="";"";IF(SUMIF(FoodLog!$A:$A;$A47;FoodLog!$I:$I)=0;"";SUMIF(FoodLog!$A:$A;$A47;FoodLog!$I:$I)))</f>
        <v/>
      </c>
      <c r="V47">
        <f>IF($A47="";"";IF(SUMIF(FoodLog!$A:$A;$A47;FoodLog!$F:$F)=0;"";SUMIF(FoodLog!$A:$A;$A47;FoodLog!$F:$F)))</f>
        <v/>
      </c>
      <c r="W47">
        <f>IF($A47="";"";IF(SUMIF(FoodLog!$A:$A;$A47;FoodLog!$G:$G)=0;"";SUMIF(FoodLog!$A:$A;$A47;FoodLog!$G:$G)))</f>
        <v/>
      </c>
      <c r="X47">
        <f>IF($A47="";"";IF(SUMIF(FoodLog!$A:$A;$A47;FoodLog!$H:$H)=0;"";SUMIF(FoodLog!$A:$A;$A47;FoodLog!$H:$H)))</f>
        <v/>
      </c>
      <c r="Y47">
        <f>IF($A47="";"";IFERROR(ROUND(100*AVERAGE(IF($B47="";"";XLOOKUP($B47;FILTER(Dictionaries!$B:$B;Dictionaries!$A:$A="Тренировка");FILTER(Dictionaries!$C:$C;Dictionaries!$A:$A="Тренировка")));IF($C47="";"";MIN($C47/40;1));IF($D47="";"";XLOOKUP($D47;FILTER(Dictionaries!$B:$B;Dictionaries!$A:$A="Шаги");FILTER(Dictionaries!$C:$C;Dictionaries!$A:$A="Шаги")));IF($E47="";"";MIN($E47/120;1));IF(OR($F47&lt;&gt;"";$G47&lt;&gt;"");1;"");IF($H47="";"";MIN($H47/100;1));IF($L47="";"";XLOOKUP($L47;FILTER(Dictionaries!$B:$B;Dictionaries!$A:$A="Сон_часы");FILTER(Dictionaries!$C:$C;Dictionaries!$A:$A="Сон_часы")));IF($M47="";"";XLOOKUP($M47;FILTER(Dictionaries!$B:$B;Dictionaries!$A:$A="Режим");FILTER(Dictionaries!$C:$C;Dictionaries!$A:$A="Режим")));IF($N47="";"";MIN($N47/100;1));IF($O47="";"";XLOOKUP($O47;FILTER(Dictionaries!$B:$B;Dictionaries!$A:$A="Настроение");FILTER(Dictionaries!$C:$C;Dictionaries!$A:$A="Настроение")));IF($P47="";"";XLOOKUP($P47;FILTER(Dictionaries!$B:$B;Dictionaries!$A:$A="Энергия");FILTER(Dictionaries!$C:$C;Dictionaries!$A:$A="Энергия")));IF($U47="";"";AVERAGE(IF(OR($B47="Ноги";$B47="Верх");IFS(AND($U47&gt;=1900;$U47&lt;=2050);1;AND($U47&gt;=1850;$U47&lt;1900);0,7;AND($U47&gt;2050;$U47&lt;=2100);0,7;TRUE;0,2);IFS(AND($U47&gt;=1700;$U47&lt;=1850);1;AND($U47&gt;=1650;$U47&lt;1700);0,7;AND($U47&gt;1850;$U47&lt;=1900);0,7;TRUE;0,2));IF(OR($B47="Ноги";$B47="Верх");IFS(AND($V47&gt;=125;$V47&lt;=135);1;AND($V47&gt;=115;$V47&lt;125);0,7;AND($V47&gt;135;$V47&lt;=145);0,7;AND($V47&gt;=105;$V47&lt;115);0,4;AND($V47&gt;145;$V47&lt;=155);0,4;TRUE;0,2);IFS(AND($V47&gt;=120;$V47&lt;=130);1;AND($V47&gt;=110;$V47&lt;120);0,7;AND($V47&gt;130;$V47&lt;=140);0,7;AND($V47&gt;=100;$V47&lt;110);0,4;AND($V47&gt;140;$V47&lt;=150);0,4;TRUE;0,2));IFS(AND($W47&gt;=55;$W47&lt;=65);1;AND($W47&gt;=50;$W47&lt;55);0,7;AND($W47&gt;65;$W47&lt;=70);0,7;AND($W47&gt;=45;$W47&lt;50);0,4;AND($W47&gt;70;$W47&lt;=75);0,4;TRUE;0,2);IF(OR($B47="Ноги";$B47="Верх");IFS(AND($X47&gt;=180;$X47&lt;=210);1;AND($X47&gt;=160;$X47&lt;180);0,7;AND($X47&gt;210;$X47&lt;=230);0,7;AND($X47&gt;=140;$X47&lt;160);0,4;AND($X47&gt;230;$X47&lt;=250);0,4;TRUE;0,2);IFS(AND($X47&gt;=140;$X47&lt;=170);1;AND($X47&gt;=120;$X47&lt;140);0,7;AND($X47&gt;170;$X47&lt;=190);0,7;AND($X47&gt;=100;$X47&lt;120);0,4;AND($X47&gt;190;$X47&lt;=210);0,4;TRUE;0,2)))));1);""))</f>
        <v/>
      </c>
      <c r="Z47">
        <f>IF($A47="";"";TEXTJOIN(", ";TRUE;IF($B47="";"Тренировка";"");IF($C47="";"Кардио";"");IF($D47="";"Шаги";"");IF($E47="";"Английский";"");IF($F47="";"Код-режим";"");IF($G47="";"Код-тема";"");IF($H47="";"Чтение";"");IF($L47="";"Сон";"");IF($M47="";"Режим";"");IF($N47="";"Продуктивность";"");IF($O47="";"Настроение";"");IF($P47="";"Энергия";"");IF($U47="";"Еда";"")))</f>
        <v/>
      </c>
    </row>
    <row r="48">
      <c r="A48" s="2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  <c r="U48">
        <f>IF($A48="";"";IF(SUMIF(FoodLog!$A:$A;$A48;FoodLog!$I:$I)=0;"";SUMIF(FoodLog!$A:$A;$A48;FoodLog!$I:$I)))</f>
        <v/>
      </c>
      <c r="V48">
        <f>IF($A48="";"";IF(SUMIF(FoodLog!$A:$A;$A48;FoodLog!$F:$F)=0;"";SUMIF(FoodLog!$A:$A;$A48;FoodLog!$F:$F)))</f>
        <v/>
      </c>
      <c r="W48">
        <f>IF($A48="";"";IF(SUMIF(FoodLog!$A:$A;$A48;FoodLog!$G:$G)=0;"";SUMIF(FoodLog!$A:$A;$A48;FoodLog!$G:$G)))</f>
        <v/>
      </c>
      <c r="X48">
        <f>IF($A48="";"";IF(SUMIF(FoodLog!$A:$A;$A48;FoodLog!$H:$H)=0;"";SUMIF(FoodLog!$A:$A;$A48;FoodLog!$H:$H)))</f>
        <v/>
      </c>
      <c r="Y48">
        <f>IF($A48="";"";IFERROR(ROUND(100*AVERAGE(IF($B48="";"";XLOOKUP($B48;FILTER(Dictionaries!$B:$B;Dictionaries!$A:$A="Тренировка");FILTER(Dictionaries!$C:$C;Dictionaries!$A:$A="Тренировка")));IF($C48="";"";MIN($C48/40;1));IF($D48="";"";XLOOKUP($D48;FILTER(Dictionaries!$B:$B;Dictionaries!$A:$A="Шаги");FILTER(Dictionaries!$C:$C;Dictionaries!$A:$A="Шаги")));IF($E48="";"";MIN($E48/120;1));IF(OR($F48&lt;&gt;"";$G48&lt;&gt;"");1;"");IF($H48="";"";MIN($H48/100;1));IF($L48="";"";XLOOKUP($L48;FILTER(Dictionaries!$B:$B;Dictionaries!$A:$A="Сон_часы");FILTER(Dictionaries!$C:$C;Dictionaries!$A:$A="Сон_часы")));IF($M48="";"";XLOOKUP($M48;FILTER(Dictionaries!$B:$B;Dictionaries!$A:$A="Режим");FILTER(Dictionaries!$C:$C;Dictionaries!$A:$A="Режим")));IF($N48="";"";MIN($N48/100;1));IF($O48="";"";XLOOKUP($O48;FILTER(Dictionaries!$B:$B;Dictionaries!$A:$A="Настроение");FILTER(Dictionaries!$C:$C;Dictionaries!$A:$A="Настроение")));IF($P48="";"";XLOOKUP($P48;FILTER(Dictionaries!$B:$B;Dictionaries!$A:$A="Энергия");FILTER(Dictionaries!$C:$C;Dictionaries!$A:$A="Энергия")));IF($U48="";"";AVERAGE(IF(OR($B48="Ноги";$B48="Верх");IFS(AND($U48&gt;=1900;$U48&lt;=2050);1;AND($U48&gt;=1850;$U48&lt;1900);0,7;AND($U48&gt;2050;$U48&lt;=2100);0,7;TRUE;0,2);IFS(AND($U48&gt;=1700;$U48&lt;=1850);1;AND($U48&gt;=1650;$U48&lt;1700);0,7;AND($U48&gt;1850;$U48&lt;=1900);0,7;TRUE;0,2));IF(OR($B48="Ноги";$B48="Верх");IFS(AND($V48&gt;=125;$V48&lt;=135);1;AND($V48&gt;=115;$V48&lt;125);0,7;AND($V48&gt;135;$V48&lt;=145);0,7;AND($V48&gt;=105;$V48&lt;115);0,4;AND($V48&gt;145;$V48&lt;=155);0,4;TRUE;0,2);IFS(AND($V48&gt;=120;$V48&lt;=130);1;AND($V48&gt;=110;$V48&lt;120);0,7;AND($V48&gt;130;$V48&lt;=140);0,7;AND($V48&gt;=100;$V48&lt;110);0,4;AND($V48&gt;140;$V48&lt;=150);0,4;TRUE;0,2));IFS(AND($W48&gt;=55;$W48&lt;=65);1;AND($W48&gt;=50;$W48&lt;55);0,7;AND($W48&gt;65;$W48&lt;=70);0,7;AND($W48&gt;=45;$W48&lt;50);0,4;AND($W48&gt;70;$W48&lt;=75);0,4;TRUE;0,2);IF(OR($B48="Ноги";$B48="Верх");IFS(AND($X48&gt;=180;$X48&lt;=210);1;AND($X48&gt;=160;$X48&lt;180);0,7;AND($X48&gt;210;$X48&lt;=230);0,7;AND($X48&gt;=140;$X48&lt;160);0,4;AND($X48&gt;230;$X48&lt;=250);0,4;TRUE;0,2);IFS(AND($X48&gt;=140;$X48&lt;=170);1;AND($X48&gt;=120;$X48&lt;140);0,7;AND($X48&gt;170;$X48&lt;=190);0,7;AND($X48&gt;=100;$X48&lt;120);0,4;AND($X48&gt;190;$X48&lt;=210);0,4;TRUE;0,2)))));1);""))</f>
        <v/>
      </c>
      <c r="Z48">
        <f>IF($A48="";"";TEXTJOIN(", ";TRUE;IF($B48="";"Тренировка";"");IF($C48="";"Кардио";"");IF($D48="";"Шаги";"");IF($E48="";"Английский";"");IF($F48="";"Код-режим";"");IF($G48="";"Код-тема";"");IF($H48="";"Чтение";"");IF($L48="";"Сон";"");IF($M48="";"Режим";"");IF($N48="";"Продуктивность";"");IF($O48="";"Настроение";"");IF($P48="";"Энергия";"");IF($U48="";"Еда";"")))</f>
        <v/>
      </c>
    </row>
    <row r="49">
      <c r="A49" s="2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>
        <f>IF($A49="";"";IF(SUMIF(FoodLog!$A:$A;$A49;FoodLog!$I:$I)=0;"";SUMIF(FoodLog!$A:$A;$A49;FoodLog!$I:$I)))</f>
        <v/>
      </c>
      <c r="V49">
        <f>IF($A49="";"";IF(SUMIF(FoodLog!$A:$A;$A49;FoodLog!$F:$F)=0;"";SUMIF(FoodLog!$A:$A;$A49;FoodLog!$F:$F)))</f>
        <v/>
      </c>
      <c r="W49">
        <f>IF($A49="";"";IF(SUMIF(FoodLog!$A:$A;$A49;FoodLog!$G:$G)=0;"";SUMIF(FoodLog!$A:$A;$A49;FoodLog!$G:$G)))</f>
        <v/>
      </c>
      <c r="X49">
        <f>IF($A49="";"";IF(SUMIF(FoodLog!$A:$A;$A49;FoodLog!$H:$H)=0;"";SUMIF(FoodLog!$A:$A;$A49;FoodLog!$H:$H)))</f>
        <v/>
      </c>
      <c r="Y49">
        <f>IF($A49="";"";IFERROR(ROUND(100*AVERAGE(IF($B49="";"";XLOOKUP($B49;FILTER(Dictionaries!$B:$B;Dictionaries!$A:$A="Тренировка");FILTER(Dictionaries!$C:$C;Dictionaries!$A:$A="Тренировка")));IF($C49="";"";MIN($C49/40;1));IF($D49="";"";XLOOKUP($D49;FILTER(Dictionaries!$B:$B;Dictionaries!$A:$A="Шаги");FILTER(Dictionaries!$C:$C;Dictionaries!$A:$A="Шаги")));IF($E49="";"";MIN($E49/120;1));IF(OR($F49&lt;&gt;"";$G49&lt;&gt;"");1;"");IF($H49="";"";MIN($H49/100;1));IF($L49="";"";XLOOKUP($L49;FILTER(Dictionaries!$B:$B;Dictionaries!$A:$A="Сон_часы");FILTER(Dictionaries!$C:$C;Dictionaries!$A:$A="Сон_часы")));IF($M49="";"";XLOOKUP($M49;FILTER(Dictionaries!$B:$B;Dictionaries!$A:$A="Режим");FILTER(Dictionaries!$C:$C;Dictionaries!$A:$A="Режим")));IF($N49="";"";MIN($N49/100;1));IF($O49="";"";XLOOKUP($O49;FILTER(Dictionaries!$B:$B;Dictionaries!$A:$A="Настроение");FILTER(Dictionaries!$C:$C;Dictionaries!$A:$A="Настроение")));IF($P49="";"";XLOOKUP($P49;FILTER(Dictionaries!$B:$B;Dictionaries!$A:$A="Энергия");FILTER(Dictionaries!$C:$C;Dictionaries!$A:$A="Энергия")));IF($U49="";"";AVERAGE(IF(OR($B49="Ноги";$B49="Верх");IFS(AND($U49&gt;=1900;$U49&lt;=2050);1;AND($U49&gt;=1850;$U49&lt;1900);0,7;AND($U49&gt;2050;$U49&lt;=2100);0,7;TRUE;0,2);IFS(AND($U49&gt;=1700;$U49&lt;=1850);1;AND($U49&gt;=1650;$U49&lt;1700);0,7;AND($U49&gt;1850;$U49&lt;=1900);0,7;TRUE;0,2));IF(OR($B49="Ноги";$B49="Верх");IFS(AND($V49&gt;=125;$V49&lt;=135);1;AND($V49&gt;=115;$V49&lt;125);0,7;AND($V49&gt;135;$V49&lt;=145);0,7;AND($V49&gt;=105;$V49&lt;115);0,4;AND($V49&gt;145;$V49&lt;=155);0,4;TRUE;0,2);IFS(AND($V49&gt;=120;$V49&lt;=130);1;AND($V49&gt;=110;$V49&lt;120);0,7;AND($V49&gt;130;$V49&lt;=140);0,7;AND($V49&gt;=100;$V49&lt;110);0,4;AND($V49&gt;140;$V49&lt;=150);0,4;TRUE;0,2));IFS(AND($W49&gt;=55;$W49&lt;=65);1;AND($W49&gt;=50;$W49&lt;55);0,7;AND($W49&gt;65;$W49&lt;=70);0,7;AND($W49&gt;=45;$W49&lt;50);0,4;AND($W49&gt;70;$W49&lt;=75);0,4;TRUE;0,2);IF(OR($B49="Ноги";$B49="Верх");IFS(AND($X49&gt;=180;$X49&lt;=210);1;AND($X49&gt;=160;$X49&lt;180);0,7;AND($X49&gt;210;$X49&lt;=230);0,7;AND($X49&gt;=140;$X49&lt;160);0,4;AND($X49&gt;230;$X49&lt;=250);0,4;TRUE;0,2);IFS(AND($X49&gt;=140;$X49&lt;=170);1;AND($X49&gt;=120;$X49&lt;140);0,7;AND($X49&gt;170;$X49&lt;=190);0,7;AND($X49&gt;=100;$X49&lt;120);0,4;AND($X49&gt;190;$X49&lt;=210);0,4;TRUE;0,2)))));1);""))</f>
        <v/>
      </c>
      <c r="Z49">
        <f>IF($A49="";"";TEXTJOIN(", ";TRUE;IF($B49="";"Тренировка";"");IF($C49="";"Кардио";"");IF($D49="";"Шаги";"");IF($E49="";"Английский";"");IF($F49="";"Код-режим";"");IF($G49="";"Код-тема";"");IF($H49="";"Чтение";"");IF($L49="";"Сон";"");IF($M49="";"Режим";"");IF($N49="";"Продуктивность";"");IF($O49="";"Настроение";"");IF($P49="";"Энергия";"");IF($U49="";"Еда";"")))</f>
        <v/>
      </c>
    </row>
    <row r="50">
      <c r="A50" s="2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>
        <f>IF($A50="";"";IF(SUMIF(FoodLog!$A:$A;$A50;FoodLog!$I:$I)=0;"";SUMIF(FoodLog!$A:$A;$A50;FoodLog!$I:$I)))</f>
        <v/>
      </c>
      <c r="V50">
        <f>IF($A50="";"";IF(SUMIF(FoodLog!$A:$A;$A50;FoodLog!$F:$F)=0;"";SUMIF(FoodLog!$A:$A;$A50;FoodLog!$F:$F)))</f>
        <v/>
      </c>
      <c r="W50">
        <f>IF($A50="";"";IF(SUMIF(FoodLog!$A:$A;$A50;FoodLog!$G:$G)=0;"";SUMIF(FoodLog!$A:$A;$A50;FoodLog!$G:$G)))</f>
        <v/>
      </c>
      <c r="X50">
        <f>IF($A50="";"";IF(SUMIF(FoodLog!$A:$A;$A50;FoodLog!$H:$H)=0;"";SUMIF(FoodLog!$A:$A;$A50;FoodLog!$H:$H)))</f>
        <v/>
      </c>
      <c r="Y50">
        <f>IF($A50="";"";IFERROR(ROUND(100*AVERAGE(IF($B50="";"";XLOOKUP($B50;FILTER(Dictionaries!$B:$B;Dictionaries!$A:$A="Тренировка");FILTER(Dictionaries!$C:$C;Dictionaries!$A:$A="Тренировка")));IF($C50="";"";MIN($C50/40;1));IF($D50="";"";XLOOKUP($D50;FILTER(Dictionaries!$B:$B;Dictionaries!$A:$A="Шаги");FILTER(Dictionaries!$C:$C;Dictionaries!$A:$A="Шаги")));IF($E50="";"";MIN($E50/120;1));IF(OR($F50&lt;&gt;"";$G50&lt;&gt;"");1;"");IF($H50="";"";MIN($H50/100;1));IF($L50="";"";XLOOKUP($L50;FILTER(Dictionaries!$B:$B;Dictionaries!$A:$A="Сон_часы");FILTER(Dictionaries!$C:$C;Dictionaries!$A:$A="Сон_часы")));IF($M50="";"";XLOOKUP($M50;FILTER(Dictionaries!$B:$B;Dictionaries!$A:$A="Режим");FILTER(Dictionaries!$C:$C;Dictionaries!$A:$A="Режим")));IF($N50="";"";MIN($N50/100;1));IF($O50="";"";XLOOKUP($O50;FILTER(Dictionaries!$B:$B;Dictionaries!$A:$A="Настроение");FILTER(Dictionaries!$C:$C;Dictionaries!$A:$A="Настроение")));IF($P50="";"";XLOOKUP($P50;FILTER(Dictionaries!$B:$B;Dictionaries!$A:$A="Энергия");FILTER(Dictionaries!$C:$C;Dictionaries!$A:$A="Энергия")));IF($U50="";"";AVERAGE(IF(OR($B50="Ноги";$B50="Верх");IFS(AND($U50&gt;=1900;$U50&lt;=2050);1;AND($U50&gt;=1850;$U50&lt;1900);0,7;AND($U50&gt;2050;$U50&lt;=2100);0,7;TRUE;0,2);IFS(AND($U50&gt;=1700;$U50&lt;=1850);1;AND($U50&gt;=1650;$U50&lt;1700);0,7;AND($U50&gt;1850;$U50&lt;=1900);0,7;TRUE;0,2));IF(OR($B50="Ноги";$B50="Верх");IFS(AND($V50&gt;=125;$V50&lt;=135);1;AND($V50&gt;=115;$V50&lt;125);0,7;AND($V50&gt;135;$V50&lt;=145);0,7;AND($V50&gt;=105;$V50&lt;115);0,4;AND($V50&gt;145;$V50&lt;=155);0,4;TRUE;0,2);IFS(AND($V50&gt;=120;$V50&lt;=130);1;AND($V50&gt;=110;$V50&lt;120);0,7;AND($V50&gt;130;$V50&lt;=140);0,7;AND($V50&gt;=100;$V50&lt;110);0,4;AND($V50&gt;140;$V50&lt;=150);0,4;TRUE;0,2));IFS(AND($W50&gt;=55;$W50&lt;=65);1;AND($W50&gt;=50;$W50&lt;55);0,7;AND($W50&gt;65;$W50&lt;=70);0,7;AND($W50&gt;=45;$W50&lt;50);0,4;AND($W50&gt;70;$W50&lt;=75);0,4;TRUE;0,2);IF(OR($B50="Ноги";$B50="Верх");IFS(AND($X50&gt;=180;$X50&lt;=210);1;AND($X50&gt;=160;$X50&lt;180);0,7;AND($X50&gt;210;$X50&lt;=230);0,7;AND($X50&gt;=140;$X50&lt;160);0,4;AND($X50&gt;230;$X50&lt;=250);0,4;TRUE;0,2);IFS(AND($X50&gt;=140;$X50&lt;=170);1;AND($X50&gt;=120;$X50&lt;140);0,7;AND($X50&gt;170;$X50&lt;=190);0,7;AND($X50&gt;=100;$X50&lt;120);0,4;AND($X50&gt;190;$X50&lt;=210);0,4;TRUE;0,2)))));1);""))</f>
        <v/>
      </c>
      <c r="Z50">
        <f>IF($A50="";"";TEXTJOIN(", ";TRUE;IF($B50="";"Тренировка";"");IF($C50="";"Кардио";"");IF($D50="";"Шаги";"");IF($E50="";"Английский";"");IF($F50="";"Код-режим";"");IF($G50="";"Код-тема";"");IF($H50="";"Чтение";"");IF($L50="";"Сон";"");IF($M50="";"Режим";"");IF($N50="";"Продуктивность";"");IF($O50="";"Настроение";"");IF($P50="";"Энергия";"");IF($U50="";"Еда";"")))</f>
        <v/>
      </c>
    </row>
    <row r="51">
      <c r="A51" s="2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>
        <f>IF($A51="";"";IF(SUMIF(FoodLog!$A:$A;$A51;FoodLog!$I:$I)=0;"";SUMIF(FoodLog!$A:$A;$A51;FoodLog!$I:$I)))</f>
        <v/>
      </c>
      <c r="V51">
        <f>IF($A51="";"";IF(SUMIF(FoodLog!$A:$A;$A51;FoodLog!$F:$F)=0;"";SUMIF(FoodLog!$A:$A;$A51;FoodLog!$F:$F)))</f>
        <v/>
      </c>
      <c r="W51">
        <f>IF($A51="";"";IF(SUMIF(FoodLog!$A:$A;$A51;FoodLog!$G:$G)=0;"";SUMIF(FoodLog!$A:$A;$A51;FoodLog!$G:$G)))</f>
        <v/>
      </c>
      <c r="X51">
        <f>IF($A51="";"";IF(SUMIF(FoodLog!$A:$A;$A51;FoodLog!$H:$H)=0;"";SUMIF(FoodLog!$A:$A;$A51;FoodLog!$H:$H)))</f>
        <v/>
      </c>
      <c r="Y51">
        <f>IF($A51="";"";IFERROR(ROUND(100*AVERAGE(IF($B51="";"";XLOOKUP($B51;FILTER(Dictionaries!$B:$B;Dictionaries!$A:$A="Тренировка");FILTER(Dictionaries!$C:$C;Dictionaries!$A:$A="Тренировка")));IF($C51="";"";MIN($C51/40;1));IF($D51="";"";XLOOKUP($D51;FILTER(Dictionaries!$B:$B;Dictionaries!$A:$A="Шаги");FILTER(Dictionaries!$C:$C;Dictionaries!$A:$A="Шаги")));IF($E51="";"";MIN($E51/120;1));IF(OR($F51&lt;&gt;"";$G51&lt;&gt;"");1;"");IF($H51="";"";MIN($H51/100;1));IF($L51="";"";XLOOKUP($L51;FILTER(Dictionaries!$B:$B;Dictionaries!$A:$A="Сон_часы");FILTER(Dictionaries!$C:$C;Dictionaries!$A:$A="Сон_часы")));IF($M51="";"";XLOOKUP($M51;FILTER(Dictionaries!$B:$B;Dictionaries!$A:$A="Режим");FILTER(Dictionaries!$C:$C;Dictionaries!$A:$A="Режим")));IF($N51="";"";MIN($N51/100;1));IF($O51="";"";XLOOKUP($O51;FILTER(Dictionaries!$B:$B;Dictionaries!$A:$A="Настроение");FILTER(Dictionaries!$C:$C;Dictionaries!$A:$A="Настроение")));IF($P51="";"";XLOOKUP($P51;FILTER(Dictionaries!$B:$B;Dictionaries!$A:$A="Энергия");FILTER(Dictionaries!$C:$C;Dictionaries!$A:$A="Энергия")));IF($U51="";"";AVERAGE(IF(OR($B51="Ноги";$B51="Верх");IFS(AND($U51&gt;=1900;$U51&lt;=2050);1;AND($U51&gt;=1850;$U51&lt;1900);0,7;AND($U51&gt;2050;$U51&lt;=2100);0,7;TRUE;0,2);IFS(AND($U51&gt;=1700;$U51&lt;=1850);1;AND($U51&gt;=1650;$U51&lt;1700);0,7;AND($U51&gt;1850;$U51&lt;=1900);0,7;TRUE;0,2));IF(OR($B51="Ноги";$B51="Верх");IFS(AND($V51&gt;=125;$V51&lt;=135);1;AND($V51&gt;=115;$V51&lt;125);0,7;AND($V51&gt;135;$V51&lt;=145);0,7;AND($V51&gt;=105;$V51&lt;115);0,4;AND($V51&gt;145;$V51&lt;=155);0,4;TRUE;0,2);IFS(AND($V51&gt;=120;$V51&lt;=130);1;AND($V51&gt;=110;$V51&lt;120);0,7;AND($V51&gt;130;$V51&lt;=140);0,7;AND($V51&gt;=100;$V51&lt;110);0,4;AND($V51&gt;140;$V51&lt;=150);0,4;TRUE;0,2));IFS(AND($W51&gt;=55;$W51&lt;=65);1;AND($W51&gt;=50;$W51&lt;55);0,7;AND($W51&gt;65;$W51&lt;=70);0,7;AND($W51&gt;=45;$W51&lt;50);0,4;AND($W51&gt;70;$W51&lt;=75);0,4;TRUE;0,2);IF(OR($B51="Ноги";$B51="Верх");IFS(AND($X51&gt;=180;$X51&lt;=210);1;AND($X51&gt;=160;$X51&lt;180);0,7;AND($X51&gt;210;$X51&lt;=230);0,7;AND($X51&gt;=140;$X51&lt;160);0,4;AND($X51&gt;230;$X51&lt;=250);0,4;TRUE;0,2);IFS(AND($X51&gt;=140;$X51&lt;=170);1;AND($X51&gt;=120;$X51&lt;140);0,7;AND($X51&gt;170;$X51&lt;=190);0,7;AND($X51&gt;=100;$X51&lt;120);0,4;AND($X51&gt;190;$X51&lt;=210);0,4;TRUE;0,2)))));1);""))</f>
        <v/>
      </c>
      <c r="Z51">
        <f>IF($A51="";"";TEXTJOIN(", ";TRUE;IF($B51="";"Тренировка";"");IF($C51="";"Кардио";"");IF($D51="";"Шаги";"");IF($E51="";"Английский";"");IF($F51="";"Код-режим";"");IF($G51="";"Код-тема";"");IF($H51="";"Чтение";"");IF($L51="";"Сон";"");IF($M51="";"Режим";"");IF($N51="";"Продуктивность";"");IF($O51="";"Настроение";"");IF($P51="";"Энергия";"");IF($U51="";"Еда";"")))</f>
        <v/>
      </c>
    </row>
    <row r="52">
      <c r="A52" s="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>
        <f>IF($A52="";"";IF(SUMIF(FoodLog!$A:$A;$A52;FoodLog!$I:$I)=0;"";SUMIF(FoodLog!$A:$A;$A52;FoodLog!$I:$I)))</f>
        <v/>
      </c>
      <c r="V52">
        <f>IF($A52="";"";IF(SUMIF(FoodLog!$A:$A;$A52;FoodLog!$F:$F)=0;"";SUMIF(FoodLog!$A:$A;$A52;FoodLog!$F:$F)))</f>
        <v/>
      </c>
      <c r="W52">
        <f>IF($A52="";"";IF(SUMIF(FoodLog!$A:$A;$A52;FoodLog!$G:$G)=0;"";SUMIF(FoodLog!$A:$A;$A52;FoodLog!$G:$G)))</f>
        <v/>
      </c>
      <c r="X52">
        <f>IF($A52="";"";IF(SUMIF(FoodLog!$A:$A;$A52;FoodLog!$H:$H)=0;"";SUMIF(FoodLog!$A:$A;$A52;FoodLog!$H:$H)))</f>
        <v/>
      </c>
      <c r="Y52">
        <f>IF($A52="";"";IFERROR(ROUND(100*AVERAGE(IF($B52="";"";XLOOKUP($B52;FILTER(Dictionaries!$B:$B;Dictionaries!$A:$A="Тренировка");FILTER(Dictionaries!$C:$C;Dictionaries!$A:$A="Тренировка")));IF($C52="";"";MIN($C52/40;1));IF($D52="";"";XLOOKUP($D52;FILTER(Dictionaries!$B:$B;Dictionaries!$A:$A="Шаги");FILTER(Dictionaries!$C:$C;Dictionaries!$A:$A="Шаги")));IF($E52="";"";MIN($E52/120;1));IF(OR($F52&lt;&gt;"";$G52&lt;&gt;"");1;"");IF($H52="";"";MIN($H52/100;1));IF($L52="";"";XLOOKUP($L52;FILTER(Dictionaries!$B:$B;Dictionaries!$A:$A="Сон_часы");FILTER(Dictionaries!$C:$C;Dictionaries!$A:$A="Сон_часы")));IF($M52="";"";XLOOKUP($M52;FILTER(Dictionaries!$B:$B;Dictionaries!$A:$A="Режим");FILTER(Dictionaries!$C:$C;Dictionaries!$A:$A="Режим")));IF($N52="";"";MIN($N52/100;1));IF($O52="";"";XLOOKUP($O52;FILTER(Dictionaries!$B:$B;Dictionaries!$A:$A="Настроение");FILTER(Dictionaries!$C:$C;Dictionaries!$A:$A="Настроение")));IF($P52="";"";XLOOKUP($P52;FILTER(Dictionaries!$B:$B;Dictionaries!$A:$A="Энергия");FILTER(Dictionaries!$C:$C;Dictionaries!$A:$A="Энергия")));IF($U52="";"";AVERAGE(IF(OR($B52="Ноги";$B52="Верх");IFS(AND($U52&gt;=1900;$U52&lt;=2050);1;AND($U52&gt;=1850;$U52&lt;1900);0,7;AND($U52&gt;2050;$U52&lt;=2100);0,7;TRUE;0,2);IFS(AND($U52&gt;=1700;$U52&lt;=1850);1;AND($U52&gt;=1650;$U52&lt;1700);0,7;AND($U52&gt;1850;$U52&lt;=1900);0,7;TRUE;0,2));IF(OR($B52="Ноги";$B52="Верх");IFS(AND($V52&gt;=125;$V52&lt;=135);1;AND($V52&gt;=115;$V52&lt;125);0,7;AND($V52&gt;135;$V52&lt;=145);0,7;AND($V52&gt;=105;$V52&lt;115);0,4;AND($V52&gt;145;$V52&lt;=155);0,4;TRUE;0,2);IFS(AND($V52&gt;=120;$V52&lt;=130);1;AND($V52&gt;=110;$V52&lt;120);0,7;AND($V52&gt;130;$V52&lt;=140);0,7;AND($V52&gt;=100;$V52&lt;110);0,4;AND($V52&gt;140;$V52&lt;=150);0,4;TRUE;0,2));IFS(AND($W52&gt;=55;$W52&lt;=65);1;AND($W52&gt;=50;$W52&lt;55);0,7;AND($W52&gt;65;$W52&lt;=70);0,7;AND($W52&gt;=45;$W52&lt;50);0,4;AND($W52&gt;70;$W52&lt;=75);0,4;TRUE;0,2);IF(OR($B52="Ноги";$B52="Верх");IFS(AND($X52&gt;=180;$X52&lt;=210);1;AND($X52&gt;=160;$X52&lt;180);0,7;AND($X52&gt;210;$X52&lt;=230);0,7;AND($X52&gt;=140;$X52&lt;160);0,4;AND($X52&gt;230;$X52&lt;=250);0,4;TRUE;0,2);IFS(AND($X52&gt;=140;$X52&lt;=170);1;AND($X52&gt;=120;$X52&lt;140);0,7;AND($X52&gt;170;$X52&lt;=190);0,7;AND($X52&gt;=100;$X52&lt;120);0,4;AND($X52&gt;190;$X52&lt;=210);0,4;TRUE;0,2)))));1);""))</f>
        <v/>
      </c>
      <c r="Z52">
        <f>IF($A52="";"";TEXTJOIN(", ";TRUE;IF($B52="";"Тренировка";"");IF($C52="";"Кардио";"");IF($D52="";"Шаги";"");IF($E52="";"Английский";"");IF($F52="";"Код-режим";"");IF($G52="";"Код-тема";"");IF($H52="";"Чтение";"");IF($L52="";"Сон";"");IF($M52="";"Режим";"");IF($N52="";"Продуктивность";"");IF($O52="";"Настроение";"");IF($P52="";"Энергия";"");IF($U52="";"Еда";"")))</f>
        <v/>
      </c>
    </row>
    <row r="53">
      <c r="A53" s="2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>
        <f>IF($A53="";"";IF(SUMIF(FoodLog!$A:$A;$A53;FoodLog!$I:$I)=0;"";SUMIF(FoodLog!$A:$A;$A53;FoodLog!$I:$I)))</f>
        <v/>
      </c>
      <c r="V53">
        <f>IF($A53="";"";IF(SUMIF(FoodLog!$A:$A;$A53;FoodLog!$F:$F)=0;"";SUMIF(FoodLog!$A:$A;$A53;FoodLog!$F:$F)))</f>
        <v/>
      </c>
      <c r="W53">
        <f>IF($A53="";"";IF(SUMIF(FoodLog!$A:$A;$A53;FoodLog!$G:$G)=0;"";SUMIF(FoodLog!$A:$A;$A53;FoodLog!$G:$G)))</f>
        <v/>
      </c>
      <c r="X53">
        <f>IF($A53="";"";IF(SUMIF(FoodLog!$A:$A;$A53;FoodLog!$H:$H)=0;"";SUMIF(FoodLog!$A:$A;$A53;FoodLog!$H:$H)))</f>
        <v/>
      </c>
      <c r="Y53">
        <f>IF($A53="";"";IFERROR(ROUND(100*AVERAGE(IF($B53="";"";XLOOKUP($B53;FILTER(Dictionaries!$B:$B;Dictionaries!$A:$A="Тренировка");FILTER(Dictionaries!$C:$C;Dictionaries!$A:$A="Тренировка")));IF($C53="";"";MIN($C53/40;1));IF($D53="";"";XLOOKUP($D53;FILTER(Dictionaries!$B:$B;Dictionaries!$A:$A="Шаги");FILTER(Dictionaries!$C:$C;Dictionaries!$A:$A="Шаги")));IF($E53="";"";MIN($E53/120;1));IF(OR($F53&lt;&gt;"";$G53&lt;&gt;"");1;"");IF($H53="";"";MIN($H53/100;1));IF($L53="";"";XLOOKUP($L53;FILTER(Dictionaries!$B:$B;Dictionaries!$A:$A="Сон_часы");FILTER(Dictionaries!$C:$C;Dictionaries!$A:$A="Сон_часы")));IF($M53="";"";XLOOKUP($M53;FILTER(Dictionaries!$B:$B;Dictionaries!$A:$A="Режим");FILTER(Dictionaries!$C:$C;Dictionaries!$A:$A="Режим")));IF($N53="";"";MIN($N53/100;1));IF($O53="";"";XLOOKUP($O53;FILTER(Dictionaries!$B:$B;Dictionaries!$A:$A="Настроение");FILTER(Dictionaries!$C:$C;Dictionaries!$A:$A="Настроение")));IF($P53="";"";XLOOKUP($P53;FILTER(Dictionaries!$B:$B;Dictionaries!$A:$A="Энергия");FILTER(Dictionaries!$C:$C;Dictionaries!$A:$A="Энергия")));IF($U53="";"";AVERAGE(IF(OR($B53="Ноги";$B53="Верх");IFS(AND($U53&gt;=1900;$U53&lt;=2050);1;AND($U53&gt;=1850;$U53&lt;1900);0,7;AND($U53&gt;2050;$U53&lt;=2100);0,7;TRUE;0,2);IFS(AND($U53&gt;=1700;$U53&lt;=1850);1;AND($U53&gt;=1650;$U53&lt;1700);0,7;AND($U53&gt;1850;$U53&lt;=1900);0,7;TRUE;0,2));IF(OR($B53="Ноги";$B53="Верх");IFS(AND($V53&gt;=125;$V53&lt;=135);1;AND($V53&gt;=115;$V53&lt;125);0,7;AND($V53&gt;135;$V53&lt;=145);0,7;AND($V53&gt;=105;$V53&lt;115);0,4;AND($V53&gt;145;$V53&lt;=155);0,4;TRUE;0,2);IFS(AND($V53&gt;=120;$V53&lt;=130);1;AND($V53&gt;=110;$V53&lt;120);0,7;AND($V53&gt;130;$V53&lt;=140);0,7;AND($V53&gt;=100;$V53&lt;110);0,4;AND($V53&gt;140;$V53&lt;=150);0,4;TRUE;0,2));IFS(AND($W53&gt;=55;$W53&lt;=65);1;AND($W53&gt;=50;$W53&lt;55);0,7;AND($W53&gt;65;$W53&lt;=70);0,7;AND($W53&gt;=45;$W53&lt;50);0,4;AND($W53&gt;70;$W53&lt;=75);0,4;TRUE;0,2);IF(OR($B53="Ноги";$B53="Верх");IFS(AND($X53&gt;=180;$X53&lt;=210);1;AND($X53&gt;=160;$X53&lt;180);0,7;AND($X53&gt;210;$X53&lt;=230);0,7;AND($X53&gt;=140;$X53&lt;160);0,4;AND($X53&gt;230;$X53&lt;=250);0,4;TRUE;0,2);IFS(AND($X53&gt;=140;$X53&lt;=170);1;AND($X53&gt;=120;$X53&lt;140);0,7;AND($X53&gt;170;$X53&lt;=190);0,7;AND($X53&gt;=100;$X53&lt;120);0,4;AND($X53&gt;190;$X53&lt;=210);0,4;TRUE;0,2)))));1);""))</f>
        <v/>
      </c>
      <c r="Z53">
        <f>IF($A53="";"";TEXTJOIN(", ";TRUE;IF($B53="";"Тренировка";"");IF($C53="";"Кардио";"");IF($D53="";"Шаги";"");IF($E53="";"Английский";"");IF($F53="";"Код-режим";"");IF($G53="";"Код-тема";"");IF($H53="";"Чтение";"");IF($L53="";"Сон";"");IF($M53="";"Режим";"");IF($N53="";"Продуктивность";"");IF($O53="";"Настроение";"");IF($P53="";"Энергия";"");IF($U53="";"Еда";"")))</f>
        <v/>
      </c>
    </row>
    <row r="54">
      <c r="A54" s="2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>
        <f>IF($A54="";"";IF(SUMIF(FoodLog!$A:$A;$A54;FoodLog!$I:$I)=0;"";SUMIF(FoodLog!$A:$A;$A54;FoodLog!$I:$I)))</f>
        <v/>
      </c>
      <c r="V54">
        <f>IF($A54="";"";IF(SUMIF(FoodLog!$A:$A;$A54;FoodLog!$F:$F)=0;"";SUMIF(FoodLog!$A:$A;$A54;FoodLog!$F:$F)))</f>
        <v/>
      </c>
      <c r="W54">
        <f>IF($A54="";"";IF(SUMIF(FoodLog!$A:$A;$A54;FoodLog!$G:$G)=0;"";SUMIF(FoodLog!$A:$A;$A54;FoodLog!$G:$G)))</f>
        <v/>
      </c>
      <c r="X54">
        <f>IF($A54="";"";IF(SUMIF(FoodLog!$A:$A;$A54;FoodLog!$H:$H)=0;"";SUMIF(FoodLog!$A:$A;$A54;FoodLog!$H:$H)))</f>
        <v/>
      </c>
      <c r="Y54">
        <f>IF($A54="";"";IFERROR(ROUND(100*AVERAGE(IF($B54="";"";XLOOKUP($B54;FILTER(Dictionaries!$B:$B;Dictionaries!$A:$A="Тренировка");FILTER(Dictionaries!$C:$C;Dictionaries!$A:$A="Тренировка")));IF($C54="";"";MIN($C54/40;1));IF($D54="";"";XLOOKUP($D54;FILTER(Dictionaries!$B:$B;Dictionaries!$A:$A="Шаги");FILTER(Dictionaries!$C:$C;Dictionaries!$A:$A="Шаги")));IF($E54="";"";MIN($E54/120;1));IF(OR($F54&lt;&gt;"";$G54&lt;&gt;"");1;"");IF($H54="";"";MIN($H54/100;1));IF($L54="";"";XLOOKUP($L54;FILTER(Dictionaries!$B:$B;Dictionaries!$A:$A="Сон_часы");FILTER(Dictionaries!$C:$C;Dictionaries!$A:$A="Сон_часы")));IF($M54="";"";XLOOKUP($M54;FILTER(Dictionaries!$B:$B;Dictionaries!$A:$A="Режим");FILTER(Dictionaries!$C:$C;Dictionaries!$A:$A="Режим")));IF($N54="";"";MIN($N54/100;1));IF($O54="";"";XLOOKUP($O54;FILTER(Dictionaries!$B:$B;Dictionaries!$A:$A="Настроение");FILTER(Dictionaries!$C:$C;Dictionaries!$A:$A="Настроение")));IF($P54="";"";XLOOKUP($P54;FILTER(Dictionaries!$B:$B;Dictionaries!$A:$A="Энергия");FILTER(Dictionaries!$C:$C;Dictionaries!$A:$A="Энергия")));IF($U54="";"";AVERAGE(IF(OR($B54="Ноги";$B54="Верх");IFS(AND($U54&gt;=1900;$U54&lt;=2050);1;AND($U54&gt;=1850;$U54&lt;1900);0,7;AND($U54&gt;2050;$U54&lt;=2100);0,7;TRUE;0,2);IFS(AND($U54&gt;=1700;$U54&lt;=1850);1;AND($U54&gt;=1650;$U54&lt;1700);0,7;AND($U54&gt;1850;$U54&lt;=1900);0,7;TRUE;0,2));IF(OR($B54="Ноги";$B54="Верх");IFS(AND($V54&gt;=125;$V54&lt;=135);1;AND($V54&gt;=115;$V54&lt;125);0,7;AND($V54&gt;135;$V54&lt;=145);0,7;AND($V54&gt;=105;$V54&lt;115);0,4;AND($V54&gt;145;$V54&lt;=155);0,4;TRUE;0,2);IFS(AND($V54&gt;=120;$V54&lt;=130);1;AND($V54&gt;=110;$V54&lt;120);0,7;AND($V54&gt;130;$V54&lt;=140);0,7;AND($V54&gt;=100;$V54&lt;110);0,4;AND($V54&gt;140;$V54&lt;=150);0,4;TRUE;0,2));IFS(AND($W54&gt;=55;$W54&lt;=65);1;AND($W54&gt;=50;$W54&lt;55);0,7;AND($W54&gt;65;$W54&lt;=70);0,7;AND($W54&gt;=45;$W54&lt;50);0,4;AND($W54&gt;70;$W54&lt;=75);0,4;TRUE;0,2);IF(OR($B54="Ноги";$B54="Верх");IFS(AND($X54&gt;=180;$X54&lt;=210);1;AND($X54&gt;=160;$X54&lt;180);0,7;AND($X54&gt;210;$X54&lt;=230);0,7;AND($X54&gt;=140;$X54&lt;160);0,4;AND($X54&gt;230;$X54&lt;=250);0,4;TRUE;0,2);IFS(AND($X54&gt;=140;$X54&lt;=170);1;AND($X54&gt;=120;$X54&lt;140);0,7;AND($X54&gt;170;$X54&lt;=190);0,7;AND($X54&gt;=100;$X54&lt;120);0,4;AND($X54&gt;190;$X54&lt;=210);0,4;TRUE;0,2)))));1);""))</f>
        <v/>
      </c>
      <c r="Z54">
        <f>IF($A54="";"";TEXTJOIN(", ";TRUE;IF($B54="";"Тренировка";"");IF($C54="";"Кардио";"");IF($D54="";"Шаги";"");IF($E54="";"Английский";"");IF($F54="";"Код-режим";"");IF($G54="";"Код-тема";"");IF($H54="";"Чтение";"");IF($L54="";"Сон";"");IF($M54="";"Режим";"");IF($N54="";"Продуктивность";"");IF($O54="";"Настроение";"");IF($P54="";"Энергия";"");IF($U54="";"Еда";"")))</f>
        <v/>
      </c>
    </row>
    <row r="55">
      <c r="A55" s="2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>
        <f>IF($A55="";"";IF(SUMIF(FoodLog!$A:$A;$A55;FoodLog!$I:$I)=0;"";SUMIF(FoodLog!$A:$A;$A55;FoodLog!$I:$I)))</f>
        <v/>
      </c>
      <c r="V55">
        <f>IF($A55="";"";IF(SUMIF(FoodLog!$A:$A;$A55;FoodLog!$F:$F)=0;"";SUMIF(FoodLog!$A:$A;$A55;FoodLog!$F:$F)))</f>
        <v/>
      </c>
      <c r="W55">
        <f>IF($A55="";"";IF(SUMIF(FoodLog!$A:$A;$A55;FoodLog!$G:$G)=0;"";SUMIF(FoodLog!$A:$A;$A55;FoodLog!$G:$G)))</f>
        <v/>
      </c>
      <c r="X55">
        <f>IF($A55="";"";IF(SUMIF(FoodLog!$A:$A;$A55;FoodLog!$H:$H)=0;"";SUMIF(FoodLog!$A:$A;$A55;FoodLog!$H:$H)))</f>
        <v/>
      </c>
      <c r="Y55">
        <f>IF($A55="";"";IFERROR(ROUND(100*AVERAGE(IF($B55="";"";XLOOKUP($B55;FILTER(Dictionaries!$B:$B;Dictionaries!$A:$A="Тренировка");FILTER(Dictionaries!$C:$C;Dictionaries!$A:$A="Тренировка")));IF($C55="";"";MIN($C55/40;1));IF($D55="";"";XLOOKUP($D55;FILTER(Dictionaries!$B:$B;Dictionaries!$A:$A="Шаги");FILTER(Dictionaries!$C:$C;Dictionaries!$A:$A="Шаги")));IF($E55="";"";MIN($E55/120;1));IF(OR($F55&lt;&gt;"";$G55&lt;&gt;"");1;"");IF($H55="";"";MIN($H55/100;1));IF($L55="";"";XLOOKUP($L55;FILTER(Dictionaries!$B:$B;Dictionaries!$A:$A="Сон_часы");FILTER(Dictionaries!$C:$C;Dictionaries!$A:$A="Сон_часы")));IF($M55="";"";XLOOKUP($M55;FILTER(Dictionaries!$B:$B;Dictionaries!$A:$A="Режим");FILTER(Dictionaries!$C:$C;Dictionaries!$A:$A="Режим")));IF($N55="";"";MIN($N55/100;1));IF($O55="";"";XLOOKUP($O55;FILTER(Dictionaries!$B:$B;Dictionaries!$A:$A="Настроение");FILTER(Dictionaries!$C:$C;Dictionaries!$A:$A="Настроение")));IF($P55="";"";XLOOKUP($P55;FILTER(Dictionaries!$B:$B;Dictionaries!$A:$A="Энергия");FILTER(Dictionaries!$C:$C;Dictionaries!$A:$A="Энергия")));IF($U55="";"";AVERAGE(IF(OR($B55="Ноги";$B55="Верх");IFS(AND($U55&gt;=1900;$U55&lt;=2050);1;AND($U55&gt;=1850;$U55&lt;1900);0,7;AND($U55&gt;2050;$U55&lt;=2100);0,7;TRUE;0,2);IFS(AND($U55&gt;=1700;$U55&lt;=1850);1;AND($U55&gt;=1650;$U55&lt;1700);0,7;AND($U55&gt;1850;$U55&lt;=1900);0,7;TRUE;0,2));IF(OR($B55="Ноги";$B55="Верх");IFS(AND($V55&gt;=125;$V55&lt;=135);1;AND($V55&gt;=115;$V55&lt;125);0,7;AND($V55&gt;135;$V55&lt;=145);0,7;AND($V55&gt;=105;$V55&lt;115);0,4;AND($V55&gt;145;$V55&lt;=155);0,4;TRUE;0,2);IFS(AND($V55&gt;=120;$V55&lt;=130);1;AND($V55&gt;=110;$V55&lt;120);0,7;AND($V55&gt;130;$V55&lt;=140);0,7;AND($V55&gt;=100;$V55&lt;110);0,4;AND($V55&gt;140;$V55&lt;=150);0,4;TRUE;0,2));IFS(AND($W55&gt;=55;$W55&lt;=65);1;AND($W55&gt;=50;$W55&lt;55);0,7;AND($W55&gt;65;$W55&lt;=70);0,7;AND($W55&gt;=45;$W55&lt;50);0,4;AND($W55&gt;70;$W55&lt;=75);0,4;TRUE;0,2);IF(OR($B55="Ноги";$B55="Верх");IFS(AND($X55&gt;=180;$X55&lt;=210);1;AND($X55&gt;=160;$X55&lt;180);0,7;AND($X55&gt;210;$X55&lt;=230);0,7;AND($X55&gt;=140;$X55&lt;160);0,4;AND($X55&gt;230;$X55&lt;=250);0,4;TRUE;0,2);IFS(AND($X55&gt;=140;$X55&lt;=170);1;AND($X55&gt;=120;$X55&lt;140);0,7;AND($X55&gt;170;$X55&lt;=190);0,7;AND($X55&gt;=100;$X55&lt;120);0,4;AND($X55&gt;190;$X55&lt;=210);0,4;TRUE;0,2)))));1);""))</f>
        <v/>
      </c>
      <c r="Z55">
        <f>IF($A55="";"";TEXTJOIN(", ";TRUE;IF($B55="";"Тренировка";"");IF($C55="";"Кардио";"");IF($D55="";"Шаги";"");IF($E55="";"Английский";"");IF($F55="";"Код-режим";"");IF($G55="";"Код-тема";"");IF($H55="";"Чтение";"");IF($L55="";"Сон";"");IF($M55="";"Режим";"");IF($N55="";"Продуктивность";"");IF($O55="";"Настроение";"");IF($P55="";"Энергия";"");IF($U55="";"Еда";"")))</f>
        <v/>
      </c>
    </row>
    <row r="56">
      <c r="A56" s="2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 t="inlineStr"/>
      <c r="Q56" t="inlineStr"/>
      <c r="R56" t="inlineStr"/>
      <c r="S56" t="inlineStr"/>
      <c r="T56" t="inlineStr"/>
      <c r="U56">
        <f>IF($A56="";"";IF(SUMIF(FoodLog!$A:$A;$A56;FoodLog!$I:$I)=0;"";SUMIF(FoodLog!$A:$A;$A56;FoodLog!$I:$I)))</f>
        <v/>
      </c>
      <c r="V56">
        <f>IF($A56="";"";IF(SUMIF(FoodLog!$A:$A;$A56;FoodLog!$F:$F)=0;"";SUMIF(FoodLog!$A:$A;$A56;FoodLog!$F:$F)))</f>
        <v/>
      </c>
      <c r="W56">
        <f>IF($A56="";"";IF(SUMIF(FoodLog!$A:$A;$A56;FoodLog!$G:$G)=0;"";SUMIF(FoodLog!$A:$A;$A56;FoodLog!$G:$G)))</f>
        <v/>
      </c>
      <c r="X56">
        <f>IF($A56="";"";IF(SUMIF(FoodLog!$A:$A;$A56;FoodLog!$H:$H)=0;"";SUMIF(FoodLog!$A:$A;$A56;FoodLog!$H:$H)))</f>
        <v/>
      </c>
      <c r="Y56">
        <f>IF($A56="";"";IFERROR(ROUND(100*AVERAGE(IF($B56="";"";XLOOKUP($B56;FILTER(Dictionaries!$B:$B;Dictionaries!$A:$A="Тренировка");FILTER(Dictionaries!$C:$C;Dictionaries!$A:$A="Тренировка")));IF($C56="";"";MIN($C56/40;1));IF($D56="";"";XLOOKUP($D56;FILTER(Dictionaries!$B:$B;Dictionaries!$A:$A="Шаги");FILTER(Dictionaries!$C:$C;Dictionaries!$A:$A="Шаги")));IF($E56="";"";MIN($E56/120;1));IF(OR($F56&lt;&gt;"";$G56&lt;&gt;"");1;"");IF($H56="";"";MIN($H56/100;1));IF($L56="";"";XLOOKUP($L56;FILTER(Dictionaries!$B:$B;Dictionaries!$A:$A="Сон_часы");FILTER(Dictionaries!$C:$C;Dictionaries!$A:$A="Сон_часы")));IF($M56="";"";XLOOKUP($M56;FILTER(Dictionaries!$B:$B;Dictionaries!$A:$A="Режим");FILTER(Dictionaries!$C:$C;Dictionaries!$A:$A="Режим")));IF($N56="";"";MIN($N56/100;1));IF($O56="";"";XLOOKUP($O56;FILTER(Dictionaries!$B:$B;Dictionaries!$A:$A="Настроение");FILTER(Dictionaries!$C:$C;Dictionaries!$A:$A="Настроение")));IF($P56="";"";XLOOKUP($P56;FILTER(Dictionaries!$B:$B;Dictionaries!$A:$A="Энергия");FILTER(Dictionaries!$C:$C;Dictionaries!$A:$A="Энергия")));IF($U56="";"";AVERAGE(IF(OR($B56="Ноги";$B56="Верх");IFS(AND($U56&gt;=1900;$U56&lt;=2050);1;AND($U56&gt;=1850;$U56&lt;1900);0,7;AND($U56&gt;2050;$U56&lt;=2100);0,7;TRUE;0,2);IFS(AND($U56&gt;=1700;$U56&lt;=1850);1;AND($U56&gt;=1650;$U56&lt;1700);0,7;AND($U56&gt;1850;$U56&lt;=1900);0,7;TRUE;0,2));IF(OR($B56="Ноги";$B56="Верх");IFS(AND($V56&gt;=125;$V56&lt;=135);1;AND($V56&gt;=115;$V56&lt;125);0,7;AND($V56&gt;135;$V56&lt;=145);0,7;AND($V56&gt;=105;$V56&lt;115);0,4;AND($V56&gt;145;$V56&lt;=155);0,4;TRUE;0,2);IFS(AND($V56&gt;=120;$V56&lt;=130);1;AND($V56&gt;=110;$V56&lt;120);0,7;AND($V56&gt;130;$V56&lt;=140);0,7;AND($V56&gt;=100;$V56&lt;110);0,4;AND($V56&gt;140;$V56&lt;=150);0,4;TRUE;0,2));IFS(AND($W56&gt;=55;$W56&lt;=65);1;AND($W56&gt;=50;$W56&lt;55);0,7;AND($W56&gt;65;$W56&lt;=70);0,7;AND($W56&gt;=45;$W56&lt;50);0,4;AND($W56&gt;70;$W56&lt;=75);0,4;TRUE;0,2);IF(OR($B56="Ноги";$B56="Верх");IFS(AND($X56&gt;=180;$X56&lt;=210);1;AND($X56&gt;=160;$X56&lt;180);0,7;AND($X56&gt;210;$X56&lt;=230);0,7;AND($X56&gt;=140;$X56&lt;160);0,4;AND($X56&gt;230;$X56&lt;=250);0,4;TRUE;0,2);IFS(AND($X56&gt;=140;$X56&lt;=170);1;AND($X56&gt;=120;$X56&lt;140);0,7;AND($X56&gt;170;$X56&lt;=190);0,7;AND($X56&gt;=100;$X56&lt;120);0,4;AND($X56&gt;190;$X56&lt;=210);0,4;TRUE;0,2)))));1);""))</f>
        <v/>
      </c>
      <c r="Z56">
        <f>IF($A56="";"";TEXTJOIN(", ";TRUE;IF($B56="";"Тренировка";"");IF($C56="";"Кардио";"");IF($D56="";"Шаги";"");IF($E56="";"Английский";"");IF($F56="";"Код-режим";"");IF($G56="";"Код-тема";"");IF($H56="";"Чтение";"");IF($L56="";"Сон";"");IF($M56="";"Режим";"");IF($N56="";"Продуктивность";"");IF($O56="";"Настроение";"");IF($P56="";"Энергия";"");IF($U56="";"Еда";"")))</f>
        <v/>
      </c>
    </row>
    <row r="57">
      <c r="A57" s="2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>
        <f>IF($A57="";"";IF(SUMIF(FoodLog!$A:$A;$A57;FoodLog!$I:$I)=0;"";SUMIF(FoodLog!$A:$A;$A57;FoodLog!$I:$I)))</f>
        <v/>
      </c>
      <c r="V57">
        <f>IF($A57="";"";IF(SUMIF(FoodLog!$A:$A;$A57;FoodLog!$F:$F)=0;"";SUMIF(FoodLog!$A:$A;$A57;FoodLog!$F:$F)))</f>
        <v/>
      </c>
      <c r="W57">
        <f>IF($A57="";"";IF(SUMIF(FoodLog!$A:$A;$A57;FoodLog!$G:$G)=0;"";SUMIF(FoodLog!$A:$A;$A57;FoodLog!$G:$G)))</f>
        <v/>
      </c>
      <c r="X57">
        <f>IF($A57="";"";IF(SUMIF(FoodLog!$A:$A;$A57;FoodLog!$H:$H)=0;"";SUMIF(FoodLog!$A:$A;$A57;FoodLog!$H:$H)))</f>
        <v/>
      </c>
      <c r="Y57">
        <f>IF($A57="";"";IFERROR(ROUND(100*AVERAGE(IF($B57="";"";XLOOKUP($B57;FILTER(Dictionaries!$B:$B;Dictionaries!$A:$A="Тренировка");FILTER(Dictionaries!$C:$C;Dictionaries!$A:$A="Тренировка")));IF($C57="";"";MIN($C57/40;1));IF($D57="";"";XLOOKUP($D57;FILTER(Dictionaries!$B:$B;Dictionaries!$A:$A="Шаги");FILTER(Dictionaries!$C:$C;Dictionaries!$A:$A="Шаги")));IF($E57="";"";MIN($E57/120;1));IF(OR($F57&lt;&gt;"";$G57&lt;&gt;"");1;"");IF($H57="";"";MIN($H57/100;1));IF($L57="";"";XLOOKUP($L57;FILTER(Dictionaries!$B:$B;Dictionaries!$A:$A="Сон_часы");FILTER(Dictionaries!$C:$C;Dictionaries!$A:$A="Сон_часы")));IF($M57="";"";XLOOKUP($M57;FILTER(Dictionaries!$B:$B;Dictionaries!$A:$A="Режим");FILTER(Dictionaries!$C:$C;Dictionaries!$A:$A="Режим")));IF($N57="";"";MIN($N57/100;1));IF($O57="";"";XLOOKUP($O57;FILTER(Dictionaries!$B:$B;Dictionaries!$A:$A="Настроение");FILTER(Dictionaries!$C:$C;Dictionaries!$A:$A="Настроение")));IF($P57="";"";XLOOKUP($P57;FILTER(Dictionaries!$B:$B;Dictionaries!$A:$A="Энергия");FILTER(Dictionaries!$C:$C;Dictionaries!$A:$A="Энергия")));IF($U57="";"";AVERAGE(IF(OR($B57="Ноги";$B57="Верх");IFS(AND($U57&gt;=1900;$U57&lt;=2050);1;AND($U57&gt;=1850;$U57&lt;1900);0,7;AND($U57&gt;2050;$U57&lt;=2100);0,7;TRUE;0,2);IFS(AND($U57&gt;=1700;$U57&lt;=1850);1;AND($U57&gt;=1650;$U57&lt;1700);0,7;AND($U57&gt;1850;$U57&lt;=1900);0,7;TRUE;0,2));IF(OR($B57="Ноги";$B57="Верх");IFS(AND($V57&gt;=125;$V57&lt;=135);1;AND($V57&gt;=115;$V57&lt;125);0,7;AND($V57&gt;135;$V57&lt;=145);0,7;AND($V57&gt;=105;$V57&lt;115);0,4;AND($V57&gt;145;$V57&lt;=155);0,4;TRUE;0,2);IFS(AND($V57&gt;=120;$V57&lt;=130);1;AND($V57&gt;=110;$V57&lt;120);0,7;AND($V57&gt;130;$V57&lt;=140);0,7;AND($V57&gt;=100;$V57&lt;110);0,4;AND($V57&gt;140;$V57&lt;=150);0,4;TRUE;0,2));IFS(AND($W57&gt;=55;$W57&lt;=65);1;AND($W57&gt;=50;$W57&lt;55);0,7;AND($W57&gt;65;$W57&lt;=70);0,7;AND($W57&gt;=45;$W57&lt;50);0,4;AND($W57&gt;70;$W57&lt;=75);0,4;TRUE;0,2);IF(OR($B57="Ноги";$B57="Верх");IFS(AND($X57&gt;=180;$X57&lt;=210);1;AND($X57&gt;=160;$X57&lt;180);0,7;AND($X57&gt;210;$X57&lt;=230);0,7;AND($X57&gt;=140;$X57&lt;160);0,4;AND($X57&gt;230;$X57&lt;=250);0,4;TRUE;0,2);IFS(AND($X57&gt;=140;$X57&lt;=170);1;AND($X57&gt;=120;$X57&lt;140);0,7;AND($X57&gt;170;$X57&lt;=190);0,7;AND($X57&gt;=100;$X57&lt;120);0,4;AND($X57&gt;190;$X57&lt;=210);0,4;TRUE;0,2)))));1);""))</f>
        <v/>
      </c>
      <c r="Z57">
        <f>IF($A57="";"";TEXTJOIN(", ";TRUE;IF($B57="";"Тренировка";"");IF($C57="";"Кардио";"");IF($D57="";"Шаги";"");IF($E57="";"Английский";"");IF($F57="";"Код-режим";"");IF($G57="";"Код-тема";"");IF($H57="";"Чтение";"");IF($L57="";"Сон";"");IF($M57="";"Режим";"");IF($N57="";"Продуктивность";"");IF($O57="";"Настроение";"");IF($P57="";"Энергия";"");IF($U57="";"Еда";"")))</f>
        <v/>
      </c>
    </row>
    <row r="58">
      <c r="A58" s="2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  <c r="R58" t="inlineStr"/>
      <c r="S58" t="inlineStr"/>
      <c r="T58" t="inlineStr"/>
      <c r="U58">
        <f>IF($A58="";"";IF(SUMIF(FoodLog!$A:$A;$A58;FoodLog!$I:$I)=0;"";SUMIF(FoodLog!$A:$A;$A58;FoodLog!$I:$I)))</f>
        <v/>
      </c>
      <c r="V58">
        <f>IF($A58="";"";IF(SUMIF(FoodLog!$A:$A;$A58;FoodLog!$F:$F)=0;"";SUMIF(FoodLog!$A:$A;$A58;FoodLog!$F:$F)))</f>
        <v/>
      </c>
      <c r="W58">
        <f>IF($A58="";"";IF(SUMIF(FoodLog!$A:$A;$A58;FoodLog!$G:$G)=0;"";SUMIF(FoodLog!$A:$A;$A58;FoodLog!$G:$G)))</f>
        <v/>
      </c>
      <c r="X58">
        <f>IF($A58="";"";IF(SUMIF(FoodLog!$A:$A;$A58;FoodLog!$H:$H)=0;"";SUMIF(FoodLog!$A:$A;$A58;FoodLog!$H:$H)))</f>
        <v/>
      </c>
      <c r="Y58">
        <f>IF($A58="";"";IFERROR(ROUND(100*AVERAGE(IF($B58="";"";XLOOKUP($B58;FILTER(Dictionaries!$B:$B;Dictionaries!$A:$A="Тренировка");FILTER(Dictionaries!$C:$C;Dictionaries!$A:$A="Тренировка")));IF($C58="";"";MIN($C58/40;1));IF($D58="";"";XLOOKUP($D58;FILTER(Dictionaries!$B:$B;Dictionaries!$A:$A="Шаги");FILTER(Dictionaries!$C:$C;Dictionaries!$A:$A="Шаги")));IF($E58="";"";MIN($E58/120;1));IF(OR($F58&lt;&gt;"";$G58&lt;&gt;"");1;"");IF($H58="";"";MIN($H58/100;1));IF($L58="";"";XLOOKUP($L58;FILTER(Dictionaries!$B:$B;Dictionaries!$A:$A="Сон_часы");FILTER(Dictionaries!$C:$C;Dictionaries!$A:$A="Сон_часы")));IF($M58="";"";XLOOKUP($M58;FILTER(Dictionaries!$B:$B;Dictionaries!$A:$A="Режим");FILTER(Dictionaries!$C:$C;Dictionaries!$A:$A="Режим")));IF($N58="";"";MIN($N58/100;1));IF($O58="";"";XLOOKUP($O58;FILTER(Dictionaries!$B:$B;Dictionaries!$A:$A="Настроение");FILTER(Dictionaries!$C:$C;Dictionaries!$A:$A="Настроение")));IF($P58="";"";XLOOKUP($P58;FILTER(Dictionaries!$B:$B;Dictionaries!$A:$A="Энергия");FILTER(Dictionaries!$C:$C;Dictionaries!$A:$A="Энергия")));IF($U58="";"";AVERAGE(IF(OR($B58="Ноги";$B58="Верх");IFS(AND($U58&gt;=1900;$U58&lt;=2050);1;AND($U58&gt;=1850;$U58&lt;1900);0,7;AND($U58&gt;2050;$U58&lt;=2100);0,7;TRUE;0,2);IFS(AND($U58&gt;=1700;$U58&lt;=1850);1;AND($U58&gt;=1650;$U58&lt;1700);0,7;AND($U58&gt;1850;$U58&lt;=1900);0,7;TRUE;0,2));IF(OR($B58="Ноги";$B58="Верх");IFS(AND($V58&gt;=125;$V58&lt;=135);1;AND($V58&gt;=115;$V58&lt;125);0,7;AND($V58&gt;135;$V58&lt;=145);0,7;AND($V58&gt;=105;$V58&lt;115);0,4;AND($V58&gt;145;$V58&lt;=155);0,4;TRUE;0,2);IFS(AND($V58&gt;=120;$V58&lt;=130);1;AND($V58&gt;=110;$V58&lt;120);0,7;AND($V58&gt;130;$V58&lt;=140);0,7;AND($V58&gt;=100;$V58&lt;110);0,4;AND($V58&gt;140;$V58&lt;=150);0,4;TRUE;0,2));IFS(AND($W58&gt;=55;$W58&lt;=65);1;AND($W58&gt;=50;$W58&lt;55);0,7;AND($W58&gt;65;$W58&lt;=70);0,7;AND($W58&gt;=45;$W58&lt;50);0,4;AND($W58&gt;70;$W58&lt;=75);0,4;TRUE;0,2);IF(OR($B58="Ноги";$B58="Верх");IFS(AND($X58&gt;=180;$X58&lt;=210);1;AND($X58&gt;=160;$X58&lt;180);0,7;AND($X58&gt;210;$X58&lt;=230);0,7;AND($X58&gt;=140;$X58&lt;160);0,4;AND($X58&gt;230;$X58&lt;=250);0,4;TRUE;0,2);IFS(AND($X58&gt;=140;$X58&lt;=170);1;AND($X58&gt;=120;$X58&lt;140);0,7;AND($X58&gt;170;$X58&lt;=190);0,7;AND($X58&gt;=100;$X58&lt;120);0,4;AND($X58&gt;190;$X58&lt;=210);0,4;TRUE;0,2)))));1);""))</f>
        <v/>
      </c>
      <c r="Z58">
        <f>IF($A58="";"";TEXTJOIN(", ";TRUE;IF($B58="";"Тренировка";"");IF($C58="";"Кардио";"");IF($D58="";"Шаги";"");IF($E58="";"Английский";"");IF($F58="";"Код-режим";"");IF($G58="";"Код-тема";"");IF($H58="";"Чтение";"");IF($L58="";"Сон";"");IF($M58="";"Режим";"");IF($N58="";"Продуктивность";"");IF($O58="";"Настроение";"");IF($P58="";"Энергия";"");IF($U58="";"Еда";"")))</f>
        <v/>
      </c>
    </row>
    <row r="59">
      <c r="A59" s="2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 t="inlineStr"/>
      <c r="Q59" t="inlineStr"/>
      <c r="R59" t="inlineStr"/>
      <c r="S59" t="inlineStr"/>
      <c r="T59" t="inlineStr"/>
      <c r="U59">
        <f>IF($A59="";"";IF(SUMIF(FoodLog!$A:$A;$A59;FoodLog!$I:$I)=0;"";SUMIF(FoodLog!$A:$A;$A59;FoodLog!$I:$I)))</f>
        <v/>
      </c>
      <c r="V59">
        <f>IF($A59="";"";IF(SUMIF(FoodLog!$A:$A;$A59;FoodLog!$F:$F)=0;"";SUMIF(FoodLog!$A:$A;$A59;FoodLog!$F:$F)))</f>
        <v/>
      </c>
      <c r="W59">
        <f>IF($A59="";"";IF(SUMIF(FoodLog!$A:$A;$A59;FoodLog!$G:$G)=0;"";SUMIF(FoodLog!$A:$A;$A59;FoodLog!$G:$G)))</f>
        <v/>
      </c>
      <c r="X59">
        <f>IF($A59="";"";IF(SUMIF(FoodLog!$A:$A;$A59;FoodLog!$H:$H)=0;"";SUMIF(FoodLog!$A:$A;$A59;FoodLog!$H:$H)))</f>
        <v/>
      </c>
      <c r="Y59">
        <f>IF($A59="";"";IFERROR(ROUND(100*AVERAGE(IF($B59="";"";XLOOKUP($B59;FILTER(Dictionaries!$B:$B;Dictionaries!$A:$A="Тренировка");FILTER(Dictionaries!$C:$C;Dictionaries!$A:$A="Тренировка")));IF($C59="";"";MIN($C59/40;1));IF($D59="";"";XLOOKUP($D59;FILTER(Dictionaries!$B:$B;Dictionaries!$A:$A="Шаги");FILTER(Dictionaries!$C:$C;Dictionaries!$A:$A="Шаги")));IF($E59="";"";MIN($E59/120;1));IF(OR($F59&lt;&gt;"";$G59&lt;&gt;"");1;"");IF($H59="";"";MIN($H59/100;1));IF($L59="";"";XLOOKUP($L59;FILTER(Dictionaries!$B:$B;Dictionaries!$A:$A="Сон_часы");FILTER(Dictionaries!$C:$C;Dictionaries!$A:$A="Сон_часы")));IF($M59="";"";XLOOKUP($M59;FILTER(Dictionaries!$B:$B;Dictionaries!$A:$A="Режим");FILTER(Dictionaries!$C:$C;Dictionaries!$A:$A="Режим")));IF($N59="";"";MIN($N59/100;1));IF($O59="";"";XLOOKUP($O59;FILTER(Dictionaries!$B:$B;Dictionaries!$A:$A="Настроение");FILTER(Dictionaries!$C:$C;Dictionaries!$A:$A="Настроение")));IF($P59="";"";XLOOKUP($P59;FILTER(Dictionaries!$B:$B;Dictionaries!$A:$A="Энергия");FILTER(Dictionaries!$C:$C;Dictionaries!$A:$A="Энергия")));IF($U59="";"";AVERAGE(IF(OR($B59="Ноги";$B59="Верх");IFS(AND($U59&gt;=1900;$U59&lt;=2050);1;AND($U59&gt;=1850;$U59&lt;1900);0,7;AND($U59&gt;2050;$U59&lt;=2100);0,7;TRUE;0,2);IFS(AND($U59&gt;=1700;$U59&lt;=1850);1;AND($U59&gt;=1650;$U59&lt;1700);0,7;AND($U59&gt;1850;$U59&lt;=1900);0,7;TRUE;0,2));IF(OR($B59="Ноги";$B59="Верх");IFS(AND($V59&gt;=125;$V59&lt;=135);1;AND($V59&gt;=115;$V59&lt;125);0,7;AND($V59&gt;135;$V59&lt;=145);0,7;AND($V59&gt;=105;$V59&lt;115);0,4;AND($V59&gt;145;$V59&lt;=155);0,4;TRUE;0,2);IFS(AND($V59&gt;=120;$V59&lt;=130);1;AND($V59&gt;=110;$V59&lt;120);0,7;AND($V59&gt;130;$V59&lt;=140);0,7;AND($V59&gt;=100;$V59&lt;110);0,4;AND($V59&gt;140;$V59&lt;=150);0,4;TRUE;0,2));IFS(AND($W59&gt;=55;$W59&lt;=65);1;AND($W59&gt;=50;$W59&lt;55);0,7;AND($W59&gt;65;$W59&lt;=70);0,7;AND($W59&gt;=45;$W59&lt;50);0,4;AND($W59&gt;70;$W59&lt;=75);0,4;TRUE;0,2);IF(OR($B59="Ноги";$B59="Верх");IFS(AND($X59&gt;=180;$X59&lt;=210);1;AND($X59&gt;=160;$X59&lt;180);0,7;AND($X59&gt;210;$X59&lt;=230);0,7;AND($X59&gt;=140;$X59&lt;160);0,4;AND($X59&gt;230;$X59&lt;=250);0,4;TRUE;0,2);IFS(AND($X59&gt;=140;$X59&lt;=170);1;AND($X59&gt;=120;$X59&lt;140);0,7;AND($X59&gt;170;$X59&lt;=190);0,7;AND($X59&gt;=100;$X59&lt;120);0,4;AND($X59&gt;190;$X59&lt;=210);0,4;TRUE;0,2)))));1);""))</f>
        <v/>
      </c>
      <c r="Z59">
        <f>IF($A59="";"";TEXTJOIN(", ";TRUE;IF($B59="";"Тренировка";"");IF($C59="";"Кардио";"");IF($D59="";"Шаги";"");IF($E59="";"Английский";"");IF($F59="";"Код-режим";"");IF($G59="";"Код-тема";"");IF($H59="";"Чтение";"");IF($L59="";"Сон";"");IF($M59="";"Режим";"");IF($N59="";"Продуктивность";"");IF($O59="";"Настроение";"");IF($P59="";"Энергия";"");IF($U59="";"Еда";"")))</f>
        <v/>
      </c>
    </row>
    <row r="60">
      <c r="A60" s="2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>
        <f>IF($A60="";"";IF(SUMIF(FoodLog!$A:$A;$A60;FoodLog!$I:$I)=0;"";SUMIF(FoodLog!$A:$A;$A60;FoodLog!$I:$I)))</f>
        <v/>
      </c>
      <c r="V60">
        <f>IF($A60="";"";IF(SUMIF(FoodLog!$A:$A;$A60;FoodLog!$F:$F)=0;"";SUMIF(FoodLog!$A:$A;$A60;FoodLog!$F:$F)))</f>
        <v/>
      </c>
      <c r="W60">
        <f>IF($A60="";"";IF(SUMIF(FoodLog!$A:$A;$A60;FoodLog!$G:$G)=0;"";SUMIF(FoodLog!$A:$A;$A60;FoodLog!$G:$G)))</f>
        <v/>
      </c>
      <c r="X60">
        <f>IF($A60="";"";IF(SUMIF(FoodLog!$A:$A;$A60;FoodLog!$H:$H)=0;"";SUMIF(FoodLog!$A:$A;$A60;FoodLog!$H:$H)))</f>
        <v/>
      </c>
      <c r="Y60">
        <f>IF($A60="";"";IFERROR(ROUND(100*AVERAGE(IF($B60="";"";XLOOKUP($B60;FILTER(Dictionaries!$B:$B;Dictionaries!$A:$A="Тренировка");FILTER(Dictionaries!$C:$C;Dictionaries!$A:$A="Тренировка")));IF($C60="";"";MIN($C60/40;1));IF($D60="";"";XLOOKUP($D60;FILTER(Dictionaries!$B:$B;Dictionaries!$A:$A="Шаги");FILTER(Dictionaries!$C:$C;Dictionaries!$A:$A="Шаги")));IF($E60="";"";MIN($E60/120;1));IF(OR($F60&lt;&gt;"";$G60&lt;&gt;"");1;"");IF($H60="";"";MIN($H60/100;1));IF($L60="";"";XLOOKUP($L60;FILTER(Dictionaries!$B:$B;Dictionaries!$A:$A="Сон_часы");FILTER(Dictionaries!$C:$C;Dictionaries!$A:$A="Сон_часы")));IF($M60="";"";XLOOKUP($M60;FILTER(Dictionaries!$B:$B;Dictionaries!$A:$A="Режим");FILTER(Dictionaries!$C:$C;Dictionaries!$A:$A="Режим")));IF($N60="";"";MIN($N60/100;1));IF($O60="";"";XLOOKUP($O60;FILTER(Dictionaries!$B:$B;Dictionaries!$A:$A="Настроение");FILTER(Dictionaries!$C:$C;Dictionaries!$A:$A="Настроение")));IF($P60="";"";XLOOKUP($P60;FILTER(Dictionaries!$B:$B;Dictionaries!$A:$A="Энергия");FILTER(Dictionaries!$C:$C;Dictionaries!$A:$A="Энергия")));IF($U60="";"";AVERAGE(IF(OR($B60="Ноги";$B60="Верх");IFS(AND($U60&gt;=1900;$U60&lt;=2050);1;AND($U60&gt;=1850;$U60&lt;1900);0,7;AND($U60&gt;2050;$U60&lt;=2100);0,7;TRUE;0,2);IFS(AND($U60&gt;=1700;$U60&lt;=1850);1;AND($U60&gt;=1650;$U60&lt;1700);0,7;AND($U60&gt;1850;$U60&lt;=1900);0,7;TRUE;0,2));IF(OR($B60="Ноги";$B60="Верх");IFS(AND($V60&gt;=125;$V60&lt;=135);1;AND($V60&gt;=115;$V60&lt;125);0,7;AND($V60&gt;135;$V60&lt;=145);0,7;AND($V60&gt;=105;$V60&lt;115);0,4;AND($V60&gt;145;$V60&lt;=155);0,4;TRUE;0,2);IFS(AND($V60&gt;=120;$V60&lt;=130);1;AND($V60&gt;=110;$V60&lt;120);0,7;AND($V60&gt;130;$V60&lt;=140);0,7;AND($V60&gt;=100;$V60&lt;110);0,4;AND($V60&gt;140;$V60&lt;=150);0,4;TRUE;0,2));IFS(AND($W60&gt;=55;$W60&lt;=65);1;AND($W60&gt;=50;$W60&lt;55);0,7;AND($W60&gt;65;$W60&lt;=70);0,7;AND($W60&gt;=45;$W60&lt;50);0,4;AND($W60&gt;70;$W60&lt;=75);0,4;TRUE;0,2);IF(OR($B60="Ноги";$B60="Верх");IFS(AND($X60&gt;=180;$X60&lt;=210);1;AND($X60&gt;=160;$X60&lt;180);0,7;AND($X60&gt;210;$X60&lt;=230);0,7;AND($X60&gt;=140;$X60&lt;160);0,4;AND($X60&gt;230;$X60&lt;=250);0,4;TRUE;0,2);IFS(AND($X60&gt;=140;$X60&lt;=170);1;AND($X60&gt;=120;$X60&lt;140);0,7;AND($X60&gt;170;$X60&lt;=190);0,7;AND($X60&gt;=100;$X60&lt;120);0,4;AND($X60&gt;190;$X60&lt;=210);0,4;TRUE;0,2)))));1);""))</f>
        <v/>
      </c>
      <c r="Z60">
        <f>IF($A60="";"";TEXTJOIN(", ";TRUE;IF($B60="";"Тренировка";"");IF($C60="";"Кардио";"");IF($D60="";"Шаги";"");IF($E60="";"Английский";"");IF($F60="";"Код-режим";"");IF($G60="";"Код-тема";"");IF($H60="";"Чтение";"");IF($L60="";"Сон";"");IF($M60="";"Режим";"");IF($N60="";"Продуктивность";"");IF($O60="";"Настроение";"");IF($P60="";"Энергия";"");IF($U60="";"Еда";"")))</f>
        <v/>
      </c>
    </row>
    <row r="61">
      <c r="A61" s="2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 t="inlineStr"/>
      <c r="Q61" t="inlineStr"/>
      <c r="R61" t="inlineStr"/>
      <c r="S61" t="inlineStr"/>
      <c r="T61" t="inlineStr"/>
      <c r="U61">
        <f>IF($A61="";"";IF(SUMIF(FoodLog!$A:$A;$A61;FoodLog!$I:$I)=0;"";SUMIF(FoodLog!$A:$A;$A61;FoodLog!$I:$I)))</f>
        <v/>
      </c>
      <c r="V61">
        <f>IF($A61="";"";IF(SUMIF(FoodLog!$A:$A;$A61;FoodLog!$F:$F)=0;"";SUMIF(FoodLog!$A:$A;$A61;FoodLog!$F:$F)))</f>
        <v/>
      </c>
      <c r="W61">
        <f>IF($A61="";"";IF(SUMIF(FoodLog!$A:$A;$A61;FoodLog!$G:$G)=0;"";SUMIF(FoodLog!$A:$A;$A61;FoodLog!$G:$G)))</f>
        <v/>
      </c>
      <c r="X61">
        <f>IF($A61="";"";IF(SUMIF(FoodLog!$A:$A;$A61;FoodLog!$H:$H)=0;"";SUMIF(FoodLog!$A:$A;$A61;FoodLog!$H:$H)))</f>
        <v/>
      </c>
      <c r="Y61">
        <f>IF($A61="";"";IFERROR(ROUND(100*AVERAGE(IF($B61="";"";XLOOKUP($B61;FILTER(Dictionaries!$B:$B;Dictionaries!$A:$A="Тренировка");FILTER(Dictionaries!$C:$C;Dictionaries!$A:$A="Тренировка")));IF($C61="";"";MIN($C61/40;1));IF($D61="";"";XLOOKUP($D61;FILTER(Dictionaries!$B:$B;Dictionaries!$A:$A="Шаги");FILTER(Dictionaries!$C:$C;Dictionaries!$A:$A="Шаги")));IF($E61="";"";MIN($E61/120;1));IF(OR($F61&lt;&gt;"";$G61&lt;&gt;"");1;"");IF($H61="";"";MIN($H61/100;1));IF($L61="";"";XLOOKUP($L61;FILTER(Dictionaries!$B:$B;Dictionaries!$A:$A="Сон_часы");FILTER(Dictionaries!$C:$C;Dictionaries!$A:$A="Сон_часы")));IF($M61="";"";XLOOKUP($M61;FILTER(Dictionaries!$B:$B;Dictionaries!$A:$A="Режим");FILTER(Dictionaries!$C:$C;Dictionaries!$A:$A="Режим")));IF($N61="";"";MIN($N61/100;1));IF($O61="";"";XLOOKUP($O61;FILTER(Dictionaries!$B:$B;Dictionaries!$A:$A="Настроение");FILTER(Dictionaries!$C:$C;Dictionaries!$A:$A="Настроение")));IF($P61="";"";XLOOKUP($P61;FILTER(Dictionaries!$B:$B;Dictionaries!$A:$A="Энергия");FILTER(Dictionaries!$C:$C;Dictionaries!$A:$A="Энергия")));IF($U61="";"";AVERAGE(IF(OR($B61="Ноги";$B61="Верх");IFS(AND($U61&gt;=1900;$U61&lt;=2050);1;AND($U61&gt;=1850;$U61&lt;1900);0,7;AND($U61&gt;2050;$U61&lt;=2100);0,7;TRUE;0,2);IFS(AND($U61&gt;=1700;$U61&lt;=1850);1;AND($U61&gt;=1650;$U61&lt;1700);0,7;AND($U61&gt;1850;$U61&lt;=1900);0,7;TRUE;0,2));IF(OR($B61="Ноги";$B61="Верх");IFS(AND($V61&gt;=125;$V61&lt;=135);1;AND($V61&gt;=115;$V61&lt;125);0,7;AND($V61&gt;135;$V61&lt;=145);0,7;AND($V61&gt;=105;$V61&lt;115);0,4;AND($V61&gt;145;$V61&lt;=155);0,4;TRUE;0,2);IFS(AND($V61&gt;=120;$V61&lt;=130);1;AND($V61&gt;=110;$V61&lt;120);0,7;AND($V61&gt;130;$V61&lt;=140);0,7;AND($V61&gt;=100;$V61&lt;110);0,4;AND($V61&gt;140;$V61&lt;=150);0,4;TRUE;0,2));IFS(AND($W61&gt;=55;$W61&lt;=65);1;AND($W61&gt;=50;$W61&lt;55);0,7;AND($W61&gt;65;$W61&lt;=70);0,7;AND($W61&gt;=45;$W61&lt;50);0,4;AND($W61&gt;70;$W61&lt;=75);0,4;TRUE;0,2);IF(OR($B61="Ноги";$B61="Верх");IFS(AND($X61&gt;=180;$X61&lt;=210);1;AND($X61&gt;=160;$X61&lt;180);0,7;AND($X61&gt;210;$X61&lt;=230);0,7;AND($X61&gt;=140;$X61&lt;160);0,4;AND($X61&gt;230;$X61&lt;=250);0,4;TRUE;0,2);IFS(AND($X61&gt;=140;$X61&lt;=170);1;AND($X61&gt;=120;$X61&lt;140);0,7;AND($X61&gt;170;$X61&lt;=190);0,7;AND($X61&gt;=100;$X61&lt;120);0,4;AND($X61&gt;190;$X61&lt;=210);0,4;TRUE;0,2)))));1);""))</f>
        <v/>
      </c>
      <c r="Z61">
        <f>IF($A61="";"";TEXTJOIN(", ";TRUE;IF($B61="";"Тренировка";"");IF($C61="";"Кардио";"");IF($D61="";"Шаги";"");IF($E61="";"Английский";"");IF($F61="";"Код-режим";"");IF($G61="";"Код-тема";"");IF($H61="";"Чтение";"");IF($L61="";"Сон";"");IF($M61="";"Режим";"");IF($N61="";"Продуктивность";"");IF($O61="";"Настроение";"");IF($P61="";"Энергия";"");IF($U61="";"Еда";"")))</f>
        <v/>
      </c>
    </row>
    <row r="62">
      <c r="A62" s="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 t="inlineStr"/>
      <c r="P62" t="inlineStr"/>
      <c r="Q62" t="inlineStr"/>
      <c r="R62" t="inlineStr"/>
      <c r="S62" t="inlineStr"/>
      <c r="T62" t="inlineStr"/>
      <c r="U62">
        <f>IF($A62="";"";IF(SUMIF(FoodLog!$A:$A;$A62;FoodLog!$I:$I)=0;"";SUMIF(FoodLog!$A:$A;$A62;FoodLog!$I:$I)))</f>
        <v/>
      </c>
      <c r="V62">
        <f>IF($A62="";"";IF(SUMIF(FoodLog!$A:$A;$A62;FoodLog!$F:$F)=0;"";SUMIF(FoodLog!$A:$A;$A62;FoodLog!$F:$F)))</f>
        <v/>
      </c>
      <c r="W62">
        <f>IF($A62="";"";IF(SUMIF(FoodLog!$A:$A;$A62;FoodLog!$G:$G)=0;"";SUMIF(FoodLog!$A:$A;$A62;FoodLog!$G:$G)))</f>
        <v/>
      </c>
      <c r="X62">
        <f>IF($A62="";"";IF(SUMIF(FoodLog!$A:$A;$A62;FoodLog!$H:$H)=0;"";SUMIF(FoodLog!$A:$A;$A62;FoodLog!$H:$H)))</f>
        <v/>
      </c>
      <c r="Y62">
        <f>IF($A62="";"";IFERROR(ROUND(100*AVERAGE(IF($B62="";"";XLOOKUP($B62;FILTER(Dictionaries!$B:$B;Dictionaries!$A:$A="Тренировка");FILTER(Dictionaries!$C:$C;Dictionaries!$A:$A="Тренировка")));IF($C62="";"";MIN($C62/40;1));IF($D62="";"";XLOOKUP($D62;FILTER(Dictionaries!$B:$B;Dictionaries!$A:$A="Шаги");FILTER(Dictionaries!$C:$C;Dictionaries!$A:$A="Шаги")));IF($E62="";"";MIN($E62/120;1));IF(OR($F62&lt;&gt;"";$G62&lt;&gt;"");1;"");IF($H62="";"";MIN($H62/100;1));IF($L62="";"";XLOOKUP($L62;FILTER(Dictionaries!$B:$B;Dictionaries!$A:$A="Сон_часы");FILTER(Dictionaries!$C:$C;Dictionaries!$A:$A="Сон_часы")));IF($M62="";"";XLOOKUP($M62;FILTER(Dictionaries!$B:$B;Dictionaries!$A:$A="Режим");FILTER(Dictionaries!$C:$C;Dictionaries!$A:$A="Режим")));IF($N62="";"";MIN($N62/100;1));IF($O62="";"";XLOOKUP($O62;FILTER(Dictionaries!$B:$B;Dictionaries!$A:$A="Настроение");FILTER(Dictionaries!$C:$C;Dictionaries!$A:$A="Настроение")));IF($P62="";"";XLOOKUP($P62;FILTER(Dictionaries!$B:$B;Dictionaries!$A:$A="Энергия");FILTER(Dictionaries!$C:$C;Dictionaries!$A:$A="Энергия")));IF($U62="";"";AVERAGE(IF(OR($B62="Ноги";$B62="Верх");IFS(AND($U62&gt;=1900;$U62&lt;=2050);1;AND($U62&gt;=1850;$U62&lt;1900);0,7;AND($U62&gt;2050;$U62&lt;=2100);0,7;TRUE;0,2);IFS(AND($U62&gt;=1700;$U62&lt;=1850);1;AND($U62&gt;=1650;$U62&lt;1700);0,7;AND($U62&gt;1850;$U62&lt;=1900);0,7;TRUE;0,2));IF(OR($B62="Ноги";$B62="Верх");IFS(AND($V62&gt;=125;$V62&lt;=135);1;AND($V62&gt;=115;$V62&lt;125);0,7;AND($V62&gt;135;$V62&lt;=145);0,7;AND($V62&gt;=105;$V62&lt;115);0,4;AND($V62&gt;145;$V62&lt;=155);0,4;TRUE;0,2);IFS(AND($V62&gt;=120;$V62&lt;=130);1;AND($V62&gt;=110;$V62&lt;120);0,7;AND($V62&gt;130;$V62&lt;=140);0,7;AND($V62&gt;=100;$V62&lt;110);0,4;AND($V62&gt;140;$V62&lt;=150);0,4;TRUE;0,2));IFS(AND($W62&gt;=55;$W62&lt;=65);1;AND($W62&gt;=50;$W62&lt;55);0,7;AND($W62&gt;65;$W62&lt;=70);0,7;AND($W62&gt;=45;$W62&lt;50);0,4;AND($W62&gt;70;$W62&lt;=75);0,4;TRUE;0,2);IF(OR($B62="Ноги";$B62="Верх");IFS(AND($X62&gt;=180;$X62&lt;=210);1;AND($X62&gt;=160;$X62&lt;180);0,7;AND($X62&gt;210;$X62&lt;=230);0,7;AND($X62&gt;=140;$X62&lt;160);0,4;AND($X62&gt;230;$X62&lt;=250);0,4;TRUE;0,2);IFS(AND($X62&gt;=140;$X62&lt;=170);1;AND($X62&gt;=120;$X62&lt;140);0,7;AND($X62&gt;170;$X62&lt;=190);0,7;AND($X62&gt;=100;$X62&lt;120);0,4;AND($X62&gt;190;$X62&lt;=210);0,4;TRUE;0,2)))));1);""))</f>
        <v/>
      </c>
      <c r="Z62">
        <f>IF($A62="";"";TEXTJOIN(", ";TRUE;IF($B62="";"Тренировка";"");IF($C62="";"Кардио";"");IF($D62="";"Шаги";"");IF($E62="";"Английский";"");IF($F62="";"Код-режим";"");IF($G62="";"Код-тема";"");IF($H62="";"Чтение";"");IF($L62="";"Сон";"");IF($M62="";"Режим";"");IF($N62="";"Продуктивность";"");IF($O62="";"Настроение";"");IF($P62="";"Энергия";"");IF($U62="";"Еда";"")))</f>
        <v/>
      </c>
    </row>
    <row r="63">
      <c r="A63" s="2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>
        <f>IF($A63="";"";IF(SUMIF(FoodLog!$A:$A;$A63;FoodLog!$I:$I)=0;"";SUMIF(FoodLog!$A:$A;$A63;FoodLog!$I:$I)))</f>
        <v/>
      </c>
      <c r="V63">
        <f>IF($A63="";"";IF(SUMIF(FoodLog!$A:$A;$A63;FoodLog!$F:$F)=0;"";SUMIF(FoodLog!$A:$A;$A63;FoodLog!$F:$F)))</f>
        <v/>
      </c>
      <c r="W63">
        <f>IF($A63="";"";IF(SUMIF(FoodLog!$A:$A;$A63;FoodLog!$G:$G)=0;"";SUMIF(FoodLog!$A:$A;$A63;FoodLog!$G:$G)))</f>
        <v/>
      </c>
      <c r="X63">
        <f>IF($A63="";"";IF(SUMIF(FoodLog!$A:$A;$A63;FoodLog!$H:$H)=0;"";SUMIF(FoodLog!$A:$A;$A63;FoodLog!$H:$H)))</f>
        <v/>
      </c>
      <c r="Y63">
        <f>IF($A63="";"";IFERROR(ROUND(100*AVERAGE(IF($B63="";"";XLOOKUP($B63;FILTER(Dictionaries!$B:$B;Dictionaries!$A:$A="Тренировка");FILTER(Dictionaries!$C:$C;Dictionaries!$A:$A="Тренировка")));IF($C63="";"";MIN($C63/40;1));IF($D63="";"";XLOOKUP($D63;FILTER(Dictionaries!$B:$B;Dictionaries!$A:$A="Шаги");FILTER(Dictionaries!$C:$C;Dictionaries!$A:$A="Шаги")));IF($E63="";"";MIN($E63/120;1));IF(OR($F63&lt;&gt;"";$G63&lt;&gt;"");1;"");IF($H63="";"";MIN($H63/100;1));IF($L63="";"";XLOOKUP($L63;FILTER(Dictionaries!$B:$B;Dictionaries!$A:$A="Сон_часы");FILTER(Dictionaries!$C:$C;Dictionaries!$A:$A="Сон_часы")));IF($M63="";"";XLOOKUP($M63;FILTER(Dictionaries!$B:$B;Dictionaries!$A:$A="Режим");FILTER(Dictionaries!$C:$C;Dictionaries!$A:$A="Режим")));IF($N63="";"";MIN($N63/100;1));IF($O63="";"";XLOOKUP($O63;FILTER(Dictionaries!$B:$B;Dictionaries!$A:$A="Настроение");FILTER(Dictionaries!$C:$C;Dictionaries!$A:$A="Настроение")));IF($P63="";"";XLOOKUP($P63;FILTER(Dictionaries!$B:$B;Dictionaries!$A:$A="Энергия");FILTER(Dictionaries!$C:$C;Dictionaries!$A:$A="Энергия")));IF($U63="";"";AVERAGE(IF(OR($B63="Ноги";$B63="Верх");IFS(AND($U63&gt;=1900;$U63&lt;=2050);1;AND($U63&gt;=1850;$U63&lt;1900);0,7;AND($U63&gt;2050;$U63&lt;=2100);0,7;TRUE;0,2);IFS(AND($U63&gt;=1700;$U63&lt;=1850);1;AND($U63&gt;=1650;$U63&lt;1700);0,7;AND($U63&gt;1850;$U63&lt;=1900);0,7;TRUE;0,2));IF(OR($B63="Ноги";$B63="Верх");IFS(AND($V63&gt;=125;$V63&lt;=135);1;AND($V63&gt;=115;$V63&lt;125);0,7;AND($V63&gt;135;$V63&lt;=145);0,7;AND($V63&gt;=105;$V63&lt;115);0,4;AND($V63&gt;145;$V63&lt;=155);0,4;TRUE;0,2);IFS(AND($V63&gt;=120;$V63&lt;=130);1;AND($V63&gt;=110;$V63&lt;120);0,7;AND($V63&gt;130;$V63&lt;=140);0,7;AND($V63&gt;=100;$V63&lt;110);0,4;AND($V63&gt;140;$V63&lt;=150);0,4;TRUE;0,2));IFS(AND($W63&gt;=55;$W63&lt;=65);1;AND($W63&gt;=50;$W63&lt;55);0,7;AND($W63&gt;65;$W63&lt;=70);0,7;AND($W63&gt;=45;$W63&lt;50);0,4;AND($W63&gt;70;$W63&lt;=75);0,4;TRUE;0,2);IF(OR($B63="Ноги";$B63="Верх");IFS(AND($X63&gt;=180;$X63&lt;=210);1;AND($X63&gt;=160;$X63&lt;180);0,7;AND($X63&gt;210;$X63&lt;=230);0,7;AND($X63&gt;=140;$X63&lt;160);0,4;AND($X63&gt;230;$X63&lt;=250);0,4;TRUE;0,2);IFS(AND($X63&gt;=140;$X63&lt;=170);1;AND($X63&gt;=120;$X63&lt;140);0,7;AND($X63&gt;170;$X63&lt;=190);0,7;AND($X63&gt;=100;$X63&lt;120);0,4;AND($X63&gt;190;$X63&lt;=210);0,4;TRUE;0,2)))));1);""))</f>
        <v/>
      </c>
      <c r="Z63">
        <f>IF($A63="";"";TEXTJOIN(", ";TRUE;IF($B63="";"Тренировка";"");IF($C63="";"Кардио";"");IF($D63="";"Шаги";"");IF($E63="";"Английский";"");IF($F63="";"Код-режим";"");IF($G63="";"Код-тема";"");IF($H63="";"Чтение";"");IF($L63="";"Сон";"");IF($M63="";"Режим";"");IF($N63="";"Продуктивность";"");IF($O63="";"Настроение";"");IF($P63="";"Энергия";"");IF($U63="";"Еда";"")))</f>
        <v/>
      </c>
    </row>
    <row r="64">
      <c r="A64" s="2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>
        <f>IF($A64="";"";IF(SUMIF(FoodLog!$A:$A;$A64;FoodLog!$I:$I)=0;"";SUMIF(FoodLog!$A:$A;$A64;FoodLog!$I:$I)))</f>
        <v/>
      </c>
      <c r="V64">
        <f>IF($A64="";"";IF(SUMIF(FoodLog!$A:$A;$A64;FoodLog!$F:$F)=0;"";SUMIF(FoodLog!$A:$A;$A64;FoodLog!$F:$F)))</f>
        <v/>
      </c>
      <c r="W64">
        <f>IF($A64="";"";IF(SUMIF(FoodLog!$A:$A;$A64;FoodLog!$G:$G)=0;"";SUMIF(FoodLog!$A:$A;$A64;FoodLog!$G:$G)))</f>
        <v/>
      </c>
      <c r="X64">
        <f>IF($A64="";"";IF(SUMIF(FoodLog!$A:$A;$A64;FoodLog!$H:$H)=0;"";SUMIF(FoodLog!$A:$A;$A64;FoodLog!$H:$H)))</f>
        <v/>
      </c>
      <c r="Y64">
        <f>IF($A64="";"";IFERROR(ROUND(100*AVERAGE(IF($B64="";"";XLOOKUP($B64;FILTER(Dictionaries!$B:$B;Dictionaries!$A:$A="Тренировка");FILTER(Dictionaries!$C:$C;Dictionaries!$A:$A="Тренировка")));IF($C64="";"";MIN($C64/40;1));IF($D64="";"";XLOOKUP($D64;FILTER(Dictionaries!$B:$B;Dictionaries!$A:$A="Шаги");FILTER(Dictionaries!$C:$C;Dictionaries!$A:$A="Шаги")));IF($E64="";"";MIN($E64/120;1));IF(OR($F64&lt;&gt;"";$G64&lt;&gt;"");1;"");IF($H64="";"";MIN($H64/100;1));IF($L64="";"";XLOOKUP($L64;FILTER(Dictionaries!$B:$B;Dictionaries!$A:$A="Сон_часы");FILTER(Dictionaries!$C:$C;Dictionaries!$A:$A="Сон_часы")));IF($M64="";"";XLOOKUP($M64;FILTER(Dictionaries!$B:$B;Dictionaries!$A:$A="Режим");FILTER(Dictionaries!$C:$C;Dictionaries!$A:$A="Режим")));IF($N64="";"";MIN($N64/100;1));IF($O64="";"";XLOOKUP($O64;FILTER(Dictionaries!$B:$B;Dictionaries!$A:$A="Настроение");FILTER(Dictionaries!$C:$C;Dictionaries!$A:$A="Настроение")));IF($P64="";"";XLOOKUP($P64;FILTER(Dictionaries!$B:$B;Dictionaries!$A:$A="Энергия");FILTER(Dictionaries!$C:$C;Dictionaries!$A:$A="Энергия")));IF($U64="";"";AVERAGE(IF(OR($B64="Ноги";$B64="Верх");IFS(AND($U64&gt;=1900;$U64&lt;=2050);1;AND($U64&gt;=1850;$U64&lt;1900);0,7;AND($U64&gt;2050;$U64&lt;=2100);0,7;TRUE;0,2);IFS(AND($U64&gt;=1700;$U64&lt;=1850);1;AND($U64&gt;=1650;$U64&lt;1700);0,7;AND($U64&gt;1850;$U64&lt;=1900);0,7;TRUE;0,2));IF(OR($B64="Ноги";$B64="Верх");IFS(AND($V64&gt;=125;$V64&lt;=135);1;AND($V64&gt;=115;$V64&lt;125);0,7;AND($V64&gt;135;$V64&lt;=145);0,7;AND($V64&gt;=105;$V64&lt;115);0,4;AND($V64&gt;145;$V64&lt;=155);0,4;TRUE;0,2);IFS(AND($V64&gt;=120;$V64&lt;=130);1;AND($V64&gt;=110;$V64&lt;120);0,7;AND($V64&gt;130;$V64&lt;=140);0,7;AND($V64&gt;=100;$V64&lt;110);0,4;AND($V64&gt;140;$V64&lt;=150);0,4;TRUE;0,2));IFS(AND($W64&gt;=55;$W64&lt;=65);1;AND($W64&gt;=50;$W64&lt;55);0,7;AND($W64&gt;65;$W64&lt;=70);0,7;AND($W64&gt;=45;$W64&lt;50);0,4;AND($W64&gt;70;$W64&lt;=75);0,4;TRUE;0,2);IF(OR($B64="Ноги";$B64="Верх");IFS(AND($X64&gt;=180;$X64&lt;=210);1;AND($X64&gt;=160;$X64&lt;180);0,7;AND($X64&gt;210;$X64&lt;=230);0,7;AND($X64&gt;=140;$X64&lt;160);0,4;AND($X64&gt;230;$X64&lt;=250);0,4;TRUE;0,2);IFS(AND($X64&gt;=140;$X64&lt;=170);1;AND($X64&gt;=120;$X64&lt;140);0,7;AND($X64&gt;170;$X64&lt;=190);0,7;AND($X64&gt;=100;$X64&lt;120);0,4;AND($X64&gt;190;$X64&lt;=210);0,4;TRUE;0,2)))));1);""))</f>
        <v/>
      </c>
      <c r="Z64">
        <f>IF($A64="";"";TEXTJOIN(", ";TRUE;IF($B64="";"Тренировка";"");IF($C64="";"Кардио";"");IF($D64="";"Шаги";"");IF($E64="";"Английский";"");IF($F64="";"Код-режим";"");IF($G64="";"Код-тема";"");IF($H64="";"Чтение";"");IF($L64="";"Сон";"");IF($M64="";"Режим";"");IF($N64="";"Продуктивность";"");IF($O64="";"Настроение";"");IF($P64="";"Энергия";"");IF($U64="";"Еда";"")))</f>
        <v/>
      </c>
    </row>
    <row r="65">
      <c r="A65" s="2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>
        <f>IF($A65="";"";IF(SUMIF(FoodLog!$A:$A;$A65;FoodLog!$I:$I)=0;"";SUMIF(FoodLog!$A:$A;$A65;FoodLog!$I:$I)))</f>
        <v/>
      </c>
      <c r="V65">
        <f>IF($A65="";"";IF(SUMIF(FoodLog!$A:$A;$A65;FoodLog!$F:$F)=0;"";SUMIF(FoodLog!$A:$A;$A65;FoodLog!$F:$F)))</f>
        <v/>
      </c>
      <c r="W65">
        <f>IF($A65="";"";IF(SUMIF(FoodLog!$A:$A;$A65;FoodLog!$G:$G)=0;"";SUMIF(FoodLog!$A:$A;$A65;FoodLog!$G:$G)))</f>
        <v/>
      </c>
      <c r="X65">
        <f>IF($A65="";"";IF(SUMIF(FoodLog!$A:$A;$A65;FoodLog!$H:$H)=0;"";SUMIF(FoodLog!$A:$A;$A65;FoodLog!$H:$H)))</f>
        <v/>
      </c>
      <c r="Y65">
        <f>IF($A65="";"";IFERROR(ROUND(100*AVERAGE(IF($B65="";"";XLOOKUP($B65;FILTER(Dictionaries!$B:$B;Dictionaries!$A:$A="Тренировка");FILTER(Dictionaries!$C:$C;Dictionaries!$A:$A="Тренировка")));IF($C65="";"";MIN($C65/40;1));IF($D65="";"";XLOOKUP($D65;FILTER(Dictionaries!$B:$B;Dictionaries!$A:$A="Шаги");FILTER(Dictionaries!$C:$C;Dictionaries!$A:$A="Шаги")));IF($E65="";"";MIN($E65/120;1));IF(OR($F65&lt;&gt;"";$G65&lt;&gt;"");1;"");IF($H65="";"";MIN($H65/100;1));IF($L65="";"";XLOOKUP($L65;FILTER(Dictionaries!$B:$B;Dictionaries!$A:$A="Сон_часы");FILTER(Dictionaries!$C:$C;Dictionaries!$A:$A="Сон_часы")));IF($M65="";"";XLOOKUP($M65;FILTER(Dictionaries!$B:$B;Dictionaries!$A:$A="Режим");FILTER(Dictionaries!$C:$C;Dictionaries!$A:$A="Режим")));IF($N65="";"";MIN($N65/100;1));IF($O65="";"";XLOOKUP($O65;FILTER(Dictionaries!$B:$B;Dictionaries!$A:$A="Настроение");FILTER(Dictionaries!$C:$C;Dictionaries!$A:$A="Настроение")));IF($P65="";"";XLOOKUP($P65;FILTER(Dictionaries!$B:$B;Dictionaries!$A:$A="Энергия");FILTER(Dictionaries!$C:$C;Dictionaries!$A:$A="Энергия")));IF($U65="";"";AVERAGE(IF(OR($B65="Ноги";$B65="Верх");IFS(AND($U65&gt;=1900;$U65&lt;=2050);1;AND($U65&gt;=1850;$U65&lt;1900);0,7;AND($U65&gt;2050;$U65&lt;=2100);0,7;TRUE;0,2);IFS(AND($U65&gt;=1700;$U65&lt;=1850);1;AND($U65&gt;=1650;$U65&lt;1700);0,7;AND($U65&gt;1850;$U65&lt;=1900);0,7;TRUE;0,2));IF(OR($B65="Ноги";$B65="Верх");IFS(AND($V65&gt;=125;$V65&lt;=135);1;AND($V65&gt;=115;$V65&lt;125);0,7;AND($V65&gt;135;$V65&lt;=145);0,7;AND($V65&gt;=105;$V65&lt;115);0,4;AND($V65&gt;145;$V65&lt;=155);0,4;TRUE;0,2);IFS(AND($V65&gt;=120;$V65&lt;=130);1;AND($V65&gt;=110;$V65&lt;120);0,7;AND($V65&gt;130;$V65&lt;=140);0,7;AND($V65&gt;=100;$V65&lt;110);0,4;AND($V65&gt;140;$V65&lt;=150);0,4;TRUE;0,2));IFS(AND($W65&gt;=55;$W65&lt;=65);1;AND($W65&gt;=50;$W65&lt;55);0,7;AND($W65&gt;65;$W65&lt;=70);0,7;AND($W65&gt;=45;$W65&lt;50);0,4;AND($W65&gt;70;$W65&lt;=75);0,4;TRUE;0,2);IF(OR($B65="Ноги";$B65="Верх");IFS(AND($X65&gt;=180;$X65&lt;=210);1;AND($X65&gt;=160;$X65&lt;180);0,7;AND($X65&gt;210;$X65&lt;=230);0,7;AND($X65&gt;=140;$X65&lt;160);0,4;AND($X65&gt;230;$X65&lt;=250);0,4;TRUE;0,2);IFS(AND($X65&gt;=140;$X65&lt;=170);1;AND($X65&gt;=120;$X65&lt;140);0,7;AND($X65&gt;170;$X65&lt;=190);0,7;AND($X65&gt;=100;$X65&lt;120);0,4;AND($X65&gt;190;$X65&lt;=210);0,4;TRUE;0,2)))));1);""))</f>
        <v/>
      </c>
      <c r="Z65">
        <f>IF($A65="";"";TEXTJOIN(", ";TRUE;IF($B65="";"Тренировка";"");IF($C65="";"Кардио";"");IF($D65="";"Шаги";"");IF($E65="";"Английский";"");IF($F65="";"Код-режим";"");IF($G65="";"Код-тема";"");IF($H65="";"Чтение";"");IF($L65="";"Сон";"");IF($M65="";"Режим";"");IF($N65="";"Продуктивность";"");IF($O65="";"Настроение";"");IF($P65="";"Энергия";"");IF($U65="";"Еда";"")))</f>
        <v/>
      </c>
    </row>
    <row r="66">
      <c r="A66" s="2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/>
      <c r="U66">
        <f>IF($A66="";"";IF(SUMIF(FoodLog!$A:$A;$A66;FoodLog!$I:$I)=0;"";SUMIF(FoodLog!$A:$A;$A66;FoodLog!$I:$I)))</f>
        <v/>
      </c>
      <c r="V66">
        <f>IF($A66="";"";IF(SUMIF(FoodLog!$A:$A;$A66;FoodLog!$F:$F)=0;"";SUMIF(FoodLog!$A:$A;$A66;FoodLog!$F:$F)))</f>
        <v/>
      </c>
      <c r="W66">
        <f>IF($A66="";"";IF(SUMIF(FoodLog!$A:$A;$A66;FoodLog!$G:$G)=0;"";SUMIF(FoodLog!$A:$A;$A66;FoodLog!$G:$G)))</f>
        <v/>
      </c>
      <c r="X66">
        <f>IF($A66="";"";IF(SUMIF(FoodLog!$A:$A;$A66;FoodLog!$H:$H)=0;"";SUMIF(FoodLog!$A:$A;$A66;FoodLog!$H:$H)))</f>
        <v/>
      </c>
      <c r="Y66">
        <f>IF($A66="";"";IFERROR(ROUND(100*AVERAGE(IF($B66="";"";XLOOKUP($B66;FILTER(Dictionaries!$B:$B;Dictionaries!$A:$A="Тренировка");FILTER(Dictionaries!$C:$C;Dictionaries!$A:$A="Тренировка")));IF($C66="";"";MIN($C66/40;1));IF($D66="";"";XLOOKUP($D66;FILTER(Dictionaries!$B:$B;Dictionaries!$A:$A="Шаги");FILTER(Dictionaries!$C:$C;Dictionaries!$A:$A="Шаги")));IF($E66="";"";MIN($E66/120;1));IF(OR($F66&lt;&gt;"";$G66&lt;&gt;"");1;"");IF($H66="";"";MIN($H66/100;1));IF($L66="";"";XLOOKUP($L66;FILTER(Dictionaries!$B:$B;Dictionaries!$A:$A="Сон_часы");FILTER(Dictionaries!$C:$C;Dictionaries!$A:$A="Сон_часы")));IF($M66="";"";XLOOKUP($M66;FILTER(Dictionaries!$B:$B;Dictionaries!$A:$A="Режим");FILTER(Dictionaries!$C:$C;Dictionaries!$A:$A="Режим")));IF($N66="";"";MIN($N66/100;1));IF($O66="";"";XLOOKUP($O66;FILTER(Dictionaries!$B:$B;Dictionaries!$A:$A="Настроение");FILTER(Dictionaries!$C:$C;Dictionaries!$A:$A="Настроение")));IF($P66="";"";XLOOKUP($P66;FILTER(Dictionaries!$B:$B;Dictionaries!$A:$A="Энергия");FILTER(Dictionaries!$C:$C;Dictionaries!$A:$A="Энергия")));IF($U66="";"";AVERAGE(IF(OR($B66="Ноги";$B66="Верх");IFS(AND($U66&gt;=1900;$U66&lt;=2050);1;AND($U66&gt;=1850;$U66&lt;1900);0,7;AND($U66&gt;2050;$U66&lt;=2100);0,7;TRUE;0,2);IFS(AND($U66&gt;=1700;$U66&lt;=1850);1;AND($U66&gt;=1650;$U66&lt;1700);0,7;AND($U66&gt;1850;$U66&lt;=1900);0,7;TRUE;0,2));IF(OR($B66="Ноги";$B66="Верх");IFS(AND($V66&gt;=125;$V66&lt;=135);1;AND($V66&gt;=115;$V66&lt;125);0,7;AND($V66&gt;135;$V66&lt;=145);0,7;AND($V66&gt;=105;$V66&lt;115);0,4;AND($V66&gt;145;$V66&lt;=155);0,4;TRUE;0,2);IFS(AND($V66&gt;=120;$V66&lt;=130);1;AND($V66&gt;=110;$V66&lt;120);0,7;AND($V66&gt;130;$V66&lt;=140);0,7;AND($V66&gt;=100;$V66&lt;110);0,4;AND($V66&gt;140;$V66&lt;=150);0,4;TRUE;0,2));IFS(AND($W66&gt;=55;$W66&lt;=65);1;AND($W66&gt;=50;$W66&lt;55);0,7;AND($W66&gt;65;$W66&lt;=70);0,7;AND($W66&gt;=45;$W66&lt;50);0,4;AND($W66&gt;70;$W66&lt;=75);0,4;TRUE;0,2);IF(OR($B66="Ноги";$B66="Верх");IFS(AND($X66&gt;=180;$X66&lt;=210);1;AND($X66&gt;=160;$X66&lt;180);0,7;AND($X66&gt;210;$X66&lt;=230);0,7;AND($X66&gt;=140;$X66&lt;160);0,4;AND($X66&gt;230;$X66&lt;=250);0,4;TRUE;0,2);IFS(AND($X66&gt;=140;$X66&lt;=170);1;AND($X66&gt;=120;$X66&lt;140);0,7;AND($X66&gt;170;$X66&lt;=190);0,7;AND($X66&gt;=100;$X66&lt;120);0,4;AND($X66&gt;190;$X66&lt;=210);0,4;TRUE;0,2)))));1);""))</f>
        <v/>
      </c>
      <c r="Z66">
        <f>IF($A66="";"";TEXTJOIN(", ";TRUE;IF($B66="";"Тренировка";"");IF($C66="";"Кардио";"");IF($D66="";"Шаги";"");IF($E66="";"Английский";"");IF($F66="";"Код-режим";"");IF($G66="";"Код-тема";"");IF($H66="";"Чтение";"");IF($L66="";"Сон";"");IF($M66="";"Режим";"");IF($N66="";"Продуктивность";"");IF($O66="";"Настроение";"");IF($P66="";"Энергия";"");IF($U66="";"Еда";"")))</f>
        <v/>
      </c>
    </row>
    <row r="67">
      <c r="A67" s="2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>
        <f>IF($A67="";"";IF(SUMIF(FoodLog!$A:$A;$A67;FoodLog!$I:$I)=0;"";SUMIF(FoodLog!$A:$A;$A67;FoodLog!$I:$I)))</f>
        <v/>
      </c>
      <c r="V67">
        <f>IF($A67="";"";IF(SUMIF(FoodLog!$A:$A;$A67;FoodLog!$F:$F)=0;"";SUMIF(FoodLog!$A:$A;$A67;FoodLog!$F:$F)))</f>
        <v/>
      </c>
      <c r="W67">
        <f>IF($A67="";"";IF(SUMIF(FoodLog!$A:$A;$A67;FoodLog!$G:$G)=0;"";SUMIF(FoodLog!$A:$A;$A67;FoodLog!$G:$G)))</f>
        <v/>
      </c>
      <c r="X67">
        <f>IF($A67="";"";IF(SUMIF(FoodLog!$A:$A;$A67;FoodLog!$H:$H)=0;"";SUMIF(FoodLog!$A:$A;$A67;FoodLog!$H:$H)))</f>
        <v/>
      </c>
      <c r="Y67">
        <f>IF($A67="";"";IFERROR(ROUND(100*AVERAGE(IF($B67="";"";XLOOKUP($B67;FILTER(Dictionaries!$B:$B;Dictionaries!$A:$A="Тренировка");FILTER(Dictionaries!$C:$C;Dictionaries!$A:$A="Тренировка")));IF($C67="";"";MIN($C67/40;1));IF($D67="";"";XLOOKUP($D67;FILTER(Dictionaries!$B:$B;Dictionaries!$A:$A="Шаги");FILTER(Dictionaries!$C:$C;Dictionaries!$A:$A="Шаги")));IF($E67="";"";MIN($E67/120;1));IF(OR($F67&lt;&gt;"";$G67&lt;&gt;"");1;"");IF($H67="";"";MIN($H67/100;1));IF($L67="";"";XLOOKUP($L67;FILTER(Dictionaries!$B:$B;Dictionaries!$A:$A="Сон_часы");FILTER(Dictionaries!$C:$C;Dictionaries!$A:$A="Сон_часы")));IF($M67="";"";XLOOKUP($M67;FILTER(Dictionaries!$B:$B;Dictionaries!$A:$A="Режим");FILTER(Dictionaries!$C:$C;Dictionaries!$A:$A="Режим")));IF($N67="";"";MIN($N67/100;1));IF($O67="";"";XLOOKUP($O67;FILTER(Dictionaries!$B:$B;Dictionaries!$A:$A="Настроение");FILTER(Dictionaries!$C:$C;Dictionaries!$A:$A="Настроение")));IF($P67="";"";XLOOKUP($P67;FILTER(Dictionaries!$B:$B;Dictionaries!$A:$A="Энергия");FILTER(Dictionaries!$C:$C;Dictionaries!$A:$A="Энергия")));IF($U67="";"";AVERAGE(IF(OR($B67="Ноги";$B67="Верх");IFS(AND($U67&gt;=1900;$U67&lt;=2050);1;AND($U67&gt;=1850;$U67&lt;1900);0,7;AND($U67&gt;2050;$U67&lt;=2100);0,7;TRUE;0,2);IFS(AND($U67&gt;=1700;$U67&lt;=1850);1;AND($U67&gt;=1650;$U67&lt;1700);0,7;AND($U67&gt;1850;$U67&lt;=1900);0,7;TRUE;0,2));IF(OR($B67="Ноги";$B67="Верх");IFS(AND($V67&gt;=125;$V67&lt;=135);1;AND($V67&gt;=115;$V67&lt;125);0,7;AND($V67&gt;135;$V67&lt;=145);0,7;AND($V67&gt;=105;$V67&lt;115);0,4;AND($V67&gt;145;$V67&lt;=155);0,4;TRUE;0,2);IFS(AND($V67&gt;=120;$V67&lt;=130);1;AND($V67&gt;=110;$V67&lt;120);0,7;AND($V67&gt;130;$V67&lt;=140);0,7;AND($V67&gt;=100;$V67&lt;110);0,4;AND($V67&gt;140;$V67&lt;=150);0,4;TRUE;0,2));IFS(AND($W67&gt;=55;$W67&lt;=65);1;AND($W67&gt;=50;$W67&lt;55);0,7;AND($W67&gt;65;$W67&lt;=70);0,7;AND($W67&gt;=45;$W67&lt;50);0,4;AND($W67&gt;70;$W67&lt;=75);0,4;TRUE;0,2);IF(OR($B67="Ноги";$B67="Верх");IFS(AND($X67&gt;=180;$X67&lt;=210);1;AND($X67&gt;=160;$X67&lt;180);0,7;AND($X67&gt;210;$X67&lt;=230);0,7;AND($X67&gt;=140;$X67&lt;160);0,4;AND($X67&gt;230;$X67&lt;=250);0,4;TRUE;0,2);IFS(AND($X67&gt;=140;$X67&lt;=170);1;AND($X67&gt;=120;$X67&lt;140);0,7;AND($X67&gt;170;$X67&lt;=190);0,7;AND($X67&gt;=100;$X67&lt;120);0,4;AND($X67&gt;190;$X67&lt;=210);0,4;TRUE;0,2)))));1);""))</f>
        <v/>
      </c>
      <c r="Z67">
        <f>IF($A67="";"";TEXTJOIN(", ";TRUE;IF($B67="";"Тренировка";"");IF($C67="";"Кардио";"");IF($D67="";"Шаги";"");IF($E67="";"Английский";"");IF($F67="";"Код-режим";"");IF($G67="";"Код-тема";"");IF($H67="";"Чтение";"");IF($L67="";"Сон";"");IF($M67="";"Режим";"");IF($N67="";"Продуктивность";"");IF($O67="";"Настроение";"");IF($P67="";"Энергия";"");IF($U67="";"Еда";"")))</f>
        <v/>
      </c>
    </row>
    <row r="68">
      <c r="A68" s="2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/>
      <c r="P68" t="inlineStr"/>
      <c r="Q68" t="inlineStr"/>
      <c r="R68" t="inlineStr"/>
      <c r="S68" t="inlineStr"/>
      <c r="T68" t="inlineStr"/>
      <c r="U68">
        <f>IF($A68="";"";IF(SUMIF(FoodLog!$A:$A;$A68;FoodLog!$I:$I)=0;"";SUMIF(FoodLog!$A:$A;$A68;FoodLog!$I:$I)))</f>
        <v/>
      </c>
      <c r="V68">
        <f>IF($A68="";"";IF(SUMIF(FoodLog!$A:$A;$A68;FoodLog!$F:$F)=0;"";SUMIF(FoodLog!$A:$A;$A68;FoodLog!$F:$F)))</f>
        <v/>
      </c>
      <c r="W68">
        <f>IF($A68="";"";IF(SUMIF(FoodLog!$A:$A;$A68;FoodLog!$G:$G)=0;"";SUMIF(FoodLog!$A:$A;$A68;FoodLog!$G:$G)))</f>
        <v/>
      </c>
      <c r="X68">
        <f>IF($A68="";"";IF(SUMIF(FoodLog!$A:$A;$A68;FoodLog!$H:$H)=0;"";SUMIF(FoodLog!$A:$A;$A68;FoodLog!$H:$H)))</f>
        <v/>
      </c>
      <c r="Y68">
        <f>IF($A68="";"";IFERROR(ROUND(100*AVERAGE(IF($B68="";"";XLOOKUP($B68;FILTER(Dictionaries!$B:$B;Dictionaries!$A:$A="Тренировка");FILTER(Dictionaries!$C:$C;Dictionaries!$A:$A="Тренировка")));IF($C68="";"";MIN($C68/40;1));IF($D68="";"";XLOOKUP($D68;FILTER(Dictionaries!$B:$B;Dictionaries!$A:$A="Шаги");FILTER(Dictionaries!$C:$C;Dictionaries!$A:$A="Шаги")));IF($E68="";"";MIN($E68/120;1));IF(OR($F68&lt;&gt;"";$G68&lt;&gt;"");1;"");IF($H68="";"";MIN($H68/100;1));IF($L68="";"";XLOOKUP($L68;FILTER(Dictionaries!$B:$B;Dictionaries!$A:$A="Сон_часы");FILTER(Dictionaries!$C:$C;Dictionaries!$A:$A="Сон_часы")));IF($M68="";"";XLOOKUP($M68;FILTER(Dictionaries!$B:$B;Dictionaries!$A:$A="Режим");FILTER(Dictionaries!$C:$C;Dictionaries!$A:$A="Режим")));IF($N68="";"";MIN($N68/100;1));IF($O68="";"";XLOOKUP($O68;FILTER(Dictionaries!$B:$B;Dictionaries!$A:$A="Настроение");FILTER(Dictionaries!$C:$C;Dictionaries!$A:$A="Настроение")));IF($P68="";"";XLOOKUP($P68;FILTER(Dictionaries!$B:$B;Dictionaries!$A:$A="Энергия");FILTER(Dictionaries!$C:$C;Dictionaries!$A:$A="Энергия")));IF($U68="";"";AVERAGE(IF(OR($B68="Ноги";$B68="Верх");IFS(AND($U68&gt;=1900;$U68&lt;=2050);1;AND($U68&gt;=1850;$U68&lt;1900);0,7;AND($U68&gt;2050;$U68&lt;=2100);0,7;TRUE;0,2);IFS(AND($U68&gt;=1700;$U68&lt;=1850);1;AND($U68&gt;=1650;$U68&lt;1700);0,7;AND($U68&gt;1850;$U68&lt;=1900);0,7;TRUE;0,2));IF(OR($B68="Ноги";$B68="Верх");IFS(AND($V68&gt;=125;$V68&lt;=135);1;AND($V68&gt;=115;$V68&lt;125);0,7;AND($V68&gt;135;$V68&lt;=145);0,7;AND($V68&gt;=105;$V68&lt;115);0,4;AND($V68&gt;145;$V68&lt;=155);0,4;TRUE;0,2);IFS(AND($V68&gt;=120;$V68&lt;=130);1;AND($V68&gt;=110;$V68&lt;120);0,7;AND($V68&gt;130;$V68&lt;=140);0,7;AND($V68&gt;=100;$V68&lt;110);0,4;AND($V68&gt;140;$V68&lt;=150);0,4;TRUE;0,2));IFS(AND($W68&gt;=55;$W68&lt;=65);1;AND($W68&gt;=50;$W68&lt;55);0,7;AND($W68&gt;65;$W68&lt;=70);0,7;AND($W68&gt;=45;$W68&lt;50);0,4;AND($W68&gt;70;$W68&lt;=75);0,4;TRUE;0,2);IF(OR($B68="Ноги";$B68="Верх");IFS(AND($X68&gt;=180;$X68&lt;=210);1;AND($X68&gt;=160;$X68&lt;180);0,7;AND($X68&gt;210;$X68&lt;=230);0,7;AND($X68&gt;=140;$X68&lt;160);0,4;AND($X68&gt;230;$X68&lt;=250);0,4;TRUE;0,2);IFS(AND($X68&gt;=140;$X68&lt;=170);1;AND($X68&gt;=120;$X68&lt;140);0,7;AND($X68&gt;170;$X68&lt;=190);0,7;AND($X68&gt;=100;$X68&lt;120);0,4;AND($X68&gt;190;$X68&lt;=210);0,4;TRUE;0,2)))));1);""))</f>
        <v/>
      </c>
      <c r="Z68">
        <f>IF($A68="";"";TEXTJOIN(", ";TRUE;IF($B68="";"Тренировка";"");IF($C68="";"Кардио";"");IF($D68="";"Шаги";"");IF($E68="";"Английский";"");IF($F68="";"Код-режим";"");IF($G68="";"Код-тема";"");IF($H68="";"Чтение";"");IF($L68="";"Сон";"");IF($M68="";"Режим";"");IF($N68="";"Продуктивность";"");IF($O68="";"Настроение";"");IF($P68="";"Энергия";"");IF($U68="";"Еда";"")))</f>
        <v/>
      </c>
    </row>
    <row r="69">
      <c r="A69" s="2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>
        <f>IF($A69="";"";IF(SUMIF(FoodLog!$A:$A;$A69;FoodLog!$I:$I)=0;"";SUMIF(FoodLog!$A:$A;$A69;FoodLog!$I:$I)))</f>
        <v/>
      </c>
      <c r="V69">
        <f>IF($A69="";"";IF(SUMIF(FoodLog!$A:$A;$A69;FoodLog!$F:$F)=0;"";SUMIF(FoodLog!$A:$A;$A69;FoodLog!$F:$F)))</f>
        <v/>
      </c>
      <c r="W69">
        <f>IF($A69="";"";IF(SUMIF(FoodLog!$A:$A;$A69;FoodLog!$G:$G)=0;"";SUMIF(FoodLog!$A:$A;$A69;FoodLog!$G:$G)))</f>
        <v/>
      </c>
      <c r="X69">
        <f>IF($A69="";"";IF(SUMIF(FoodLog!$A:$A;$A69;FoodLog!$H:$H)=0;"";SUMIF(FoodLog!$A:$A;$A69;FoodLog!$H:$H)))</f>
        <v/>
      </c>
      <c r="Y69">
        <f>IF($A69="";"";IFERROR(ROUND(100*AVERAGE(IF($B69="";"";XLOOKUP($B69;FILTER(Dictionaries!$B:$B;Dictionaries!$A:$A="Тренировка");FILTER(Dictionaries!$C:$C;Dictionaries!$A:$A="Тренировка")));IF($C69="";"";MIN($C69/40;1));IF($D69="";"";XLOOKUP($D69;FILTER(Dictionaries!$B:$B;Dictionaries!$A:$A="Шаги");FILTER(Dictionaries!$C:$C;Dictionaries!$A:$A="Шаги")));IF($E69="";"";MIN($E69/120;1));IF(OR($F69&lt;&gt;"";$G69&lt;&gt;"");1;"");IF($H69="";"";MIN($H69/100;1));IF($L69="";"";XLOOKUP($L69;FILTER(Dictionaries!$B:$B;Dictionaries!$A:$A="Сон_часы");FILTER(Dictionaries!$C:$C;Dictionaries!$A:$A="Сон_часы")));IF($M69="";"";XLOOKUP($M69;FILTER(Dictionaries!$B:$B;Dictionaries!$A:$A="Режим");FILTER(Dictionaries!$C:$C;Dictionaries!$A:$A="Режим")));IF($N69="";"";MIN($N69/100;1));IF($O69="";"";XLOOKUP($O69;FILTER(Dictionaries!$B:$B;Dictionaries!$A:$A="Настроение");FILTER(Dictionaries!$C:$C;Dictionaries!$A:$A="Настроение")));IF($P69="";"";XLOOKUP($P69;FILTER(Dictionaries!$B:$B;Dictionaries!$A:$A="Энергия");FILTER(Dictionaries!$C:$C;Dictionaries!$A:$A="Энергия")));IF($U69="";"";AVERAGE(IF(OR($B69="Ноги";$B69="Верх");IFS(AND($U69&gt;=1900;$U69&lt;=2050);1;AND($U69&gt;=1850;$U69&lt;1900);0,7;AND($U69&gt;2050;$U69&lt;=2100);0,7;TRUE;0,2);IFS(AND($U69&gt;=1700;$U69&lt;=1850);1;AND($U69&gt;=1650;$U69&lt;1700);0,7;AND($U69&gt;1850;$U69&lt;=1900);0,7;TRUE;0,2));IF(OR($B69="Ноги";$B69="Верх");IFS(AND($V69&gt;=125;$V69&lt;=135);1;AND($V69&gt;=115;$V69&lt;125);0,7;AND($V69&gt;135;$V69&lt;=145);0,7;AND($V69&gt;=105;$V69&lt;115);0,4;AND($V69&gt;145;$V69&lt;=155);0,4;TRUE;0,2);IFS(AND($V69&gt;=120;$V69&lt;=130);1;AND($V69&gt;=110;$V69&lt;120);0,7;AND($V69&gt;130;$V69&lt;=140);0,7;AND($V69&gt;=100;$V69&lt;110);0,4;AND($V69&gt;140;$V69&lt;=150);0,4;TRUE;0,2));IFS(AND($W69&gt;=55;$W69&lt;=65);1;AND($W69&gt;=50;$W69&lt;55);0,7;AND($W69&gt;65;$W69&lt;=70);0,7;AND($W69&gt;=45;$W69&lt;50);0,4;AND($W69&gt;70;$W69&lt;=75);0,4;TRUE;0,2);IF(OR($B69="Ноги";$B69="Верх");IFS(AND($X69&gt;=180;$X69&lt;=210);1;AND($X69&gt;=160;$X69&lt;180);0,7;AND($X69&gt;210;$X69&lt;=230);0,7;AND($X69&gt;=140;$X69&lt;160);0,4;AND($X69&gt;230;$X69&lt;=250);0,4;TRUE;0,2);IFS(AND($X69&gt;=140;$X69&lt;=170);1;AND($X69&gt;=120;$X69&lt;140);0,7;AND($X69&gt;170;$X69&lt;=190);0,7;AND($X69&gt;=100;$X69&lt;120);0,4;AND($X69&gt;190;$X69&lt;=210);0,4;TRUE;0,2)))));1);""))</f>
        <v/>
      </c>
      <c r="Z69">
        <f>IF($A69="";"";TEXTJOIN(", ";TRUE;IF($B69="";"Тренировка";"");IF($C69="";"Кардио";"");IF($D69="";"Шаги";"");IF($E69="";"Английский";"");IF($F69="";"Код-режим";"");IF($G69="";"Код-тема";"");IF($H69="";"Чтение";"");IF($L69="";"Сон";"");IF($M69="";"Режим";"");IF($N69="";"Продуктивность";"");IF($O69="";"Настроение";"");IF($P69="";"Энергия";"");IF($U69="";"Еда";"")))</f>
        <v/>
      </c>
    </row>
    <row r="70">
      <c r="A70" s="2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 t="inlineStr"/>
      <c r="P70" t="inlineStr"/>
      <c r="Q70" t="inlineStr"/>
      <c r="R70" t="inlineStr"/>
      <c r="S70" t="inlineStr"/>
      <c r="T70" t="inlineStr"/>
      <c r="U70">
        <f>IF($A70="";"";IF(SUMIF(FoodLog!$A:$A;$A70;FoodLog!$I:$I)=0;"";SUMIF(FoodLog!$A:$A;$A70;FoodLog!$I:$I)))</f>
        <v/>
      </c>
      <c r="V70">
        <f>IF($A70="";"";IF(SUMIF(FoodLog!$A:$A;$A70;FoodLog!$F:$F)=0;"";SUMIF(FoodLog!$A:$A;$A70;FoodLog!$F:$F)))</f>
        <v/>
      </c>
      <c r="W70">
        <f>IF($A70="";"";IF(SUMIF(FoodLog!$A:$A;$A70;FoodLog!$G:$G)=0;"";SUMIF(FoodLog!$A:$A;$A70;FoodLog!$G:$G)))</f>
        <v/>
      </c>
      <c r="X70">
        <f>IF($A70="";"";IF(SUMIF(FoodLog!$A:$A;$A70;FoodLog!$H:$H)=0;"";SUMIF(FoodLog!$A:$A;$A70;FoodLog!$H:$H)))</f>
        <v/>
      </c>
      <c r="Y70">
        <f>IF($A70="";"";IFERROR(ROUND(100*AVERAGE(IF($B70="";"";XLOOKUP($B70;FILTER(Dictionaries!$B:$B;Dictionaries!$A:$A="Тренировка");FILTER(Dictionaries!$C:$C;Dictionaries!$A:$A="Тренировка")));IF($C70="";"";MIN($C70/40;1));IF($D70="";"";XLOOKUP($D70;FILTER(Dictionaries!$B:$B;Dictionaries!$A:$A="Шаги");FILTER(Dictionaries!$C:$C;Dictionaries!$A:$A="Шаги")));IF($E70="";"";MIN($E70/120;1));IF(OR($F70&lt;&gt;"";$G70&lt;&gt;"");1;"");IF($H70="";"";MIN($H70/100;1));IF($L70="";"";XLOOKUP($L70;FILTER(Dictionaries!$B:$B;Dictionaries!$A:$A="Сон_часы");FILTER(Dictionaries!$C:$C;Dictionaries!$A:$A="Сон_часы")));IF($M70="";"";XLOOKUP($M70;FILTER(Dictionaries!$B:$B;Dictionaries!$A:$A="Режим");FILTER(Dictionaries!$C:$C;Dictionaries!$A:$A="Режим")));IF($N70="";"";MIN($N70/100;1));IF($O70="";"";XLOOKUP($O70;FILTER(Dictionaries!$B:$B;Dictionaries!$A:$A="Настроение");FILTER(Dictionaries!$C:$C;Dictionaries!$A:$A="Настроение")));IF($P70="";"";XLOOKUP($P70;FILTER(Dictionaries!$B:$B;Dictionaries!$A:$A="Энергия");FILTER(Dictionaries!$C:$C;Dictionaries!$A:$A="Энергия")));IF($U70="";"";AVERAGE(IF(OR($B70="Ноги";$B70="Верх");IFS(AND($U70&gt;=1900;$U70&lt;=2050);1;AND($U70&gt;=1850;$U70&lt;1900);0,7;AND($U70&gt;2050;$U70&lt;=2100);0,7;TRUE;0,2);IFS(AND($U70&gt;=1700;$U70&lt;=1850);1;AND($U70&gt;=1650;$U70&lt;1700);0,7;AND($U70&gt;1850;$U70&lt;=1900);0,7;TRUE;0,2));IF(OR($B70="Ноги";$B70="Верх");IFS(AND($V70&gt;=125;$V70&lt;=135);1;AND($V70&gt;=115;$V70&lt;125);0,7;AND($V70&gt;135;$V70&lt;=145);0,7;AND($V70&gt;=105;$V70&lt;115);0,4;AND($V70&gt;145;$V70&lt;=155);0,4;TRUE;0,2);IFS(AND($V70&gt;=120;$V70&lt;=130);1;AND($V70&gt;=110;$V70&lt;120);0,7;AND($V70&gt;130;$V70&lt;=140);0,7;AND($V70&gt;=100;$V70&lt;110);0,4;AND($V70&gt;140;$V70&lt;=150);0,4;TRUE;0,2));IFS(AND($W70&gt;=55;$W70&lt;=65);1;AND($W70&gt;=50;$W70&lt;55);0,7;AND($W70&gt;65;$W70&lt;=70);0,7;AND($W70&gt;=45;$W70&lt;50);0,4;AND($W70&gt;70;$W70&lt;=75);0,4;TRUE;0,2);IF(OR($B70="Ноги";$B70="Верх");IFS(AND($X70&gt;=180;$X70&lt;=210);1;AND($X70&gt;=160;$X70&lt;180);0,7;AND($X70&gt;210;$X70&lt;=230);0,7;AND($X70&gt;=140;$X70&lt;160);0,4;AND($X70&gt;230;$X70&lt;=250);0,4;TRUE;0,2);IFS(AND($X70&gt;=140;$X70&lt;=170);1;AND($X70&gt;=120;$X70&lt;140);0,7;AND($X70&gt;170;$X70&lt;=190);0,7;AND($X70&gt;=100;$X70&lt;120);0,4;AND($X70&gt;190;$X70&lt;=210);0,4;TRUE;0,2)))));1);""))</f>
        <v/>
      </c>
      <c r="Z70">
        <f>IF($A70="";"";TEXTJOIN(", ";TRUE;IF($B70="";"Тренировка";"");IF($C70="";"Кардио";"");IF($D70="";"Шаги";"");IF($E70="";"Английский";"");IF($F70="";"Код-режим";"");IF($G70="";"Код-тема";"");IF($H70="";"Чтение";"");IF($L70="";"Сон";"");IF($M70="";"Режим";"");IF($N70="";"Продуктивность";"");IF($O70="";"Настроение";"");IF($P70="";"Энергия";"");IF($U70="";"Еда";"")))</f>
        <v/>
      </c>
    </row>
    <row r="71">
      <c r="A71" s="2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 t="inlineStr"/>
      <c r="P71" t="inlineStr"/>
      <c r="Q71" t="inlineStr"/>
      <c r="R71" t="inlineStr"/>
      <c r="S71" t="inlineStr"/>
      <c r="T71" t="inlineStr"/>
      <c r="U71">
        <f>IF($A71="";"";IF(SUMIF(FoodLog!$A:$A;$A71;FoodLog!$I:$I)=0;"";SUMIF(FoodLog!$A:$A;$A71;FoodLog!$I:$I)))</f>
        <v/>
      </c>
      <c r="V71">
        <f>IF($A71="";"";IF(SUMIF(FoodLog!$A:$A;$A71;FoodLog!$F:$F)=0;"";SUMIF(FoodLog!$A:$A;$A71;FoodLog!$F:$F)))</f>
        <v/>
      </c>
      <c r="W71">
        <f>IF($A71="";"";IF(SUMIF(FoodLog!$A:$A;$A71;FoodLog!$G:$G)=0;"";SUMIF(FoodLog!$A:$A;$A71;FoodLog!$G:$G)))</f>
        <v/>
      </c>
      <c r="X71">
        <f>IF($A71="";"";IF(SUMIF(FoodLog!$A:$A;$A71;FoodLog!$H:$H)=0;"";SUMIF(FoodLog!$A:$A;$A71;FoodLog!$H:$H)))</f>
        <v/>
      </c>
      <c r="Y71">
        <f>IF($A71="";"";IFERROR(ROUND(100*AVERAGE(IF($B71="";"";XLOOKUP($B71;FILTER(Dictionaries!$B:$B;Dictionaries!$A:$A="Тренировка");FILTER(Dictionaries!$C:$C;Dictionaries!$A:$A="Тренировка")));IF($C71="";"";MIN($C71/40;1));IF($D71="";"";XLOOKUP($D71;FILTER(Dictionaries!$B:$B;Dictionaries!$A:$A="Шаги");FILTER(Dictionaries!$C:$C;Dictionaries!$A:$A="Шаги")));IF($E71="";"";MIN($E71/120;1));IF(OR($F71&lt;&gt;"";$G71&lt;&gt;"");1;"");IF($H71="";"";MIN($H71/100;1));IF($L71="";"";XLOOKUP($L71;FILTER(Dictionaries!$B:$B;Dictionaries!$A:$A="Сон_часы");FILTER(Dictionaries!$C:$C;Dictionaries!$A:$A="Сон_часы")));IF($M71="";"";XLOOKUP($M71;FILTER(Dictionaries!$B:$B;Dictionaries!$A:$A="Режим");FILTER(Dictionaries!$C:$C;Dictionaries!$A:$A="Режим")));IF($N71="";"";MIN($N71/100;1));IF($O71="";"";XLOOKUP($O71;FILTER(Dictionaries!$B:$B;Dictionaries!$A:$A="Настроение");FILTER(Dictionaries!$C:$C;Dictionaries!$A:$A="Настроение")));IF($P71="";"";XLOOKUP($P71;FILTER(Dictionaries!$B:$B;Dictionaries!$A:$A="Энергия");FILTER(Dictionaries!$C:$C;Dictionaries!$A:$A="Энергия")));IF($U71="";"";AVERAGE(IF(OR($B71="Ноги";$B71="Верх");IFS(AND($U71&gt;=1900;$U71&lt;=2050);1;AND($U71&gt;=1850;$U71&lt;1900);0,7;AND($U71&gt;2050;$U71&lt;=2100);0,7;TRUE;0,2);IFS(AND($U71&gt;=1700;$U71&lt;=1850);1;AND($U71&gt;=1650;$U71&lt;1700);0,7;AND($U71&gt;1850;$U71&lt;=1900);0,7;TRUE;0,2));IF(OR($B71="Ноги";$B71="Верх");IFS(AND($V71&gt;=125;$V71&lt;=135);1;AND($V71&gt;=115;$V71&lt;125);0,7;AND($V71&gt;135;$V71&lt;=145);0,7;AND($V71&gt;=105;$V71&lt;115);0,4;AND($V71&gt;145;$V71&lt;=155);0,4;TRUE;0,2);IFS(AND($V71&gt;=120;$V71&lt;=130);1;AND($V71&gt;=110;$V71&lt;120);0,7;AND($V71&gt;130;$V71&lt;=140);0,7;AND($V71&gt;=100;$V71&lt;110);0,4;AND($V71&gt;140;$V71&lt;=150);0,4;TRUE;0,2));IFS(AND($W71&gt;=55;$W71&lt;=65);1;AND($W71&gt;=50;$W71&lt;55);0,7;AND($W71&gt;65;$W71&lt;=70);0,7;AND($W71&gt;=45;$W71&lt;50);0,4;AND($W71&gt;70;$W71&lt;=75);0,4;TRUE;0,2);IF(OR($B71="Ноги";$B71="Верх");IFS(AND($X71&gt;=180;$X71&lt;=210);1;AND($X71&gt;=160;$X71&lt;180);0,7;AND($X71&gt;210;$X71&lt;=230);0,7;AND($X71&gt;=140;$X71&lt;160);0,4;AND($X71&gt;230;$X71&lt;=250);0,4;TRUE;0,2);IFS(AND($X71&gt;=140;$X71&lt;=170);1;AND($X71&gt;=120;$X71&lt;140);0,7;AND($X71&gt;170;$X71&lt;=190);0,7;AND($X71&gt;=100;$X71&lt;120);0,4;AND($X71&gt;190;$X71&lt;=210);0,4;TRUE;0,2)))));1);""))</f>
        <v/>
      </c>
      <c r="Z71">
        <f>IF($A71="";"";TEXTJOIN(", ";TRUE;IF($B71="";"Тренировка";"");IF($C71="";"Кардио";"");IF($D71="";"Шаги";"");IF($E71="";"Английский";"");IF($F71="";"Код-режим";"");IF($G71="";"Код-тема";"");IF($H71="";"Чтение";"");IF($L71="";"Сон";"");IF($M71="";"Режим";"");IF($N71="";"Продуктивность";"");IF($O71="";"Настроение";"");IF($P71="";"Энергия";"");IF($U71="";"Еда";"")))</f>
        <v/>
      </c>
    </row>
    <row r="72">
      <c r="A72" s="2" t="inlineStr"/>
      <c r="B72" t="inlineStr"/>
      <c r="C72" t="inlineStr"/>
      <c r="D72" t="inlineStr"/>
      <c r="E72" t="inlineStr"/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/>
      <c r="P72" t="inlineStr"/>
      <c r="Q72" t="inlineStr"/>
      <c r="R72" t="inlineStr"/>
      <c r="S72" t="inlineStr"/>
      <c r="T72" t="inlineStr"/>
      <c r="U72">
        <f>IF($A72="";"";IF(SUMIF(FoodLog!$A:$A;$A72;FoodLog!$I:$I)=0;"";SUMIF(FoodLog!$A:$A;$A72;FoodLog!$I:$I)))</f>
        <v/>
      </c>
      <c r="V72">
        <f>IF($A72="";"";IF(SUMIF(FoodLog!$A:$A;$A72;FoodLog!$F:$F)=0;"";SUMIF(FoodLog!$A:$A;$A72;FoodLog!$F:$F)))</f>
        <v/>
      </c>
      <c r="W72">
        <f>IF($A72="";"";IF(SUMIF(FoodLog!$A:$A;$A72;FoodLog!$G:$G)=0;"";SUMIF(FoodLog!$A:$A;$A72;FoodLog!$G:$G)))</f>
        <v/>
      </c>
      <c r="X72">
        <f>IF($A72="";"";IF(SUMIF(FoodLog!$A:$A;$A72;FoodLog!$H:$H)=0;"";SUMIF(FoodLog!$A:$A;$A72;FoodLog!$H:$H)))</f>
        <v/>
      </c>
      <c r="Y72">
        <f>IF($A72="";"";IFERROR(ROUND(100*AVERAGE(IF($B72="";"";XLOOKUP($B72;FILTER(Dictionaries!$B:$B;Dictionaries!$A:$A="Тренировка");FILTER(Dictionaries!$C:$C;Dictionaries!$A:$A="Тренировка")));IF($C72="";"";MIN($C72/40;1));IF($D72="";"";XLOOKUP($D72;FILTER(Dictionaries!$B:$B;Dictionaries!$A:$A="Шаги");FILTER(Dictionaries!$C:$C;Dictionaries!$A:$A="Шаги")));IF($E72="";"";MIN($E72/120;1));IF(OR($F72&lt;&gt;"";$G72&lt;&gt;"");1;"");IF($H72="";"";MIN($H72/100;1));IF($L72="";"";XLOOKUP($L72;FILTER(Dictionaries!$B:$B;Dictionaries!$A:$A="Сон_часы");FILTER(Dictionaries!$C:$C;Dictionaries!$A:$A="Сон_часы")));IF($M72="";"";XLOOKUP($M72;FILTER(Dictionaries!$B:$B;Dictionaries!$A:$A="Режим");FILTER(Dictionaries!$C:$C;Dictionaries!$A:$A="Режим")));IF($N72="";"";MIN($N72/100;1));IF($O72="";"";XLOOKUP($O72;FILTER(Dictionaries!$B:$B;Dictionaries!$A:$A="Настроение");FILTER(Dictionaries!$C:$C;Dictionaries!$A:$A="Настроение")));IF($P72="";"";XLOOKUP($P72;FILTER(Dictionaries!$B:$B;Dictionaries!$A:$A="Энергия");FILTER(Dictionaries!$C:$C;Dictionaries!$A:$A="Энергия")));IF($U72="";"";AVERAGE(IF(OR($B72="Ноги";$B72="Верх");IFS(AND($U72&gt;=1900;$U72&lt;=2050);1;AND($U72&gt;=1850;$U72&lt;1900);0,7;AND($U72&gt;2050;$U72&lt;=2100);0,7;TRUE;0,2);IFS(AND($U72&gt;=1700;$U72&lt;=1850);1;AND($U72&gt;=1650;$U72&lt;1700);0,7;AND($U72&gt;1850;$U72&lt;=1900);0,7;TRUE;0,2));IF(OR($B72="Ноги";$B72="Верх");IFS(AND($V72&gt;=125;$V72&lt;=135);1;AND($V72&gt;=115;$V72&lt;125);0,7;AND($V72&gt;135;$V72&lt;=145);0,7;AND($V72&gt;=105;$V72&lt;115);0,4;AND($V72&gt;145;$V72&lt;=155);0,4;TRUE;0,2);IFS(AND($V72&gt;=120;$V72&lt;=130);1;AND($V72&gt;=110;$V72&lt;120);0,7;AND($V72&gt;130;$V72&lt;=140);0,7;AND($V72&gt;=100;$V72&lt;110);0,4;AND($V72&gt;140;$V72&lt;=150);0,4;TRUE;0,2));IFS(AND($W72&gt;=55;$W72&lt;=65);1;AND($W72&gt;=50;$W72&lt;55);0,7;AND($W72&gt;65;$W72&lt;=70);0,7;AND($W72&gt;=45;$W72&lt;50);0,4;AND($W72&gt;70;$W72&lt;=75);0,4;TRUE;0,2);IF(OR($B72="Ноги";$B72="Верх");IFS(AND($X72&gt;=180;$X72&lt;=210);1;AND($X72&gt;=160;$X72&lt;180);0,7;AND($X72&gt;210;$X72&lt;=230);0,7;AND($X72&gt;=140;$X72&lt;160);0,4;AND($X72&gt;230;$X72&lt;=250);0,4;TRUE;0,2);IFS(AND($X72&gt;=140;$X72&lt;=170);1;AND($X72&gt;=120;$X72&lt;140);0,7;AND($X72&gt;170;$X72&lt;=190);0,7;AND($X72&gt;=100;$X72&lt;120);0,4;AND($X72&gt;190;$X72&lt;=210);0,4;TRUE;0,2)))));1);""))</f>
        <v/>
      </c>
      <c r="Z72">
        <f>IF($A72="";"";TEXTJOIN(", ";TRUE;IF($B72="";"Тренировка";"");IF($C72="";"Кардио";"");IF($D72="";"Шаги";"");IF($E72="";"Английский";"");IF($F72="";"Код-режим";"");IF($G72="";"Код-тема";"");IF($H72="";"Чтение";"");IF($L72="";"Сон";"");IF($M72="";"Режим";"");IF($N72="";"Продуктивность";"");IF($O72="";"Настроение";"");IF($P72="";"Энергия";"");IF($U72="";"Еда";"")))</f>
        <v/>
      </c>
    </row>
    <row r="73">
      <c r="A73" s="2" t="inlineStr"/>
      <c r="B73" t="inlineStr"/>
      <c r="C73" t="inlineStr"/>
      <c r="D73" t="inlineStr"/>
      <c r="E73" t="inlineStr"/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/>
      <c r="P73" t="inlineStr"/>
      <c r="Q73" t="inlineStr"/>
      <c r="R73" t="inlineStr"/>
      <c r="S73" t="inlineStr"/>
      <c r="T73" t="inlineStr"/>
      <c r="U73">
        <f>IF($A73="";"";IF(SUMIF(FoodLog!$A:$A;$A73;FoodLog!$I:$I)=0;"";SUMIF(FoodLog!$A:$A;$A73;FoodLog!$I:$I)))</f>
        <v/>
      </c>
      <c r="V73">
        <f>IF($A73="";"";IF(SUMIF(FoodLog!$A:$A;$A73;FoodLog!$F:$F)=0;"";SUMIF(FoodLog!$A:$A;$A73;FoodLog!$F:$F)))</f>
        <v/>
      </c>
      <c r="W73">
        <f>IF($A73="";"";IF(SUMIF(FoodLog!$A:$A;$A73;FoodLog!$G:$G)=0;"";SUMIF(FoodLog!$A:$A;$A73;FoodLog!$G:$G)))</f>
        <v/>
      </c>
      <c r="X73">
        <f>IF($A73="";"";IF(SUMIF(FoodLog!$A:$A;$A73;FoodLog!$H:$H)=0;"";SUMIF(FoodLog!$A:$A;$A73;FoodLog!$H:$H)))</f>
        <v/>
      </c>
      <c r="Y73">
        <f>IF($A73="";"";IFERROR(ROUND(100*AVERAGE(IF($B73="";"";XLOOKUP($B73;FILTER(Dictionaries!$B:$B;Dictionaries!$A:$A="Тренировка");FILTER(Dictionaries!$C:$C;Dictionaries!$A:$A="Тренировка")));IF($C73="";"";MIN($C73/40;1));IF($D73="";"";XLOOKUP($D73;FILTER(Dictionaries!$B:$B;Dictionaries!$A:$A="Шаги");FILTER(Dictionaries!$C:$C;Dictionaries!$A:$A="Шаги")));IF($E73="";"";MIN($E73/120;1));IF(OR($F73&lt;&gt;"";$G73&lt;&gt;"");1;"");IF($H73="";"";MIN($H73/100;1));IF($L73="";"";XLOOKUP($L73;FILTER(Dictionaries!$B:$B;Dictionaries!$A:$A="Сон_часы");FILTER(Dictionaries!$C:$C;Dictionaries!$A:$A="Сон_часы")));IF($M73="";"";XLOOKUP($M73;FILTER(Dictionaries!$B:$B;Dictionaries!$A:$A="Режим");FILTER(Dictionaries!$C:$C;Dictionaries!$A:$A="Режим")));IF($N73="";"";MIN($N73/100;1));IF($O73="";"";XLOOKUP($O73;FILTER(Dictionaries!$B:$B;Dictionaries!$A:$A="Настроение");FILTER(Dictionaries!$C:$C;Dictionaries!$A:$A="Настроение")));IF($P73="";"";XLOOKUP($P73;FILTER(Dictionaries!$B:$B;Dictionaries!$A:$A="Энергия");FILTER(Dictionaries!$C:$C;Dictionaries!$A:$A="Энергия")));IF($U73="";"";AVERAGE(IF(OR($B73="Ноги";$B73="Верх");IFS(AND($U73&gt;=1900;$U73&lt;=2050);1;AND($U73&gt;=1850;$U73&lt;1900);0,7;AND($U73&gt;2050;$U73&lt;=2100);0,7;TRUE;0,2);IFS(AND($U73&gt;=1700;$U73&lt;=1850);1;AND($U73&gt;=1650;$U73&lt;1700);0,7;AND($U73&gt;1850;$U73&lt;=1900);0,7;TRUE;0,2));IF(OR($B73="Ноги";$B73="Верх");IFS(AND($V73&gt;=125;$V73&lt;=135);1;AND($V73&gt;=115;$V73&lt;125);0,7;AND($V73&gt;135;$V73&lt;=145);0,7;AND($V73&gt;=105;$V73&lt;115);0,4;AND($V73&gt;145;$V73&lt;=155);0,4;TRUE;0,2);IFS(AND($V73&gt;=120;$V73&lt;=130);1;AND($V73&gt;=110;$V73&lt;120);0,7;AND($V73&gt;130;$V73&lt;=140);0,7;AND($V73&gt;=100;$V73&lt;110);0,4;AND($V73&gt;140;$V73&lt;=150);0,4;TRUE;0,2));IFS(AND($W73&gt;=55;$W73&lt;=65);1;AND($W73&gt;=50;$W73&lt;55);0,7;AND($W73&gt;65;$W73&lt;=70);0,7;AND($W73&gt;=45;$W73&lt;50);0,4;AND($W73&gt;70;$W73&lt;=75);0,4;TRUE;0,2);IF(OR($B73="Ноги";$B73="Верх");IFS(AND($X73&gt;=180;$X73&lt;=210);1;AND($X73&gt;=160;$X73&lt;180);0,7;AND($X73&gt;210;$X73&lt;=230);0,7;AND($X73&gt;=140;$X73&lt;160);0,4;AND($X73&gt;230;$X73&lt;=250);0,4;TRUE;0,2);IFS(AND($X73&gt;=140;$X73&lt;=170);1;AND($X73&gt;=120;$X73&lt;140);0,7;AND($X73&gt;170;$X73&lt;=190);0,7;AND($X73&gt;=100;$X73&lt;120);0,4;AND($X73&gt;190;$X73&lt;=210);0,4;TRUE;0,2)))));1);""))</f>
        <v/>
      </c>
      <c r="Z73">
        <f>IF($A73="";"";TEXTJOIN(", ";TRUE;IF($B73="";"Тренировка";"");IF($C73="";"Кардио";"");IF($D73="";"Шаги";"");IF($E73="";"Английский";"");IF($F73="";"Код-режим";"");IF($G73="";"Код-тема";"");IF($H73="";"Чтение";"");IF($L73="";"Сон";"");IF($M73="";"Режим";"");IF($N73="";"Продуктивность";"");IF($O73="";"Настроение";"");IF($P73="";"Энергия";"");IF($U73="";"Еда";"")))</f>
        <v/>
      </c>
    </row>
    <row r="74">
      <c r="A74" s="2" t="inlineStr"/>
      <c r="B74" t="inlineStr"/>
      <c r="C74" t="inlineStr"/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>
        <f>IF($A74="";"";IF(SUMIF(FoodLog!$A:$A;$A74;FoodLog!$I:$I)=0;"";SUMIF(FoodLog!$A:$A;$A74;FoodLog!$I:$I)))</f>
        <v/>
      </c>
      <c r="V74">
        <f>IF($A74="";"";IF(SUMIF(FoodLog!$A:$A;$A74;FoodLog!$F:$F)=0;"";SUMIF(FoodLog!$A:$A;$A74;FoodLog!$F:$F)))</f>
        <v/>
      </c>
      <c r="W74">
        <f>IF($A74="";"";IF(SUMIF(FoodLog!$A:$A;$A74;FoodLog!$G:$G)=0;"";SUMIF(FoodLog!$A:$A;$A74;FoodLog!$G:$G)))</f>
        <v/>
      </c>
      <c r="X74">
        <f>IF($A74="";"";IF(SUMIF(FoodLog!$A:$A;$A74;FoodLog!$H:$H)=0;"";SUMIF(FoodLog!$A:$A;$A74;FoodLog!$H:$H)))</f>
        <v/>
      </c>
      <c r="Y74">
        <f>IF($A74="";"";IFERROR(ROUND(100*AVERAGE(IF($B74="";"";XLOOKUP($B74;FILTER(Dictionaries!$B:$B;Dictionaries!$A:$A="Тренировка");FILTER(Dictionaries!$C:$C;Dictionaries!$A:$A="Тренировка")));IF($C74="";"";MIN($C74/40;1));IF($D74="";"";XLOOKUP($D74;FILTER(Dictionaries!$B:$B;Dictionaries!$A:$A="Шаги");FILTER(Dictionaries!$C:$C;Dictionaries!$A:$A="Шаги")));IF($E74="";"";MIN($E74/120;1));IF(OR($F74&lt;&gt;"";$G74&lt;&gt;"");1;"");IF($H74="";"";MIN($H74/100;1));IF($L74="";"";XLOOKUP($L74;FILTER(Dictionaries!$B:$B;Dictionaries!$A:$A="Сон_часы");FILTER(Dictionaries!$C:$C;Dictionaries!$A:$A="Сон_часы")));IF($M74="";"";XLOOKUP($M74;FILTER(Dictionaries!$B:$B;Dictionaries!$A:$A="Режим");FILTER(Dictionaries!$C:$C;Dictionaries!$A:$A="Режим")));IF($N74="";"";MIN($N74/100;1));IF($O74="";"";XLOOKUP($O74;FILTER(Dictionaries!$B:$B;Dictionaries!$A:$A="Настроение");FILTER(Dictionaries!$C:$C;Dictionaries!$A:$A="Настроение")));IF($P74="";"";XLOOKUP($P74;FILTER(Dictionaries!$B:$B;Dictionaries!$A:$A="Энергия");FILTER(Dictionaries!$C:$C;Dictionaries!$A:$A="Энергия")));IF($U74="";"";AVERAGE(IF(OR($B74="Ноги";$B74="Верх");IFS(AND($U74&gt;=1900;$U74&lt;=2050);1;AND($U74&gt;=1850;$U74&lt;1900);0,7;AND($U74&gt;2050;$U74&lt;=2100);0,7;TRUE;0,2);IFS(AND($U74&gt;=1700;$U74&lt;=1850);1;AND($U74&gt;=1650;$U74&lt;1700);0,7;AND($U74&gt;1850;$U74&lt;=1900);0,7;TRUE;0,2));IF(OR($B74="Ноги";$B74="Верх");IFS(AND($V74&gt;=125;$V74&lt;=135);1;AND($V74&gt;=115;$V74&lt;125);0,7;AND($V74&gt;135;$V74&lt;=145);0,7;AND($V74&gt;=105;$V74&lt;115);0,4;AND($V74&gt;145;$V74&lt;=155);0,4;TRUE;0,2);IFS(AND($V74&gt;=120;$V74&lt;=130);1;AND($V74&gt;=110;$V74&lt;120);0,7;AND($V74&gt;130;$V74&lt;=140);0,7;AND($V74&gt;=100;$V74&lt;110);0,4;AND($V74&gt;140;$V74&lt;=150);0,4;TRUE;0,2));IFS(AND($W74&gt;=55;$W74&lt;=65);1;AND($W74&gt;=50;$W74&lt;55);0,7;AND($W74&gt;65;$W74&lt;=70);0,7;AND($W74&gt;=45;$W74&lt;50);0,4;AND($W74&gt;70;$W74&lt;=75);0,4;TRUE;0,2);IF(OR($B74="Ноги";$B74="Верх");IFS(AND($X74&gt;=180;$X74&lt;=210);1;AND($X74&gt;=160;$X74&lt;180);0,7;AND($X74&gt;210;$X74&lt;=230);0,7;AND($X74&gt;=140;$X74&lt;160);0,4;AND($X74&gt;230;$X74&lt;=250);0,4;TRUE;0,2);IFS(AND($X74&gt;=140;$X74&lt;=170);1;AND($X74&gt;=120;$X74&lt;140);0,7;AND($X74&gt;170;$X74&lt;=190);0,7;AND($X74&gt;=100;$X74&lt;120);0,4;AND($X74&gt;190;$X74&lt;=210);0,4;TRUE;0,2)))));1);""))</f>
        <v/>
      </c>
      <c r="Z74">
        <f>IF($A74="";"";TEXTJOIN(", ";TRUE;IF($B74="";"Тренировка";"");IF($C74="";"Кардио";"");IF($D74="";"Шаги";"");IF($E74="";"Английский";"");IF($F74="";"Код-режим";"");IF($G74="";"Код-тема";"");IF($H74="";"Чтение";"");IF($L74="";"Сон";"");IF($M74="";"Режим";"");IF($N74="";"Продуктивность";"");IF($O74="";"Настроение";"");IF($P74="";"Энергия";"");IF($U74="";"Еда";"")))</f>
        <v/>
      </c>
    </row>
    <row r="75">
      <c r="A75" s="2" t="inlineStr"/>
      <c r="B75" t="inlineStr"/>
      <c r="C75" t="inlineStr"/>
      <c r="D75" t="inlineStr"/>
      <c r="E75" t="inlineStr"/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/>
      <c r="P75" t="inlineStr"/>
      <c r="Q75" t="inlineStr"/>
      <c r="R75" t="inlineStr"/>
      <c r="S75" t="inlineStr"/>
      <c r="T75" t="inlineStr"/>
      <c r="U75">
        <f>IF($A75="";"";IF(SUMIF(FoodLog!$A:$A;$A75;FoodLog!$I:$I)=0;"";SUMIF(FoodLog!$A:$A;$A75;FoodLog!$I:$I)))</f>
        <v/>
      </c>
      <c r="V75">
        <f>IF($A75="";"";IF(SUMIF(FoodLog!$A:$A;$A75;FoodLog!$F:$F)=0;"";SUMIF(FoodLog!$A:$A;$A75;FoodLog!$F:$F)))</f>
        <v/>
      </c>
      <c r="W75">
        <f>IF($A75="";"";IF(SUMIF(FoodLog!$A:$A;$A75;FoodLog!$G:$G)=0;"";SUMIF(FoodLog!$A:$A;$A75;FoodLog!$G:$G)))</f>
        <v/>
      </c>
      <c r="X75">
        <f>IF($A75="";"";IF(SUMIF(FoodLog!$A:$A;$A75;FoodLog!$H:$H)=0;"";SUMIF(FoodLog!$A:$A;$A75;FoodLog!$H:$H)))</f>
        <v/>
      </c>
      <c r="Y75">
        <f>IF($A75="";"";IFERROR(ROUND(100*AVERAGE(IF($B75="";"";XLOOKUP($B75;FILTER(Dictionaries!$B:$B;Dictionaries!$A:$A="Тренировка");FILTER(Dictionaries!$C:$C;Dictionaries!$A:$A="Тренировка")));IF($C75="";"";MIN($C75/40;1));IF($D75="";"";XLOOKUP($D75;FILTER(Dictionaries!$B:$B;Dictionaries!$A:$A="Шаги");FILTER(Dictionaries!$C:$C;Dictionaries!$A:$A="Шаги")));IF($E75="";"";MIN($E75/120;1));IF(OR($F75&lt;&gt;"";$G75&lt;&gt;"");1;"");IF($H75="";"";MIN($H75/100;1));IF($L75="";"";XLOOKUP($L75;FILTER(Dictionaries!$B:$B;Dictionaries!$A:$A="Сон_часы");FILTER(Dictionaries!$C:$C;Dictionaries!$A:$A="Сон_часы")));IF($M75="";"";XLOOKUP($M75;FILTER(Dictionaries!$B:$B;Dictionaries!$A:$A="Режим");FILTER(Dictionaries!$C:$C;Dictionaries!$A:$A="Режим")));IF($N75="";"";MIN($N75/100;1));IF($O75="";"";XLOOKUP($O75;FILTER(Dictionaries!$B:$B;Dictionaries!$A:$A="Настроение");FILTER(Dictionaries!$C:$C;Dictionaries!$A:$A="Настроение")));IF($P75="";"";XLOOKUP($P75;FILTER(Dictionaries!$B:$B;Dictionaries!$A:$A="Энергия");FILTER(Dictionaries!$C:$C;Dictionaries!$A:$A="Энергия")));IF($U75="";"";AVERAGE(IF(OR($B75="Ноги";$B75="Верх");IFS(AND($U75&gt;=1900;$U75&lt;=2050);1;AND($U75&gt;=1850;$U75&lt;1900);0,7;AND($U75&gt;2050;$U75&lt;=2100);0,7;TRUE;0,2);IFS(AND($U75&gt;=1700;$U75&lt;=1850);1;AND($U75&gt;=1650;$U75&lt;1700);0,7;AND($U75&gt;1850;$U75&lt;=1900);0,7;TRUE;0,2));IF(OR($B75="Ноги";$B75="Верх");IFS(AND($V75&gt;=125;$V75&lt;=135);1;AND($V75&gt;=115;$V75&lt;125);0,7;AND($V75&gt;135;$V75&lt;=145);0,7;AND($V75&gt;=105;$V75&lt;115);0,4;AND($V75&gt;145;$V75&lt;=155);0,4;TRUE;0,2);IFS(AND($V75&gt;=120;$V75&lt;=130);1;AND($V75&gt;=110;$V75&lt;120);0,7;AND($V75&gt;130;$V75&lt;=140);0,7;AND($V75&gt;=100;$V75&lt;110);0,4;AND($V75&gt;140;$V75&lt;=150);0,4;TRUE;0,2));IFS(AND($W75&gt;=55;$W75&lt;=65);1;AND($W75&gt;=50;$W75&lt;55);0,7;AND($W75&gt;65;$W75&lt;=70);0,7;AND($W75&gt;=45;$W75&lt;50);0,4;AND($W75&gt;70;$W75&lt;=75);0,4;TRUE;0,2);IF(OR($B75="Ноги";$B75="Верх");IFS(AND($X75&gt;=180;$X75&lt;=210);1;AND($X75&gt;=160;$X75&lt;180);0,7;AND($X75&gt;210;$X75&lt;=230);0,7;AND($X75&gt;=140;$X75&lt;160);0,4;AND($X75&gt;230;$X75&lt;=250);0,4;TRUE;0,2);IFS(AND($X75&gt;=140;$X75&lt;=170);1;AND($X75&gt;=120;$X75&lt;140);0,7;AND($X75&gt;170;$X75&lt;=190);0,7;AND($X75&gt;=100;$X75&lt;120);0,4;AND($X75&gt;190;$X75&lt;=210);0,4;TRUE;0,2)))));1);""))</f>
        <v/>
      </c>
      <c r="Z75">
        <f>IF($A75="";"";TEXTJOIN(", ";TRUE;IF($B75="";"Тренировка";"");IF($C75="";"Кардио";"");IF($D75="";"Шаги";"");IF($E75="";"Английский";"");IF($F75="";"Код-режим";"");IF($G75="";"Код-тема";"");IF($H75="";"Чтение";"");IF($L75="";"Сон";"");IF($M75="";"Режим";"");IF($N75="";"Продуктивность";"");IF($O75="";"Настроение";"");IF($P75="";"Энергия";"");IF($U75="";"Еда";"")))</f>
        <v/>
      </c>
    </row>
    <row r="76">
      <c r="A76" s="2" t="inlineStr"/>
      <c r="B76" t="inlineStr"/>
      <c r="C76" t="inlineStr"/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inlineStr"/>
      <c r="U76">
        <f>IF($A76="";"";IF(SUMIF(FoodLog!$A:$A;$A76;FoodLog!$I:$I)=0;"";SUMIF(FoodLog!$A:$A;$A76;FoodLog!$I:$I)))</f>
        <v/>
      </c>
      <c r="V76">
        <f>IF($A76="";"";IF(SUMIF(FoodLog!$A:$A;$A76;FoodLog!$F:$F)=0;"";SUMIF(FoodLog!$A:$A;$A76;FoodLog!$F:$F)))</f>
        <v/>
      </c>
      <c r="W76">
        <f>IF($A76="";"";IF(SUMIF(FoodLog!$A:$A;$A76;FoodLog!$G:$G)=0;"";SUMIF(FoodLog!$A:$A;$A76;FoodLog!$G:$G)))</f>
        <v/>
      </c>
      <c r="X76">
        <f>IF($A76="";"";IF(SUMIF(FoodLog!$A:$A;$A76;FoodLog!$H:$H)=0;"";SUMIF(FoodLog!$A:$A;$A76;FoodLog!$H:$H)))</f>
        <v/>
      </c>
      <c r="Y76">
        <f>IF($A76="";"";IFERROR(ROUND(100*AVERAGE(IF($B76="";"";XLOOKUP($B76;FILTER(Dictionaries!$B:$B;Dictionaries!$A:$A="Тренировка");FILTER(Dictionaries!$C:$C;Dictionaries!$A:$A="Тренировка")));IF($C76="";"";MIN($C76/40;1));IF($D76="";"";XLOOKUP($D76;FILTER(Dictionaries!$B:$B;Dictionaries!$A:$A="Шаги");FILTER(Dictionaries!$C:$C;Dictionaries!$A:$A="Шаги")));IF($E76="";"";MIN($E76/120;1));IF(OR($F76&lt;&gt;"";$G76&lt;&gt;"");1;"");IF($H76="";"";MIN($H76/100;1));IF($L76="";"";XLOOKUP($L76;FILTER(Dictionaries!$B:$B;Dictionaries!$A:$A="Сон_часы");FILTER(Dictionaries!$C:$C;Dictionaries!$A:$A="Сон_часы")));IF($M76="";"";XLOOKUP($M76;FILTER(Dictionaries!$B:$B;Dictionaries!$A:$A="Режим");FILTER(Dictionaries!$C:$C;Dictionaries!$A:$A="Режим")));IF($N76="";"";MIN($N76/100;1));IF($O76="";"";XLOOKUP($O76;FILTER(Dictionaries!$B:$B;Dictionaries!$A:$A="Настроение");FILTER(Dictionaries!$C:$C;Dictionaries!$A:$A="Настроение")));IF($P76="";"";XLOOKUP($P76;FILTER(Dictionaries!$B:$B;Dictionaries!$A:$A="Энергия");FILTER(Dictionaries!$C:$C;Dictionaries!$A:$A="Энергия")));IF($U76="";"";AVERAGE(IF(OR($B76="Ноги";$B76="Верх");IFS(AND($U76&gt;=1900;$U76&lt;=2050);1;AND($U76&gt;=1850;$U76&lt;1900);0,7;AND($U76&gt;2050;$U76&lt;=2100);0,7;TRUE;0,2);IFS(AND($U76&gt;=1700;$U76&lt;=1850);1;AND($U76&gt;=1650;$U76&lt;1700);0,7;AND($U76&gt;1850;$U76&lt;=1900);0,7;TRUE;0,2));IF(OR($B76="Ноги";$B76="Верх");IFS(AND($V76&gt;=125;$V76&lt;=135);1;AND($V76&gt;=115;$V76&lt;125);0,7;AND($V76&gt;135;$V76&lt;=145);0,7;AND($V76&gt;=105;$V76&lt;115);0,4;AND($V76&gt;145;$V76&lt;=155);0,4;TRUE;0,2);IFS(AND($V76&gt;=120;$V76&lt;=130);1;AND($V76&gt;=110;$V76&lt;120);0,7;AND($V76&gt;130;$V76&lt;=140);0,7;AND($V76&gt;=100;$V76&lt;110);0,4;AND($V76&gt;140;$V76&lt;=150);0,4;TRUE;0,2));IFS(AND($W76&gt;=55;$W76&lt;=65);1;AND($W76&gt;=50;$W76&lt;55);0,7;AND($W76&gt;65;$W76&lt;=70);0,7;AND($W76&gt;=45;$W76&lt;50);0,4;AND($W76&gt;70;$W76&lt;=75);0,4;TRUE;0,2);IF(OR($B76="Ноги";$B76="Верх");IFS(AND($X76&gt;=180;$X76&lt;=210);1;AND($X76&gt;=160;$X76&lt;180);0,7;AND($X76&gt;210;$X76&lt;=230);0,7;AND($X76&gt;=140;$X76&lt;160);0,4;AND($X76&gt;230;$X76&lt;=250);0,4;TRUE;0,2);IFS(AND($X76&gt;=140;$X76&lt;=170);1;AND($X76&gt;=120;$X76&lt;140);0,7;AND($X76&gt;170;$X76&lt;=190);0,7;AND($X76&gt;=100;$X76&lt;120);0,4;AND($X76&gt;190;$X76&lt;=210);0,4;TRUE;0,2)))));1);""))</f>
        <v/>
      </c>
      <c r="Z76">
        <f>IF($A76="";"";TEXTJOIN(", ";TRUE;IF($B76="";"Тренировка";"");IF($C76="";"Кардио";"");IF($D76="";"Шаги";"");IF($E76="";"Английский";"");IF($F76="";"Код-режим";"");IF($G76="";"Код-тема";"");IF($H76="";"Чтение";"");IF($L76="";"Сон";"");IF($M76="";"Режим";"");IF($N76="";"Продуктивность";"");IF($O76="";"Настроение";"");IF($P76="";"Энергия";"");IF($U76="";"Еда";"")))</f>
        <v/>
      </c>
    </row>
    <row r="77">
      <c r="A77" s="2" t="inlineStr"/>
      <c r="B77" t="inlineStr"/>
      <c r="C77" t="inlineStr"/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>
        <f>IF($A77="";"";IF(SUMIF(FoodLog!$A:$A;$A77;FoodLog!$I:$I)=0;"";SUMIF(FoodLog!$A:$A;$A77;FoodLog!$I:$I)))</f>
        <v/>
      </c>
      <c r="V77">
        <f>IF($A77="";"";IF(SUMIF(FoodLog!$A:$A;$A77;FoodLog!$F:$F)=0;"";SUMIF(FoodLog!$A:$A;$A77;FoodLog!$F:$F)))</f>
        <v/>
      </c>
      <c r="W77">
        <f>IF($A77="";"";IF(SUMIF(FoodLog!$A:$A;$A77;FoodLog!$G:$G)=0;"";SUMIF(FoodLog!$A:$A;$A77;FoodLog!$G:$G)))</f>
        <v/>
      </c>
      <c r="X77">
        <f>IF($A77="";"";IF(SUMIF(FoodLog!$A:$A;$A77;FoodLog!$H:$H)=0;"";SUMIF(FoodLog!$A:$A;$A77;FoodLog!$H:$H)))</f>
        <v/>
      </c>
      <c r="Y77">
        <f>IF($A77="";"";IFERROR(ROUND(100*AVERAGE(IF($B77="";"";XLOOKUP($B77;FILTER(Dictionaries!$B:$B;Dictionaries!$A:$A="Тренировка");FILTER(Dictionaries!$C:$C;Dictionaries!$A:$A="Тренировка")));IF($C77="";"";MIN($C77/40;1));IF($D77="";"";XLOOKUP($D77;FILTER(Dictionaries!$B:$B;Dictionaries!$A:$A="Шаги");FILTER(Dictionaries!$C:$C;Dictionaries!$A:$A="Шаги")));IF($E77="";"";MIN($E77/120;1));IF(OR($F77&lt;&gt;"";$G77&lt;&gt;"");1;"");IF($H77="";"";MIN($H77/100;1));IF($L77="";"";XLOOKUP($L77;FILTER(Dictionaries!$B:$B;Dictionaries!$A:$A="Сон_часы");FILTER(Dictionaries!$C:$C;Dictionaries!$A:$A="Сон_часы")));IF($M77="";"";XLOOKUP($M77;FILTER(Dictionaries!$B:$B;Dictionaries!$A:$A="Режим");FILTER(Dictionaries!$C:$C;Dictionaries!$A:$A="Режим")));IF($N77="";"";MIN($N77/100;1));IF($O77="";"";XLOOKUP($O77;FILTER(Dictionaries!$B:$B;Dictionaries!$A:$A="Настроение");FILTER(Dictionaries!$C:$C;Dictionaries!$A:$A="Настроение")));IF($P77="";"";XLOOKUP($P77;FILTER(Dictionaries!$B:$B;Dictionaries!$A:$A="Энергия");FILTER(Dictionaries!$C:$C;Dictionaries!$A:$A="Энергия")));IF($U77="";"";AVERAGE(IF(OR($B77="Ноги";$B77="Верх");IFS(AND($U77&gt;=1900;$U77&lt;=2050);1;AND($U77&gt;=1850;$U77&lt;1900);0,7;AND($U77&gt;2050;$U77&lt;=2100);0,7;TRUE;0,2);IFS(AND($U77&gt;=1700;$U77&lt;=1850);1;AND($U77&gt;=1650;$U77&lt;1700);0,7;AND($U77&gt;1850;$U77&lt;=1900);0,7;TRUE;0,2));IF(OR($B77="Ноги";$B77="Верх");IFS(AND($V77&gt;=125;$V77&lt;=135);1;AND($V77&gt;=115;$V77&lt;125);0,7;AND($V77&gt;135;$V77&lt;=145);0,7;AND($V77&gt;=105;$V77&lt;115);0,4;AND($V77&gt;145;$V77&lt;=155);0,4;TRUE;0,2);IFS(AND($V77&gt;=120;$V77&lt;=130);1;AND($V77&gt;=110;$V77&lt;120);0,7;AND($V77&gt;130;$V77&lt;=140);0,7;AND($V77&gt;=100;$V77&lt;110);0,4;AND($V77&gt;140;$V77&lt;=150);0,4;TRUE;0,2));IFS(AND($W77&gt;=55;$W77&lt;=65);1;AND($W77&gt;=50;$W77&lt;55);0,7;AND($W77&gt;65;$W77&lt;=70);0,7;AND($W77&gt;=45;$W77&lt;50);0,4;AND($W77&gt;70;$W77&lt;=75);0,4;TRUE;0,2);IF(OR($B77="Ноги";$B77="Верх");IFS(AND($X77&gt;=180;$X77&lt;=210);1;AND($X77&gt;=160;$X77&lt;180);0,7;AND($X77&gt;210;$X77&lt;=230);0,7;AND($X77&gt;=140;$X77&lt;160);0,4;AND($X77&gt;230;$X77&lt;=250);0,4;TRUE;0,2);IFS(AND($X77&gt;=140;$X77&lt;=170);1;AND($X77&gt;=120;$X77&lt;140);0,7;AND($X77&gt;170;$X77&lt;=190);0,7;AND($X77&gt;=100;$X77&lt;120);0,4;AND($X77&gt;190;$X77&lt;=210);0,4;TRUE;0,2)))));1);""))</f>
        <v/>
      </c>
      <c r="Z77">
        <f>IF($A77="";"";TEXTJOIN(", ";TRUE;IF($B77="";"Тренировка";"");IF($C77="";"Кардио";"");IF($D77="";"Шаги";"");IF($E77="";"Английский";"");IF($F77="";"Код-режим";"");IF($G77="";"Код-тема";"");IF($H77="";"Чтение";"");IF($L77="";"Сон";"");IF($M77="";"Режим";"");IF($N77="";"Продуктивность";"");IF($O77="";"Настроение";"");IF($P77="";"Энергия";"");IF($U77="";"Еда";"")))</f>
        <v/>
      </c>
    </row>
    <row r="78">
      <c r="A78" s="2" t="inlineStr"/>
      <c r="B78" t="inlineStr"/>
      <c r="C78" t="inlineStr"/>
      <c r="D78" t="inlineStr"/>
      <c r="E78" t="inlineStr"/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/>
      <c r="P78" t="inlineStr"/>
      <c r="Q78" t="inlineStr"/>
      <c r="R78" t="inlineStr"/>
      <c r="S78" t="inlineStr"/>
      <c r="T78" t="inlineStr"/>
      <c r="U78">
        <f>IF($A78="";"";IF(SUMIF(FoodLog!$A:$A;$A78;FoodLog!$I:$I)=0;"";SUMIF(FoodLog!$A:$A;$A78;FoodLog!$I:$I)))</f>
        <v/>
      </c>
      <c r="V78">
        <f>IF($A78="";"";IF(SUMIF(FoodLog!$A:$A;$A78;FoodLog!$F:$F)=0;"";SUMIF(FoodLog!$A:$A;$A78;FoodLog!$F:$F)))</f>
        <v/>
      </c>
      <c r="W78">
        <f>IF($A78="";"";IF(SUMIF(FoodLog!$A:$A;$A78;FoodLog!$G:$G)=0;"";SUMIF(FoodLog!$A:$A;$A78;FoodLog!$G:$G)))</f>
        <v/>
      </c>
      <c r="X78">
        <f>IF($A78="";"";IF(SUMIF(FoodLog!$A:$A;$A78;FoodLog!$H:$H)=0;"";SUMIF(FoodLog!$A:$A;$A78;FoodLog!$H:$H)))</f>
        <v/>
      </c>
      <c r="Y78">
        <f>IF($A78="";"";IFERROR(ROUND(100*AVERAGE(IF($B78="";"";XLOOKUP($B78;FILTER(Dictionaries!$B:$B;Dictionaries!$A:$A="Тренировка");FILTER(Dictionaries!$C:$C;Dictionaries!$A:$A="Тренировка")));IF($C78="";"";MIN($C78/40;1));IF($D78="";"";XLOOKUP($D78;FILTER(Dictionaries!$B:$B;Dictionaries!$A:$A="Шаги");FILTER(Dictionaries!$C:$C;Dictionaries!$A:$A="Шаги")));IF($E78="";"";MIN($E78/120;1));IF(OR($F78&lt;&gt;"";$G78&lt;&gt;"");1;"");IF($H78="";"";MIN($H78/100;1));IF($L78="";"";XLOOKUP($L78;FILTER(Dictionaries!$B:$B;Dictionaries!$A:$A="Сон_часы");FILTER(Dictionaries!$C:$C;Dictionaries!$A:$A="Сон_часы")));IF($M78="";"";XLOOKUP($M78;FILTER(Dictionaries!$B:$B;Dictionaries!$A:$A="Режим");FILTER(Dictionaries!$C:$C;Dictionaries!$A:$A="Режим")));IF($N78="";"";MIN($N78/100;1));IF($O78="";"";XLOOKUP($O78;FILTER(Dictionaries!$B:$B;Dictionaries!$A:$A="Настроение");FILTER(Dictionaries!$C:$C;Dictionaries!$A:$A="Настроение")));IF($P78="";"";XLOOKUP($P78;FILTER(Dictionaries!$B:$B;Dictionaries!$A:$A="Энергия");FILTER(Dictionaries!$C:$C;Dictionaries!$A:$A="Энергия")));IF($U78="";"";AVERAGE(IF(OR($B78="Ноги";$B78="Верх");IFS(AND($U78&gt;=1900;$U78&lt;=2050);1;AND($U78&gt;=1850;$U78&lt;1900);0,7;AND($U78&gt;2050;$U78&lt;=2100);0,7;TRUE;0,2);IFS(AND($U78&gt;=1700;$U78&lt;=1850);1;AND($U78&gt;=1650;$U78&lt;1700);0,7;AND($U78&gt;1850;$U78&lt;=1900);0,7;TRUE;0,2));IF(OR($B78="Ноги";$B78="Верх");IFS(AND($V78&gt;=125;$V78&lt;=135);1;AND($V78&gt;=115;$V78&lt;125);0,7;AND($V78&gt;135;$V78&lt;=145);0,7;AND($V78&gt;=105;$V78&lt;115);0,4;AND($V78&gt;145;$V78&lt;=155);0,4;TRUE;0,2);IFS(AND($V78&gt;=120;$V78&lt;=130);1;AND($V78&gt;=110;$V78&lt;120);0,7;AND($V78&gt;130;$V78&lt;=140);0,7;AND($V78&gt;=100;$V78&lt;110);0,4;AND($V78&gt;140;$V78&lt;=150);0,4;TRUE;0,2));IFS(AND($W78&gt;=55;$W78&lt;=65);1;AND($W78&gt;=50;$W78&lt;55);0,7;AND($W78&gt;65;$W78&lt;=70);0,7;AND($W78&gt;=45;$W78&lt;50);0,4;AND($W78&gt;70;$W78&lt;=75);0,4;TRUE;0,2);IF(OR($B78="Ноги";$B78="Верх");IFS(AND($X78&gt;=180;$X78&lt;=210);1;AND($X78&gt;=160;$X78&lt;180);0,7;AND($X78&gt;210;$X78&lt;=230);0,7;AND($X78&gt;=140;$X78&lt;160);0,4;AND($X78&gt;230;$X78&lt;=250);0,4;TRUE;0,2);IFS(AND($X78&gt;=140;$X78&lt;=170);1;AND($X78&gt;=120;$X78&lt;140);0,7;AND($X78&gt;170;$X78&lt;=190);0,7;AND($X78&gt;=100;$X78&lt;120);0,4;AND($X78&gt;190;$X78&lt;=210);0,4;TRUE;0,2)))));1);""))</f>
        <v/>
      </c>
      <c r="Z78">
        <f>IF($A78="";"";TEXTJOIN(", ";TRUE;IF($B78="";"Тренировка";"");IF($C78="";"Кардио";"");IF($D78="";"Шаги";"");IF($E78="";"Английский";"");IF($F78="";"Код-режим";"");IF($G78="";"Код-тема";"");IF($H78="";"Чтение";"");IF($L78="";"Сон";"");IF($M78="";"Режим";"");IF($N78="";"Продуктивность";"");IF($O78="";"Настроение";"");IF($P78="";"Энергия";"");IF($U78="";"Еда";"")))</f>
        <v/>
      </c>
    </row>
    <row r="79">
      <c r="A79" s="2" t="inlineStr"/>
      <c r="B79" t="inlineStr"/>
      <c r="C79" t="inlineStr"/>
      <c r="D79" t="inlineStr"/>
      <c r="E79" t="inlineStr"/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/>
      <c r="P79" t="inlineStr"/>
      <c r="Q79" t="inlineStr"/>
      <c r="R79" t="inlineStr"/>
      <c r="S79" t="inlineStr"/>
      <c r="T79" t="inlineStr"/>
      <c r="U79">
        <f>IF($A79="";"";IF(SUMIF(FoodLog!$A:$A;$A79;FoodLog!$I:$I)=0;"";SUMIF(FoodLog!$A:$A;$A79;FoodLog!$I:$I)))</f>
        <v/>
      </c>
      <c r="V79">
        <f>IF($A79="";"";IF(SUMIF(FoodLog!$A:$A;$A79;FoodLog!$F:$F)=0;"";SUMIF(FoodLog!$A:$A;$A79;FoodLog!$F:$F)))</f>
        <v/>
      </c>
      <c r="W79">
        <f>IF($A79="";"";IF(SUMIF(FoodLog!$A:$A;$A79;FoodLog!$G:$G)=0;"";SUMIF(FoodLog!$A:$A;$A79;FoodLog!$G:$G)))</f>
        <v/>
      </c>
      <c r="X79">
        <f>IF($A79="";"";IF(SUMIF(FoodLog!$A:$A;$A79;FoodLog!$H:$H)=0;"";SUMIF(FoodLog!$A:$A;$A79;FoodLog!$H:$H)))</f>
        <v/>
      </c>
      <c r="Y79">
        <f>IF($A79="";"";IFERROR(ROUND(100*AVERAGE(IF($B79="";"";XLOOKUP($B79;FILTER(Dictionaries!$B:$B;Dictionaries!$A:$A="Тренировка");FILTER(Dictionaries!$C:$C;Dictionaries!$A:$A="Тренировка")));IF($C79="";"";MIN($C79/40;1));IF($D79="";"";XLOOKUP($D79;FILTER(Dictionaries!$B:$B;Dictionaries!$A:$A="Шаги");FILTER(Dictionaries!$C:$C;Dictionaries!$A:$A="Шаги")));IF($E79="";"";MIN($E79/120;1));IF(OR($F79&lt;&gt;"";$G79&lt;&gt;"");1;"");IF($H79="";"";MIN($H79/100;1));IF($L79="";"";XLOOKUP($L79;FILTER(Dictionaries!$B:$B;Dictionaries!$A:$A="Сон_часы");FILTER(Dictionaries!$C:$C;Dictionaries!$A:$A="Сон_часы")));IF($M79="";"";XLOOKUP($M79;FILTER(Dictionaries!$B:$B;Dictionaries!$A:$A="Режим");FILTER(Dictionaries!$C:$C;Dictionaries!$A:$A="Режим")));IF($N79="";"";MIN($N79/100;1));IF($O79="";"";XLOOKUP($O79;FILTER(Dictionaries!$B:$B;Dictionaries!$A:$A="Настроение");FILTER(Dictionaries!$C:$C;Dictionaries!$A:$A="Настроение")));IF($P79="";"";XLOOKUP($P79;FILTER(Dictionaries!$B:$B;Dictionaries!$A:$A="Энергия");FILTER(Dictionaries!$C:$C;Dictionaries!$A:$A="Энергия")));IF($U79="";"";AVERAGE(IF(OR($B79="Ноги";$B79="Верх");IFS(AND($U79&gt;=1900;$U79&lt;=2050);1;AND($U79&gt;=1850;$U79&lt;1900);0,7;AND($U79&gt;2050;$U79&lt;=2100);0,7;TRUE;0,2);IFS(AND($U79&gt;=1700;$U79&lt;=1850);1;AND($U79&gt;=1650;$U79&lt;1700);0,7;AND($U79&gt;1850;$U79&lt;=1900);0,7;TRUE;0,2));IF(OR($B79="Ноги";$B79="Верх");IFS(AND($V79&gt;=125;$V79&lt;=135);1;AND($V79&gt;=115;$V79&lt;125);0,7;AND($V79&gt;135;$V79&lt;=145);0,7;AND($V79&gt;=105;$V79&lt;115);0,4;AND($V79&gt;145;$V79&lt;=155);0,4;TRUE;0,2);IFS(AND($V79&gt;=120;$V79&lt;=130);1;AND($V79&gt;=110;$V79&lt;120);0,7;AND($V79&gt;130;$V79&lt;=140);0,7;AND($V79&gt;=100;$V79&lt;110);0,4;AND($V79&gt;140;$V79&lt;=150);0,4;TRUE;0,2));IFS(AND($W79&gt;=55;$W79&lt;=65);1;AND($W79&gt;=50;$W79&lt;55);0,7;AND($W79&gt;65;$W79&lt;=70);0,7;AND($W79&gt;=45;$W79&lt;50);0,4;AND($W79&gt;70;$W79&lt;=75);0,4;TRUE;0,2);IF(OR($B79="Ноги";$B79="Верх");IFS(AND($X79&gt;=180;$X79&lt;=210);1;AND($X79&gt;=160;$X79&lt;180);0,7;AND($X79&gt;210;$X79&lt;=230);0,7;AND($X79&gt;=140;$X79&lt;160);0,4;AND($X79&gt;230;$X79&lt;=250);0,4;TRUE;0,2);IFS(AND($X79&gt;=140;$X79&lt;=170);1;AND($X79&gt;=120;$X79&lt;140);0,7;AND($X79&gt;170;$X79&lt;=190);0,7;AND($X79&gt;=100;$X79&lt;120);0,4;AND($X79&gt;190;$X79&lt;=210);0,4;TRUE;0,2)))));1);""))</f>
        <v/>
      </c>
      <c r="Z79">
        <f>IF($A79="";"";TEXTJOIN(", ";TRUE;IF($B79="";"Тренировка";"");IF($C79="";"Кардио";"");IF($D79="";"Шаги";"");IF($E79="";"Английский";"");IF($F79="";"Код-режим";"");IF($G79="";"Код-тема";"");IF($H79="";"Чтение";"");IF($L79="";"Сон";"");IF($M79="";"Режим";"");IF($N79="";"Продуктивность";"");IF($O79="";"Настроение";"");IF($P79="";"Энергия";"");IF($U79="";"Еда";"")))</f>
        <v/>
      </c>
    </row>
    <row r="80">
      <c r="A80" s="2" t="inlineStr"/>
      <c r="B80" t="inlineStr"/>
      <c r="C80" t="inlineStr"/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>
        <f>IF($A80="";"";IF(SUMIF(FoodLog!$A:$A;$A80;FoodLog!$I:$I)=0;"";SUMIF(FoodLog!$A:$A;$A80;FoodLog!$I:$I)))</f>
        <v/>
      </c>
      <c r="V80">
        <f>IF($A80="";"";IF(SUMIF(FoodLog!$A:$A;$A80;FoodLog!$F:$F)=0;"";SUMIF(FoodLog!$A:$A;$A80;FoodLog!$F:$F)))</f>
        <v/>
      </c>
      <c r="W80">
        <f>IF($A80="";"";IF(SUMIF(FoodLog!$A:$A;$A80;FoodLog!$G:$G)=0;"";SUMIF(FoodLog!$A:$A;$A80;FoodLog!$G:$G)))</f>
        <v/>
      </c>
      <c r="X80">
        <f>IF($A80="";"";IF(SUMIF(FoodLog!$A:$A;$A80;FoodLog!$H:$H)=0;"";SUMIF(FoodLog!$A:$A;$A80;FoodLog!$H:$H)))</f>
        <v/>
      </c>
      <c r="Y80">
        <f>IF($A80="";"";IFERROR(ROUND(100*AVERAGE(IF($B80="";"";XLOOKUP($B80;FILTER(Dictionaries!$B:$B;Dictionaries!$A:$A="Тренировка");FILTER(Dictionaries!$C:$C;Dictionaries!$A:$A="Тренировка")));IF($C80="";"";MIN($C80/40;1));IF($D80="";"";XLOOKUP($D80;FILTER(Dictionaries!$B:$B;Dictionaries!$A:$A="Шаги");FILTER(Dictionaries!$C:$C;Dictionaries!$A:$A="Шаги")));IF($E80="";"";MIN($E80/120;1));IF(OR($F80&lt;&gt;"";$G80&lt;&gt;"");1;"");IF($H80="";"";MIN($H80/100;1));IF($L80="";"";XLOOKUP($L80;FILTER(Dictionaries!$B:$B;Dictionaries!$A:$A="Сон_часы");FILTER(Dictionaries!$C:$C;Dictionaries!$A:$A="Сон_часы")));IF($M80="";"";XLOOKUP($M80;FILTER(Dictionaries!$B:$B;Dictionaries!$A:$A="Режим");FILTER(Dictionaries!$C:$C;Dictionaries!$A:$A="Режим")));IF($N80="";"";MIN($N80/100;1));IF($O80="";"";XLOOKUP($O80;FILTER(Dictionaries!$B:$B;Dictionaries!$A:$A="Настроение");FILTER(Dictionaries!$C:$C;Dictionaries!$A:$A="Настроение")));IF($P80="";"";XLOOKUP($P80;FILTER(Dictionaries!$B:$B;Dictionaries!$A:$A="Энергия");FILTER(Dictionaries!$C:$C;Dictionaries!$A:$A="Энергия")));IF($U80="";"";AVERAGE(IF(OR($B80="Ноги";$B80="Верх");IFS(AND($U80&gt;=1900;$U80&lt;=2050);1;AND($U80&gt;=1850;$U80&lt;1900);0,7;AND($U80&gt;2050;$U80&lt;=2100);0,7;TRUE;0,2);IFS(AND($U80&gt;=1700;$U80&lt;=1850);1;AND($U80&gt;=1650;$U80&lt;1700);0,7;AND($U80&gt;1850;$U80&lt;=1900);0,7;TRUE;0,2));IF(OR($B80="Ноги";$B80="Верх");IFS(AND($V80&gt;=125;$V80&lt;=135);1;AND($V80&gt;=115;$V80&lt;125);0,7;AND($V80&gt;135;$V80&lt;=145);0,7;AND($V80&gt;=105;$V80&lt;115);0,4;AND($V80&gt;145;$V80&lt;=155);0,4;TRUE;0,2);IFS(AND($V80&gt;=120;$V80&lt;=130);1;AND($V80&gt;=110;$V80&lt;120);0,7;AND($V80&gt;130;$V80&lt;=140);0,7;AND($V80&gt;=100;$V80&lt;110);0,4;AND($V80&gt;140;$V80&lt;=150);0,4;TRUE;0,2));IFS(AND($W80&gt;=55;$W80&lt;=65);1;AND($W80&gt;=50;$W80&lt;55);0,7;AND($W80&gt;65;$W80&lt;=70);0,7;AND($W80&gt;=45;$W80&lt;50);0,4;AND($W80&gt;70;$W80&lt;=75);0,4;TRUE;0,2);IF(OR($B80="Ноги";$B80="Верх");IFS(AND($X80&gt;=180;$X80&lt;=210);1;AND($X80&gt;=160;$X80&lt;180);0,7;AND($X80&gt;210;$X80&lt;=230);0,7;AND($X80&gt;=140;$X80&lt;160);0,4;AND($X80&gt;230;$X80&lt;=250);0,4;TRUE;0,2);IFS(AND($X80&gt;=140;$X80&lt;=170);1;AND($X80&gt;=120;$X80&lt;140);0,7;AND($X80&gt;170;$X80&lt;=190);0,7;AND($X80&gt;=100;$X80&lt;120);0,4;AND($X80&gt;190;$X80&lt;=210);0,4;TRUE;0,2)))));1);""))</f>
        <v/>
      </c>
      <c r="Z80">
        <f>IF($A80="";"";TEXTJOIN(", ";TRUE;IF($B80="";"Тренировка";"");IF($C80="";"Кардио";"");IF($D80="";"Шаги";"");IF($E80="";"Английский";"");IF($F80="";"Код-режим";"");IF($G80="";"Код-тема";"");IF($H80="";"Чтение";"");IF($L80="";"Сон";"");IF($M80="";"Режим";"");IF($N80="";"Продуктивность";"");IF($O80="";"Настроение";"");IF($P80="";"Энергия";"");IF($U80="";"Еда";"")))</f>
        <v/>
      </c>
    </row>
    <row r="81">
      <c r="A81" s="2" t="inlineStr"/>
      <c r="B81" t="inlineStr"/>
      <c r="C81" t="inlineStr"/>
      <c r="D81" t="inlineStr"/>
      <c r="E81" t="inlineStr"/>
      <c r="F81" t="inlineStr"/>
      <c r="G81" t="inlineStr"/>
      <c r="H81" t="inlineStr"/>
      <c r="I81" t="inlineStr"/>
      <c r="J81" t="inlineStr"/>
      <c r="K81" t="inlineStr"/>
      <c r="L81" t="inlineStr"/>
      <c r="M81" t="inlineStr"/>
      <c r="N81" t="inlineStr"/>
      <c r="O81" t="inlineStr"/>
      <c r="P81" t="inlineStr"/>
      <c r="Q81" t="inlineStr"/>
      <c r="R81" t="inlineStr"/>
      <c r="S81" t="inlineStr"/>
      <c r="T81" t="inlineStr"/>
      <c r="U81">
        <f>IF($A81="";"";IF(SUMIF(FoodLog!$A:$A;$A81;FoodLog!$I:$I)=0;"";SUMIF(FoodLog!$A:$A;$A81;FoodLog!$I:$I)))</f>
        <v/>
      </c>
      <c r="V81">
        <f>IF($A81="";"";IF(SUMIF(FoodLog!$A:$A;$A81;FoodLog!$F:$F)=0;"";SUMIF(FoodLog!$A:$A;$A81;FoodLog!$F:$F)))</f>
        <v/>
      </c>
      <c r="W81">
        <f>IF($A81="";"";IF(SUMIF(FoodLog!$A:$A;$A81;FoodLog!$G:$G)=0;"";SUMIF(FoodLog!$A:$A;$A81;FoodLog!$G:$G)))</f>
        <v/>
      </c>
      <c r="X81">
        <f>IF($A81="";"";IF(SUMIF(FoodLog!$A:$A;$A81;FoodLog!$H:$H)=0;"";SUMIF(FoodLog!$A:$A;$A81;FoodLog!$H:$H)))</f>
        <v/>
      </c>
      <c r="Y81">
        <f>IF($A81="";"";IFERROR(ROUND(100*AVERAGE(IF($B81="";"";XLOOKUP($B81;FILTER(Dictionaries!$B:$B;Dictionaries!$A:$A="Тренировка");FILTER(Dictionaries!$C:$C;Dictionaries!$A:$A="Тренировка")));IF($C81="";"";MIN($C81/40;1));IF($D81="";"";XLOOKUP($D81;FILTER(Dictionaries!$B:$B;Dictionaries!$A:$A="Шаги");FILTER(Dictionaries!$C:$C;Dictionaries!$A:$A="Шаги")));IF($E81="";"";MIN($E81/120;1));IF(OR($F81&lt;&gt;"";$G81&lt;&gt;"");1;"");IF($H81="";"";MIN($H81/100;1));IF($L81="";"";XLOOKUP($L81;FILTER(Dictionaries!$B:$B;Dictionaries!$A:$A="Сон_часы");FILTER(Dictionaries!$C:$C;Dictionaries!$A:$A="Сон_часы")));IF($M81="";"";XLOOKUP($M81;FILTER(Dictionaries!$B:$B;Dictionaries!$A:$A="Режим");FILTER(Dictionaries!$C:$C;Dictionaries!$A:$A="Режим")));IF($N81="";"";MIN($N81/100;1));IF($O81="";"";XLOOKUP($O81;FILTER(Dictionaries!$B:$B;Dictionaries!$A:$A="Настроение");FILTER(Dictionaries!$C:$C;Dictionaries!$A:$A="Настроение")));IF($P81="";"";XLOOKUP($P81;FILTER(Dictionaries!$B:$B;Dictionaries!$A:$A="Энергия");FILTER(Dictionaries!$C:$C;Dictionaries!$A:$A="Энергия")));IF($U81="";"";AVERAGE(IF(OR($B81="Ноги";$B81="Верх");IFS(AND($U81&gt;=1900;$U81&lt;=2050);1;AND($U81&gt;=1850;$U81&lt;1900);0,7;AND($U81&gt;2050;$U81&lt;=2100);0,7;TRUE;0,2);IFS(AND($U81&gt;=1700;$U81&lt;=1850);1;AND($U81&gt;=1650;$U81&lt;1700);0,7;AND($U81&gt;1850;$U81&lt;=1900);0,7;TRUE;0,2));IF(OR($B81="Ноги";$B81="Верх");IFS(AND($V81&gt;=125;$V81&lt;=135);1;AND($V81&gt;=115;$V81&lt;125);0,7;AND($V81&gt;135;$V81&lt;=145);0,7;AND($V81&gt;=105;$V81&lt;115);0,4;AND($V81&gt;145;$V81&lt;=155);0,4;TRUE;0,2);IFS(AND($V81&gt;=120;$V81&lt;=130);1;AND($V81&gt;=110;$V81&lt;120);0,7;AND($V81&gt;130;$V81&lt;=140);0,7;AND($V81&gt;=100;$V81&lt;110);0,4;AND($V81&gt;140;$V81&lt;=150);0,4;TRUE;0,2));IFS(AND($W81&gt;=55;$W81&lt;=65);1;AND($W81&gt;=50;$W81&lt;55);0,7;AND($W81&gt;65;$W81&lt;=70);0,7;AND($W81&gt;=45;$W81&lt;50);0,4;AND($W81&gt;70;$W81&lt;=75);0,4;TRUE;0,2);IF(OR($B81="Ноги";$B81="Верх");IFS(AND($X81&gt;=180;$X81&lt;=210);1;AND($X81&gt;=160;$X81&lt;180);0,7;AND($X81&gt;210;$X81&lt;=230);0,7;AND($X81&gt;=140;$X81&lt;160);0,4;AND($X81&gt;230;$X81&lt;=250);0,4;TRUE;0,2);IFS(AND($X81&gt;=140;$X81&lt;=170);1;AND($X81&gt;=120;$X81&lt;140);0,7;AND($X81&gt;170;$X81&lt;=190);0,7;AND($X81&gt;=100;$X81&lt;120);0,4;AND($X81&gt;190;$X81&lt;=210);0,4;TRUE;0,2)))));1);""))</f>
        <v/>
      </c>
      <c r="Z81">
        <f>IF($A81="";"";TEXTJOIN(", ";TRUE;IF($B81="";"Тренировка";"");IF($C81="";"Кардио";"");IF($D81="";"Шаги";"");IF($E81="";"Английский";"");IF($F81="";"Код-режим";"");IF($G81="";"Код-тема";"");IF($H81="";"Чтение";"");IF($L81="";"Сон";"");IF($M81="";"Режим";"");IF($N81="";"Продуктивность";"");IF($O81="";"Настроение";"");IF($P81="";"Энергия";"");IF($U81="";"Еда";"")))</f>
        <v/>
      </c>
    </row>
    <row r="82">
      <c r="A82" s="2" t="inlineStr"/>
      <c r="B82" t="inlineStr"/>
      <c r="C82" t="inlineStr"/>
      <c r="D82" t="inlineStr"/>
      <c r="E82" t="inlineStr"/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/>
      <c r="P82" t="inlineStr"/>
      <c r="Q82" t="inlineStr"/>
      <c r="R82" t="inlineStr"/>
      <c r="S82" t="inlineStr"/>
      <c r="T82" t="inlineStr"/>
      <c r="U82">
        <f>IF($A82="";"";IF(SUMIF(FoodLog!$A:$A;$A82;FoodLog!$I:$I)=0;"";SUMIF(FoodLog!$A:$A;$A82;FoodLog!$I:$I)))</f>
        <v/>
      </c>
      <c r="V82">
        <f>IF($A82="";"";IF(SUMIF(FoodLog!$A:$A;$A82;FoodLog!$F:$F)=0;"";SUMIF(FoodLog!$A:$A;$A82;FoodLog!$F:$F)))</f>
        <v/>
      </c>
      <c r="W82">
        <f>IF($A82="";"";IF(SUMIF(FoodLog!$A:$A;$A82;FoodLog!$G:$G)=0;"";SUMIF(FoodLog!$A:$A;$A82;FoodLog!$G:$G)))</f>
        <v/>
      </c>
      <c r="X82">
        <f>IF($A82="";"";IF(SUMIF(FoodLog!$A:$A;$A82;FoodLog!$H:$H)=0;"";SUMIF(FoodLog!$A:$A;$A82;FoodLog!$H:$H)))</f>
        <v/>
      </c>
      <c r="Y82">
        <f>IF($A82="";"";IFERROR(ROUND(100*AVERAGE(IF($B82="";"";XLOOKUP($B82;FILTER(Dictionaries!$B:$B;Dictionaries!$A:$A="Тренировка");FILTER(Dictionaries!$C:$C;Dictionaries!$A:$A="Тренировка")));IF($C82="";"";MIN($C82/40;1));IF($D82="";"";XLOOKUP($D82;FILTER(Dictionaries!$B:$B;Dictionaries!$A:$A="Шаги");FILTER(Dictionaries!$C:$C;Dictionaries!$A:$A="Шаги")));IF($E82="";"";MIN($E82/120;1));IF(OR($F82&lt;&gt;"";$G82&lt;&gt;"");1;"");IF($H82="";"";MIN($H82/100;1));IF($L82="";"";XLOOKUP($L82;FILTER(Dictionaries!$B:$B;Dictionaries!$A:$A="Сон_часы");FILTER(Dictionaries!$C:$C;Dictionaries!$A:$A="Сон_часы")));IF($M82="";"";XLOOKUP($M82;FILTER(Dictionaries!$B:$B;Dictionaries!$A:$A="Режим");FILTER(Dictionaries!$C:$C;Dictionaries!$A:$A="Режим")));IF($N82="";"";MIN($N82/100;1));IF($O82="";"";XLOOKUP($O82;FILTER(Dictionaries!$B:$B;Dictionaries!$A:$A="Настроение");FILTER(Dictionaries!$C:$C;Dictionaries!$A:$A="Настроение")));IF($P82="";"";XLOOKUP($P82;FILTER(Dictionaries!$B:$B;Dictionaries!$A:$A="Энергия");FILTER(Dictionaries!$C:$C;Dictionaries!$A:$A="Энергия")));IF($U82="";"";AVERAGE(IF(OR($B82="Ноги";$B82="Верх");IFS(AND($U82&gt;=1900;$U82&lt;=2050);1;AND($U82&gt;=1850;$U82&lt;1900);0,7;AND($U82&gt;2050;$U82&lt;=2100);0,7;TRUE;0,2);IFS(AND($U82&gt;=1700;$U82&lt;=1850);1;AND($U82&gt;=1650;$U82&lt;1700);0,7;AND($U82&gt;1850;$U82&lt;=1900);0,7;TRUE;0,2));IF(OR($B82="Ноги";$B82="Верх");IFS(AND($V82&gt;=125;$V82&lt;=135);1;AND($V82&gt;=115;$V82&lt;125);0,7;AND($V82&gt;135;$V82&lt;=145);0,7;AND($V82&gt;=105;$V82&lt;115);0,4;AND($V82&gt;145;$V82&lt;=155);0,4;TRUE;0,2);IFS(AND($V82&gt;=120;$V82&lt;=130);1;AND($V82&gt;=110;$V82&lt;120);0,7;AND($V82&gt;130;$V82&lt;=140);0,7;AND($V82&gt;=100;$V82&lt;110);0,4;AND($V82&gt;140;$V82&lt;=150);0,4;TRUE;0,2));IFS(AND($W82&gt;=55;$W82&lt;=65);1;AND($W82&gt;=50;$W82&lt;55);0,7;AND($W82&gt;65;$W82&lt;=70);0,7;AND($W82&gt;=45;$W82&lt;50);0,4;AND($W82&gt;70;$W82&lt;=75);0,4;TRUE;0,2);IF(OR($B82="Ноги";$B82="Верх");IFS(AND($X82&gt;=180;$X82&lt;=210);1;AND($X82&gt;=160;$X82&lt;180);0,7;AND($X82&gt;210;$X82&lt;=230);0,7;AND($X82&gt;=140;$X82&lt;160);0,4;AND($X82&gt;230;$X82&lt;=250);0,4;TRUE;0,2);IFS(AND($X82&gt;=140;$X82&lt;=170);1;AND($X82&gt;=120;$X82&lt;140);0,7;AND($X82&gt;170;$X82&lt;=190);0,7;AND($X82&gt;=100;$X82&lt;120);0,4;AND($X82&gt;190;$X82&lt;=210);0,4;TRUE;0,2)))));1);""))</f>
        <v/>
      </c>
      <c r="Z82">
        <f>IF($A82="";"";TEXTJOIN(", ";TRUE;IF($B82="";"Тренировка";"");IF($C82="";"Кардио";"");IF($D82="";"Шаги";"");IF($E82="";"Английский";"");IF($F82="";"Код-режим";"");IF($G82="";"Код-тема";"");IF($H82="";"Чтение";"");IF($L82="";"Сон";"");IF($M82="";"Режим";"");IF($N82="";"Продуктивность";"");IF($O82="";"Настроение";"");IF($P82="";"Энергия";"");IF($U82="";"Еда";"")))</f>
        <v/>
      </c>
    </row>
    <row r="83">
      <c r="A83" s="2" t="inlineStr"/>
      <c r="B83" t="inlineStr"/>
      <c r="C83" t="inlineStr"/>
      <c r="D83" t="inlineStr"/>
      <c r="E83" t="inlineStr"/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/>
      <c r="P83" t="inlineStr"/>
      <c r="Q83" t="inlineStr"/>
      <c r="R83" t="inlineStr"/>
      <c r="S83" t="inlineStr"/>
      <c r="T83" t="inlineStr"/>
      <c r="U83">
        <f>IF($A83="";"";IF(SUMIF(FoodLog!$A:$A;$A83;FoodLog!$I:$I)=0;"";SUMIF(FoodLog!$A:$A;$A83;FoodLog!$I:$I)))</f>
        <v/>
      </c>
      <c r="V83">
        <f>IF($A83="";"";IF(SUMIF(FoodLog!$A:$A;$A83;FoodLog!$F:$F)=0;"";SUMIF(FoodLog!$A:$A;$A83;FoodLog!$F:$F)))</f>
        <v/>
      </c>
      <c r="W83">
        <f>IF($A83="";"";IF(SUMIF(FoodLog!$A:$A;$A83;FoodLog!$G:$G)=0;"";SUMIF(FoodLog!$A:$A;$A83;FoodLog!$G:$G)))</f>
        <v/>
      </c>
      <c r="X83">
        <f>IF($A83="";"";IF(SUMIF(FoodLog!$A:$A;$A83;FoodLog!$H:$H)=0;"";SUMIF(FoodLog!$A:$A;$A83;FoodLog!$H:$H)))</f>
        <v/>
      </c>
      <c r="Y83">
        <f>IF($A83="";"";IFERROR(ROUND(100*AVERAGE(IF($B83="";"";XLOOKUP($B83;FILTER(Dictionaries!$B:$B;Dictionaries!$A:$A="Тренировка");FILTER(Dictionaries!$C:$C;Dictionaries!$A:$A="Тренировка")));IF($C83="";"";MIN($C83/40;1));IF($D83="";"";XLOOKUP($D83;FILTER(Dictionaries!$B:$B;Dictionaries!$A:$A="Шаги");FILTER(Dictionaries!$C:$C;Dictionaries!$A:$A="Шаги")));IF($E83="";"";MIN($E83/120;1));IF(OR($F83&lt;&gt;"";$G83&lt;&gt;"");1;"");IF($H83="";"";MIN($H83/100;1));IF($L83="";"";XLOOKUP($L83;FILTER(Dictionaries!$B:$B;Dictionaries!$A:$A="Сон_часы");FILTER(Dictionaries!$C:$C;Dictionaries!$A:$A="Сон_часы")));IF($M83="";"";XLOOKUP($M83;FILTER(Dictionaries!$B:$B;Dictionaries!$A:$A="Режим");FILTER(Dictionaries!$C:$C;Dictionaries!$A:$A="Режим")));IF($N83="";"";MIN($N83/100;1));IF($O83="";"";XLOOKUP($O83;FILTER(Dictionaries!$B:$B;Dictionaries!$A:$A="Настроение");FILTER(Dictionaries!$C:$C;Dictionaries!$A:$A="Настроение")));IF($P83="";"";XLOOKUP($P83;FILTER(Dictionaries!$B:$B;Dictionaries!$A:$A="Энергия");FILTER(Dictionaries!$C:$C;Dictionaries!$A:$A="Энергия")));IF($U83="";"";AVERAGE(IF(OR($B83="Ноги";$B83="Верх");IFS(AND($U83&gt;=1900;$U83&lt;=2050);1;AND($U83&gt;=1850;$U83&lt;1900);0,7;AND($U83&gt;2050;$U83&lt;=2100);0,7;TRUE;0,2);IFS(AND($U83&gt;=1700;$U83&lt;=1850);1;AND($U83&gt;=1650;$U83&lt;1700);0,7;AND($U83&gt;1850;$U83&lt;=1900);0,7;TRUE;0,2));IF(OR($B83="Ноги";$B83="Верх");IFS(AND($V83&gt;=125;$V83&lt;=135);1;AND($V83&gt;=115;$V83&lt;125);0,7;AND($V83&gt;135;$V83&lt;=145);0,7;AND($V83&gt;=105;$V83&lt;115);0,4;AND($V83&gt;145;$V83&lt;=155);0,4;TRUE;0,2);IFS(AND($V83&gt;=120;$V83&lt;=130);1;AND($V83&gt;=110;$V83&lt;120);0,7;AND($V83&gt;130;$V83&lt;=140);0,7;AND($V83&gt;=100;$V83&lt;110);0,4;AND($V83&gt;140;$V83&lt;=150);0,4;TRUE;0,2));IFS(AND($W83&gt;=55;$W83&lt;=65);1;AND($W83&gt;=50;$W83&lt;55);0,7;AND($W83&gt;65;$W83&lt;=70);0,7;AND($W83&gt;=45;$W83&lt;50);0,4;AND($W83&gt;70;$W83&lt;=75);0,4;TRUE;0,2);IF(OR($B83="Ноги";$B83="Верх");IFS(AND($X83&gt;=180;$X83&lt;=210);1;AND($X83&gt;=160;$X83&lt;180);0,7;AND($X83&gt;210;$X83&lt;=230);0,7;AND($X83&gt;=140;$X83&lt;160);0,4;AND($X83&gt;230;$X83&lt;=250);0,4;TRUE;0,2);IFS(AND($X83&gt;=140;$X83&lt;=170);1;AND($X83&gt;=120;$X83&lt;140);0,7;AND($X83&gt;170;$X83&lt;=190);0,7;AND($X83&gt;=100;$X83&lt;120);0,4;AND($X83&gt;190;$X83&lt;=210);0,4;TRUE;0,2)))));1);""))</f>
        <v/>
      </c>
      <c r="Z83">
        <f>IF($A83="";"";TEXTJOIN(", ";TRUE;IF($B83="";"Тренировка";"");IF($C83="";"Кардио";"");IF($D83="";"Шаги";"");IF($E83="";"Английский";"");IF($F83="";"Код-режим";"");IF($G83="";"Код-тема";"");IF($H83="";"Чтение";"");IF($L83="";"Сон";"");IF($M83="";"Режим";"");IF($N83="";"Продуктивность";"");IF($O83="";"Настроение";"");IF($P83="";"Энергия";"");IF($U83="";"Еда";"")))</f>
        <v/>
      </c>
    </row>
    <row r="84">
      <c r="A84" s="2" t="inlineStr"/>
      <c r="B84" t="inlineStr"/>
      <c r="C84" t="inlineStr"/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>
        <f>IF($A84="";"";IF(SUMIF(FoodLog!$A:$A;$A84;FoodLog!$I:$I)=0;"";SUMIF(FoodLog!$A:$A;$A84;FoodLog!$I:$I)))</f>
        <v/>
      </c>
      <c r="V84">
        <f>IF($A84="";"";IF(SUMIF(FoodLog!$A:$A;$A84;FoodLog!$F:$F)=0;"";SUMIF(FoodLog!$A:$A;$A84;FoodLog!$F:$F)))</f>
        <v/>
      </c>
      <c r="W84">
        <f>IF($A84="";"";IF(SUMIF(FoodLog!$A:$A;$A84;FoodLog!$G:$G)=0;"";SUMIF(FoodLog!$A:$A;$A84;FoodLog!$G:$G)))</f>
        <v/>
      </c>
      <c r="X84">
        <f>IF($A84="";"";IF(SUMIF(FoodLog!$A:$A;$A84;FoodLog!$H:$H)=0;"";SUMIF(FoodLog!$A:$A;$A84;FoodLog!$H:$H)))</f>
        <v/>
      </c>
      <c r="Y84">
        <f>IF($A84="";"";IFERROR(ROUND(100*AVERAGE(IF($B84="";"";XLOOKUP($B84;FILTER(Dictionaries!$B:$B;Dictionaries!$A:$A="Тренировка");FILTER(Dictionaries!$C:$C;Dictionaries!$A:$A="Тренировка")));IF($C84="";"";MIN($C84/40;1));IF($D84="";"";XLOOKUP($D84;FILTER(Dictionaries!$B:$B;Dictionaries!$A:$A="Шаги");FILTER(Dictionaries!$C:$C;Dictionaries!$A:$A="Шаги")));IF($E84="";"";MIN($E84/120;1));IF(OR($F84&lt;&gt;"";$G84&lt;&gt;"");1;"");IF($H84="";"";MIN($H84/100;1));IF($L84="";"";XLOOKUP($L84;FILTER(Dictionaries!$B:$B;Dictionaries!$A:$A="Сон_часы");FILTER(Dictionaries!$C:$C;Dictionaries!$A:$A="Сон_часы")));IF($M84="";"";XLOOKUP($M84;FILTER(Dictionaries!$B:$B;Dictionaries!$A:$A="Режим");FILTER(Dictionaries!$C:$C;Dictionaries!$A:$A="Режим")));IF($N84="";"";MIN($N84/100;1));IF($O84="";"";XLOOKUP($O84;FILTER(Dictionaries!$B:$B;Dictionaries!$A:$A="Настроение");FILTER(Dictionaries!$C:$C;Dictionaries!$A:$A="Настроение")));IF($P84="";"";XLOOKUP($P84;FILTER(Dictionaries!$B:$B;Dictionaries!$A:$A="Энергия");FILTER(Dictionaries!$C:$C;Dictionaries!$A:$A="Энергия")));IF($U84="";"";AVERAGE(IF(OR($B84="Ноги";$B84="Верх");IFS(AND($U84&gt;=1900;$U84&lt;=2050);1;AND($U84&gt;=1850;$U84&lt;1900);0,7;AND($U84&gt;2050;$U84&lt;=2100);0,7;TRUE;0,2);IFS(AND($U84&gt;=1700;$U84&lt;=1850);1;AND($U84&gt;=1650;$U84&lt;1700);0,7;AND($U84&gt;1850;$U84&lt;=1900);0,7;TRUE;0,2));IF(OR($B84="Ноги";$B84="Верх");IFS(AND($V84&gt;=125;$V84&lt;=135);1;AND($V84&gt;=115;$V84&lt;125);0,7;AND($V84&gt;135;$V84&lt;=145);0,7;AND($V84&gt;=105;$V84&lt;115);0,4;AND($V84&gt;145;$V84&lt;=155);0,4;TRUE;0,2);IFS(AND($V84&gt;=120;$V84&lt;=130);1;AND($V84&gt;=110;$V84&lt;120);0,7;AND($V84&gt;130;$V84&lt;=140);0,7;AND($V84&gt;=100;$V84&lt;110);0,4;AND($V84&gt;140;$V84&lt;=150);0,4;TRUE;0,2));IFS(AND($W84&gt;=55;$W84&lt;=65);1;AND($W84&gt;=50;$W84&lt;55);0,7;AND($W84&gt;65;$W84&lt;=70);0,7;AND($W84&gt;=45;$W84&lt;50);0,4;AND($W84&gt;70;$W84&lt;=75);0,4;TRUE;0,2);IF(OR($B84="Ноги";$B84="Верх");IFS(AND($X84&gt;=180;$X84&lt;=210);1;AND($X84&gt;=160;$X84&lt;180);0,7;AND($X84&gt;210;$X84&lt;=230);0,7;AND($X84&gt;=140;$X84&lt;160);0,4;AND($X84&gt;230;$X84&lt;=250);0,4;TRUE;0,2);IFS(AND($X84&gt;=140;$X84&lt;=170);1;AND($X84&gt;=120;$X84&lt;140);0,7;AND($X84&gt;170;$X84&lt;=190);0,7;AND($X84&gt;=100;$X84&lt;120);0,4;AND($X84&gt;190;$X84&lt;=210);0,4;TRUE;0,2)))));1);""))</f>
        <v/>
      </c>
      <c r="Z84">
        <f>IF($A84="";"";TEXTJOIN(", ";TRUE;IF($B84="";"Тренировка";"");IF($C84="";"Кардио";"");IF($D84="";"Шаги";"");IF($E84="";"Английский";"");IF($F84="";"Код-режим";"");IF($G84="";"Код-тема";"");IF($H84="";"Чтение";"");IF($L84="";"Сон";"");IF($M84="";"Режим";"");IF($N84="";"Продуктивность";"");IF($O84="";"Настроение";"");IF($P84="";"Энергия";"");IF($U84="";"Еда";"")))</f>
        <v/>
      </c>
    </row>
    <row r="85">
      <c r="A85" s="2" t="inlineStr"/>
      <c r="B85" t="inlineStr"/>
      <c r="C85" t="inlineStr"/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>
        <f>IF($A85="";"";IF(SUMIF(FoodLog!$A:$A;$A85;FoodLog!$I:$I)=0;"";SUMIF(FoodLog!$A:$A;$A85;FoodLog!$I:$I)))</f>
        <v/>
      </c>
      <c r="V85">
        <f>IF($A85="";"";IF(SUMIF(FoodLog!$A:$A;$A85;FoodLog!$F:$F)=0;"";SUMIF(FoodLog!$A:$A;$A85;FoodLog!$F:$F)))</f>
        <v/>
      </c>
      <c r="W85">
        <f>IF($A85="";"";IF(SUMIF(FoodLog!$A:$A;$A85;FoodLog!$G:$G)=0;"";SUMIF(FoodLog!$A:$A;$A85;FoodLog!$G:$G)))</f>
        <v/>
      </c>
      <c r="X85">
        <f>IF($A85="";"";IF(SUMIF(FoodLog!$A:$A;$A85;FoodLog!$H:$H)=0;"";SUMIF(FoodLog!$A:$A;$A85;FoodLog!$H:$H)))</f>
        <v/>
      </c>
      <c r="Y85">
        <f>IF($A85="";"";IFERROR(ROUND(100*AVERAGE(IF($B85="";"";XLOOKUP($B85;FILTER(Dictionaries!$B:$B;Dictionaries!$A:$A="Тренировка");FILTER(Dictionaries!$C:$C;Dictionaries!$A:$A="Тренировка")));IF($C85="";"";MIN($C85/40;1));IF($D85="";"";XLOOKUP($D85;FILTER(Dictionaries!$B:$B;Dictionaries!$A:$A="Шаги");FILTER(Dictionaries!$C:$C;Dictionaries!$A:$A="Шаги")));IF($E85="";"";MIN($E85/120;1));IF(OR($F85&lt;&gt;"";$G85&lt;&gt;"");1;"");IF($H85="";"";MIN($H85/100;1));IF($L85="";"";XLOOKUP($L85;FILTER(Dictionaries!$B:$B;Dictionaries!$A:$A="Сон_часы");FILTER(Dictionaries!$C:$C;Dictionaries!$A:$A="Сон_часы")));IF($M85="";"";XLOOKUP($M85;FILTER(Dictionaries!$B:$B;Dictionaries!$A:$A="Режим");FILTER(Dictionaries!$C:$C;Dictionaries!$A:$A="Режим")));IF($N85="";"";MIN($N85/100;1));IF($O85="";"";XLOOKUP($O85;FILTER(Dictionaries!$B:$B;Dictionaries!$A:$A="Настроение");FILTER(Dictionaries!$C:$C;Dictionaries!$A:$A="Настроение")));IF($P85="";"";XLOOKUP($P85;FILTER(Dictionaries!$B:$B;Dictionaries!$A:$A="Энергия");FILTER(Dictionaries!$C:$C;Dictionaries!$A:$A="Энергия")));IF($U85="";"";AVERAGE(IF(OR($B85="Ноги";$B85="Верх");IFS(AND($U85&gt;=1900;$U85&lt;=2050);1;AND($U85&gt;=1850;$U85&lt;1900);0,7;AND($U85&gt;2050;$U85&lt;=2100);0,7;TRUE;0,2);IFS(AND($U85&gt;=1700;$U85&lt;=1850);1;AND($U85&gt;=1650;$U85&lt;1700);0,7;AND($U85&gt;1850;$U85&lt;=1900);0,7;TRUE;0,2));IF(OR($B85="Ноги";$B85="Верх");IFS(AND($V85&gt;=125;$V85&lt;=135);1;AND($V85&gt;=115;$V85&lt;125);0,7;AND($V85&gt;135;$V85&lt;=145);0,7;AND($V85&gt;=105;$V85&lt;115);0,4;AND($V85&gt;145;$V85&lt;=155);0,4;TRUE;0,2);IFS(AND($V85&gt;=120;$V85&lt;=130);1;AND($V85&gt;=110;$V85&lt;120);0,7;AND($V85&gt;130;$V85&lt;=140);0,7;AND($V85&gt;=100;$V85&lt;110);0,4;AND($V85&gt;140;$V85&lt;=150);0,4;TRUE;0,2));IFS(AND($W85&gt;=55;$W85&lt;=65);1;AND($W85&gt;=50;$W85&lt;55);0,7;AND($W85&gt;65;$W85&lt;=70);0,7;AND($W85&gt;=45;$W85&lt;50);0,4;AND($W85&gt;70;$W85&lt;=75);0,4;TRUE;0,2);IF(OR($B85="Ноги";$B85="Верх");IFS(AND($X85&gt;=180;$X85&lt;=210);1;AND($X85&gt;=160;$X85&lt;180);0,7;AND($X85&gt;210;$X85&lt;=230);0,7;AND($X85&gt;=140;$X85&lt;160);0,4;AND($X85&gt;230;$X85&lt;=250);0,4;TRUE;0,2);IFS(AND($X85&gt;=140;$X85&lt;=170);1;AND($X85&gt;=120;$X85&lt;140);0,7;AND($X85&gt;170;$X85&lt;=190);0,7;AND($X85&gt;=100;$X85&lt;120);0,4;AND($X85&gt;190;$X85&lt;=210);0,4;TRUE;0,2)))));1);""))</f>
        <v/>
      </c>
      <c r="Z85">
        <f>IF($A85="";"";TEXTJOIN(", ";TRUE;IF($B85="";"Тренировка";"");IF($C85="";"Кардио";"");IF($D85="";"Шаги";"");IF($E85="";"Английский";"");IF($F85="";"Код-режим";"");IF($G85="";"Код-тема";"");IF($H85="";"Чтение";"");IF($L85="";"Сон";"");IF($M85="";"Режим";"");IF($N85="";"Продуктивность";"");IF($O85="";"Настроение";"");IF($P85="";"Энергия";"");IF($U85="";"Еда";"")))</f>
        <v/>
      </c>
    </row>
    <row r="86">
      <c r="A86" s="2" t="inlineStr"/>
      <c r="B86" t="inlineStr"/>
      <c r="C86" t="inlineStr"/>
      <c r="D86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U86">
        <f>IF($A86="";"";IF(SUMIF(FoodLog!$A:$A;$A86;FoodLog!$I:$I)=0;"";SUMIF(FoodLog!$A:$A;$A86;FoodLog!$I:$I)))</f>
        <v/>
      </c>
      <c r="V86">
        <f>IF($A86="";"";IF(SUMIF(FoodLog!$A:$A;$A86;FoodLog!$F:$F)=0;"";SUMIF(FoodLog!$A:$A;$A86;FoodLog!$F:$F)))</f>
        <v/>
      </c>
      <c r="W86">
        <f>IF($A86="";"";IF(SUMIF(FoodLog!$A:$A;$A86;FoodLog!$G:$G)=0;"";SUMIF(FoodLog!$A:$A;$A86;FoodLog!$G:$G)))</f>
        <v/>
      </c>
      <c r="X86">
        <f>IF($A86="";"";IF(SUMIF(FoodLog!$A:$A;$A86;FoodLog!$H:$H)=0;"";SUMIF(FoodLog!$A:$A;$A86;FoodLog!$H:$H)))</f>
        <v/>
      </c>
      <c r="Y86">
        <f>IF($A86="";"";IFERROR(ROUND(100*AVERAGE(IF($B86="";"";XLOOKUP($B86;FILTER(Dictionaries!$B:$B;Dictionaries!$A:$A="Тренировка");FILTER(Dictionaries!$C:$C;Dictionaries!$A:$A="Тренировка")));IF($C86="";"";MIN($C86/40;1));IF($D86="";"";XLOOKUP($D86;FILTER(Dictionaries!$B:$B;Dictionaries!$A:$A="Шаги");FILTER(Dictionaries!$C:$C;Dictionaries!$A:$A="Шаги")));IF($E86="";"";MIN($E86/120;1));IF(OR($F86&lt;&gt;"";$G86&lt;&gt;"");1;"");IF($H86="";"";MIN($H86/100;1));IF($L86="";"";XLOOKUP($L86;FILTER(Dictionaries!$B:$B;Dictionaries!$A:$A="Сон_часы");FILTER(Dictionaries!$C:$C;Dictionaries!$A:$A="Сон_часы")));IF($M86="";"";XLOOKUP($M86;FILTER(Dictionaries!$B:$B;Dictionaries!$A:$A="Режим");FILTER(Dictionaries!$C:$C;Dictionaries!$A:$A="Режим")));IF($N86="";"";MIN($N86/100;1));IF($O86="";"";XLOOKUP($O86;FILTER(Dictionaries!$B:$B;Dictionaries!$A:$A="Настроение");FILTER(Dictionaries!$C:$C;Dictionaries!$A:$A="Настроение")));IF($P86="";"";XLOOKUP($P86;FILTER(Dictionaries!$B:$B;Dictionaries!$A:$A="Энергия");FILTER(Dictionaries!$C:$C;Dictionaries!$A:$A="Энергия")));IF($U86="";"";AVERAGE(IF(OR($B86="Ноги";$B86="Верх");IFS(AND($U86&gt;=1900;$U86&lt;=2050);1;AND($U86&gt;=1850;$U86&lt;1900);0,7;AND($U86&gt;2050;$U86&lt;=2100);0,7;TRUE;0,2);IFS(AND($U86&gt;=1700;$U86&lt;=1850);1;AND($U86&gt;=1650;$U86&lt;1700);0,7;AND($U86&gt;1850;$U86&lt;=1900);0,7;TRUE;0,2));IF(OR($B86="Ноги";$B86="Верх");IFS(AND($V86&gt;=125;$V86&lt;=135);1;AND($V86&gt;=115;$V86&lt;125);0,7;AND($V86&gt;135;$V86&lt;=145);0,7;AND($V86&gt;=105;$V86&lt;115);0,4;AND($V86&gt;145;$V86&lt;=155);0,4;TRUE;0,2);IFS(AND($V86&gt;=120;$V86&lt;=130);1;AND($V86&gt;=110;$V86&lt;120);0,7;AND($V86&gt;130;$V86&lt;=140);0,7;AND($V86&gt;=100;$V86&lt;110);0,4;AND($V86&gt;140;$V86&lt;=150);0,4;TRUE;0,2));IFS(AND($W86&gt;=55;$W86&lt;=65);1;AND($W86&gt;=50;$W86&lt;55);0,7;AND($W86&gt;65;$W86&lt;=70);0,7;AND($W86&gt;=45;$W86&lt;50);0,4;AND($W86&gt;70;$W86&lt;=75);0,4;TRUE;0,2);IF(OR($B86="Ноги";$B86="Верх");IFS(AND($X86&gt;=180;$X86&lt;=210);1;AND($X86&gt;=160;$X86&lt;180);0,7;AND($X86&gt;210;$X86&lt;=230);0,7;AND($X86&gt;=140;$X86&lt;160);0,4;AND($X86&gt;230;$X86&lt;=250);0,4;TRUE;0,2);IFS(AND($X86&gt;=140;$X86&lt;=170);1;AND($X86&gt;=120;$X86&lt;140);0,7;AND($X86&gt;170;$X86&lt;=190);0,7;AND($X86&gt;=100;$X86&lt;120);0,4;AND($X86&gt;190;$X86&lt;=210);0,4;TRUE;0,2)))));1);""))</f>
        <v/>
      </c>
      <c r="Z86">
        <f>IF($A86="";"";TEXTJOIN(", ";TRUE;IF($B86="";"Тренировка";"");IF($C86="";"Кардио";"");IF($D86="";"Шаги";"");IF($E86="";"Английский";"");IF($F86="";"Код-режим";"");IF($G86="";"Код-тема";"");IF($H86="";"Чтение";"");IF($L86="";"Сон";"");IF($M86="";"Режим";"");IF($N86="";"Продуктивность";"");IF($O86="";"Настроение";"");IF($P86="";"Энергия";"");IF($U86="";"Еда";"")))</f>
        <v/>
      </c>
    </row>
    <row r="87">
      <c r="A87" s="2" t="inlineStr"/>
      <c r="B87" t="inlineStr"/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U87">
        <f>IF($A87="";"";IF(SUMIF(FoodLog!$A:$A;$A87;FoodLog!$I:$I)=0;"";SUMIF(FoodLog!$A:$A;$A87;FoodLog!$I:$I)))</f>
        <v/>
      </c>
      <c r="V87">
        <f>IF($A87="";"";IF(SUMIF(FoodLog!$A:$A;$A87;FoodLog!$F:$F)=0;"";SUMIF(FoodLog!$A:$A;$A87;FoodLog!$F:$F)))</f>
        <v/>
      </c>
      <c r="W87">
        <f>IF($A87="";"";IF(SUMIF(FoodLog!$A:$A;$A87;FoodLog!$G:$G)=0;"";SUMIF(FoodLog!$A:$A;$A87;FoodLog!$G:$G)))</f>
        <v/>
      </c>
      <c r="X87">
        <f>IF($A87="";"";IF(SUMIF(FoodLog!$A:$A;$A87;FoodLog!$H:$H)=0;"";SUMIF(FoodLog!$A:$A;$A87;FoodLog!$H:$H)))</f>
        <v/>
      </c>
      <c r="Y87">
        <f>IF($A87="";"";IFERROR(ROUND(100*AVERAGE(IF($B87="";"";XLOOKUP($B87;FILTER(Dictionaries!$B:$B;Dictionaries!$A:$A="Тренировка");FILTER(Dictionaries!$C:$C;Dictionaries!$A:$A="Тренировка")));IF($C87="";"";MIN($C87/40;1));IF($D87="";"";XLOOKUP($D87;FILTER(Dictionaries!$B:$B;Dictionaries!$A:$A="Шаги");FILTER(Dictionaries!$C:$C;Dictionaries!$A:$A="Шаги")));IF($E87="";"";MIN($E87/120;1));IF(OR($F87&lt;&gt;"";$G87&lt;&gt;"");1;"");IF($H87="";"";MIN($H87/100;1));IF($L87="";"";XLOOKUP($L87;FILTER(Dictionaries!$B:$B;Dictionaries!$A:$A="Сон_часы");FILTER(Dictionaries!$C:$C;Dictionaries!$A:$A="Сон_часы")));IF($M87="";"";XLOOKUP($M87;FILTER(Dictionaries!$B:$B;Dictionaries!$A:$A="Режим");FILTER(Dictionaries!$C:$C;Dictionaries!$A:$A="Режим")));IF($N87="";"";MIN($N87/100;1));IF($O87="";"";XLOOKUP($O87;FILTER(Dictionaries!$B:$B;Dictionaries!$A:$A="Настроение");FILTER(Dictionaries!$C:$C;Dictionaries!$A:$A="Настроение")));IF($P87="";"";XLOOKUP($P87;FILTER(Dictionaries!$B:$B;Dictionaries!$A:$A="Энергия");FILTER(Dictionaries!$C:$C;Dictionaries!$A:$A="Энергия")));IF($U87="";"";AVERAGE(IF(OR($B87="Ноги";$B87="Верх");IFS(AND($U87&gt;=1900;$U87&lt;=2050);1;AND($U87&gt;=1850;$U87&lt;1900);0,7;AND($U87&gt;2050;$U87&lt;=2100);0,7;TRUE;0,2);IFS(AND($U87&gt;=1700;$U87&lt;=1850);1;AND($U87&gt;=1650;$U87&lt;1700);0,7;AND($U87&gt;1850;$U87&lt;=1900);0,7;TRUE;0,2));IF(OR($B87="Ноги";$B87="Верх");IFS(AND($V87&gt;=125;$V87&lt;=135);1;AND($V87&gt;=115;$V87&lt;125);0,7;AND($V87&gt;135;$V87&lt;=145);0,7;AND($V87&gt;=105;$V87&lt;115);0,4;AND($V87&gt;145;$V87&lt;=155);0,4;TRUE;0,2);IFS(AND($V87&gt;=120;$V87&lt;=130);1;AND($V87&gt;=110;$V87&lt;120);0,7;AND($V87&gt;130;$V87&lt;=140);0,7;AND($V87&gt;=100;$V87&lt;110);0,4;AND($V87&gt;140;$V87&lt;=150);0,4;TRUE;0,2));IFS(AND($W87&gt;=55;$W87&lt;=65);1;AND($W87&gt;=50;$W87&lt;55);0,7;AND($W87&gt;65;$W87&lt;=70);0,7;AND($W87&gt;=45;$W87&lt;50);0,4;AND($W87&gt;70;$W87&lt;=75);0,4;TRUE;0,2);IF(OR($B87="Ноги";$B87="Верх");IFS(AND($X87&gt;=180;$X87&lt;=210);1;AND($X87&gt;=160;$X87&lt;180);0,7;AND($X87&gt;210;$X87&lt;=230);0,7;AND($X87&gt;=140;$X87&lt;160);0,4;AND($X87&gt;230;$X87&lt;=250);0,4;TRUE;0,2);IFS(AND($X87&gt;=140;$X87&lt;=170);1;AND($X87&gt;=120;$X87&lt;140);0,7;AND($X87&gt;170;$X87&lt;=190);0,7;AND($X87&gt;=100;$X87&lt;120);0,4;AND($X87&gt;190;$X87&lt;=210);0,4;TRUE;0,2)))));1);""))</f>
        <v/>
      </c>
      <c r="Z87">
        <f>IF($A87="";"";TEXTJOIN(", ";TRUE;IF($B87="";"Тренировка";"");IF($C87="";"Кардио";"");IF($D87="";"Шаги";"");IF($E87="";"Английский";"");IF($F87="";"Код-режим";"");IF($G87="";"Код-тема";"");IF($H87="";"Чтение";"");IF($L87="";"Сон";"");IF($M87="";"Режим";"");IF($N87="";"Продуктивность";"");IF($O87="";"Настроение";"");IF($P87="";"Энергия";"");IF($U87="";"Еда";"")))</f>
        <v/>
      </c>
    </row>
    <row r="88">
      <c r="A88" s="2" t="inlineStr"/>
      <c r="B88" t="inlineStr"/>
      <c r="C88" t="inlineStr"/>
      <c r="D88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U88">
        <f>IF($A88="";"";IF(SUMIF(FoodLog!$A:$A;$A88;FoodLog!$I:$I)=0;"";SUMIF(FoodLog!$A:$A;$A88;FoodLog!$I:$I)))</f>
        <v/>
      </c>
      <c r="V88">
        <f>IF($A88="";"";IF(SUMIF(FoodLog!$A:$A;$A88;FoodLog!$F:$F)=0;"";SUMIF(FoodLog!$A:$A;$A88;FoodLog!$F:$F)))</f>
        <v/>
      </c>
      <c r="W88">
        <f>IF($A88="";"";IF(SUMIF(FoodLog!$A:$A;$A88;FoodLog!$G:$G)=0;"";SUMIF(FoodLog!$A:$A;$A88;FoodLog!$G:$G)))</f>
        <v/>
      </c>
      <c r="X88">
        <f>IF($A88="";"";IF(SUMIF(FoodLog!$A:$A;$A88;FoodLog!$H:$H)=0;"";SUMIF(FoodLog!$A:$A;$A88;FoodLog!$H:$H)))</f>
        <v/>
      </c>
      <c r="Y88">
        <f>IF($A88="";"";IFERROR(ROUND(100*AVERAGE(IF($B88="";"";XLOOKUP($B88;FILTER(Dictionaries!$B:$B;Dictionaries!$A:$A="Тренировка");FILTER(Dictionaries!$C:$C;Dictionaries!$A:$A="Тренировка")));IF($C88="";"";MIN($C88/40;1));IF($D88="";"";XLOOKUP($D88;FILTER(Dictionaries!$B:$B;Dictionaries!$A:$A="Шаги");FILTER(Dictionaries!$C:$C;Dictionaries!$A:$A="Шаги")));IF($E88="";"";MIN($E88/120;1));IF(OR($F88&lt;&gt;"";$G88&lt;&gt;"");1;"");IF($H88="";"";MIN($H88/100;1));IF($L88="";"";XLOOKUP($L88;FILTER(Dictionaries!$B:$B;Dictionaries!$A:$A="Сон_часы");FILTER(Dictionaries!$C:$C;Dictionaries!$A:$A="Сон_часы")));IF($M88="";"";XLOOKUP($M88;FILTER(Dictionaries!$B:$B;Dictionaries!$A:$A="Режим");FILTER(Dictionaries!$C:$C;Dictionaries!$A:$A="Режим")));IF($N88="";"";MIN($N88/100;1));IF($O88="";"";XLOOKUP($O88;FILTER(Dictionaries!$B:$B;Dictionaries!$A:$A="Настроение");FILTER(Dictionaries!$C:$C;Dictionaries!$A:$A="Настроение")));IF($P88="";"";XLOOKUP($P88;FILTER(Dictionaries!$B:$B;Dictionaries!$A:$A="Энергия");FILTER(Dictionaries!$C:$C;Dictionaries!$A:$A="Энергия")));IF($U88="";"";AVERAGE(IF(OR($B88="Ноги";$B88="Верх");IFS(AND($U88&gt;=1900;$U88&lt;=2050);1;AND($U88&gt;=1850;$U88&lt;1900);0,7;AND($U88&gt;2050;$U88&lt;=2100);0,7;TRUE;0,2);IFS(AND($U88&gt;=1700;$U88&lt;=1850);1;AND($U88&gt;=1650;$U88&lt;1700);0,7;AND($U88&gt;1850;$U88&lt;=1900);0,7;TRUE;0,2));IF(OR($B88="Ноги";$B88="Верх");IFS(AND($V88&gt;=125;$V88&lt;=135);1;AND($V88&gt;=115;$V88&lt;125);0,7;AND($V88&gt;135;$V88&lt;=145);0,7;AND($V88&gt;=105;$V88&lt;115);0,4;AND($V88&gt;145;$V88&lt;=155);0,4;TRUE;0,2);IFS(AND($V88&gt;=120;$V88&lt;=130);1;AND($V88&gt;=110;$V88&lt;120);0,7;AND($V88&gt;130;$V88&lt;=140);0,7;AND($V88&gt;=100;$V88&lt;110);0,4;AND($V88&gt;140;$V88&lt;=150);0,4;TRUE;0,2));IFS(AND($W88&gt;=55;$W88&lt;=65);1;AND($W88&gt;=50;$W88&lt;55);0,7;AND($W88&gt;65;$W88&lt;=70);0,7;AND($W88&gt;=45;$W88&lt;50);0,4;AND($W88&gt;70;$W88&lt;=75);0,4;TRUE;0,2);IF(OR($B88="Ноги";$B88="Верх");IFS(AND($X88&gt;=180;$X88&lt;=210);1;AND($X88&gt;=160;$X88&lt;180);0,7;AND($X88&gt;210;$X88&lt;=230);0,7;AND($X88&gt;=140;$X88&lt;160);0,4;AND($X88&gt;230;$X88&lt;=250);0,4;TRUE;0,2);IFS(AND($X88&gt;=140;$X88&lt;=170);1;AND($X88&gt;=120;$X88&lt;140);0,7;AND($X88&gt;170;$X88&lt;=190);0,7;AND($X88&gt;=100;$X88&lt;120);0,4;AND($X88&gt;190;$X88&lt;=210);0,4;TRUE;0,2)))));1);""))</f>
        <v/>
      </c>
      <c r="Z88">
        <f>IF($A88="";"";TEXTJOIN(", ";TRUE;IF($B88="";"Тренировка";"");IF($C88="";"Кардио";"");IF($D88="";"Шаги";"");IF($E88="";"Английский";"");IF($F88="";"Код-режим";"");IF($G88="";"Код-тема";"");IF($H88="";"Чтение";"");IF($L88="";"Сон";"");IF($M88="";"Режим";"");IF($N88="";"Продуктивность";"");IF($O88="";"Настроение";"");IF($P88="";"Энергия";"");IF($U88="";"Еда";"")))</f>
        <v/>
      </c>
    </row>
    <row r="89">
      <c r="A89" s="2" t="inlineStr"/>
      <c r="B89" t="inlineStr"/>
      <c r="C89" t="inlineStr"/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U89">
        <f>IF($A89="";"";IF(SUMIF(FoodLog!$A:$A;$A89;FoodLog!$I:$I)=0;"";SUMIF(FoodLog!$A:$A;$A89;FoodLog!$I:$I)))</f>
        <v/>
      </c>
      <c r="V89">
        <f>IF($A89="";"";IF(SUMIF(FoodLog!$A:$A;$A89;FoodLog!$F:$F)=0;"";SUMIF(FoodLog!$A:$A;$A89;FoodLog!$F:$F)))</f>
        <v/>
      </c>
      <c r="W89">
        <f>IF($A89="";"";IF(SUMIF(FoodLog!$A:$A;$A89;FoodLog!$G:$G)=0;"";SUMIF(FoodLog!$A:$A;$A89;FoodLog!$G:$G)))</f>
        <v/>
      </c>
      <c r="X89">
        <f>IF($A89="";"";IF(SUMIF(FoodLog!$A:$A;$A89;FoodLog!$H:$H)=0;"";SUMIF(FoodLog!$A:$A;$A89;FoodLog!$H:$H)))</f>
        <v/>
      </c>
      <c r="Y89">
        <f>IF($A89="";"";IFERROR(ROUND(100*AVERAGE(IF($B89="";"";XLOOKUP($B89;FILTER(Dictionaries!$B:$B;Dictionaries!$A:$A="Тренировка");FILTER(Dictionaries!$C:$C;Dictionaries!$A:$A="Тренировка")));IF($C89="";"";MIN($C89/40;1));IF($D89="";"";XLOOKUP($D89;FILTER(Dictionaries!$B:$B;Dictionaries!$A:$A="Шаги");FILTER(Dictionaries!$C:$C;Dictionaries!$A:$A="Шаги")));IF($E89="";"";MIN($E89/120;1));IF(OR($F89&lt;&gt;"";$G89&lt;&gt;"");1;"");IF($H89="";"";MIN($H89/100;1));IF($L89="";"";XLOOKUP($L89;FILTER(Dictionaries!$B:$B;Dictionaries!$A:$A="Сон_часы");FILTER(Dictionaries!$C:$C;Dictionaries!$A:$A="Сон_часы")));IF($M89="";"";XLOOKUP($M89;FILTER(Dictionaries!$B:$B;Dictionaries!$A:$A="Режим");FILTER(Dictionaries!$C:$C;Dictionaries!$A:$A="Режим")));IF($N89="";"";MIN($N89/100;1));IF($O89="";"";XLOOKUP($O89;FILTER(Dictionaries!$B:$B;Dictionaries!$A:$A="Настроение");FILTER(Dictionaries!$C:$C;Dictionaries!$A:$A="Настроение")));IF($P89="";"";XLOOKUP($P89;FILTER(Dictionaries!$B:$B;Dictionaries!$A:$A="Энергия");FILTER(Dictionaries!$C:$C;Dictionaries!$A:$A="Энергия")));IF($U89="";"";AVERAGE(IF(OR($B89="Ноги";$B89="Верх");IFS(AND($U89&gt;=1900;$U89&lt;=2050);1;AND($U89&gt;=1850;$U89&lt;1900);0,7;AND($U89&gt;2050;$U89&lt;=2100);0,7;TRUE;0,2);IFS(AND($U89&gt;=1700;$U89&lt;=1850);1;AND($U89&gt;=1650;$U89&lt;1700);0,7;AND($U89&gt;1850;$U89&lt;=1900);0,7;TRUE;0,2));IF(OR($B89="Ноги";$B89="Верх");IFS(AND($V89&gt;=125;$V89&lt;=135);1;AND($V89&gt;=115;$V89&lt;125);0,7;AND($V89&gt;135;$V89&lt;=145);0,7;AND($V89&gt;=105;$V89&lt;115);0,4;AND($V89&gt;145;$V89&lt;=155);0,4;TRUE;0,2);IFS(AND($V89&gt;=120;$V89&lt;=130);1;AND($V89&gt;=110;$V89&lt;120);0,7;AND($V89&gt;130;$V89&lt;=140);0,7;AND($V89&gt;=100;$V89&lt;110);0,4;AND($V89&gt;140;$V89&lt;=150);0,4;TRUE;0,2));IFS(AND($W89&gt;=55;$W89&lt;=65);1;AND($W89&gt;=50;$W89&lt;55);0,7;AND($W89&gt;65;$W89&lt;=70);0,7;AND($W89&gt;=45;$W89&lt;50);0,4;AND($W89&gt;70;$W89&lt;=75);0,4;TRUE;0,2);IF(OR($B89="Ноги";$B89="Верх");IFS(AND($X89&gt;=180;$X89&lt;=210);1;AND($X89&gt;=160;$X89&lt;180);0,7;AND($X89&gt;210;$X89&lt;=230);0,7;AND($X89&gt;=140;$X89&lt;160);0,4;AND($X89&gt;230;$X89&lt;=250);0,4;TRUE;0,2);IFS(AND($X89&gt;=140;$X89&lt;=170);1;AND($X89&gt;=120;$X89&lt;140);0,7;AND($X89&gt;170;$X89&lt;=190);0,7;AND($X89&gt;=100;$X89&lt;120);0,4;AND($X89&gt;190;$X89&lt;=210);0,4;TRUE;0,2)))));1);""))</f>
        <v/>
      </c>
      <c r="Z89">
        <f>IF($A89="";"";TEXTJOIN(", ";TRUE;IF($B89="";"Тренировка";"");IF($C89="";"Кардио";"");IF($D89="";"Шаги";"");IF($E89="";"Английский";"");IF($F89="";"Код-режим";"");IF($G89="";"Код-тема";"");IF($H89="";"Чтение";"");IF($L89="";"Сон";"");IF($M89="";"Режим";"");IF($N89="";"Продуктивность";"");IF($O89="";"Настроение";"");IF($P89="";"Энергия";"");IF($U89="";"Еда";"")))</f>
        <v/>
      </c>
    </row>
    <row r="90">
      <c r="A90" s="2" t="inlineStr"/>
      <c r="B90" t="inlineStr"/>
      <c r="C90" t="inlineStr"/>
      <c r="D90" t="inlineStr"/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U90">
        <f>IF($A90="";"";IF(SUMIF(FoodLog!$A:$A;$A90;FoodLog!$I:$I)=0;"";SUMIF(FoodLog!$A:$A;$A90;FoodLog!$I:$I)))</f>
        <v/>
      </c>
      <c r="V90">
        <f>IF($A90="";"";IF(SUMIF(FoodLog!$A:$A;$A90;FoodLog!$F:$F)=0;"";SUMIF(FoodLog!$A:$A;$A90;FoodLog!$F:$F)))</f>
        <v/>
      </c>
      <c r="W90">
        <f>IF($A90="";"";IF(SUMIF(FoodLog!$A:$A;$A90;FoodLog!$G:$G)=0;"";SUMIF(FoodLog!$A:$A;$A90;FoodLog!$G:$G)))</f>
        <v/>
      </c>
      <c r="X90">
        <f>IF($A90="";"";IF(SUMIF(FoodLog!$A:$A;$A90;FoodLog!$H:$H)=0;"";SUMIF(FoodLog!$A:$A;$A90;FoodLog!$H:$H)))</f>
        <v/>
      </c>
      <c r="Y90">
        <f>IF($A90="";"";IFERROR(ROUND(100*AVERAGE(IF($B90="";"";XLOOKUP($B90;FILTER(Dictionaries!$B:$B;Dictionaries!$A:$A="Тренировка");FILTER(Dictionaries!$C:$C;Dictionaries!$A:$A="Тренировка")));IF($C90="";"";MIN($C90/40;1));IF($D90="";"";XLOOKUP($D90;FILTER(Dictionaries!$B:$B;Dictionaries!$A:$A="Шаги");FILTER(Dictionaries!$C:$C;Dictionaries!$A:$A="Шаги")));IF($E90="";"";MIN($E90/120;1));IF(OR($F90&lt;&gt;"";$G90&lt;&gt;"");1;"");IF($H90="";"";MIN($H90/100;1));IF($L90="";"";XLOOKUP($L90;FILTER(Dictionaries!$B:$B;Dictionaries!$A:$A="Сон_часы");FILTER(Dictionaries!$C:$C;Dictionaries!$A:$A="Сон_часы")));IF($M90="";"";XLOOKUP($M90;FILTER(Dictionaries!$B:$B;Dictionaries!$A:$A="Режим");FILTER(Dictionaries!$C:$C;Dictionaries!$A:$A="Режим")));IF($N90="";"";MIN($N90/100;1));IF($O90="";"";XLOOKUP($O90;FILTER(Dictionaries!$B:$B;Dictionaries!$A:$A="Настроение");FILTER(Dictionaries!$C:$C;Dictionaries!$A:$A="Настроение")));IF($P90="";"";XLOOKUP($P90;FILTER(Dictionaries!$B:$B;Dictionaries!$A:$A="Энергия");FILTER(Dictionaries!$C:$C;Dictionaries!$A:$A="Энергия")));IF($U90="";"";AVERAGE(IF(OR($B90="Ноги";$B90="Верх");IFS(AND($U90&gt;=1900;$U90&lt;=2050);1;AND($U90&gt;=1850;$U90&lt;1900);0,7;AND($U90&gt;2050;$U90&lt;=2100);0,7;TRUE;0,2);IFS(AND($U90&gt;=1700;$U90&lt;=1850);1;AND($U90&gt;=1650;$U90&lt;1700);0,7;AND($U90&gt;1850;$U90&lt;=1900);0,7;TRUE;0,2));IF(OR($B90="Ноги";$B90="Верх");IFS(AND($V90&gt;=125;$V90&lt;=135);1;AND($V90&gt;=115;$V90&lt;125);0,7;AND($V90&gt;135;$V90&lt;=145);0,7;AND($V90&gt;=105;$V90&lt;115);0,4;AND($V90&gt;145;$V90&lt;=155);0,4;TRUE;0,2);IFS(AND($V90&gt;=120;$V90&lt;=130);1;AND($V90&gt;=110;$V90&lt;120);0,7;AND($V90&gt;130;$V90&lt;=140);0,7;AND($V90&gt;=100;$V90&lt;110);0,4;AND($V90&gt;140;$V90&lt;=150);0,4;TRUE;0,2));IFS(AND($W90&gt;=55;$W90&lt;=65);1;AND($W90&gt;=50;$W90&lt;55);0,7;AND($W90&gt;65;$W90&lt;=70);0,7;AND($W90&gt;=45;$W90&lt;50);0,4;AND($W90&gt;70;$W90&lt;=75);0,4;TRUE;0,2);IF(OR($B90="Ноги";$B90="Верх");IFS(AND($X90&gt;=180;$X90&lt;=210);1;AND($X90&gt;=160;$X90&lt;180);0,7;AND($X90&gt;210;$X90&lt;=230);0,7;AND($X90&gt;=140;$X90&lt;160);0,4;AND($X90&gt;230;$X90&lt;=250);0,4;TRUE;0,2);IFS(AND($X90&gt;=140;$X90&lt;=170);1;AND($X90&gt;=120;$X90&lt;140);0,7;AND($X90&gt;170;$X90&lt;=190);0,7;AND($X90&gt;=100;$X90&lt;120);0,4;AND($X90&gt;190;$X90&lt;=210);0,4;TRUE;0,2)))));1);""))</f>
        <v/>
      </c>
      <c r="Z90">
        <f>IF($A90="";"";TEXTJOIN(", ";TRUE;IF($B90="";"Тренировка";"");IF($C90="";"Кардио";"");IF($D90="";"Шаги";"");IF($E90="";"Английский";"");IF($F90="";"Код-режим";"");IF($G90="";"Код-тема";"");IF($H90="";"Чтение";"");IF($L90="";"Сон";"");IF($M90="";"Режим";"");IF($N90="";"Продуктивность";"");IF($O90="";"Настроение";"");IF($P90="";"Энергия";"");IF($U90="";"Еда";"")))</f>
        <v/>
      </c>
    </row>
    <row r="91">
      <c r="A91" s="2" t="inlineStr"/>
      <c r="B91" t="inlineStr"/>
      <c r="C91" t="inlineStr"/>
      <c r="D91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U91">
        <f>IF($A91="";"";IF(SUMIF(FoodLog!$A:$A;$A91;FoodLog!$I:$I)=0;"";SUMIF(FoodLog!$A:$A;$A91;FoodLog!$I:$I)))</f>
        <v/>
      </c>
      <c r="V91">
        <f>IF($A91="";"";IF(SUMIF(FoodLog!$A:$A;$A91;FoodLog!$F:$F)=0;"";SUMIF(FoodLog!$A:$A;$A91;FoodLog!$F:$F)))</f>
        <v/>
      </c>
      <c r="W91">
        <f>IF($A91="";"";IF(SUMIF(FoodLog!$A:$A;$A91;FoodLog!$G:$G)=0;"";SUMIF(FoodLog!$A:$A;$A91;FoodLog!$G:$G)))</f>
        <v/>
      </c>
      <c r="X91">
        <f>IF($A91="";"";IF(SUMIF(FoodLog!$A:$A;$A91;FoodLog!$H:$H)=0;"";SUMIF(FoodLog!$A:$A;$A91;FoodLog!$H:$H)))</f>
        <v/>
      </c>
      <c r="Y91">
        <f>IF($A91="";"";IFERROR(ROUND(100*AVERAGE(IF($B91="";"";XLOOKUP($B91;FILTER(Dictionaries!$B:$B;Dictionaries!$A:$A="Тренировка");FILTER(Dictionaries!$C:$C;Dictionaries!$A:$A="Тренировка")));IF($C91="";"";MIN($C91/40;1));IF($D91="";"";XLOOKUP($D91;FILTER(Dictionaries!$B:$B;Dictionaries!$A:$A="Шаги");FILTER(Dictionaries!$C:$C;Dictionaries!$A:$A="Шаги")));IF($E91="";"";MIN($E91/120;1));IF(OR($F91&lt;&gt;"";$G91&lt;&gt;"");1;"");IF($H91="";"";MIN($H91/100;1));IF($L91="";"";XLOOKUP($L91;FILTER(Dictionaries!$B:$B;Dictionaries!$A:$A="Сон_часы");FILTER(Dictionaries!$C:$C;Dictionaries!$A:$A="Сон_часы")));IF($M91="";"";XLOOKUP($M91;FILTER(Dictionaries!$B:$B;Dictionaries!$A:$A="Режим");FILTER(Dictionaries!$C:$C;Dictionaries!$A:$A="Режим")));IF($N91="";"";MIN($N91/100;1));IF($O91="";"";XLOOKUP($O91;FILTER(Dictionaries!$B:$B;Dictionaries!$A:$A="Настроение");FILTER(Dictionaries!$C:$C;Dictionaries!$A:$A="Настроение")));IF($P91="";"";XLOOKUP($P91;FILTER(Dictionaries!$B:$B;Dictionaries!$A:$A="Энергия");FILTER(Dictionaries!$C:$C;Dictionaries!$A:$A="Энергия")));IF($U91="";"";AVERAGE(IF(OR($B91="Ноги";$B91="Верх");IFS(AND($U91&gt;=1900;$U91&lt;=2050);1;AND($U91&gt;=1850;$U91&lt;1900);0,7;AND($U91&gt;2050;$U91&lt;=2100);0,7;TRUE;0,2);IFS(AND($U91&gt;=1700;$U91&lt;=1850);1;AND($U91&gt;=1650;$U91&lt;1700);0,7;AND($U91&gt;1850;$U91&lt;=1900);0,7;TRUE;0,2));IF(OR($B91="Ноги";$B91="Верх");IFS(AND($V91&gt;=125;$V91&lt;=135);1;AND($V91&gt;=115;$V91&lt;125);0,7;AND($V91&gt;135;$V91&lt;=145);0,7;AND($V91&gt;=105;$V91&lt;115);0,4;AND($V91&gt;145;$V91&lt;=155);0,4;TRUE;0,2);IFS(AND($V91&gt;=120;$V91&lt;=130);1;AND($V91&gt;=110;$V91&lt;120);0,7;AND($V91&gt;130;$V91&lt;=140);0,7;AND($V91&gt;=100;$V91&lt;110);0,4;AND($V91&gt;140;$V91&lt;=150);0,4;TRUE;0,2));IFS(AND($W91&gt;=55;$W91&lt;=65);1;AND($W91&gt;=50;$W91&lt;55);0,7;AND($W91&gt;65;$W91&lt;=70);0,7;AND($W91&gt;=45;$W91&lt;50);0,4;AND($W91&gt;70;$W91&lt;=75);0,4;TRUE;0,2);IF(OR($B91="Ноги";$B91="Верх");IFS(AND($X91&gt;=180;$X91&lt;=210);1;AND($X91&gt;=160;$X91&lt;180);0,7;AND($X91&gt;210;$X91&lt;=230);0,7;AND($X91&gt;=140;$X91&lt;160);0,4;AND($X91&gt;230;$X91&lt;=250);0,4;TRUE;0,2);IFS(AND($X91&gt;=140;$X91&lt;=170);1;AND($X91&gt;=120;$X91&lt;140);0,7;AND($X91&gt;170;$X91&lt;=190);0,7;AND($X91&gt;=100;$X91&lt;120);0,4;AND($X91&gt;190;$X91&lt;=210);0,4;TRUE;0,2)))));1);""))</f>
        <v/>
      </c>
      <c r="Z91">
        <f>IF($A91="";"";TEXTJOIN(", ";TRUE;IF($B91="";"Тренировка";"");IF($C91="";"Кардио";"");IF($D91="";"Шаги";"");IF($E91="";"Английский";"");IF($F91="";"Код-режим";"");IF($G91="";"Код-тема";"");IF($H91="";"Чтение";"");IF($L91="";"Сон";"");IF($M91="";"Режим";"");IF($N91="";"Продуктивность";"");IF($O91="";"Настроение";"");IF($P91="";"Энергия";"");IF($U91="";"Еда";"")))</f>
        <v/>
      </c>
    </row>
    <row r="92">
      <c r="B92" t="inlineStr"/>
      <c r="C92" t="inlineStr"/>
      <c r="D92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U92">
        <f>IF($A92="";"";IF(SUMIF(FoodLog!$A:$A;$A92;FoodLog!$I:$I)=0;"";SUMIF(FoodLog!$A:$A;$A92;FoodLog!$I:$I)))</f>
        <v/>
      </c>
      <c r="V92">
        <f>IF($A92="";"";IF(SUMIF(FoodLog!$A:$A;$A92;FoodLog!$F:$F)=0;"";SUMIF(FoodLog!$A:$A;$A92;FoodLog!$F:$F)))</f>
        <v/>
      </c>
      <c r="W92">
        <f>IF($A92="";"";IF(SUMIF(FoodLog!$A:$A;$A92;FoodLog!$G:$G)=0;"";SUMIF(FoodLog!$A:$A;$A92;FoodLog!$G:$G)))</f>
        <v/>
      </c>
      <c r="X92">
        <f>IF($A92="";"";IF(SUMIF(FoodLog!$A:$A;$A92;FoodLog!$H:$H)=0;"";SUMIF(FoodLog!$A:$A;$A92;FoodLog!$H:$H)))</f>
        <v/>
      </c>
      <c r="Y92">
        <f>IF($A92="";"";IFERROR(ROUND(100*AVERAGE(IF($B92="";"";XLOOKUP($B92;FILTER(Dictionaries!$B:$B;Dictionaries!$A:$A="Тренировка");FILTER(Dictionaries!$C:$C;Dictionaries!$A:$A="Тренировка")));IF($C92="";"";MIN($C92/40;1));IF($D92="";"";XLOOKUP($D92;FILTER(Dictionaries!$B:$B;Dictionaries!$A:$A="Шаги");FILTER(Dictionaries!$C:$C;Dictionaries!$A:$A="Шаги")));IF($E92="";"";MIN($E92/120;1));IF(OR($F92&lt;&gt;"";$G92&lt;&gt;"");1;"");IF($H92="";"";MIN($H92/100;1));IF($L92="";"";XLOOKUP($L92;FILTER(Dictionaries!$B:$B;Dictionaries!$A:$A="Сон_часы");FILTER(Dictionaries!$C:$C;Dictionaries!$A:$A="Сон_часы")));IF($M92="";"";XLOOKUP($M92;FILTER(Dictionaries!$B:$B;Dictionaries!$A:$A="Режим");FILTER(Dictionaries!$C:$C;Dictionaries!$A:$A="Режим")));IF($N92="";"";MIN($N92/100;1));IF($O92="";"";XLOOKUP($O92;FILTER(Dictionaries!$B:$B;Dictionaries!$A:$A="Настроение");FILTER(Dictionaries!$C:$C;Dictionaries!$A:$A="Настроение")));IF($P92="";"";XLOOKUP($P92;FILTER(Dictionaries!$B:$B;Dictionaries!$A:$A="Энергия");FILTER(Dictionaries!$C:$C;Dictionaries!$A:$A="Энергия")));IF($U92="";"";AVERAGE(IF(OR($B92="Ноги";$B92="Верх");IFS(AND($U92&gt;=1900;$U92&lt;=2050);1;AND($U92&gt;=1850;$U92&lt;1900);0,7;AND($U92&gt;2050;$U92&lt;=2100);0,7;TRUE;0,2);IFS(AND($U92&gt;=1700;$U92&lt;=1850);1;AND($U92&gt;=1650;$U92&lt;1700);0,7;AND($U92&gt;1850;$U92&lt;=1900);0,7;TRUE;0,2));IF(OR($B92="Ноги";$B92="Верх");IFS(AND($V92&gt;=125;$V92&lt;=135);1;AND($V92&gt;=115;$V92&lt;125);0,7;AND($V92&gt;135;$V92&lt;=145);0,7;AND($V92&gt;=105;$V92&lt;115);0,4;AND($V92&gt;145;$V92&lt;=155);0,4;TRUE;0,2);IFS(AND($V92&gt;=120;$V92&lt;=130);1;AND($V92&gt;=110;$V92&lt;120);0,7;AND($V92&gt;130;$V92&lt;=140);0,7;AND($V92&gt;=100;$V92&lt;110);0,4;AND($V92&gt;140;$V92&lt;=150);0,4;TRUE;0,2));IFS(AND($W92&gt;=55;$W92&lt;=65);1;AND($W92&gt;=50;$W92&lt;55);0,7;AND($W92&gt;65;$W92&lt;=70);0,7;AND($W92&gt;=45;$W92&lt;50);0,4;AND($W92&gt;70;$W92&lt;=75);0,4;TRUE;0,2);IF(OR($B92="Ноги";$B92="Верх");IFS(AND($X92&gt;=180;$X92&lt;=210);1;AND($X92&gt;=160;$X92&lt;180);0,7;AND($X92&gt;210;$X92&lt;=230);0,7;AND($X92&gt;=140;$X92&lt;160);0,4;AND($X92&gt;230;$X92&lt;=250);0,4;TRUE;0,2);IFS(AND($X92&gt;=140;$X92&lt;=170);1;AND($X92&gt;=120;$X92&lt;140);0,7;AND($X92&gt;170;$X92&lt;=190);0,7;AND($X92&gt;=100;$X92&lt;120);0,4;AND($X92&gt;190;$X92&lt;=210);0,4;TRUE;0,2)))));1);""))</f>
        <v/>
      </c>
      <c r="Z92">
        <f>IF($A92="";"";TEXTJOIN(", ";TRUE;IF($B92="";"Тренировка";"");IF($C92="";"Кардио";"");IF($D92="";"Шаги";"");IF($E92="";"Английский";"");IF($F92="";"Код-режим";"");IF($G92="";"Код-тема";"");IF($H92="";"Чтение";"");IF($L92="";"Сон";"");IF($M92="";"Режим";"");IF($N92="";"Продуктивность";"");IF($O92="";"Настроение";"");IF($P92="";"Энергия";"");IF($U92="";"Еда";"")))</f>
        <v/>
      </c>
    </row>
    <row r="93">
      <c r="B93" t="inlineStr"/>
      <c r="C93" t="inlineStr"/>
      <c r="D93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U93">
        <f>IF($A93="";"";IF(SUMIF(FoodLog!$A:$A;$A93;FoodLog!$I:$I)=0;"";SUMIF(FoodLog!$A:$A;$A93;FoodLog!$I:$I)))</f>
        <v/>
      </c>
      <c r="V93">
        <f>IF($A93="";"";IF(SUMIF(FoodLog!$A:$A;$A93;FoodLog!$F:$F)=0;"";SUMIF(FoodLog!$A:$A;$A93;FoodLog!$F:$F)))</f>
        <v/>
      </c>
      <c r="W93">
        <f>IF($A93="";"";IF(SUMIF(FoodLog!$A:$A;$A93;FoodLog!$G:$G)=0;"";SUMIF(FoodLog!$A:$A;$A93;FoodLog!$G:$G)))</f>
        <v/>
      </c>
      <c r="X93">
        <f>IF($A93="";"";IF(SUMIF(FoodLog!$A:$A;$A93;FoodLog!$H:$H)=0;"";SUMIF(FoodLog!$A:$A;$A93;FoodLog!$H:$H)))</f>
        <v/>
      </c>
      <c r="Y93">
        <f>IF($A93="";"";IFERROR(ROUND(100*AVERAGE(IF($B93="";"";XLOOKUP($B93;FILTER(Dictionaries!$B:$B;Dictionaries!$A:$A="Тренировка");FILTER(Dictionaries!$C:$C;Dictionaries!$A:$A="Тренировка")));IF($C93="";"";MIN($C93/40;1));IF($D93="";"";XLOOKUP($D93;FILTER(Dictionaries!$B:$B;Dictionaries!$A:$A="Шаги");FILTER(Dictionaries!$C:$C;Dictionaries!$A:$A="Шаги")));IF($E93="";"";MIN($E93/120;1));IF(OR($F93&lt;&gt;"";$G93&lt;&gt;"");1;"");IF($H93="";"";MIN($H93/100;1));IF($L93="";"";XLOOKUP($L93;FILTER(Dictionaries!$B:$B;Dictionaries!$A:$A="Сон_часы");FILTER(Dictionaries!$C:$C;Dictionaries!$A:$A="Сон_часы")));IF($M93="";"";XLOOKUP($M93;FILTER(Dictionaries!$B:$B;Dictionaries!$A:$A="Режим");FILTER(Dictionaries!$C:$C;Dictionaries!$A:$A="Режим")));IF($N93="";"";MIN($N93/100;1));IF($O93="";"";XLOOKUP($O93;FILTER(Dictionaries!$B:$B;Dictionaries!$A:$A="Настроение");FILTER(Dictionaries!$C:$C;Dictionaries!$A:$A="Настроение")));IF($P93="";"";XLOOKUP($P93;FILTER(Dictionaries!$B:$B;Dictionaries!$A:$A="Энергия");FILTER(Dictionaries!$C:$C;Dictionaries!$A:$A="Энергия")));IF($U93="";"";AVERAGE(IF(OR($B93="Ноги";$B93="Верх");IFS(AND($U93&gt;=1900;$U93&lt;=2050);1;AND($U93&gt;=1850;$U93&lt;1900);0,7;AND($U93&gt;2050;$U93&lt;=2100);0,7;TRUE;0,2);IFS(AND($U93&gt;=1700;$U93&lt;=1850);1;AND($U93&gt;=1650;$U93&lt;1700);0,7;AND($U93&gt;1850;$U93&lt;=1900);0,7;TRUE;0,2));IF(OR($B93="Ноги";$B93="Верх");IFS(AND($V93&gt;=125;$V93&lt;=135);1;AND($V93&gt;=115;$V93&lt;125);0,7;AND($V93&gt;135;$V93&lt;=145);0,7;AND($V93&gt;=105;$V93&lt;115);0,4;AND($V93&gt;145;$V93&lt;=155);0,4;TRUE;0,2);IFS(AND($V93&gt;=120;$V93&lt;=130);1;AND($V93&gt;=110;$V93&lt;120);0,7;AND($V93&gt;130;$V93&lt;=140);0,7;AND($V93&gt;=100;$V93&lt;110);0,4;AND($V93&gt;140;$V93&lt;=150);0,4;TRUE;0,2));IFS(AND($W93&gt;=55;$W93&lt;=65);1;AND($W93&gt;=50;$W93&lt;55);0,7;AND($W93&gt;65;$W93&lt;=70);0,7;AND($W93&gt;=45;$W93&lt;50);0,4;AND($W93&gt;70;$W93&lt;=75);0,4;TRUE;0,2);IF(OR($B93="Ноги";$B93="Верх");IFS(AND($X93&gt;=180;$X93&lt;=210);1;AND($X93&gt;=160;$X93&lt;180);0,7;AND($X93&gt;210;$X93&lt;=230);0,7;AND($X93&gt;=140;$X93&lt;160);0,4;AND($X93&gt;230;$X93&lt;=250);0,4;TRUE;0,2);IFS(AND($X93&gt;=140;$X93&lt;=170);1;AND($X93&gt;=120;$X93&lt;140);0,7;AND($X93&gt;170;$X93&lt;=190);0,7;AND($X93&gt;=100;$X93&lt;120);0,4;AND($X93&gt;190;$X93&lt;=210);0,4;TRUE;0,2)))));1);""))</f>
        <v/>
      </c>
      <c r="Z93">
        <f>IF($A93="";"";TEXTJOIN(", ";TRUE;IF($B93="";"Тренировка";"");IF($C93="";"Кардио";"");IF($D93="";"Шаги";"");IF($E93="";"Английский";"");IF($F93="";"Код-режим";"");IF($G93="";"Код-тема";"");IF($H93="";"Чтение";"");IF($L93="";"Сон";"");IF($M93="";"Режим";"");IF($N93="";"Продуктивность";"");IF($O93="";"Настроение";"");IF($P93="";"Энергия";"");IF($U93="";"Еда";"")))</f>
        <v/>
      </c>
    </row>
    <row r="94">
      <c r="B94" t="inlineStr"/>
      <c r="C94" t="inlineStr"/>
      <c r="D94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U94">
        <f>IF($A94="";"";IF(SUMIF(FoodLog!$A:$A;$A94;FoodLog!$I:$I)=0;"";SUMIF(FoodLog!$A:$A;$A94;FoodLog!$I:$I)))</f>
        <v/>
      </c>
      <c r="V94">
        <f>IF($A94="";"";IF(SUMIF(FoodLog!$A:$A;$A94;FoodLog!$F:$F)=0;"";SUMIF(FoodLog!$A:$A;$A94;FoodLog!$F:$F)))</f>
        <v/>
      </c>
      <c r="W94">
        <f>IF($A94="";"";IF(SUMIF(FoodLog!$A:$A;$A94;FoodLog!$G:$G)=0;"";SUMIF(FoodLog!$A:$A;$A94;FoodLog!$G:$G)))</f>
        <v/>
      </c>
      <c r="X94">
        <f>IF($A94="";"";IF(SUMIF(FoodLog!$A:$A;$A94;FoodLog!$H:$H)=0;"";SUMIF(FoodLog!$A:$A;$A94;FoodLog!$H:$H)))</f>
        <v/>
      </c>
      <c r="Y94">
        <f>IF($A94="";"";IFERROR(ROUND(100*AVERAGE(IF($B94="";"";XLOOKUP($B94;FILTER(Dictionaries!$B:$B;Dictionaries!$A:$A="Тренировка");FILTER(Dictionaries!$C:$C;Dictionaries!$A:$A="Тренировка")));IF($C94="";"";MIN($C94/40;1));IF($D94="";"";XLOOKUP($D94;FILTER(Dictionaries!$B:$B;Dictionaries!$A:$A="Шаги");FILTER(Dictionaries!$C:$C;Dictionaries!$A:$A="Шаги")));IF($E94="";"";MIN($E94/120;1));IF(OR($F94&lt;&gt;"";$G94&lt;&gt;"");1;"");IF($H94="";"";MIN($H94/100;1));IF($L94="";"";XLOOKUP($L94;FILTER(Dictionaries!$B:$B;Dictionaries!$A:$A="Сон_часы");FILTER(Dictionaries!$C:$C;Dictionaries!$A:$A="Сон_часы")));IF($M94="";"";XLOOKUP($M94;FILTER(Dictionaries!$B:$B;Dictionaries!$A:$A="Режим");FILTER(Dictionaries!$C:$C;Dictionaries!$A:$A="Режим")));IF($N94="";"";MIN($N94/100;1));IF($O94="";"";XLOOKUP($O94;FILTER(Dictionaries!$B:$B;Dictionaries!$A:$A="Настроение");FILTER(Dictionaries!$C:$C;Dictionaries!$A:$A="Настроение")));IF($P94="";"";XLOOKUP($P94;FILTER(Dictionaries!$B:$B;Dictionaries!$A:$A="Энергия");FILTER(Dictionaries!$C:$C;Dictionaries!$A:$A="Энергия")));IF($U94="";"";AVERAGE(IF(OR($B94="Ноги";$B94="Верх");IFS(AND($U94&gt;=1900;$U94&lt;=2050);1;AND($U94&gt;=1850;$U94&lt;1900);0,7;AND($U94&gt;2050;$U94&lt;=2100);0,7;TRUE;0,2);IFS(AND($U94&gt;=1700;$U94&lt;=1850);1;AND($U94&gt;=1650;$U94&lt;1700);0,7;AND($U94&gt;1850;$U94&lt;=1900);0,7;TRUE;0,2));IF(OR($B94="Ноги";$B94="Верх");IFS(AND($V94&gt;=125;$V94&lt;=135);1;AND($V94&gt;=115;$V94&lt;125);0,7;AND($V94&gt;135;$V94&lt;=145);0,7;AND($V94&gt;=105;$V94&lt;115);0,4;AND($V94&gt;145;$V94&lt;=155);0,4;TRUE;0,2);IFS(AND($V94&gt;=120;$V94&lt;=130);1;AND($V94&gt;=110;$V94&lt;120);0,7;AND($V94&gt;130;$V94&lt;=140);0,7;AND($V94&gt;=100;$V94&lt;110);0,4;AND($V94&gt;140;$V94&lt;=150);0,4;TRUE;0,2));IFS(AND($W94&gt;=55;$W94&lt;=65);1;AND($W94&gt;=50;$W94&lt;55);0,7;AND($W94&gt;65;$W94&lt;=70);0,7;AND($W94&gt;=45;$W94&lt;50);0,4;AND($W94&gt;70;$W94&lt;=75);0,4;TRUE;0,2);IF(OR($B94="Ноги";$B94="Верх");IFS(AND($X94&gt;=180;$X94&lt;=210);1;AND($X94&gt;=160;$X94&lt;180);0,7;AND($X94&gt;210;$X94&lt;=230);0,7;AND($X94&gt;=140;$X94&lt;160);0,4;AND($X94&gt;230;$X94&lt;=250);0,4;TRUE;0,2);IFS(AND($X94&gt;=140;$X94&lt;=170);1;AND($X94&gt;=120;$X94&lt;140);0,7;AND($X94&gt;170;$X94&lt;=190);0,7;AND($X94&gt;=100;$X94&lt;120);0,4;AND($X94&gt;190;$X94&lt;=210);0,4;TRUE;0,2)))));1);""))</f>
        <v/>
      </c>
      <c r="Z94">
        <f>IF($A94="";"";TEXTJOIN(", ";TRUE;IF($B94="";"Тренировка";"");IF($C94="";"Кардио";"");IF($D94="";"Шаги";"");IF($E94="";"Английский";"");IF($F94="";"Код-режим";"");IF($G94="";"Код-тема";"");IF($H94="";"Чтение";"");IF($L94="";"Сон";"");IF($M94="";"Режим";"");IF($N94="";"Продуктивность";"");IF($O94="";"Настроение";"");IF($P94="";"Энергия";"");IF($U94="";"Еда";"")))</f>
        <v/>
      </c>
    </row>
    <row r="95">
      <c r="B95" t="inlineStr"/>
      <c r="C95" t="inlineStr"/>
      <c r="D95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U95">
        <f>IF($A95="";"";IF(SUMIF(FoodLog!$A:$A;$A95;FoodLog!$I:$I)=0;"";SUMIF(FoodLog!$A:$A;$A95;FoodLog!$I:$I)))</f>
        <v/>
      </c>
      <c r="V95">
        <f>IF($A95="";"";IF(SUMIF(FoodLog!$A:$A;$A95;FoodLog!$F:$F)=0;"";SUMIF(FoodLog!$A:$A;$A95;FoodLog!$F:$F)))</f>
        <v/>
      </c>
      <c r="W95">
        <f>IF($A95="";"";IF(SUMIF(FoodLog!$A:$A;$A95;FoodLog!$G:$G)=0;"";SUMIF(FoodLog!$A:$A;$A95;FoodLog!$G:$G)))</f>
        <v/>
      </c>
      <c r="X95">
        <f>IF($A95="";"";IF(SUMIF(FoodLog!$A:$A;$A95;FoodLog!$H:$H)=0;"";SUMIF(FoodLog!$A:$A;$A95;FoodLog!$H:$H)))</f>
        <v/>
      </c>
      <c r="Y95">
        <f>IF($A95="";"";IFERROR(ROUND(100*AVERAGE(IF($B95="";"";XLOOKUP($B95;FILTER(Dictionaries!$B:$B;Dictionaries!$A:$A="Тренировка");FILTER(Dictionaries!$C:$C;Dictionaries!$A:$A="Тренировка")));IF($C95="";"";MIN($C95/40;1));IF($D95="";"";XLOOKUP($D95;FILTER(Dictionaries!$B:$B;Dictionaries!$A:$A="Шаги");FILTER(Dictionaries!$C:$C;Dictionaries!$A:$A="Шаги")));IF($E95="";"";MIN($E95/120;1));IF(OR($F95&lt;&gt;"";$G95&lt;&gt;"");1;"");IF($H95="";"";MIN($H95/100;1));IF($L95="";"";XLOOKUP($L95;FILTER(Dictionaries!$B:$B;Dictionaries!$A:$A="Сон_часы");FILTER(Dictionaries!$C:$C;Dictionaries!$A:$A="Сон_часы")));IF($M95="";"";XLOOKUP($M95;FILTER(Dictionaries!$B:$B;Dictionaries!$A:$A="Режим");FILTER(Dictionaries!$C:$C;Dictionaries!$A:$A="Режим")));IF($N95="";"";MIN($N95/100;1));IF($O95="";"";XLOOKUP($O95;FILTER(Dictionaries!$B:$B;Dictionaries!$A:$A="Настроение");FILTER(Dictionaries!$C:$C;Dictionaries!$A:$A="Настроение")));IF($P95="";"";XLOOKUP($P95;FILTER(Dictionaries!$B:$B;Dictionaries!$A:$A="Энергия");FILTER(Dictionaries!$C:$C;Dictionaries!$A:$A="Энергия")));IF($U95="";"";AVERAGE(IF(OR($B95="Ноги";$B95="Верх");IFS(AND($U95&gt;=1900;$U95&lt;=2050);1;AND($U95&gt;=1850;$U95&lt;1900);0,7;AND($U95&gt;2050;$U95&lt;=2100);0,7;TRUE;0,2);IFS(AND($U95&gt;=1700;$U95&lt;=1850);1;AND($U95&gt;=1650;$U95&lt;1700);0,7;AND($U95&gt;1850;$U95&lt;=1900);0,7;TRUE;0,2));IF(OR($B95="Ноги";$B95="Верх");IFS(AND($V95&gt;=125;$V95&lt;=135);1;AND($V95&gt;=115;$V95&lt;125);0,7;AND($V95&gt;135;$V95&lt;=145);0,7;AND($V95&gt;=105;$V95&lt;115);0,4;AND($V95&gt;145;$V95&lt;=155);0,4;TRUE;0,2);IFS(AND($V95&gt;=120;$V95&lt;=130);1;AND($V95&gt;=110;$V95&lt;120);0,7;AND($V95&gt;130;$V95&lt;=140);0,7;AND($V95&gt;=100;$V95&lt;110);0,4;AND($V95&gt;140;$V95&lt;=150);0,4;TRUE;0,2));IFS(AND($W95&gt;=55;$W95&lt;=65);1;AND($W95&gt;=50;$W95&lt;55);0,7;AND($W95&gt;65;$W95&lt;=70);0,7;AND($W95&gt;=45;$W95&lt;50);0,4;AND($W95&gt;70;$W95&lt;=75);0,4;TRUE;0,2);IF(OR($B95="Ноги";$B95="Верх");IFS(AND($X95&gt;=180;$X95&lt;=210);1;AND($X95&gt;=160;$X95&lt;180);0,7;AND($X95&gt;210;$X95&lt;=230);0,7;AND($X95&gt;=140;$X95&lt;160);0,4;AND($X95&gt;230;$X95&lt;=250);0,4;TRUE;0,2);IFS(AND($X95&gt;=140;$X95&lt;=170);1;AND($X95&gt;=120;$X95&lt;140);0,7;AND($X95&gt;170;$X95&lt;=190);0,7;AND($X95&gt;=100;$X95&lt;120);0,4;AND($X95&gt;190;$X95&lt;=210);0,4;TRUE;0,2)))));1);""))</f>
        <v/>
      </c>
      <c r="Z95">
        <f>IF($A95="";"";TEXTJOIN(", ";TRUE;IF($B95="";"Тренировка";"");IF($C95="";"Кардио";"");IF($D95="";"Шаги";"");IF($E95="";"Английский";"");IF($F95="";"Код-режим";"");IF($G95="";"Код-тема";"");IF($H95="";"Чтение";"");IF($L95="";"Сон";"");IF($M95="";"Режим";"");IF($N95="";"Продуктивность";"");IF($O95="";"Настроение";"");IF($P95="";"Энергия";"");IF($U95="";"Еда";"")))</f>
        <v/>
      </c>
    </row>
    <row r="96">
      <c r="B96" t="inlineStr"/>
      <c r="C96" t="inlineStr"/>
      <c r="D96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U96">
        <f>IF($A96="";"";IF(SUMIF(FoodLog!$A:$A;$A96;FoodLog!$I:$I)=0;"";SUMIF(FoodLog!$A:$A;$A96;FoodLog!$I:$I)))</f>
        <v/>
      </c>
      <c r="V96">
        <f>IF($A96="";"";IF(SUMIF(FoodLog!$A:$A;$A96;FoodLog!$F:$F)=0;"";SUMIF(FoodLog!$A:$A;$A96;FoodLog!$F:$F)))</f>
        <v/>
      </c>
      <c r="W96">
        <f>IF($A96="";"";IF(SUMIF(FoodLog!$A:$A;$A96;FoodLog!$G:$G)=0;"";SUMIF(FoodLog!$A:$A;$A96;FoodLog!$G:$G)))</f>
        <v/>
      </c>
      <c r="X96">
        <f>IF($A96="";"";IF(SUMIF(FoodLog!$A:$A;$A96;FoodLog!$H:$H)=0;"";SUMIF(FoodLog!$A:$A;$A96;FoodLog!$H:$H)))</f>
        <v/>
      </c>
      <c r="Y96">
        <f>IF($A96="";"";IFERROR(ROUND(100*AVERAGE(IF($B96="";"";XLOOKUP($B96;FILTER(Dictionaries!$B:$B;Dictionaries!$A:$A="Тренировка");FILTER(Dictionaries!$C:$C;Dictionaries!$A:$A="Тренировка")));IF($C96="";"";MIN($C96/40;1));IF($D96="";"";XLOOKUP($D96;FILTER(Dictionaries!$B:$B;Dictionaries!$A:$A="Шаги");FILTER(Dictionaries!$C:$C;Dictionaries!$A:$A="Шаги")));IF($E96="";"";MIN($E96/120;1));IF(OR($F96&lt;&gt;"";$G96&lt;&gt;"");1;"");IF($H96="";"";MIN($H96/100;1));IF($L96="";"";XLOOKUP($L96;FILTER(Dictionaries!$B:$B;Dictionaries!$A:$A="Сон_часы");FILTER(Dictionaries!$C:$C;Dictionaries!$A:$A="Сон_часы")));IF($M96="";"";XLOOKUP($M96;FILTER(Dictionaries!$B:$B;Dictionaries!$A:$A="Режим");FILTER(Dictionaries!$C:$C;Dictionaries!$A:$A="Режим")));IF($N96="";"";MIN($N96/100;1));IF($O96="";"";XLOOKUP($O96;FILTER(Dictionaries!$B:$B;Dictionaries!$A:$A="Настроение");FILTER(Dictionaries!$C:$C;Dictionaries!$A:$A="Настроение")));IF($P96="";"";XLOOKUP($P96;FILTER(Dictionaries!$B:$B;Dictionaries!$A:$A="Энергия");FILTER(Dictionaries!$C:$C;Dictionaries!$A:$A="Энергия")));IF($U96="";"";AVERAGE(IF(OR($B96="Ноги";$B96="Верх");IFS(AND($U96&gt;=1900;$U96&lt;=2050);1;AND($U96&gt;=1850;$U96&lt;1900);0,7;AND($U96&gt;2050;$U96&lt;=2100);0,7;TRUE;0,2);IFS(AND($U96&gt;=1700;$U96&lt;=1850);1;AND($U96&gt;=1650;$U96&lt;1700);0,7;AND($U96&gt;1850;$U96&lt;=1900);0,7;TRUE;0,2));IF(OR($B96="Ноги";$B96="Верх");IFS(AND($V96&gt;=125;$V96&lt;=135);1;AND($V96&gt;=115;$V96&lt;125);0,7;AND($V96&gt;135;$V96&lt;=145);0,7;AND($V96&gt;=105;$V96&lt;115);0,4;AND($V96&gt;145;$V96&lt;=155);0,4;TRUE;0,2);IFS(AND($V96&gt;=120;$V96&lt;=130);1;AND($V96&gt;=110;$V96&lt;120);0,7;AND($V96&gt;130;$V96&lt;=140);0,7;AND($V96&gt;=100;$V96&lt;110);0,4;AND($V96&gt;140;$V96&lt;=150);0,4;TRUE;0,2));IFS(AND($W96&gt;=55;$W96&lt;=65);1;AND($W96&gt;=50;$W96&lt;55);0,7;AND($W96&gt;65;$W96&lt;=70);0,7;AND($W96&gt;=45;$W96&lt;50);0,4;AND($W96&gt;70;$W96&lt;=75);0,4;TRUE;0,2);IF(OR($B96="Ноги";$B96="Верх");IFS(AND($X96&gt;=180;$X96&lt;=210);1;AND($X96&gt;=160;$X96&lt;180);0,7;AND($X96&gt;210;$X96&lt;=230);0,7;AND($X96&gt;=140;$X96&lt;160);0,4;AND($X96&gt;230;$X96&lt;=250);0,4;TRUE;0,2);IFS(AND($X96&gt;=140;$X96&lt;=170);1;AND($X96&gt;=120;$X96&lt;140);0,7;AND($X96&gt;170;$X96&lt;=190);0,7;AND($X96&gt;=100;$X96&lt;120);0,4;AND($X96&gt;190;$X96&lt;=210);0,4;TRUE;0,2)))));1);""))</f>
        <v/>
      </c>
      <c r="Z96">
        <f>IF($A96="";"";TEXTJOIN(", ";TRUE;IF($B96="";"Тренировка";"");IF($C96="";"Кардио";"");IF($D96="";"Шаги";"");IF($E96="";"Английский";"");IF($F96="";"Код-режим";"");IF($G96="";"Код-тема";"");IF($H96="";"Чтение";"");IF($L96="";"Сон";"");IF($M96="";"Режим";"");IF($N96="";"Продуктивность";"");IF($O96="";"Настроение";"");IF($P96="";"Энергия";"");IF($U96="";"Еда";"")))</f>
        <v/>
      </c>
    </row>
    <row r="97">
      <c r="B97" t="inlineStr"/>
      <c r="C97" t="inlineStr"/>
      <c r="D97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U97">
        <f>IF($A97="";"";IF(SUMIF(FoodLog!$A:$A;$A97;FoodLog!$I:$I)=0;"";SUMIF(FoodLog!$A:$A;$A97;FoodLog!$I:$I)))</f>
        <v/>
      </c>
      <c r="V97">
        <f>IF($A97="";"";IF(SUMIF(FoodLog!$A:$A;$A97;FoodLog!$F:$F)=0;"";SUMIF(FoodLog!$A:$A;$A97;FoodLog!$F:$F)))</f>
        <v/>
      </c>
      <c r="W97">
        <f>IF($A97="";"";IF(SUMIF(FoodLog!$A:$A;$A97;FoodLog!$G:$G)=0;"";SUMIF(FoodLog!$A:$A;$A97;FoodLog!$G:$G)))</f>
        <v/>
      </c>
      <c r="X97">
        <f>IF($A97="";"";IF(SUMIF(FoodLog!$A:$A;$A97;FoodLog!$H:$H)=0;"";SUMIF(FoodLog!$A:$A;$A97;FoodLog!$H:$H)))</f>
        <v/>
      </c>
      <c r="Y97">
        <f>IF($A97="";"";IFERROR(ROUND(100*AVERAGE(IF($B97="";"";XLOOKUP($B97;FILTER(Dictionaries!$B:$B;Dictionaries!$A:$A="Тренировка");FILTER(Dictionaries!$C:$C;Dictionaries!$A:$A="Тренировка")));IF($C97="";"";MIN($C97/40;1));IF($D97="";"";XLOOKUP($D97;FILTER(Dictionaries!$B:$B;Dictionaries!$A:$A="Шаги");FILTER(Dictionaries!$C:$C;Dictionaries!$A:$A="Шаги")));IF($E97="";"";MIN($E97/120;1));IF(OR($F97&lt;&gt;"";$G97&lt;&gt;"");1;"");IF($H97="";"";MIN($H97/100;1));IF($L97="";"";XLOOKUP($L97;FILTER(Dictionaries!$B:$B;Dictionaries!$A:$A="Сон_часы");FILTER(Dictionaries!$C:$C;Dictionaries!$A:$A="Сон_часы")));IF($M97="";"";XLOOKUP($M97;FILTER(Dictionaries!$B:$B;Dictionaries!$A:$A="Режим");FILTER(Dictionaries!$C:$C;Dictionaries!$A:$A="Режим")));IF($N97="";"";MIN($N97/100;1));IF($O97="";"";XLOOKUP($O97;FILTER(Dictionaries!$B:$B;Dictionaries!$A:$A="Настроение");FILTER(Dictionaries!$C:$C;Dictionaries!$A:$A="Настроение")));IF($P97="";"";XLOOKUP($P97;FILTER(Dictionaries!$B:$B;Dictionaries!$A:$A="Энергия");FILTER(Dictionaries!$C:$C;Dictionaries!$A:$A="Энергия")));IF($U97="";"";AVERAGE(IF(OR($B97="Ноги";$B97="Верх");IFS(AND($U97&gt;=1900;$U97&lt;=2050);1;AND($U97&gt;=1850;$U97&lt;1900);0,7;AND($U97&gt;2050;$U97&lt;=2100);0,7;TRUE;0,2);IFS(AND($U97&gt;=1700;$U97&lt;=1850);1;AND($U97&gt;=1650;$U97&lt;1700);0,7;AND($U97&gt;1850;$U97&lt;=1900);0,7;TRUE;0,2));IF(OR($B97="Ноги";$B97="Верх");IFS(AND($V97&gt;=125;$V97&lt;=135);1;AND($V97&gt;=115;$V97&lt;125);0,7;AND($V97&gt;135;$V97&lt;=145);0,7;AND($V97&gt;=105;$V97&lt;115);0,4;AND($V97&gt;145;$V97&lt;=155);0,4;TRUE;0,2);IFS(AND($V97&gt;=120;$V97&lt;=130);1;AND($V97&gt;=110;$V97&lt;120);0,7;AND($V97&gt;130;$V97&lt;=140);0,7;AND($V97&gt;=100;$V97&lt;110);0,4;AND($V97&gt;140;$V97&lt;=150);0,4;TRUE;0,2));IFS(AND($W97&gt;=55;$W97&lt;=65);1;AND($W97&gt;=50;$W97&lt;55);0,7;AND($W97&gt;65;$W97&lt;=70);0,7;AND($W97&gt;=45;$W97&lt;50);0,4;AND($W97&gt;70;$W97&lt;=75);0,4;TRUE;0,2);IF(OR($B97="Ноги";$B97="Верх");IFS(AND($X97&gt;=180;$X97&lt;=210);1;AND($X97&gt;=160;$X97&lt;180);0,7;AND($X97&gt;210;$X97&lt;=230);0,7;AND($X97&gt;=140;$X97&lt;160);0,4;AND($X97&gt;230;$X97&lt;=250);0,4;TRUE;0,2);IFS(AND($X97&gt;=140;$X97&lt;=170);1;AND($X97&gt;=120;$X97&lt;140);0,7;AND($X97&gt;170;$X97&lt;=190);0,7;AND($X97&gt;=100;$X97&lt;120);0,4;AND($X97&gt;190;$X97&lt;=210);0,4;TRUE;0,2)))));1);""))</f>
        <v/>
      </c>
      <c r="Z97">
        <f>IF($A97="";"";TEXTJOIN(", ";TRUE;IF($B97="";"Тренировка";"");IF($C97="";"Кардио";"");IF($D97="";"Шаги";"");IF($E97="";"Английский";"");IF($F97="";"Код-режим";"");IF($G97="";"Код-тема";"");IF($H97="";"Чтение";"");IF($L97="";"Сон";"");IF($M97="";"Режим";"");IF($N97="";"Продуктивность";"");IF($O97="";"Настроение";"");IF($P97="";"Энергия";"");IF($U97="";"Еда";"")))</f>
        <v/>
      </c>
    </row>
    <row r="98">
      <c r="B98" t="inlineStr"/>
      <c r="C98" t="inlineStr"/>
      <c r="D98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inlineStr"/>
      <c r="U98">
        <f>IF($A98="";"";IF(SUMIF(FoodLog!$A:$A;$A98;FoodLog!$I:$I)=0;"";SUMIF(FoodLog!$A:$A;$A98;FoodLog!$I:$I)))</f>
        <v/>
      </c>
      <c r="V98">
        <f>IF($A98="";"";IF(SUMIF(FoodLog!$A:$A;$A98;FoodLog!$F:$F)=0;"";SUMIF(FoodLog!$A:$A;$A98;FoodLog!$F:$F)))</f>
        <v/>
      </c>
      <c r="W98">
        <f>IF($A98="";"";IF(SUMIF(FoodLog!$A:$A;$A98;FoodLog!$G:$G)=0;"";SUMIF(FoodLog!$A:$A;$A98;FoodLog!$G:$G)))</f>
        <v/>
      </c>
      <c r="X98">
        <f>IF($A98="";"";IF(SUMIF(FoodLog!$A:$A;$A98;FoodLog!$H:$H)=0;"";SUMIF(FoodLog!$A:$A;$A98;FoodLog!$H:$H)))</f>
        <v/>
      </c>
      <c r="Y98">
        <f>IF($A98="";"";IFERROR(ROUND(100*AVERAGE(IF($B98="";"";XLOOKUP($B98;FILTER(Dictionaries!$B:$B;Dictionaries!$A:$A="Тренировка");FILTER(Dictionaries!$C:$C;Dictionaries!$A:$A="Тренировка")));IF($C98="";"";MIN($C98/40;1));IF($D98="";"";XLOOKUP($D98;FILTER(Dictionaries!$B:$B;Dictionaries!$A:$A="Шаги");FILTER(Dictionaries!$C:$C;Dictionaries!$A:$A="Шаги")));IF($E98="";"";MIN($E98/120;1));IF(OR($F98&lt;&gt;"";$G98&lt;&gt;"");1;"");IF($H98="";"";MIN($H98/100;1));IF($L98="";"";XLOOKUP($L98;FILTER(Dictionaries!$B:$B;Dictionaries!$A:$A="Сон_часы");FILTER(Dictionaries!$C:$C;Dictionaries!$A:$A="Сон_часы")));IF($M98="";"";XLOOKUP($M98;FILTER(Dictionaries!$B:$B;Dictionaries!$A:$A="Режим");FILTER(Dictionaries!$C:$C;Dictionaries!$A:$A="Режим")));IF($N98="";"";MIN($N98/100;1));IF($O98="";"";XLOOKUP($O98;FILTER(Dictionaries!$B:$B;Dictionaries!$A:$A="Настроение");FILTER(Dictionaries!$C:$C;Dictionaries!$A:$A="Настроение")));IF($P98="";"";XLOOKUP($P98;FILTER(Dictionaries!$B:$B;Dictionaries!$A:$A="Энергия");FILTER(Dictionaries!$C:$C;Dictionaries!$A:$A="Энергия")));IF($U98="";"";AVERAGE(IF(OR($B98="Ноги";$B98="Верх");IFS(AND($U98&gt;=1900;$U98&lt;=2050);1;AND($U98&gt;=1850;$U98&lt;1900);0,7;AND($U98&gt;2050;$U98&lt;=2100);0,7;TRUE;0,2);IFS(AND($U98&gt;=1700;$U98&lt;=1850);1;AND($U98&gt;=1650;$U98&lt;1700);0,7;AND($U98&gt;1850;$U98&lt;=1900);0,7;TRUE;0,2));IF(OR($B98="Ноги";$B98="Верх");IFS(AND($V98&gt;=125;$V98&lt;=135);1;AND($V98&gt;=115;$V98&lt;125);0,7;AND($V98&gt;135;$V98&lt;=145);0,7;AND($V98&gt;=105;$V98&lt;115);0,4;AND($V98&gt;145;$V98&lt;=155);0,4;TRUE;0,2);IFS(AND($V98&gt;=120;$V98&lt;=130);1;AND($V98&gt;=110;$V98&lt;120);0,7;AND($V98&gt;130;$V98&lt;=140);0,7;AND($V98&gt;=100;$V98&lt;110);0,4;AND($V98&gt;140;$V98&lt;=150);0,4;TRUE;0,2));IFS(AND($W98&gt;=55;$W98&lt;=65);1;AND($W98&gt;=50;$W98&lt;55);0,7;AND($W98&gt;65;$W98&lt;=70);0,7;AND($W98&gt;=45;$W98&lt;50);0,4;AND($W98&gt;70;$W98&lt;=75);0,4;TRUE;0,2);IF(OR($B98="Ноги";$B98="Верх");IFS(AND($X98&gt;=180;$X98&lt;=210);1;AND($X98&gt;=160;$X98&lt;180);0,7;AND($X98&gt;210;$X98&lt;=230);0,7;AND($X98&gt;=140;$X98&lt;160);0,4;AND($X98&gt;230;$X98&lt;=250);0,4;TRUE;0,2);IFS(AND($X98&gt;=140;$X98&lt;=170);1;AND($X98&gt;=120;$X98&lt;140);0,7;AND($X98&gt;170;$X98&lt;=190);0,7;AND($X98&gt;=100;$X98&lt;120);0,4;AND($X98&gt;190;$X98&lt;=210);0,4;TRUE;0,2)))));1);""))</f>
        <v/>
      </c>
      <c r="Z98">
        <f>IF($A98="";"";TEXTJOIN(", ";TRUE;IF($B98="";"Тренировка";"");IF($C98="";"Кардио";"");IF($D98="";"Шаги";"");IF($E98="";"Английский";"");IF($F98="";"Код-режим";"");IF($G98="";"Код-тема";"");IF($H98="";"Чтение";"");IF($L98="";"Сон";"");IF($M98="";"Режим";"");IF($N98="";"Продуктивность";"");IF($O98="";"Настроение";"");IF($P98="";"Энергия";"");IF($U98="";"Еда";"")))</f>
        <v/>
      </c>
    </row>
    <row r="99">
      <c r="B99" t="inlineStr"/>
      <c r="C99" t="inlineStr"/>
      <c r="D99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U99">
        <f>IF($A99="";"";IF(SUMIF(FoodLog!$A:$A;$A99;FoodLog!$I:$I)=0;"";SUMIF(FoodLog!$A:$A;$A99;FoodLog!$I:$I)))</f>
        <v/>
      </c>
      <c r="V99">
        <f>IF($A99="";"";IF(SUMIF(FoodLog!$A:$A;$A99;FoodLog!$F:$F)=0;"";SUMIF(FoodLog!$A:$A;$A99;FoodLog!$F:$F)))</f>
        <v/>
      </c>
      <c r="W99">
        <f>IF($A99="";"";IF(SUMIF(FoodLog!$A:$A;$A99;FoodLog!$G:$G)=0;"";SUMIF(FoodLog!$A:$A;$A99;FoodLog!$G:$G)))</f>
        <v/>
      </c>
      <c r="X99">
        <f>IF($A99="";"";IF(SUMIF(FoodLog!$A:$A;$A99;FoodLog!$H:$H)=0;"";SUMIF(FoodLog!$A:$A;$A99;FoodLog!$H:$H)))</f>
        <v/>
      </c>
      <c r="Y99">
        <f>IF($A99="";"";IFERROR(ROUND(100*AVERAGE(IF($B99="";"";XLOOKUP($B99;FILTER(Dictionaries!$B:$B;Dictionaries!$A:$A="Тренировка");FILTER(Dictionaries!$C:$C;Dictionaries!$A:$A="Тренировка")));IF($C99="";"";MIN($C99/40;1));IF($D99="";"";XLOOKUP($D99;FILTER(Dictionaries!$B:$B;Dictionaries!$A:$A="Шаги");FILTER(Dictionaries!$C:$C;Dictionaries!$A:$A="Шаги")));IF($E99="";"";MIN($E99/120;1));IF(OR($F99&lt;&gt;"";$G99&lt;&gt;"");1;"");IF($H99="";"";MIN($H99/100;1));IF($L99="";"";XLOOKUP($L99;FILTER(Dictionaries!$B:$B;Dictionaries!$A:$A="Сон_часы");FILTER(Dictionaries!$C:$C;Dictionaries!$A:$A="Сон_часы")));IF($M99="";"";XLOOKUP($M99;FILTER(Dictionaries!$B:$B;Dictionaries!$A:$A="Режим");FILTER(Dictionaries!$C:$C;Dictionaries!$A:$A="Режим")));IF($N99="";"";MIN($N99/100;1));IF($O99="";"";XLOOKUP($O99;FILTER(Dictionaries!$B:$B;Dictionaries!$A:$A="Настроение");FILTER(Dictionaries!$C:$C;Dictionaries!$A:$A="Настроение")));IF($P99="";"";XLOOKUP($P99;FILTER(Dictionaries!$B:$B;Dictionaries!$A:$A="Энергия");FILTER(Dictionaries!$C:$C;Dictionaries!$A:$A="Энергия")));IF($U99="";"";AVERAGE(IF(OR($B99="Ноги";$B99="Верх");IFS(AND($U99&gt;=1900;$U99&lt;=2050);1;AND($U99&gt;=1850;$U99&lt;1900);0,7;AND($U99&gt;2050;$U99&lt;=2100);0,7;TRUE;0,2);IFS(AND($U99&gt;=1700;$U99&lt;=1850);1;AND($U99&gt;=1650;$U99&lt;1700);0,7;AND($U99&gt;1850;$U99&lt;=1900);0,7;TRUE;0,2));IF(OR($B99="Ноги";$B99="Верх");IFS(AND($V99&gt;=125;$V99&lt;=135);1;AND($V99&gt;=115;$V99&lt;125);0,7;AND($V99&gt;135;$V99&lt;=145);0,7;AND($V99&gt;=105;$V99&lt;115);0,4;AND($V99&gt;145;$V99&lt;=155);0,4;TRUE;0,2);IFS(AND($V99&gt;=120;$V99&lt;=130);1;AND($V99&gt;=110;$V99&lt;120);0,7;AND($V99&gt;130;$V99&lt;=140);0,7;AND($V99&gt;=100;$V99&lt;110);0,4;AND($V99&gt;140;$V99&lt;=150);0,4;TRUE;0,2));IFS(AND($W99&gt;=55;$W99&lt;=65);1;AND($W99&gt;=50;$W99&lt;55);0,7;AND($W99&gt;65;$W99&lt;=70);0,7;AND($W99&gt;=45;$W99&lt;50);0,4;AND($W99&gt;70;$W99&lt;=75);0,4;TRUE;0,2);IF(OR($B99="Ноги";$B99="Верх");IFS(AND($X99&gt;=180;$X99&lt;=210);1;AND($X99&gt;=160;$X99&lt;180);0,7;AND($X99&gt;210;$X99&lt;=230);0,7;AND($X99&gt;=140;$X99&lt;160);0,4;AND($X99&gt;230;$X99&lt;=250);0,4;TRUE;0,2);IFS(AND($X99&gt;=140;$X99&lt;=170);1;AND($X99&gt;=120;$X99&lt;140);0,7;AND($X99&gt;170;$X99&lt;=190);0,7;AND($X99&gt;=100;$X99&lt;120);0,4;AND($X99&gt;190;$X99&lt;=210);0,4;TRUE;0,2)))));1);""))</f>
        <v/>
      </c>
      <c r="Z99">
        <f>IF($A99="";"";TEXTJOIN(", ";TRUE;IF($B99="";"Тренировка";"");IF($C99="";"Кардио";"");IF($D99="";"Шаги";"");IF($E99="";"Английский";"");IF($F99="";"Код-режим";"");IF($G99="";"Код-тема";"");IF($H99="";"Чтение";"");IF($L99="";"Сон";"");IF($M99="";"Режим";"");IF($N99="";"Продуктивность";"");IF($O99="";"Настроение";"");IF($P99="";"Энергия";"");IF($U99="";"Еда";"")))</f>
        <v/>
      </c>
    </row>
    <row r="100">
      <c r="B100" t="inlineStr"/>
      <c r="C100" t="inlineStr"/>
      <c r="D100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/>
      <c r="S100" t="inlineStr"/>
      <c r="T100" t="inlineStr"/>
      <c r="U100">
        <f>IF($A100="";"";IF(SUMIF(FoodLog!$A:$A;$A100;FoodLog!$I:$I)=0;"";SUMIF(FoodLog!$A:$A;$A100;FoodLog!$I:$I)))</f>
        <v/>
      </c>
      <c r="V100">
        <f>IF($A100="";"";IF(SUMIF(FoodLog!$A:$A;$A100;FoodLog!$F:$F)=0;"";SUMIF(FoodLog!$A:$A;$A100;FoodLog!$F:$F)))</f>
        <v/>
      </c>
      <c r="W100">
        <f>IF($A100="";"";IF(SUMIF(FoodLog!$A:$A;$A100;FoodLog!$G:$G)=0;"";SUMIF(FoodLog!$A:$A;$A100;FoodLog!$G:$G)))</f>
        <v/>
      </c>
      <c r="X100">
        <f>IF($A100="";"";IF(SUMIF(FoodLog!$A:$A;$A100;FoodLog!$H:$H)=0;"";SUMIF(FoodLog!$A:$A;$A100;FoodLog!$H:$H)))</f>
        <v/>
      </c>
      <c r="Y100">
        <f>IF($A100="";"";IFERROR(ROUND(100*AVERAGE(IF($B100="";"";XLOOKUP($B100;FILTER(Dictionaries!$B:$B;Dictionaries!$A:$A="Тренировка");FILTER(Dictionaries!$C:$C;Dictionaries!$A:$A="Тренировка")));IF($C100="";"";MIN($C100/40;1));IF($D100="";"";XLOOKUP($D100;FILTER(Dictionaries!$B:$B;Dictionaries!$A:$A="Шаги");FILTER(Dictionaries!$C:$C;Dictionaries!$A:$A="Шаги")));IF($E100="";"";MIN($E100/120;1));IF(OR($F100&lt;&gt;"";$G100&lt;&gt;"");1;"");IF($H100="";"";MIN($H100/100;1));IF($L100="";"";XLOOKUP($L100;FILTER(Dictionaries!$B:$B;Dictionaries!$A:$A="Сон_часы");FILTER(Dictionaries!$C:$C;Dictionaries!$A:$A="Сон_часы")));IF($M100="";"";XLOOKUP($M100;FILTER(Dictionaries!$B:$B;Dictionaries!$A:$A="Режим");FILTER(Dictionaries!$C:$C;Dictionaries!$A:$A="Режим")));IF($N100="";"";MIN($N100/100;1));IF($O100="";"";XLOOKUP($O100;FILTER(Dictionaries!$B:$B;Dictionaries!$A:$A="Настроение");FILTER(Dictionaries!$C:$C;Dictionaries!$A:$A="Настроение")));IF($P100="";"";XLOOKUP($P100;FILTER(Dictionaries!$B:$B;Dictionaries!$A:$A="Энергия");FILTER(Dictionaries!$C:$C;Dictionaries!$A:$A="Энергия")));IF($U100="";"";AVERAGE(IF(OR($B100="Ноги";$B100="Верх");IFS(AND($U100&gt;=1900;$U100&lt;=2050);1;AND($U100&gt;=1850;$U100&lt;1900);0,7;AND($U100&gt;2050;$U100&lt;=2100);0,7;TRUE;0,2);IFS(AND($U100&gt;=1700;$U100&lt;=1850);1;AND($U100&gt;=1650;$U100&lt;1700);0,7;AND($U100&gt;1850;$U100&lt;=1900);0,7;TRUE;0,2));IF(OR($B100="Ноги";$B100="Верх");IFS(AND($V100&gt;=125;$V100&lt;=135);1;AND($V100&gt;=115;$V100&lt;125);0,7;AND($V100&gt;135;$V100&lt;=145);0,7;AND($V100&gt;=105;$V100&lt;115);0,4;AND($V100&gt;145;$V100&lt;=155);0,4;TRUE;0,2);IFS(AND($V100&gt;=120;$V100&lt;=130);1;AND($V100&gt;=110;$V100&lt;120);0,7;AND($V100&gt;130;$V100&lt;=140);0,7;AND($V100&gt;=100;$V100&lt;110);0,4;AND($V100&gt;140;$V100&lt;=150);0,4;TRUE;0,2));IFS(AND($W100&gt;=55;$W100&lt;=65);1;AND($W100&gt;=50;$W100&lt;55);0,7;AND($W100&gt;65;$W100&lt;=70);0,7;AND($W100&gt;=45;$W100&lt;50);0,4;AND($W100&gt;70;$W100&lt;=75);0,4;TRUE;0,2);IF(OR($B100="Ноги";$B100="Верх");IFS(AND($X100&gt;=180;$X100&lt;=210);1;AND($X100&gt;=160;$X100&lt;180);0,7;AND($X100&gt;210;$X100&lt;=230);0,7;AND($X100&gt;=140;$X100&lt;160);0,4;AND($X100&gt;230;$X100&lt;=250);0,4;TRUE;0,2);IFS(AND($X100&gt;=140;$X100&lt;=170);1;AND($X100&gt;=120;$X100&lt;140);0,7;AND($X100&gt;170;$X100&lt;=190);0,7;AND($X100&gt;=100;$X100&lt;120);0,4;AND($X100&gt;190;$X100&lt;=210);0,4;TRUE;0,2)))));1);""))</f>
        <v/>
      </c>
      <c r="Z100">
        <f>IF($A100="";"";TEXTJOIN(", ";TRUE;IF($B100="";"Тренировка";"");IF($C100="";"Кардио";"");IF($D100="";"Шаги";"");IF($E100="";"Английский";"");IF($F100="";"Код-режим";"");IF($G100="";"Код-тема";"");IF($H100="";"Чтение";"");IF($L100="";"Сон";"");IF($M100="";"Режим";"");IF($N100="";"Продуктивность";"");IF($O100="";"Настроение";"");IF($P100="";"Энергия";"");IF($U100="";"Еда";"")))</f>
        <v/>
      </c>
    </row>
    <row r="101">
      <c r="B101" t="inlineStr"/>
      <c r="C101" t="inlineStr"/>
      <c r="D101" t="inlineStr"/>
      <c r="E101" t="inlineStr"/>
      <c r="F101" t="inlineStr"/>
      <c r="G101" t="inlineStr"/>
      <c r="H101" t="inlineStr"/>
      <c r="I101" t="inlineStr"/>
      <c r="J101" t="inlineStr"/>
      <c r="K101" t="inlineStr"/>
      <c r="L101" t="inlineStr"/>
      <c r="M101" t="inlineStr"/>
      <c r="N101" t="inlineStr"/>
      <c r="O101" t="inlineStr"/>
      <c r="P101" t="inlineStr"/>
      <c r="Q101" t="inlineStr"/>
      <c r="R101" t="inlineStr"/>
      <c r="S101" t="inlineStr"/>
      <c r="T101" t="inlineStr"/>
      <c r="U101">
        <f>IF($A101="";"";IF(SUMIF(FoodLog!$A:$A;$A101;FoodLog!$I:$I)=0;"";SUMIF(FoodLog!$A:$A;$A101;FoodLog!$I:$I)))</f>
        <v/>
      </c>
      <c r="V101">
        <f>IF($A101="";"";IF(SUMIF(FoodLog!$A:$A;$A101;FoodLog!$F:$F)=0;"";SUMIF(FoodLog!$A:$A;$A101;FoodLog!$F:$F)))</f>
        <v/>
      </c>
      <c r="W101">
        <f>IF($A101="";"";IF(SUMIF(FoodLog!$A:$A;$A101;FoodLog!$G:$G)=0;"";SUMIF(FoodLog!$A:$A;$A101;FoodLog!$G:$G)))</f>
        <v/>
      </c>
      <c r="X101">
        <f>IF($A101="";"";IF(SUMIF(FoodLog!$A:$A;$A101;FoodLog!$H:$H)=0;"";SUMIF(FoodLog!$A:$A;$A101;FoodLog!$H:$H)))</f>
        <v/>
      </c>
      <c r="Y101">
        <f>IF($A101="";"";IFERROR(ROUND(100*AVERAGE(IF($B101="";"";XLOOKUP($B101;FILTER(Dictionaries!$B:$B;Dictionaries!$A:$A="Тренировка");FILTER(Dictionaries!$C:$C;Dictionaries!$A:$A="Тренировка")));IF($C101="";"";MIN($C101/40;1));IF($D101="";"";XLOOKUP($D101;FILTER(Dictionaries!$B:$B;Dictionaries!$A:$A="Шаги");FILTER(Dictionaries!$C:$C;Dictionaries!$A:$A="Шаги")));IF($E101="";"";MIN($E101/120;1));IF(OR($F101&lt;&gt;"";$G101&lt;&gt;"");1;"");IF($H101="";"";MIN($H101/100;1));IF($L101="";"";XLOOKUP($L101;FILTER(Dictionaries!$B:$B;Dictionaries!$A:$A="Сон_часы");FILTER(Dictionaries!$C:$C;Dictionaries!$A:$A="Сон_часы")));IF($M101="";"";XLOOKUP($M101;FILTER(Dictionaries!$B:$B;Dictionaries!$A:$A="Режим");FILTER(Dictionaries!$C:$C;Dictionaries!$A:$A="Режим")));IF($N101="";"";MIN($N101/100;1));IF($O101="";"";XLOOKUP($O101;FILTER(Dictionaries!$B:$B;Dictionaries!$A:$A="Настроение");FILTER(Dictionaries!$C:$C;Dictionaries!$A:$A="Настроение")));IF($P101="";"";XLOOKUP($P101;FILTER(Dictionaries!$B:$B;Dictionaries!$A:$A="Энергия");FILTER(Dictionaries!$C:$C;Dictionaries!$A:$A="Энергия")));IF($U101="";"";AVERAGE(IF(OR($B101="Ноги";$B101="Верх");IFS(AND($U101&gt;=1900;$U101&lt;=2050);1;AND($U101&gt;=1850;$U101&lt;1900);0,7;AND($U101&gt;2050;$U101&lt;=2100);0,7;TRUE;0,2);IFS(AND($U101&gt;=1700;$U101&lt;=1850);1;AND($U101&gt;=1650;$U101&lt;1700);0,7;AND($U101&gt;1850;$U101&lt;=1900);0,7;TRUE;0,2));IF(OR($B101="Ноги";$B101="Верх");IFS(AND($V101&gt;=125;$V101&lt;=135);1;AND($V101&gt;=115;$V101&lt;125);0,7;AND($V101&gt;135;$V101&lt;=145);0,7;AND($V101&gt;=105;$V101&lt;115);0,4;AND($V101&gt;145;$V101&lt;=155);0,4;TRUE;0,2);IFS(AND($V101&gt;=120;$V101&lt;=130);1;AND($V101&gt;=110;$V101&lt;120);0,7;AND($V101&gt;130;$V101&lt;=140);0,7;AND($V101&gt;=100;$V101&lt;110);0,4;AND($V101&gt;140;$V101&lt;=150);0,4;TRUE;0,2));IFS(AND($W101&gt;=55;$W101&lt;=65);1;AND($W101&gt;=50;$W101&lt;55);0,7;AND($W101&gt;65;$W101&lt;=70);0,7;AND($W101&gt;=45;$W101&lt;50);0,4;AND($W101&gt;70;$W101&lt;=75);0,4;TRUE;0,2);IF(OR($B101="Ноги";$B101="Верх");IFS(AND($X101&gt;=180;$X101&lt;=210);1;AND($X101&gt;=160;$X101&lt;180);0,7;AND($X101&gt;210;$X101&lt;=230);0,7;AND($X101&gt;=140;$X101&lt;160);0,4;AND($X101&gt;230;$X101&lt;=250);0,4;TRUE;0,2);IFS(AND($X101&gt;=140;$X101&lt;=170);1;AND($X101&gt;=120;$X101&lt;140);0,7;AND($X101&gt;170;$X101&lt;=190);0,7;AND($X101&gt;=100;$X101&lt;120);0,4;AND($X101&gt;190;$X101&lt;=210);0,4;TRUE;0,2)))));1);""))</f>
        <v/>
      </c>
      <c r="Z101">
        <f>IF($A101="";"";TEXTJOIN(", ";TRUE;IF($B101="";"Тренировка";"");IF($C101="";"Кардио";"");IF($D101="";"Шаги";"");IF($E101="";"Английский";"");IF($F101="";"Код-режим";"");IF($G101="";"Код-тема";"");IF($H101="";"Чтение";"");IF($L101="";"Сон";"");IF($M101="";"Режим";"");IF($N101="";"Продуктивность";"");IF($O101="";"Настроение";"");IF($P101="";"Энергия";"");IF($U101="";"Еда";"")))</f>
        <v/>
      </c>
    </row>
    <row r="102">
      <c r="B102" t="inlineStr"/>
      <c r="C102" t="inlineStr"/>
      <c r="D102" t="inlineStr"/>
      <c r="E102" t="inlineStr"/>
      <c r="F102" t="inlineStr"/>
      <c r="G102" t="inlineStr"/>
      <c r="H102" t="inlineStr"/>
      <c r="I102" t="inlineStr"/>
      <c r="J102" t="inlineStr"/>
      <c r="K102" t="inlineStr"/>
      <c r="L102" t="inlineStr"/>
      <c r="M102" t="inlineStr"/>
      <c r="N102" t="inlineStr"/>
      <c r="O102" t="inlineStr"/>
      <c r="P102" t="inlineStr"/>
      <c r="Q102" t="inlineStr"/>
      <c r="R102" t="inlineStr"/>
      <c r="S102" t="inlineStr"/>
      <c r="T102" t="inlineStr"/>
      <c r="U102">
        <f>IF($A102="";"";IF(SUMIF(FoodLog!$A:$A;$A102;FoodLog!$I:$I)=0;"";SUMIF(FoodLog!$A:$A;$A102;FoodLog!$I:$I)))</f>
        <v/>
      </c>
      <c r="V102">
        <f>IF($A102="";"";IF(SUMIF(FoodLog!$A:$A;$A102;FoodLog!$F:$F)=0;"";SUMIF(FoodLog!$A:$A;$A102;FoodLog!$F:$F)))</f>
        <v/>
      </c>
      <c r="W102">
        <f>IF($A102="";"";IF(SUMIF(FoodLog!$A:$A;$A102;FoodLog!$G:$G)=0;"";SUMIF(FoodLog!$A:$A;$A102;FoodLog!$G:$G)))</f>
        <v/>
      </c>
      <c r="X102">
        <f>IF($A102="";"";IF(SUMIF(FoodLog!$A:$A;$A102;FoodLog!$H:$H)=0;"";SUMIF(FoodLog!$A:$A;$A102;FoodLog!$H:$H)))</f>
        <v/>
      </c>
      <c r="Y102">
        <f>IF($A102="";"";IFERROR(ROUND(100*AVERAGE(IF($B102="";"";XLOOKUP($B102;FILTER(Dictionaries!$B:$B;Dictionaries!$A:$A="Тренировка");FILTER(Dictionaries!$C:$C;Dictionaries!$A:$A="Тренировка")));IF($C102="";"";MIN($C102/40;1));IF($D102="";"";XLOOKUP($D102;FILTER(Dictionaries!$B:$B;Dictionaries!$A:$A="Шаги");FILTER(Dictionaries!$C:$C;Dictionaries!$A:$A="Шаги")));IF($E102="";"";MIN($E102/120;1));IF(OR($F102&lt;&gt;"";$G102&lt;&gt;"");1;"");IF($H102="";"";MIN($H102/100;1));IF($L102="";"";XLOOKUP($L102;FILTER(Dictionaries!$B:$B;Dictionaries!$A:$A="Сон_часы");FILTER(Dictionaries!$C:$C;Dictionaries!$A:$A="Сон_часы")));IF($M102="";"";XLOOKUP($M102;FILTER(Dictionaries!$B:$B;Dictionaries!$A:$A="Режим");FILTER(Dictionaries!$C:$C;Dictionaries!$A:$A="Режим")));IF($N102="";"";MIN($N102/100;1));IF($O102="";"";XLOOKUP($O102;FILTER(Dictionaries!$B:$B;Dictionaries!$A:$A="Настроение");FILTER(Dictionaries!$C:$C;Dictionaries!$A:$A="Настроение")));IF($P102="";"";XLOOKUP($P102;FILTER(Dictionaries!$B:$B;Dictionaries!$A:$A="Энергия");FILTER(Dictionaries!$C:$C;Dictionaries!$A:$A="Энергия")));IF($U102="";"";AVERAGE(IF(OR($B102="Ноги";$B102="Верх");IFS(AND($U102&gt;=1900;$U102&lt;=2050);1;AND($U102&gt;=1850;$U102&lt;1900);0,7;AND($U102&gt;2050;$U102&lt;=2100);0,7;TRUE;0,2);IFS(AND($U102&gt;=1700;$U102&lt;=1850);1;AND($U102&gt;=1650;$U102&lt;1700);0,7;AND($U102&gt;1850;$U102&lt;=1900);0,7;TRUE;0,2));IF(OR($B102="Ноги";$B102="Верх");IFS(AND($V102&gt;=125;$V102&lt;=135);1;AND($V102&gt;=115;$V102&lt;125);0,7;AND($V102&gt;135;$V102&lt;=145);0,7;AND($V102&gt;=105;$V102&lt;115);0,4;AND($V102&gt;145;$V102&lt;=155);0,4;TRUE;0,2);IFS(AND($V102&gt;=120;$V102&lt;=130);1;AND($V102&gt;=110;$V102&lt;120);0,7;AND($V102&gt;130;$V102&lt;=140);0,7;AND($V102&gt;=100;$V102&lt;110);0,4;AND($V102&gt;140;$V102&lt;=150);0,4;TRUE;0,2));IFS(AND($W102&gt;=55;$W102&lt;=65);1;AND($W102&gt;=50;$W102&lt;55);0,7;AND($W102&gt;65;$W102&lt;=70);0,7;AND($W102&gt;=45;$W102&lt;50);0,4;AND($W102&gt;70;$W102&lt;=75);0,4;TRUE;0,2);IF(OR($B102="Ноги";$B102="Верх");IFS(AND($X102&gt;=180;$X102&lt;=210);1;AND($X102&gt;=160;$X102&lt;180);0,7;AND($X102&gt;210;$X102&lt;=230);0,7;AND($X102&gt;=140;$X102&lt;160);0,4;AND($X102&gt;230;$X102&lt;=250);0,4;TRUE;0,2);IFS(AND($X102&gt;=140;$X102&lt;=170);1;AND($X102&gt;=120;$X102&lt;140);0,7;AND($X102&gt;170;$X102&lt;=190);0,7;AND($X102&gt;=100;$X102&lt;120);0,4;AND($X102&gt;190;$X102&lt;=210);0,4;TRUE;0,2)))));1);""))</f>
        <v/>
      </c>
      <c r="Z102">
        <f>IF($A102="";"";TEXTJOIN(", ";TRUE;IF($B102="";"Тренировка";"");IF($C102="";"Кардио";"");IF($D102="";"Шаги";"");IF($E102="";"Английский";"");IF($F102="";"Код-режим";"");IF($G102="";"Код-тема";"");IF($H102="";"Чтение";"");IF($L102="";"Сон";"");IF($M102="";"Режим";"");IF($N102="";"Продуктивность";"");IF($O102="";"Настроение";"");IF($P102="";"Энергия";"");IF($U102="";"Еда";"")))</f>
        <v/>
      </c>
    </row>
    <row r="103">
      <c r="B103" t="inlineStr"/>
      <c r="C103" t="inlineStr"/>
      <c r="D103" t="inlineStr"/>
      <c r="E103" t="inlineStr"/>
      <c r="F103" t="inlineStr"/>
      <c r="G103" t="inlineStr"/>
      <c r="H103" t="inlineStr"/>
      <c r="I103" t="inlineStr"/>
      <c r="J103" t="inlineStr"/>
      <c r="K103" t="inlineStr"/>
      <c r="L103" t="inlineStr"/>
      <c r="M103" t="inlineStr"/>
      <c r="N103" t="inlineStr"/>
      <c r="O103" t="inlineStr"/>
      <c r="P103" t="inlineStr"/>
      <c r="Q103" t="inlineStr"/>
      <c r="R103" t="inlineStr"/>
      <c r="S103" t="inlineStr"/>
      <c r="T103" t="inlineStr"/>
      <c r="U103">
        <f>IF($A103="";"";IF(SUMIF(FoodLog!$A:$A;$A103;FoodLog!$I:$I)=0;"";SUMIF(FoodLog!$A:$A;$A103;FoodLog!$I:$I)))</f>
        <v/>
      </c>
      <c r="V103">
        <f>IF($A103="";"";IF(SUMIF(FoodLog!$A:$A;$A103;FoodLog!$F:$F)=0;"";SUMIF(FoodLog!$A:$A;$A103;FoodLog!$F:$F)))</f>
        <v/>
      </c>
      <c r="W103">
        <f>IF($A103="";"";IF(SUMIF(FoodLog!$A:$A;$A103;FoodLog!$G:$G)=0;"";SUMIF(FoodLog!$A:$A;$A103;FoodLog!$G:$G)))</f>
        <v/>
      </c>
      <c r="X103">
        <f>IF($A103="";"";IF(SUMIF(FoodLog!$A:$A;$A103;FoodLog!$H:$H)=0;"";SUMIF(FoodLog!$A:$A;$A103;FoodLog!$H:$H)))</f>
        <v/>
      </c>
      <c r="Y103">
        <f>IF($A103="";"";IFERROR(ROUND(100*AVERAGE(IF($B103="";"";XLOOKUP($B103;FILTER(Dictionaries!$B:$B;Dictionaries!$A:$A="Тренировка");FILTER(Dictionaries!$C:$C;Dictionaries!$A:$A="Тренировка")));IF($C103="";"";MIN($C103/40;1));IF($D103="";"";XLOOKUP($D103;FILTER(Dictionaries!$B:$B;Dictionaries!$A:$A="Шаги");FILTER(Dictionaries!$C:$C;Dictionaries!$A:$A="Шаги")));IF($E103="";"";MIN($E103/120;1));IF(OR($F103&lt;&gt;"";$G103&lt;&gt;"");1;"");IF($H103="";"";MIN($H103/100;1));IF($L103="";"";XLOOKUP($L103;FILTER(Dictionaries!$B:$B;Dictionaries!$A:$A="Сон_часы");FILTER(Dictionaries!$C:$C;Dictionaries!$A:$A="Сон_часы")));IF($M103="";"";XLOOKUP($M103;FILTER(Dictionaries!$B:$B;Dictionaries!$A:$A="Режим");FILTER(Dictionaries!$C:$C;Dictionaries!$A:$A="Режим")));IF($N103="";"";MIN($N103/100;1));IF($O103="";"";XLOOKUP($O103;FILTER(Dictionaries!$B:$B;Dictionaries!$A:$A="Настроение");FILTER(Dictionaries!$C:$C;Dictionaries!$A:$A="Настроение")));IF($P103="";"";XLOOKUP($P103;FILTER(Dictionaries!$B:$B;Dictionaries!$A:$A="Энергия");FILTER(Dictionaries!$C:$C;Dictionaries!$A:$A="Энергия")));IF($U103="";"";AVERAGE(IF(OR($B103="Ноги";$B103="Верх");IFS(AND($U103&gt;=1900;$U103&lt;=2050);1;AND($U103&gt;=1850;$U103&lt;1900);0,7;AND($U103&gt;2050;$U103&lt;=2100);0,7;TRUE;0,2);IFS(AND($U103&gt;=1700;$U103&lt;=1850);1;AND($U103&gt;=1650;$U103&lt;1700);0,7;AND($U103&gt;1850;$U103&lt;=1900);0,7;TRUE;0,2));IF(OR($B103="Ноги";$B103="Верх");IFS(AND($V103&gt;=125;$V103&lt;=135);1;AND($V103&gt;=115;$V103&lt;125);0,7;AND($V103&gt;135;$V103&lt;=145);0,7;AND($V103&gt;=105;$V103&lt;115);0,4;AND($V103&gt;145;$V103&lt;=155);0,4;TRUE;0,2);IFS(AND($V103&gt;=120;$V103&lt;=130);1;AND($V103&gt;=110;$V103&lt;120);0,7;AND($V103&gt;130;$V103&lt;=140);0,7;AND($V103&gt;=100;$V103&lt;110);0,4;AND($V103&gt;140;$V103&lt;=150);0,4;TRUE;0,2));IFS(AND($W103&gt;=55;$W103&lt;=65);1;AND($W103&gt;=50;$W103&lt;55);0,7;AND($W103&gt;65;$W103&lt;=70);0,7;AND($W103&gt;=45;$W103&lt;50);0,4;AND($W103&gt;70;$W103&lt;=75);0,4;TRUE;0,2);IF(OR($B103="Ноги";$B103="Верх");IFS(AND($X103&gt;=180;$X103&lt;=210);1;AND($X103&gt;=160;$X103&lt;180);0,7;AND($X103&gt;210;$X103&lt;=230);0,7;AND($X103&gt;=140;$X103&lt;160);0,4;AND($X103&gt;230;$X103&lt;=250);0,4;TRUE;0,2);IFS(AND($X103&gt;=140;$X103&lt;=170);1;AND($X103&gt;=120;$X103&lt;140);0,7;AND($X103&gt;170;$X103&lt;=190);0,7;AND($X103&gt;=100;$X103&lt;120);0,4;AND($X103&gt;190;$X103&lt;=210);0,4;TRUE;0,2)))));1);""))</f>
        <v/>
      </c>
      <c r="Z103">
        <f>IF($A103="";"";TEXTJOIN(", ";TRUE;IF($B103="";"Тренировка";"");IF($C103="";"Кардио";"");IF($D103="";"Шаги";"");IF($E103="";"Английский";"");IF($F103="";"Код-режим";"");IF($G103="";"Код-тема";"");IF($H103="";"Чтение";"");IF($L103="";"Сон";"");IF($M103="";"Режим";"");IF($N103="";"Продуктивность";"");IF($O103="";"Настроение";"");IF($P103="";"Энергия";"");IF($U103="";"Еда";"")))</f>
        <v/>
      </c>
    </row>
    <row r="104">
      <c r="B104" t="inlineStr"/>
      <c r="C104" t="inlineStr"/>
      <c r="D104" t="inlineStr"/>
      <c r="E104" t="inlineStr"/>
      <c r="F104" t="inlineStr"/>
      <c r="G104" t="inlineStr"/>
      <c r="H104" t="inlineStr"/>
      <c r="I104" t="inlineStr"/>
      <c r="J104" t="inlineStr"/>
      <c r="K104" t="inlineStr"/>
      <c r="L104" t="inlineStr"/>
      <c r="M104" t="inlineStr"/>
      <c r="N104" t="inlineStr"/>
      <c r="O104" t="inlineStr"/>
      <c r="P104" t="inlineStr"/>
      <c r="Q104" t="inlineStr"/>
      <c r="R104" t="inlineStr"/>
      <c r="S104" t="inlineStr"/>
      <c r="T104" t="inlineStr"/>
      <c r="U104">
        <f>IF($A104="";"";IF(SUMIF(FoodLog!$A:$A;$A104;FoodLog!$I:$I)=0;"";SUMIF(FoodLog!$A:$A;$A104;FoodLog!$I:$I)))</f>
        <v/>
      </c>
      <c r="V104">
        <f>IF($A104="";"";IF(SUMIF(FoodLog!$A:$A;$A104;FoodLog!$F:$F)=0;"";SUMIF(FoodLog!$A:$A;$A104;FoodLog!$F:$F)))</f>
        <v/>
      </c>
      <c r="W104">
        <f>IF($A104="";"";IF(SUMIF(FoodLog!$A:$A;$A104;FoodLog!$G:$G)=0;"";SUMIF(FoodLog!$A:$A;$A104;FoodLog!$G:$G)))</f>
        <v/>
      </c>
      <c r="X104">
        <f>IF($A104="";"";IF(SUMIF(FoodLog!$A:$A;$A104;FoodLog!$H:$H)=0;"";SUMIF(FoodLog!$A:$A;$A104;FoodLog!$H:$H)))</f>
        <v/>
      </c>
      <c r="Y104">
        <f>IF($A104="";"";IFERROR(ROUND(100*AVERAGE(IF($B104="";"";XLOOKUP($B104;FILTER(Dictionaries!$B:$B;Dictionaries!$A:$A="Тренировка");FILTER(Dictionaries!$C:$C;Dictionaries!$A:$A="Тренировка")));IF($C104="";"";MIN($C104/40;1));IF($D104="";"";XLOOKUP($D104;FILTER(Dictionaries!$B:$B;Dictionaries!$A:$A="Шаги");FILTER(Dictionaries!$C:$C;Dictionaries!$A:$A="Шаги")));IF($E104="";"";MIN($E104/120;1));IF(OR($F104&lt;&gt;"";$G104&lt;&gt;"");1;"");IF($H104="";"";MIN($H104/100;1));IF($L104="";"";XLOOKUP($L104;FILTER(Dictionaries!$B:$B;Dictionaries!$A:$A="Сон_часы");FILTER(Dictionaries!$C:$C;Dictionaries!$A:$A="Сон_часы")));IF($M104="";"";XLOOKUP($M104;FILTER(Dictionaries!$B:$B;Dictionaries!$A:$A="Режим");FILTER(Dictionaries!$C:$C;Dictionaries!$A:$A="Режим")));IF($N104="";"";MIN($N104/100;1));IF($O104="";"";XLOOKUP($O104;FILTER(Dictionaries!$B:$B;Dictionaries!$A:$A="Настроение");FILTER(Dictionaries!$C:$C;Dictionaries!$A:$A="Настроение")));IF($P104="";"";XLOOKUP($P104;FILTER(Dictionaries!$B:$B;Dictionaries!$A:$A="Энергия");FILTER(Dictionaries!$C:$C;Dictionaries!$A:$A="Энергия")));IF($U104="";"";AVERAGE(IF(OR($B104="Ноги";$B104="Верх");IFS(AND($U104&gt;=1900;$U104&lt;=2050);1;AND($U104&gt;=1850;$U104&lt;1900);0,7;AND($U104&gt;2050;$U104&lt;=2100);0,7;TRUE;0,2);IFS(AND($U104&gt;=1700;$U104&lt;=1850);1;AND($U104&gt;=1650;$U104&lt;1700);0,7;AND($U104&gt;1850;$U104&lt;=1900);0,7;TRUE;0,2));IF(OR($B104="Ноги";$B104="Верх");IFS(AND($V104&gt;=125;$V104&lt;=135);1;AND($V104&gt;=115;$V104&lt;125);0,7;AND($V104&gt;135;$V104&lt;=145);0,7;AND($V104&gt;=105;$V104&lt;115);0,4;AND($V104&gt;145;$V104&lt;=155);0,4;TRUE;0,2);IFS(AND($V104&gt;=120;$V104&lt;=130);1;AND($V104&gt;=110;$V104&lt;120);0,7;AND($V104&gt;130;$V104&lt;=140);0,7;AND($V104&gt;=100;$V104&lt;110);0,4;AND($V104&gt;140;$V104&lt;=150);0,4;TRUE;0,2));IFS(AND($W104&gt;=55;$W104&lt;=65);1;AND($W104&gt;=50;$W104&lt;55);0,7;AND($W104&gt;65;$W104&lt;=70);0,7;AND($W104&gt;=45;$W104&lt;50);0,4;AND($W104&gt;70;$W104&lt;=75);0,4;TRUE;0,2);IF(OR($B104="Ноги";$B104="Верх");IFS(AND($X104&gt;=180;$X104&lt;=210);1;AND($X104&gt;=160;$X104&lt;180);0,7;AND($X104&gt;210;$X104&lt;=230);0,7;AND($X104&gt;=140;$X104&lt;160);0,4;AND($X104&gt;230;$X104&lt;=250);0,4;TRUE;0,2);IFS(AND($X104&gt;=140;$X104&lt;=170);1;AND($X104&gt;=120;$X104&lt;140);0,7;AND($X104&gt;170;$X104&lt;=190);0,7;AND($X104&gt;=100;$X104&lt;120);0,4;AND($X104&gt;190;$X104&lt;=210);0,4;TRUE;0,2)))));1);""))</f>
        <v/>
      </c>
      <c r="Z104">
        <f>IF($A104="";"";TEXTJOIN(", ";TRUE;IF($B104="";"Тренировка";"");IF($C104="";"Кардио";"");IF($D104="";"Шаги";"");IF($E104="";"Английский";"");IF($F104="";"Код-режим";"");IF($G104="";"Код-тема";"");IF($H104="";"Чтение";"");IF($L104="";"Сон";"");IF($M104="";"Режим";"");IF($N104="";"Продуктивность";"");IF($O104="";"Настроение";"");IF($P104="";"Энергия";"");IF($U104="";"Еда";"")))</f>
        <v/>
      </c>
    </row>
    <row r="105">
      <c r="B105" t="inlineStr"/>
      <c r="C105" t="inlineStr"/>
      <c r="D105" t="inlineStr"/>
      <c r="E105" t="inlineStr"/>
      <c r="F105" t="inlineStr"/>
      <c r="G105" t="inlineStr"/>
      <c r="H105" t="inlineStr"/>
      <c r="I105" t="inlineStr"/>
      <c r="J105" t="inlineStr"/>
      <c r="K105" t="inlineStr"/>
      <c r="L105" t="inlineStr"/>
      <c r="M105" t="inlineStr"/>
      <c r="N105" t="inlineStr"/>
      <c r="O105" t="inlineStr"/>
      <c r="P105" t="inlineStr"/>
      <c r="Q105" t="inlineStr"/>
      <c r="R105" t="inlineStr"/>
      <c r="S105" t="inlineStr"/>
      <c r="T105" t="inlineStr"/>
      <c r="U105">
        <f>IF($A105="";"";IF(SUMIF(FoodLog!$A:$A;$A105;FoodLog!$I:$I)=0;"";SUMIF(FoodLog!$A:$A;$A105;FoodLog!$I:$I)))</f>
        <v/>
      </c>
      <c r="V105">
        <f>IF($A105="";"";IF(SUMIF(FoodLog!$A:$A;$A105;FoodLog!$F:$F)=0;"";SUMIF(FoodLog!$A:$A;$A105;FoodLog!$F:$F)))</f>
        <v/>
      </c>
      <c r="W105">
        <f>IF($A105="";"";IF(SUMIF(FoodLog!$A:$A;$A105;FoodLog!$G:$G)=0;"";SUMIF(FoodLog!$A:$A;$A105;FoodLog!$G:$G)))</f>
        <v/>
      </c>
      <c r="X105">
        <f>IF($A105="";"";IF(SUMIF(FoodLog!$A:$A;$A105;FoodLog!$H:$H)=0;"";SUMIF(FoodLog!$A:$A;$A105;FoodLog!$H:$H)))</f>
        <v/>
      </c>
      <c r="Y105">
        <f>IF($A105="";"";IFERROR(ROUND(100*AVERAGE(IF($B105="";"";XLOOKUP($B105;FILTER(Dictionaries!$B:$B;Dictionaries!$A:$A="Тренировка");FILTER(Dictionaries!$C:$C;Dictionaries!$A:$A="Тренировка")));IF($C105="";"";MIN($C105/40;1));IF($D105="";"";XLOOKUP($D105;FILTER(Dictionaries!$B:$B;Dictionaries!$A:$A="Шаги");FILTER(Dictionaries!$C:$C;Dictionaries!$A:$A="Шаги")));IF($E105="";"";MIN($E105/120;1));IF(OR($F105&lt;&gt;"";$G105&lt;&gt;"");1;"");IF($H105="";"";MIN($H105/100;1));IF($L105="";"";XLOOKUP($L105;FILTER(Dictionaries!$B:$B;Dictionaries!$A:$A="Сон_часы");FILTER(Dictionaries!$C:$C;Dictionaries!$A:$A="Сон_часы")));IF($M105="";"";XLOOKUP($M105;FILTER(Dictionaries!$B:$B;Dictionaries!$A:$A="Режим");FILTER(Dictionaries!$C:$C;Dictionaries!$A:$A="Режим")));IF($N105="";"";MIN($N105/100;1));IF($O105="";"";XLOOKUP($O105;FILTER(Dictionaries!$B:$B;Dictionaries!$A:$A="Настроение");FILTER(Dictionaries!$C:$C;Dictionaries!$A:$A="Настроение")));IF($P105="";"";XLOOKUP($P105;FILTER(Dictionaries!$B:$B;Dictionaries!$A:$A="Энергия");FILTER(Dictionaries!$C:$C;Dictionaries!$A:$A="Энергия")));IF($U105="";"";AVERAGE(IF(OR($B105="Ноги";$B105="Верх");IFS(AND($U105&gt;=1900;$U105&lt;=2050);1;AND($U105&gt;=1850;$U105&lt;1900);0,7;AND($U105&gt;2050;$U105&lt;=2100);0,7;TRUE;0,2);IFS(AND($U105&gt;=1700;$U105&lt;=1850);1;AND($U105&gt;=1650;$U105&lt;1700);0,7;AND($U105&gt;1850;$U105&lt;=1900);0,7;TRUE;0,2));IF(OR($B105="Ноги";$B105="Верх");IFS(AND($V105&gt;=125;$V105&lt;=135);1;AND($V105&gt;=115;$V105&lt;125);0,7;AND($V105&gt;135;$V105&lt;=145);0,7;AND($V105&gt;=105;$V105&lt;115);0,4;AND($V105&gt;145;$V105&lt;=155);0,4;TRUE;0,2);IFS(AND($V105&gt;=120;$V105&lt;=130);1;AND($V105&gt;=110;$V105&lt;120);0,7;AND($V105&gt;130;$V105&lt;=140);0,7;AND($V105&gt;=100;$V105&lt;110);0,4;AND($V105&gt;140;$V105&lt;=150);0,4;TRUE;0,2));IFS(AND($W105&gt;=55;$W105&lt;=65);1;AND($W105&gt;=50;$W105&lt;55);0,7;AND($W105&gt;65;$W105&lt;=70);0,7;AND($W105&gt;=45;$W105&lt;50);0,4;AND($W105&gt;70;$W105&lt;=75);0,4;TRUE;0,2);IF(OR($B105="Ноги";$B105="Верх");IFS(AND($X105&gt;=180;$X105&lt;=210);1;AND($X105&gt;=160;$X105&lt;180);0,7;AND($X105&gt;210;$X105&lt;=230);0,7;AND($X105&gt;=140;$X105&lt;160);0,4;AND($X105&gt;230;$X105&lt;=250);0,4;TRUE;0,2);IFS(AND($X105&gt;=140;$X105&lt;=170);1;AND($X105&gt;=120;$X105&lt;140);0,7;AND($X105&gt;170;$X105&lt;=190);0,7;AND($X105&gt;=100;$X105&lt;120);0,4;AND($X105&gt;190;$X105&lt;=210);0,4;TRUE;0,2)))));1);""))</f>
        <v/>
      </c>
      <c r="Z105">
        <f>IF($A105="";"";TEXTJOIN(", ";TRUE;IF($B105="";"Тренировка";"");IF($C105="";"Кардио";"");IF($D105="";"Шаги";"");IF($E105="";"Английский";"");IF($F105="";"Код-режим";"");IF($G105="";"Код-тема";"");IF($H105="";"Чтение";"");IF($L105="";"Сон";"");IF($M105="";"Режим";"");IF($N105="";"Продуктивность";"");IF($O105="";"Настроение";"");IF($P105="";"Энергия";"");IF($U105="";"Еда";"")))</f>
        <v/>
      </c>
    </row>
    <row r="106">
      <c r="B106" t="inlineStr"/>
      <c r="C106" t="inlineStr"/>
      <c r="D106" t="inlineStr"/>
      <c r="E106" t="inlineStr"/>
      <c r="F106" t="inlineStr"/>
      <c r="G106" t="inlineStr"/>
      <c r="H106" t="inlineStr"/>
      <c r="I106" t="inlineStr"/>
      <c r="J106" t="inlineStr"/>
      <c r="K106" t="inlineStr"/>
      <c r="L106" t="inlineStr"/>
      <c r="M106" t="inlineStr"/>
      <c r="N106" t="inlineStr"/>
      <c r="O106" t="inlineStr"/>
      <c r="P106" t="inlineStr"/>
      <c r="Q106" t="inlineStr"/>
      <c r="R106" t="inlineStr"/>
      <c r="S106" t="inlineStr"/>
      <c r="T106" t="inlineStr"/>
      <c r="U106">
        <f>IF($A106="";"";IF(SUMIF(FoodLog!$A:$A;$A106;FoodLog!$I:$I)=0;"";SUMIF(FoodLog!$A:$A;$A106;FoodLog!$I:$I)))</f>
        <v/>
      </c>
      <c r="V106">
        <f>IF($A106="";"";IF(SUMIF(FoodLog!$A:$A;$A106;FoodLog!$F:$F)=0;"";SUMIF(FoodLog!$A:$A;$A106;FoodLog!$F:$F)))</f>
        <v/>
      </c>
      <c r="W106">
        <f>IF($A106="";"";IF(SUMIF(FoodLog!$A:$A;$A106;FoodLog!$G:$G)=0;"";SUMIF(FoodLog!$A:$A;$A106;FoodLog!$G:$G)))</f>
        <v/>
      </c>
      <c r="X106">
        <f>IF($A106="";"";IF(SUMIF(FoodLog!$A:$A;$A106;FoodLog!$H:$H)=0;"";SUMIF(FoodLog!$A:$A;$A106;FoodLog!$H:$H)))</f>
        <v/>
      </c>
      <c r="Y106">
        <f>IF($A106="";"";IFERROR(ROUND(100*AVERAGE(IF($B106="";"";XLOOKUP($B106;FILTER(Dictionaries!$B:$B;Dictionaries!$A:$A="Тренировка");FILTER(Dictionaries!$C:$C;Dictionaries!$A:$A="Тренировка")));IF($C106="";"";MIN($C106/40;1));IF($D106="";"";XLOOKUP($D106;FILTER(Dictionaries!$B:$B;Dictionaries!$A:$A="Шаги");FILTER(Dictionaries!$C:$C;Dictionaries!$A:$A="Шаги")));IF($E106="";"";MIN($E106/120;1));IF(OR($F106&lt;&gt;"";$G106&lt;&gt;"");1;"");IF($H106="";"";MIN($H106/100;1));IF($L106="";"";XLOOKUP($L106;FILTER(Dictionaries!$B:$B;Dictionaries!$A:$A="Сон_часы");FILTER(Dictionaries!$C:$C;Dictionaries!$A:$A="Сон_часы")));IF($M106="";"";XLOOKUP($M106;FILTER(Dictionaries!$B:$B;Dictionaries!$A:$A="Режим");FILTER(Dictionaries!$C:$C;Dictionaries!$A:$A="Режим")));IF($N106="";"";MIN($N106/100;1));IF($O106="";"";XLOOKUP($O106;FILTER(Dictionaries!$B:$B;Dictionaries!$A:$A="Настроение");FILTER(Dictionaries!$C:$C;Dictionaries!$A:$A="Настроение")));IF($P106="";"";XLOOKUP($P106;FILTER(Dictionaries!$B:$B;Dictionaries!$A:$A="Энергия");FILTER(Dictionaries!$C:$C;Dictionaries!$A:$A="Энергия")));IF($U106="";"";AVERAGE(IF(OR($B106="Ноги";$B106="Верх");IFS(AND($U106&gt;=1900;$U106&lt;=2050);1;AND($U106&gt;=1850;$U106&lt;1900);0,7;AND($U106&gt;2050;$U106&lt;=2100);0,7;TRUE;0,2);IFS(AND($U106&gt;=1700;$U106&lt;=1850);1;AND($U106&gt;=1650;$U106&lt;1700);0,7;AND($U106&gt;1850;$U106&lt;=1900);0,7;TRUE;0,2));IF(OR($B106="Ноги";$B106="Верх");IFS(AND($V106&gt;=125;$V106&lt;=135);1;AND($V106&gt;=115;$V106&lt;125);0,7;AND($V106&gt;135;$V106&lt;=145);0,7;AND($V106&gt;=105;$V106&lt;115);0,4;AND($V106&gt;145;$V106&lt;=155);0,4;TRUE;0,2);IFS(AND($V106&gt;=120;$V106&lt;=130);1;AND($V106&gt;=110;$V106&lt;120);0,7;AND($V106&gt;130;$V106&lt;=140);0,7;AND($V106&gt;=100;$V106&lt;110);0,4;AND($V106&gt;140;$V106&lt;=150);0,4;TRUE;0,2));IFS(AND($W106&gt;=55;$W106&lt;=65);1;AND($W106&gt;=50;$W106&lt;55);0,7;AND($W106&gt;65;$W106&lt;=70);0,7;AND($W106&gt;=45;$W106&lt;50);0,4;AND($W106&gt;70;$W106&lt;=75);0,4;TRUE;0,2);IF(OR($B106="Ноги";$B106="Верх");IFS(AND($X106&gt;=180;$X106&lt;=210);1;AND($X106&gt;=160;$X106&lt;180);0,7;AND($X106&gt;210;$X106&lt;=230);0,7;AND($X106&gt;=140;$X106&lt;160);0,4;AND($X106&gt;230;$X106&lt;=250);0,4;TRUE;0,2);IFS(AND($X106&gt;=140;$X106&lt;=170);1;AND($X106&gt;=120;$X106&lt;140);0,7;AND($X106&gt;170;$X106&lt;=190);0,7;AND($X106&gt;=100;$X106&lt;120);0,4;AND($X106&gt;190;$X106&lt;=210);0,4;TRUE;0,2)))));1);""))</f>
        <v/>
      </c>
      <c r="Z106">
        <f>IF($A106="";"";TEXTJOIN(", ";TRUE;IF($B106="";"Тренировка";"");IF($C106="";"Кардио";"");IF($D106="";"Шаги";"");IF($E106="";"Английский";"");IF($F106="";"Код-режим";"");IF($G106="";"Код-тема";"");IF($H106="";"Чтение";"");IF($L106="";"Сон";"");IF($M106="";"Режим";"");IF($N106="";"Продуктивность";"");IF($O106="";"Настроение";"");IF($P106="";"Энергия";"");IF($U106="";"Еда";"")))</f>
        <v/>
      </c>
    </row>
    <row r="107">
      <c r="B107" t="inlineStr"/>
      <c r="C107" t="inlineStr"/>
      <c r="D107" t="inlineStr"/>
      <c r="E107" t="inlineStr"/>
      <c r="F107" t="inlineStr"/>
      <c r="G107" t="inlineStr"/>
      <c r="H107" t="inlineStr"/>
      <c r="I107" t="inlineStr"/>
      <c r="J107" t="inlineStr"/>
      <c r="K107" t="inlineStr"/>
      <c r="L107" t="inlineStr"/>
      <c r="M107" t="inlineStr"/>
      <c r="N107" t="inlineStr"/>
      <c r="O107" t="inlineStr"/>
      <c r="P107" t="inlineStr"/>
      <c r="Q107" t="inlineStr"/>
      <c r="R107" t="inlineStr"/>
      <c r="S107" t="inlineStr"/>
      <c r="T107" t="inlineStr"/>
      <c r="U107">
        <f>IF($A107="";"";IF(SUMIF(FoodLog!$A:$A;$A107;FoodLog!$I:$I)=0;"";SUMIF(FoodLog!$A:$A;$A107;FoodLog!$I:$I)))</f>
        <v/>
      </c>
      <c r="V107">
        <f>IF($A107="";"";IF(SUMIF(FoodLog!$A:$A;$A107;FoodLog!$F:$F)=0;"";SUMIF(FoodLog!$A:$A;$A107;FoodLog!$F:$F)))</f>
        <v/>
      </c>
      <c r="W107">
        <f>IF($A107="";"";IF(SUMIF(FoodLog!$A:$A;$A107;FoodLog!$G:$G)=0;"";SUMIF(FoodLog!$A:$A;$A107;FoodLog!$G:$G)))</f>
        <v/>
      </c>
      <c r="X107">
        <f>IF($A107="";"";IF(SUMIF(FoodLog!$A:$A;$A107;FoodLog!$H:$H)=0;"";SUMIF(FoodLog!$A:$A;$A107;FoodLog!$H:$H)))</f>
        <v/>
      </c>
      <c r="Y107">
        <f>IF($A107="";"";IFERROR(ROUND(100*AVERAGE(IF($B107="";"";XLOOKUP($B107;FILTER(Dictionaries!$B:$B;Dictionaries!$A:$A="Тренировка");FILTER(Dictionaries!$C:$C;Dictionaries!$A:$A="Тренировка")));IF($C107="";"";MIN($C107/40;1));IF($D107="";"";XLOOKUP($D107;FILTER(Dictionaries!$B:$B;Dictionaries!$A:$A="Шаги");FILTER(Dictionaries!$C:$C;Dictionaries!$A:$A="Шаги")));IF($E107="";"";MIN($E107/120;1));IF(OR($F107&lt;&gt;"";$G107&lt;&gt;"");1;"");IF($H107="";"";MIN($H107/100;1));IF($L107="";"";XLOOKUP($L107;FILTER(Dictionaries!$B:$B;Dictionaries!$A:$A="Сон_часы");FILTER(Dictionaries!$C:$C;Dictionaries!$A:$A="Сон_часы")));IF($M107="";"";XLOOKUP($M107;FILTER(Dictionaries!$B:$B;Dictionaries!$A:$A="Режим");FILTER(Dictionaries!$C:$C;Dictionaries!$A:$A="Режим")));IF($N107="";"";MIN($N107/100;1));IF($O107="";"";XLOOKUP($O107;FILTER(Dictionaries!$B:$B;Dictionaries!$A:$A="Настроение");FILTER(Dictionaries!$C:$C;Dictionaries!$A:$A="Настроение")));IF($P107="";"";XLOOKUP($P107;FILTER(Dictionaries!$B:$B;Dictionaries!$A:$A="Энергия");FILTER(Dictionaries!$C:$C;Dictionaries!$A:$A="Энергия")));IF($U107="";"";AVERAGE(IF(OR($B107="Ноги";$B107="Верх");IFS(AND($U107&gt;=1900;$U107&lt;=2050);1;AND($U107&gt;=1850;$U107&lt;1900);0,7;AND($U107&gt;2050;$U107&lt;=2100);0,7;TRUE;0,2);IFS(AND($U107&gt;=1700;$U107&lt;=1850);1;AND($U107&gt;=1650;$U107&lt;1700);0,7;AND($U107&gt;1850;$U107&lt;=1900);0,7;TRUE;0,2));IF(OR($B107="Ноги";$B107="Верх");IFS(AND($V107&gt;=125;$V107&lt;=135);1;AND($V107&gt;=115;$V107&lt;125);0,7;AND($V107&gt;135;$V107&lt;=145);0,7;AND($V107&gt;=105;$V107&lt;115);0,4;AND($V107&gt;145;$V107&lt;=155);0,4;TRUE;0,2);IFS(AND($V107&gt;=120;$V107&lt;=130);1;AND($V107&gt;=110;$V107&lt;120);0,7;AND($V107&gt;130;$V107&lt;=140);0,7;AND($V107&gt;=100;$V107&lt;110);0,4;AND($V107&gt;140;$V107&lt;=150);0,4;TRUE;0,2));IFS(AND($W107&gt;=55;$W107&lt;=65);1;AND($W107&gt;=50;$W107&lt;55);0,7;AND($W107&gt;65;$W107&lt;=70);0,7;AND($W107&gt;=45;$W107&lt;50);0,4;AND($W107&gt;70;$W107&lt;=75);0,4;TRUE;0,2);IF(OR($B107="Ноги";$B107="Верх");IFS(AND($X107&gt;=180;$X107&lt;=210);1;AND($X107&gt;=160;$X107&lt;180);0,7;AND($X107&gt;210;$X107&lt;=230);0,7;AND($X107&gt;=140;$X107&lt;160);0,4;AND($X107&gt;230;$X107&lt;=250);0,4;TRUE;0,2);IFS(AND($X107&gt;=140;$X107&lt;=170);1;AND($X107&gt;=120;$X107&lt;140);0,7;AND($X107&gt;170;$X107&lt;=190);0,7;AND($X107&gt;=100;$X107&lt;120);0,4;AND($X107&gt;190;$X107&lt;=210);0,4;TRUE;0,2)))));1);""))</f>
        <v/>
      </c>
      <c r="Z107">
        <f>IF($A107="";"";TEXTJOIN(", ";TRUE;IF($B107="";"Тренировка";"");IF($C107="";"Кардио";"");IF($D107="";"Шаги";"");IF($E107="";"Английский";"");IF($F107="";"Код-режим";"");IF($G107="";"Код-тема";"");IF($H107="";"Чтение";"");IF($L107="";"Сон";"");IF($M107="";"Режим";"");IF($N107="";"Продуктивность";"");IF($O107="";"Настроение";"");IF($P107="";"Энергия";"");IF($U107="";"Еда";"")))</f>
        <v/>
      </c>
    </row>
    <row r="108">
      <c r="B108" t="inlineStr"/>
      <c r="C108" t="inlineStr"/>
      <c r="D108" t="inlineStr"/>
      <c r="E108" t="inlineStr"/>
      <c r="F108" t="inlineStr"/>
      <c r="G108" t="inlineStr"/>
      <c r="H108" t="inlineStr"/>
      <c r="I108" t="inlineStr"/>
      <c r="J108" t="inlineStr"/>
      <c r="K108" t="inlineStr"/>
      <c r="L108" t="inlineStr"/>
      <c r="M108" t="inlineStr"/>
      <c r="N108" t="inlineStr"/>
      <c r="O108" t="inlineStr"/>
      <c r="P108" t="inlineStr"/>
      <c r="Q108" t="inlineStr"/>
      <c r="R108" t="inlineStr"/>
      <c r="S108" t="inlineStr"/>
      <c r="T108" t="inlineStr"/>
      <c r="U108">
        <f>IF($A108="";"";IF(SUMIF(FoodLog!$A:$A;$A108;FoodLog!$I:$I)=0;"";SUMIF(FoodLog!$A:$A;$A108;FoodLog!$I:$I)))</f>
        <v/>
      </c>
      <c r="V108">
        <f>IF($A108="";"";IF(SUMIF(FoodLog!$A:$A;$A108;FoodLog!$F:$F)=0;"";SUMIF(FoodLog!$A:$A;$A108;FoodLog!$F:$F)))</f>
        <v/>
      </c>
      <c r="W108">
        <f>IF($A108="";"";IF(SUMIF(FoodLog!$A:$A;$A108;FoodLog!$G:$G)=0;"";SUMIF(FoodLog!$A:$A;$A108;FoodLog!$G:$G)))</f>
        <v/>
      </c>
      <c r="X108">
        <f>IF($A108="";"";IF(SUMIF(FoodLog!$A:$A;$A108;FoodLog!$H:$H)=0;"";SUMIF(FoodLog!$A:$A;$A108;FoodLog!$H:$H)))</f>
        <v/>
      </c>
      <c r="Y108">
        <f>IF($A108="";"";IFERROR(ROUND(100*AVERAGE(IF($B108="";"";XLOOKUP($B108;FILTER(Dictionaries!$B:$B;Dictionaries!$A:$A="Тренировка");FILTER(Dictionaries!$C:$C;Dictionaries!$A:$A="Тренировка")));IF($C108="";"";MIN($C108/40;1));IF($D108="";"";XLOOKUP($D108;FILTER(Dictionaries!$B:$B;Dictionaries!$A:$A="Шаги");FILTER(Dictionaries!$C:$C;Dictionaries!$A:$A="Шаги")));IF($E108="";"";MIN($E108/120;1));IF(OR($F108&lt;&gt;"";$G108&lt;&gt;"");1;"");IF($H108="";"";MIN($H108/100;1));IF($L108="";"";XLOOKUP($L108;FILTER(Dictionaries!$B:$B;Dictionaries!$A:$A="Сон_часы");FILTER(Dictionaries!$C:$C;Dictionaries!$A:$A="Сон_часы")));IF($M108="";"";XLOOKUP($M108;FILTER(Dictionaries!$B:$B;Dictionaries!$A:$A="Режим");FILTER(Dictionaries!$C:$C;Dictionaries!$A:$A="Режим")));IF($N108="";"";MIN($N108/100;1));IF($O108="";"";XLOOKUP($O108;FILTER(Dictionaries!$B:$B;Dictionaries!$A:$A="Настроение");FILTER(Dictionaries!$C:$C;Dictionaries!$A:$A="Настроение")));IF($P108="";"";XLOOKUP($P108;FILTER(Dictionaries!$B:$B;Dictionaries!$A:$A="Энергия");FILTER(Dictionaries!$C:$C;Dictionaries!$A:$A="Энергия")));IF($U108="";"";AVERAGE(IF(OR($B108="Ноги";$B108="Верх");IFS(AND($U108&gt;=1900;$U108&lt;=2050);1;AND($U108&gt;=1850;$U108&lt;1900);0,7;AND($U108&gt;2050;$U108&lt;=2100);0,7;TRUE;0,2);IFS(AND($U108&gt;=1700;$U108&lt;=1850);1;AND($U108&gt;=1650;$U108&lt;1700);0,7;AND($U108&gt;1850;$U108&lt;=1900);0,7;TRUE;0,2));IF(OR($B108="Ноги";$B108="Верх");IFS(AND($V108&gt;=125;$V108&lt;=135);1;AND($V108&gt;=115;$V108&lt;125);0,7;AND($V108&gt;135;$V108&lt;=145);0,7;AND($V108&gt;=105;$V108&lt;115);0,4;AND($V108&gt;145;$V108&lt;=155);0,4;TRUE;0,2);IFS(AND($V108&gt;=120;$V108&lt;=130);1;AND($V108&gt;=110;$V108&lt;120);0,7;AND($V108&gt;130;$V108&lt;=140);0,7;AND($V108&gt;=100;$V108&lt;110);0,4;AND($V108&gt;140;$V108&lt;=150);0,4;TRUE;0,2));IFS(AND($W108&gt;=55;$W108&lt;=65);1;AND($W108&gt;=50;$W108&lt;55);0,7;AND($W108&gt;65;$W108&lt;=70);0,7;AND($W108&gt;=45;$W108&lt;50);0,4;AND($W108&gt;70;$W108&lt;=75);0,4;TRUE;0,2);IF(OR($B108="Ноги";$B108="Верх");IFS(AND($X108&gt;=180;$X108&lt;=210);1;AND($X108&gt;=160;$X108&lt;180);0,7;AND($X108&gt;210;$X108&lt;=230);0,7;AND($X108&gt;=140;$X108&lt;160);0,4;AND($X108&gt;230;$X108&lt;=250);0,4;TRUE;0,2);IFS(AND($X108&gt;=140;$X108&lt;=170);1;AND($X108&gt;=120;$X108&lt;140);0,7;AND($X108&gt;170;$X108&lt;=190);0,7;AND($X108&gt;=100;$X108&lt;120);0,4;AND($X108&gt;190;$X108&lt;=210);0,4;TRUE;0,2)))));1);""))</f>
        <v/>
      </c>
      <c r="Z108">
        <f>IF($A108="";"";TEXTJOIN(", ";TRUE;IF($B108="";"Тренировка";"");IF($C108="";"Кардио";"");IF($D108="";"Шаги";"");IF($E108="";"Английский";"");IF($F108="";"Код-режим";"");IF($G108="";"Код-тема";"");IF($H108="";"Чтение";"");IF($L108="";"Сон";"");IF($M108="";"Режим";"");IF($N108="";"Продуктивность";"");IF($O108="";"Настроение";"");IF($P108="";"Энергия";"");IF($U108="";"Еда";"")))</f>
        <v/>
      </c>
    </row>
    <row r="109">
      <c r="B109" t="inlineStr"/>
      <c r="C109" t="inlineStr"/>
      <c r="D109" t="inlineStr"/>
      <c r="E109" t="inlineStr"/>
      <c r="F109" t="inlineStr"/>
      <c r="G109" t="inlineStr"/>
      <c r="H109" t="inlineStr"/>
      <c r="I109" t="inlineStr"/>
      <c r="J109" t="inlineStr"/>
      <c r="K109" t="inlineStr"/>
      <c r="L109" t="inlineStr"/>
      <c r="M109" t="inlineStr"/>
      <c r="N109" t="inlineStr"/>
      <c r="O109" t="inlineStr"/>
      <c r="P109" t="inlineStr"/>
      <c r="Q109" t="inlineStr"/>
      <c r="R109" t="inlineStr"/>
      <c r="S109" t="inlineStr"/>
      <c r="T109" t="inlineStr"/>
      <c r="U109">
        <f>IF($A109="";"";IF(SUMIF(FoodLog!$A:$A;$A109;FoodLog!$I:$I)=0;"";SUMIF(FoodLog!$A:$A;$A109;FoodLog!$I:$I)))</f>
        <v/>
      </c>
      <c r="V109">
        <f>IF($A109="";"";IF(SUMIF(FoodLog!$A:$A;$A109;FoodLog!$F:$F)=0;"";SUMIF(FoodLog!$A:$A;$A109;FoodLog!$F:$F)))</f>
        <v/>
      </c>
      <c r="W109">
        <f>IF($A109="";"";IF(SUMIF(FoodLog!$A:$A;$A109;FoodLog!$G:$G)=0;"";SUMIF(FoodLog!$A:$A;$A109;FoodLog!$G:$G)))</f>
        <v/>
      </c>
      <c r="X109">
        <f>IF($A109="";"";IF(SUMIF(FoodLog!$A:$A;$A109;FoodLog!$H:$H)=0;"";SUMIF(FoodLog!$A:$A;$A109;FoodLog!$H:$H)))</f>
        <v/>
      </c>
      <c r="Y109">
        <f>IF($A109="";"";IFERROR(ROUND(100*AVERAGE(IF($B109="";"";XLOOKUP($B109;FILTER(Dictionaries!$B:$B;Dictionaries!$A:$A="Тренировка");FILTER(Dictionaries!$C:$C;Dictionaries!$A:$A="Тренировка")));IF($C109="";"";MIN($C109/40;1));IF($D109="";"";XLOOKUP($D109;FILTER(Dictionaries!$B:$B;Dictionaries!$A:$A="Шаги");FILTER(Dictionaries!$C:$C;Dictionaries!$A:$A="Шаги")));IF($E109="";"";MIN($E109/120;1));IF(OR($F109&lt;&gt;"";$G109&lt;&gt;"");1;"");IF($H109="";"";MIN($H109/100;1));IF($L109="";"";XLOOKUP($L109;FILTER(Dictionaries!$B:$B;Dictionaries!$A:$A="Сон_часы");FILTER(Dictionaries!$C:$C;Dictionaries!$A:$A="Сон_часы")));IF($M109="";"";XLOOKUP($M109;FILTER(Dictionaries!$B:$B;Dictionaries!$A:$A="Режим");FILTER(Dictionaries!$C:$C;Dictionaries!$A:$A="Режим")));IF($N109="";"";MIN($N109/100;1));IF($O109="";"";XLOOKUP($O109;FILTER(Dictionaries!$B:$B;Dictionaries!$A:$A="Настроение");FILTER(Dictionaries!$C:$C;Dictionaries!$A:$A="Настроение")));IF($P109="";"";XLOOKUP($P109;FILTER(Dictionaries!$B:$B;Dictionaries!$A:$A="Энергия");FILTER(Dictionaries!$C:$C;Dictionaries!$A:$A="Энергия")));IF($U109="";"";AVERAGE(IF(OR($B109="Ноги";$B109="Верх");IFS(AND($U109&gt;=1900;$U109&lt;=2050);1;AND($U109&gt;=1850;$U109&lt;1900);0,7;AND($U109&gt;2050;$U109&lt;=2100);0,7;TRUE;0,2);IFS(AND($U109&gt;=1700;$U109&lt;=1850);1;AND($U109&gt;=1650;$U109&lt;1700);0,7;AND($U109&gt;1850;$U109&lt;=1900);0,7;TRUE;0,2));IF(OR($B109="Ноги";$B109="Верх");IFS(AND($V109&gt;=125;$V109&lt;=135);1;AND($V109&gt;=115;$V109&lt;125);0,7;AND($V109&gt;135;$V109&lt;=145);0,7;AND($V109&gt;=105;$V109&lt;115);0,4;AND($V109&gt;145;$V109&lt;=155);0,4;TRUE;0,2);IFS(AND($V109&gt;=120;$V109&lt;=130);1;AND($V109&gt;=110;$V109&lt;120);0,7;AND($V109&gt;130;$V109&lt;=140);0,7;AND($V109&gt;=100;$V109&lt;110);0,4;AND($V109&gt;140;$V109&lt;=150);0,4;TRUE;0,2));IFS(AND($W109&gt;=55;$W109&lt;=65);1;AND($W109&gt;=50;$W109&lt;55);0,7;AND($W109&gt;65;$W109&lt;=70);0,7;AND($W109&gt;=45;$W109&lt;50);0,4;AND($W109&gt;70;$W109&lt;=75);0,4;TRUE;0,2);IF(OR($B109="Ноги";$B109="Верх");IFS(AND($X109&gt;=180;$X109&lt;=210);1;AND($X109&gt;=160;$X109&lt;180);0,7;AND($X109&gt;210;$X109&lt;=230);0,7;AND($X109&gt;=140;$X109&lt;160);0,4;AND($X109&gt;230;$X109&lt;=250);0,4;TRUE;0,2);IFS(AND($X109&gt;=140;$X109&lt;=170);1;AND($X109&gt;=120;$X109&lt;140);0,7;AND($X109&gt;170;$X109&lt;=190);0,7;AND($X109&gt;=100;$X109&lt;120);0,4;AND($X109&gt;190;$X109&lt;=210);0,4;TRUE;0,2)))));1);""))</f>
        <v/>
      </c>
      <c r="Z109">
        <f>IF($A109="";"";TEXTJOIN(", ";TRUE;IF($B109="";"Тренировка";"");IF($C109="";"Кардио";"");IF($D109="";"Шаги";"");IF($E109="";"Английский";"");IF($F109="";"Код-режим";"");IF($G109="";"Код-тема";"");IF($H109="";"Чтение";"");IF($L109="";"Сон";"");IF($M109="";"Режим";"");IF($N109="";"Продуктивность";"");IF($O109="";"Настроение";"");IF($P109="";"Энергия";"");IF($U109="";"Еда";"")))</f>
        <v/>
      </c>
    </row>
    <row r="110">
      <c r="B110" t="inlineStr"/>
      <c r="C110" t="inlineStr"/>
      <c r="D110" t="inlineStr"/>
      <c r="E110" t="inlineStr"/>
      <c r="F110" t="inlineStr"/>
      <c r="G110" t="inlineStr"/>
      <c r="H110" t="inlineStr"/>
      <c r="I110" t="inlineStr"/>
      <c r="J110" t="inlineStr"/>
      <c r="K110" t="inlineStr"/>
      <c r="L110" t="inlineStr"/>
      <c r="M110" t="inlineStr"/>
      <c r="N110" t="inlineStr"/>
      <c r="O110" t="inlineStr"/>
      <c r="P110" t="inlineStr"/>
      <c r="Q110" t="inlineStr"/>
      <c r="R110" t="inlineStr"/>
      <c r="S110" t="inlineStr"/>
      <c r="T110" t="inlineStr"/>
      <c r="U110">
        <f>IF($A110="";"";IF(SUMIF(FoodLog!$A:$A;$A110;FoodLog!$I:$I)=0;"";SUMIF(FoodLog!$A:$A;$A110;FoodLog!$I:$I)))</f>
        <v/>
      </c>
      <c r="V110">
        <f>IF($A110="";"";IF(SUMIF(FoodLog!$A:$A;$A110;FoodLog!$F:$F)=0;"";SUMIF(FoodLog!$A:$A;$A110;FoodLog!$F:$F)))</f>
        <v/>
      </c>
      <c r="W110">
        <f>IF($A110="";"";IF(SUMIF(FoodLog!$A:$A;$A110;FoodLog!$G:$G)=0;"";SUMIF(FoodLog!$A:$A;$A110;FoodLog!$G:$G)))</f>
        <v/>
      </c>
      <c r="X110">
        <f>IF($A110="";"";IF(SUMIF(FoodLog!$A:$A;$A110;FoodLog!$H:$H)=0;"";SUMIF(FoodLog!$A:$A;$A110;FoodLog!$H:$H)))</f>
        <v/>
      </c>
      <c r="Y110">
        <f>IF($A110="";"";IFERROR(ROUND(100*AVERAGE(IF($B110="";"";XLOOKUP($B110;FILTER(Dictionaries!$B:$B;Dictionaries!$A:$A="Тренировка");FILTER(Dictionaries!$C:$C;Dictionaries!$A:$A="Тренировка")));IF($C110="";"";MIN($C110/40;1));IF($D110="";"";XLOOKUP($D110;FILTER(Dictionaries!$B:$B;Dictionaries!$A:$A="Шаги");FILTER(Dictionaries!$C:$C;Dictionaries!$A:$A="Шаги")));IF($E110="";"";MIN($E110/120;1));IF(OR($F110&lt;&gt;"";$G110&lt;&gt;"");1;"");IF($H110="";"";MIN($H110/100;1));IF($L110="";"";XLOOKUP($L110;FILTER(Dictionaries!$B:$B;Dictionaries!$A:$A="Сон_часы");FILTER(Dictionaries!$C:$C;Dictionaries!$A:$A="Сон_часы")));IF($M110="";"";XLOOKUP($M110;FILTER(Dictionaries!$B:$B;Dictionaries!$A:$A="Режим");FILTER(Dictionaries!$C:$C;Dictionaries!$A:$A="Режим")));IF($N110="";"";MIN($N110/100;1));IF($O110="";"";XLOOKUP($O110;FILTER(Dictionaries!$B:$B;Dictionaries!$A:$A="Настроение");FILTER(Dictionaries!$C:$C;Dictionaries!$A:$A="Настроение")));IF($P110="";"";XLOOKUP($P110;FILTER(Dictionaries!$B:$B;Dictionaries!$A:$A="Энергия");FILTER(Dictionaries!$C:$C;Dictionaries!$A:$A="Энергия")));IF($U110="";"";AVERAGE(IF(OR($B110="Ноги";$B110="Верх");IFS(AND($U110&gt;=1900;$U110&lt;=2050);1;AND($U110&gt;=1850;$U110&lt;1900);0,7;AND($U110&gt;2050;$U110&lt;=2100);0,7;TRUE;0,2);IFS(AND($U110&gt;=1700;$U110&lt;=1850);1;AND($U110&gt;=1650;$U110&lt;1700);0,7;AND($U110&gt;1850;$U110&lt;=1900);0,7;TRUE;0,2));IF(OR($B110="Ноги";$B110="Верх");IFS(AND($V110&gt;=125;$V110&lt;=135);1;AND($V110&gt;=115;$V110&lt;125);0,7;AND($V110&gt;135;$V110&lt;=145);0,7;AND($V110&gt;=105;$V110&lt;115);0,4;AND($V110&gt;145;$V110&lt;=155);0,4;TRUE;0,2);IFS(AND($V110&gt;=120;$V110&lt;=130);1;AND($V110&gt;=110;$V110&lt;120);0,7;AND($V110&gt;130;$V110&lt;=140);0,7;AND($V110&gt;=100;$V110&lt;110);0,4;AND($V110&gt;140;$V110&lt;=150);0,4;TRUE;0,2));IFS(AND($W110&gt;=55;$W110&lt;=65);1;AND($W110&gt;=50;$W110&lt;55);0,7;AND($W110&gt;65;$W110&lt;=70);0,7;AND($W110&gt;=45;$W110&lt;50);0,4;AND($W110&gt;70;$W110&lt;=75);0,4;TRUE;0,2);IF(OR($B110="Ноги";$B110="Верх");IFS(AND($X110&gt;=180;$X110&lt;=210);1;AND($X110&gt;=160;$X110&lt;180);0,7;AND($X110&gt;210;$X110&lt;=230);0,7;AND($X110&gt;=140;$X110&lt;160);0,4;AND($X110&gt;230;$X110&lt;=250);0,4;TRUE;0,2);IFS(AND($X110&gt;=140;$X110&lt;=170);1;AND($X110&gt;=120;$X110&lt;140);0,7;AND($X110&gt;170;$X110&lt;=190);0,7;AND($X110&gt;=100;$X110&lt;120);0,4;AND($X110&gt;190;$X110&lt;=210);0,4;TRUE;0,2)))));1);""))</f>
        <v/>
      </c>
      <c r="Z110">
        <f>IF($A110="";"";TEXTJOIN(", ";TRUE;IF($B110="";"Тренировка";"");IF($C110="";"Кардио";"");IF($D110="";"Шаги";"");IF($E110="";"Английский";"");IF($F110="";"Код-режим";"");IF($G110="";"Код-тема";"");IF($H110="";"Чтение";"");IF($L110="";"Сон";"");IF($M110="";"Режим";"");IF($N110="";"Продуктивность";"");IF($O110="";"Настроение";"");IF($P110="";"Энергия";"");IF($U110="";"Еда";"")))</f>
        <v/>
      </c>
    </row>
    <row r="111">
      <c r="B111" t="inlineStr"/>
      <c r="C111" t="inlineStr"/>
      <c r="D111" t="inlineStr"/>
      <c r="E111" t="inlineStr"/>
      <c r="F111" t="inlineStr"/>
      <c r="G111" t="inlineStr"/>
      <c r="H111" t="inlineStr"/>
      <c r="I111" t="inlineStr"/>
      <c r="J111" t="inlineStr"/>
      <c r="K111" t="inlineStr"/>
      <c r="L111" t="inlineStr"/>
      <c r="M111" t="inlineStr"/>
      <c r="N111" t="inlineStr"/>
      <c r="O111" t="inlineStr"/>
      <c r="P111" t="inlineStr"/>
      <c r="Q111" t="inlineStr"/>
      <c r="R111" t="inlineStr"/>
      <c r="S111" t="inlineStr"/>
      <c r="T111" t="inlineStr"/>
      <c r="U111">
        <f>IF($A111="";"";IF(SUMIF(FoodLog!$A:$A;$A111;FoodLog!$I:$I)=0;"";SUMIF(FoodLog!$A:$A;$A111;FoodLog!$I:$I)))</f>
        <v/>
      </c>
      <c r="V111">
        <f>IF($A111="";"";IF(SUMIF(FoodLog!$A:$A;$A111;FoodLog!$F:$F)=0;"";SUMIF(FoodLog!$A:$A;$A111;FoodLog!$F:$F)))</f>
        <v/>
      </c>
      <c r="W111">
        <f>IF($A111="";"";IF(SUMIF(FoodLog!$A:$A;$A111;FoodLog!$G:$G)=0;"";SUMIF(FoodLog!$A:$A;$A111;FoodLog!$G:$G)))</f>
        <v/>
      </c>
      <c r="X111">
        <f>IF($A111="";"";IF(SUMIF(FoodLog!$A:$A;$A111;FoodLog!$H:$H)=0;"";SUMIF(FoodLog!$A:$A;$A111;FoodLog!$H:$H)))</f>
        <v/>
      </c>
      <c r="Y111">
        <f>IF($A111="";"";IFERROR(ROUND(100*AVERAGE(IF($B111="";"";XLOOKUP($B111;FILTER(Dictionaries!$B:$B;Dictionaries!$A:$A="Тренировка");FILTER(Dictionaries!$C:$C;Dictionaries!$A:$A="Тренировка")));IF($C111="";"";MIN($C111/40;1));IF($D111="";"";XLOOKUP($D111;FILTER(Dictionaries!$B:$B;Dictionaries!$A:$A="Шаги");FILTER(Dictionaries!$C:$C;Dictionaries!$A:$A="Шаги")));IF($E111="";"";MIN($E111/120;1));IF(OR($F111&lt;&gt;"";$G111&lt;&gt;"");1;"");IF($H111="";"";MIN($H111/100;1));IF($L111="";"";XLOOKUP($L111;FILTER(Dictionaries!$B:$B;Dictionaries!$A:$A="Сон_часы");FILTER(Dictionaries!$C:$C;Dictionaries!$A:$A="Сон_часы")));IF($M111="";"";XLOOKUP($M111;FILTER(Dictionaries!$B:$B;Dictionaries!$A:$A="Режим");FILTER(Dictionaries!$C:$C;Dictionaries!$A:$A="Режим")));IF($N111="";"";MIN($N111/100;1));IF($O111="";"";XLOOKUP($O111;FILTER(Dictionaries!$B:$B;Dictionaries!$A:$A="Настроение");FILTER(Dictionaries!$C:$C;Dictionaries!$A:$A="Настроение")));IF($P111="";"";XLOOKUP($P111;FILTER(Dictionaries!$B:$B;Dictionaries!$A:$A="Энергия");FILTER(Dictionaries!$C:$C;Dictionaries!$A:$A="Энергия")));IF($U111="";"";AVERAGE(IF(OR($B111="Ноги";$B111="Верх");IFS(AND($U111&gt;=1900;$U111&lt;=2050);1;AND($U111&gt;=1850;$U111&lt;1900);0,7;AND($U111&gt;2050;$U111&lt;=2100);0,7;TRUE;0,2);IFS(AND($U111&gt;=1700;$U111&lt;=1850);1;AND($U111&gt;=1650;$U111&lt;1700);0,7;AND($U111&gt;1850;$U111&lt;=1900);0,7;TRUE;0,2));IF(OR($B111="Ноги";$B111="Верх");IFS(AND($V111&gt;=125;$V111&lt;=135);1;AND($V111&gt;=115;$V111&lt;125);0,7;AND($V111&gt;135;$V111&lt;=145);0,7;AND($V111&gt;=105;$V111&lt;115);0,4;AND($V111&gt;145;$V111&lt;=155);0,4;TRUE;0,2);IFS(AND($V111&gt;=120;$V111&lt;=130);1;AND($V111&gt;=110;$V111&lt;120);0,7;AND($V111&gt;130;$V111&lt;=140);0,7;AND($V111&gt;=100;$V111&lt;110);0,4;AND($V111&gt;140;$V111&lt;=150);0,4;TRUE;0,2));IFS(AND($W111&gt;=55;$W111&lt;=65);1;AND($W111&gt;=50;$W111&lt;55);0,7;AND($W111&gt;65;$W111&lt;=70);0,7;AND($W111&gt;=45;$W111&lt;50);0,4;AND($W111&gt;70;$W111&lt;=75);0,4;TRUE;0,2);IF(OR($B111="Ноги";$B111="Верх");IFS(AND($X111&gt;=180;$X111&lt;=210);1;AND($X111&gt;=160;$X111&lt;180);0,7;AND($X111&gt;210;$X111&lt;=230);0,7;AND($X111&gt;=140;$X111&lt;160);0,4;AND($X111&gt;230;$X111&lt;=250);0,4;TRUE;0,2);IFS(AND($X111&gt;=140;$X111&lt;=170);1;AND($X111&gt;=120;$X111&lt;140);0,7;AND($X111&gt;170;$X111&lt;=190);0,7;AND($X111&gt;=100;$X111&lt;120);0,4;AND($X111&gt;190;$X111&lt;=210);0,4;TRUE;0,2)))));1);""))</f>
        <v/>
      </c>
      <c r="Z111">
        <f>IF($A111="";"";TEXTJOIN(", ";TRUE;IF($B111="";"Тренировка";"");IF($C111="";"Кардио";"");IF($D111="";"Шаги";"");IF($E111="";"Английский";"");IF($F111="";"Код-режим";"");IF($G111="";"Код-тема";"");IF($H111="";"Чтение";"");IF($L111="";"Сон";"");IF($M111="";"Режим";"");IF($N111="";"Продуктивность";"");IF($O111="";"Настроение";"");IF($P111="";"Энергия";"");IF($U111="";"Еда";"")))</f>
        <v/>
      </c>
    </row>
    <row r="112">
      <c r="B112" t="inlineStr"/>
      <c r="C112" t="inlineStr"/>
      <c r="D112" t="inlineStr"/>
      <c r="E112" t="inlineStr"/>
      <c r="F112" t="inlineStr"/>
      <c r="G112" t="inlineStr"/>
      <c r="H112" t="inlineStr"/>
      <c r="I112" t="inlineStr"/>
      <c r="J112" t="inlineStr"/>
      <c r="K112" t="inlineStr"/>
      <c r="L112" t="inlineStr"/>
      <c r="M112" t="inlineStr"/>
      <c r="N112" t="inlineStr"/>
      <c r="O112" t="inlineStr"/>
      <c r="P112" t="inlineStr"/>
      <c r="Q112" t="inlineStr"/>
      <c r="R112" t="inlineStr"/>
      <c r="S112" t="inlineStr"/>
      <c r="T112" t="inlineStr"/>
      <c r="U112">
        <f>IF($A112="";"";IF(SUMIF(FoodLog!$A:$A;$A112;FoodLog!$I:$I)=0;"";SUMIF(FoodLog!$A:$A;$A112;FoodLog!$I:$I)))</f>
        <v/>
      </c>
      <c r="V112">
        <f>IF($A112="";"";IF(SUMIF(FoodLog!$A:$A;$A112;FoodLog!$F:$F)=0;"";SUMIF(FoodLog!$A:$A;$A112;FoodLog!$F:$F)))</f>
        <v/>
      </c>
      <c r="W112">
        <f>IF($A112="";"";IF(SUMIF(FoodLog!$A:$A;$A112;FoodLog!$G:$G)=0;"";SUMIF(FoodLog!$A:$A;$A112;FoodLog!$G:$G)))</f>
        <v/>
      </c>
      <c r="X112">
        <f>IF($A112="";"";IF(SUMIF(FoodLog!$A:$A;$A112;FoodLog!$H:$H)=0;"";SUMIF(FoodLog!$A:$A;$A112;FoodLog!$H:$H)))</f>
        <v/>
      </c>
      <c r="Y112">
        <f>IF($A112="";"";IFERROR(ROUND(100*AVERAGE(IF($B112="";"";XLOOKUP($B112;FILTER(Dictionaries!$B:$B;Dictionaries!$A:$A="Тренировка");FILTER(Dictionaries!$C:$C;Dictionaries!$A:$A="Тренировка")));IF($C112="";"";MIN($C112/40;1));IF($D112="";"";XLOOKUP($D112;FILTER(Dictionaries!$B:$B;Dictionaries!$A:$A="Шаги");FILTER(Dictionaries!$C:$C;Dictionaries!$A:$A="Шаги")));IF($E112="";"";MIN($E112/120;1));IF(OR($F112&lt;&gt;"";$G112&lt;&gt;"");1;"");IF($H112="";"";MIN($H112/100;1));IF($L112="";"";XLOOKUP($L112;FILTER(Dictionaries!$B:$B;Dictionaries!$A:$A="Сон_часы");FILTER(Dictionaries!$C:$C;Dictionaries!$A:$A="Сон_часы")));IF($M112="";"";XLOOKUP($M112;FILTER(Dictionaries!$B:$B;Dictionaries!$A:$A="Режим");FILTER(Dictionaries!$C:$C;Dictionaries!$A:$A="Режим")));IF($N112="";"";MIN($N112/100;1));IF($O112="";"";XLOOKUP($O112;FILTER(Dictionaries!$B:$B;Dictionaries!$A:$A="Настроение");FILTER(Dictionaries!$C:$C;Dictionaries!$A:$A="Настроение")));IF($P112="";"";XLOOKUP($P112;FILTER(Dictionaries!$B:$B;Dictionaries!$A:$A="Энергия");FILTER(Dictionaries!$C:$C;Dictionaries!$A:$A="Энергия")));IF($U112="";"";AVERAGE(IF(OR($B112="Ноги";$B112="Верх");IFS(AND($U112&gt;=1900;$U112&lt;=2050);1;AND($U112&gt;=1850;$U112&lt;1900);0,7;AND($U112&gt;2050;$U112&lt;=2100);0,7;TRUE;0,2);IFS(AND($U112&gt;=1700;$U112&lt;=1850);1;AND($U112&gt;=1650;$U112&lt;1700);0,7;AND($U112&gt;1850;$U112&lt;=1900);0,7;TRUE;0,2));IF(OR($B112="Ноги";$B112="Верх");IFS(AND($V112&gt;=125;$V112&lt;=135);1;AND($V112&gt;=115;$V112&lt;125);0,7;AND($V112&gt;135;$V112&lt;=145);0,7;AND($V112&gt;=105;$V112&lt;115);0,4;AND($V112&gt;145;$V112&lt;=155);0,4;TRUE;0,2);IFS(AND($V112&gt;=120;$V112&lt;=130);1;AND($V112&gt;=110;$V112&lt;120);0,7;AND($V112&gt;130;$V112&lt;=140);0,7;AND($V112&gt;=100;$V112&lt;110);0,4;AND($V112&gt;140;$V112&lt;=150);0,4;TRUE;0,2));IFS(AND($W112&gt;=55;$W112&lt;=65);1;AND($W112&gt;=50;$W112&lt;55);0,7;AND($W112&gt;65;$W112&lt;=70);0,7;AND($W112&gt;=45;$W112&lt;50);0,4;AND($W112&gt;70;$W112&lt;=75);0,4;TRUE;0,2);IF(OR($B112="Ноги";$B112="Верх");IFS(AND($X112&gt;=180;$X112&lt;=210);1;AND($X112&gt;=160;$X112&lt;180);0,7;AND($X112&gt;210;$X112&lt;=230);0,7;AND($X112&gt;=140;$X112&lt;160);0,4;AND($X112&gt;230;$X112&lt;=250);0,4;TRUE;0,2);IFS(AND($X112&gt;=140;$X112&lt;=170);1;AND($X112&gt;=120;$X112&lt;140);0,7;AND($X112&gt;170;$X112&lt;=190);0,7;AND($X112&gt;=100;$X112&lt;120);0,4;AND($X112&gt;190;$X112&lt;=210);0,4;TRUE;0,2)))));1);""))</f>
        <v/>
      </c>
      <c r="Z112">
        <f>IF($A112="";"";TEXTJOIN(", ";TRUE;IF($B112="";"Тренировка";"");IF($C112="";"Кардио";"");IF($D112="";"Шаги";"");IF($E112="";"Английский";"");IF($F112="";"Код-режим";"");IF($G112="";"Код-тема";"");IF($H112="";"Чтение";"");IF($L112="";"Сон";"");IF($M112="";"Режим";"");IF($N112="";"Продуктивность";"");IF($O112="";"Настроение";"");IF($P112="";"Энергия";"");IF($U112="";"Еда";"")))</f>
        <v/>
      </c>
    </row>
    <row r="113">
      <c r="B113" t="inlineStr"/>
      <c r="C113" t="inlineStr"/>
      <c r="D113" t="inlineStr"/>
      <c r="E113" t="inlineStr"/>
      <c r="F113" t="inlineStr"/>
      <c r="G113" t="inlineStr"/>
      <c r="H113" t="inlineStr"/>
      <c r="I113" t="inlineStr"/>
      <c r="J113" t="inlineStr"/>
      <c r="K113" t="inlineStr"/>
      <c r="L113" t="inlineStr"/>
      <c r="M113" t="inlineStr"/>
      <c r="N113" t="inlineStr"/>
      <c r="O113" t="inlineStr"/>
      <c r="P113" t="inlineStr"/>
      <c r="Q113" t="inlineStr"/>
      <c r="R113" t="inlineStr"/>
      <c r="S113" t="inlineStr"/>
      <c r="T113" t="inlineStr"/>
      <c r="U113">
        <f>IF($A113="";"";IF(SUMIF(FoodLog!$A:$A;$A113;FoodLog!$I:$I)=0;"";SUMIF(FoodLog!$A:$A;$A113;FoodLog!$I:$I)))</f>
        <v/>
      </c>
      <c r="V113">
        <f>IF($A113="";"";IF(SUMIF(FoodLog!$A:$A;$A113;FoodLog!$F:$F)=0;"";SUMIF(FoodLog!$A:$A;$A113;FoodLog!$F:$F)))</f>
        <v/>
      </c>
      <c r="W113">
        <f>IF($A113="";"";IF(SUMIF(FoodLog!$A:$A;$A113;FoodLog!$G:$G)=0;"";SUMIF(FoodLog!$A:$A;$A113;FoodLog!$G:$G)))</f>
        <v/>
      </c>
      <c r="X113">
        <f>IF($A113="";"";IF(SUMIF(FoodLog!$A:$A;$A113;FoodLog!$H:$H)=0;"";SUMIF(FoodLog!$A:$A;$A113;FoodLog!$H:$H)))</f>
        <v/>
      </c>
      <c r="Y113">
        <f>IF($A113="";"";IFERROR(ROUND(100*AVERAGE(IF($B113="";"";XLOOKUP($B113;FILTER(Dictionaries!$B:$B;Dictionaries!$A:$A="Тренировка");FILTER(Dictionaries!$C:$C;Dictionaries!$A:$A="Тренировка")));IF($C113="";"";MIN($C113/40;1));IF($D113="";"";XLOOKUP($D113;FILTER(Dictionaries!$B:$B;Dictionaries!$A:$A="Шаги");FILTER(Dictionaries!$C:$C;Dictionaries!$A:$A="Шаги")));IF($E113="";"";MIN($E113/120;1));IF(OR($F113&lt;&gt;"";$G113&lt;&gt;"");1;"");IF($H113="";"";MIN($H113/100;1));IF($L113="";"";XLOOKUP($L113;FILTER(Dictionaries!$B:$B;Dictionaries!$A:$A="Сон_часы");FILTER(Dictionaries!$C:$C;Dictionaries!$A:$A="Сон_часы")));IF($M113="";"";XLOOKUP($M113;FILTER(Dictionaries!$B:$B;Dictionaries!$A:$A="Режим");FILTER(Dictionaries!$C:$C;Dictionaries!$A:$A="Режим")));IF($N113="";"";MIN($N113/100;1));IF($O113="";"";XLOOKUP($O113;FILTER(Dictionaries!$B:$B;Dictionaries!$A:$A="Настроение");FILTER(Dictionaries!$C:$C;Dictionaries!$A:$A="Настроение")));IF($P113="";"";XLOOKUP($P113;FILTER(Dictionaries!$B:$B;Dictionaries!$A:$A="Энергия");FILTER(Dictionaries!$C:$C;Dictionaries!$A:$A="Энергия")));IF($U113="";"";AVERAGE(IF(OR($B113="Ноги";$B113="Верх");IFS(AND($U113&gt;=1900;$U113&lt;=2050);1;AND($U113&gt;=1850;$U113&lt;1900);0,7;AND($U113&gt;2050;$U113&lt;=2100);0,7;TRUE;0,2);IFS(AND($U113&gt;=1700;$U113&lt;=1850);1;AND($U113&gt;=1650;$U113&lt;1700);0,7;AND($U113&gt;1850;$U113&lt;=1900);0,7;TRUE;0,2));IF(OR($B113="Ноги";$B113="Верх");IFS(AND($V113&gt;=125;$V113&lt;=135);1;AND($V113&gt;=115;$V113&lt;125);0,7;AND($V113&gt;135;$V113&lt;=145);0,7;AND($V113&gt;=105;$V113&lt;115);0,4;AND($V113&gt;145;$V113&lt;=155);0,4;TRUE;0,2);IFS(AND($V113&gt;=120;$V113&lt;=130);1;AND($V113&gt;=110;$V113&lt;120);0,7;AND($V113&gt;130;$V113&lt;=140);0,7;AND($V113&gt;=100;$V113&lt;110);0,4;AND($V113&gt;140;$V113&lt;=150);0,4;TRUE;0,2));IFS(AND($W113&gt;=55;$W113&lt;=65);1;AND($W113&gt;=50;$W113&lt;55);0,7;AND($W113&gt;65;$W113&lt;=70);0,7;AND($W113&gt;=45;$W113&lt;50);0,4;AND($W113&gt;70;$W113&lt;=75);0,4;TRUE;0,2);IF(OR($B113="Ноги";$B113="Верх");IFS(AND($X113&gt;=180;$X113&lt;=210);1;AND($X113&gt;=160;$X113&lt;180);0,7;AND($X113&gt;210;$X113&lt;=230);0,7;AND($X113&gt;=140;$X113&lt;160);0,4;AND($X113&gt;230;$X113&lt;=250);0,4;TRUE;0,2);IFS(AND($X113&gt;=140;$X113&lt;=170);1;AND($X113&gt;=120;$X113&lt;140);0,7;AND($X113&gt;170;$X113&lt;=190);0,7;AND($X113&gt;=100;$X113&lt;120);0,4;AND($X113&gt;190;$X113&lt;=210);0,4;TRUE;0,2)))));1);""))</f>
        <v/>
      </c>
      <c r="Z113">
        <f>IF($A113="";"";TEXTJOIN(", ";TRUE;IF($B113="";"Тренировка";"");IF($C113="";"Кардио";"");IF($D113="";"Шаги";"");IF($E113="";"Английский";"");IF($F113="";"Код-режим";"");IF($G113="";"Код-тема";"");IF($H113="";"Чтение";"");IF($L113="";"Сон";"");IF($M113="";"Режим";"");IF($N113="";"Продуктивность";"");IF($O113="";"Настроение";"");IF($P113="";"Энергия";"");IF($U113="";"Еда";"")))</f>
        <v/>
      </c>
    </row>
    <row r="114">
      <c r="B114" t="inlineStr"/>
      <c r="C114" t="inlineStr"/>
      <c r="D114" t="inlineStr"/>
      <c r="E114" t="inlineStr"/>
      <c r="F114" t="inlineStr"/>
      <c r="G114" t="inlineStr"/>
      <c r="H114" t="inlineStr"/>
      <c r="I114" t="inlineStr"/>
      <c r="J114" t="inlineStr"/>
      <c r="K114" t="inlineStr"/>
      <c r="L114" t="inlineStr"/>
      <c r="M114" t="inlineStr"/>
      <c r="N114" t="inlineStr"/>
      <c r="O114" t="inlineStr"/>
      <c r="P114" t="inlineStr"/>
      <c r="Q114" t="inlineStr"/>
      <c r="R114" t="inlineStr"/>
      <c r="S114" t="inlineStr"/>
      <c r="T114" t="inlineStr"/>
      <c r="U114">
        <f>IF($A114="";"";IF(SUMIF(FoodLog!$A:$A;$A114;FoodLog!$I:$I)=0;"";SUMIF(FoodLog!$A:$A;$A114;FoodLog!$I:$I)))</f>
        <v/>
      </c>
      <c r="V114">
        <f>IF($A114="";"";IF(SUMIF(FoodLog!$A:$A;$A114;FoodLog!$F:$F)=0;"";SUMIF(FoodLog!$A:$A;$A114;FoodLog!$F:$F)))</f>
        <v/>
      </c>
      <c r="W114">
        <f>IF($A114="";"";IF(SUMIF(FoodLog!$A:$A;$A114;FoodLog!$G:$G)=0;"";SUMIF(FoodLog!$A:$A;$A114;FoodLog!$G:$G)))</f>
        <v/>
      </c>
      <c r="X114">
        <f>IF($A114="";"";IF(SUMIF(FoodLog!$A:$A;$A114;FoodLog!$H:$H)=0;"";SUMIF(FoodLog!$A:$A;$A114;FoodLog!$H:$H)))</f>
        <v/>
      </c>
      <c r="Y114">
        <f>IF($A114="";"";IFERROR(ROUND(100*AVERAGE(IF($B114="";"";XLOOKUP($B114;FILTER(Dictionaries!$B:$B;Dictionaries!$A:$A="Тренировка");FILTER(Dictionaries!$C:$C;Dictionaries!$A:$A="Тренировка")));IF($C114="";"";MIN($C114/40;1));IF($D114="";"";XLOOKUP($D114;FILTER(Dictionaries!$B:$B;Dictionaries!$A:$A="Шаги");FILTER(Dictionaries!$C:$C;Dictionaries!$A:$A="Шаги")));IF($E114="";"";MIN($E114/120;1));IF(OR($F114&lt;&gt;"";$G114&lt;&gt;"");1;"");IF($H114="";"";MIN($H114/100;1));IF($L114="";"";XLOOKUP($L114;FILTER(Dictionaries!$B:$B;Dictionaries!$A:$A="Сон_часы");FILTER(Dictionaries!$C:$C;Dictionaries!$A:$A="Сон_часы")));IF($M114="";"";XLOOKUP($M114;FILTER(Dictionaries!$B:$B;Dictionaries!$A:$A="Режим");FILTER(Dictionaries!$C:$C;Dictionaries!$A:$A="Режим")));IF($N114="";"";MIN($N114/100;1));IF($O114="";"";XLOOKUP($O114;FILTER(Dictionaries!$B:$B;Dictionaries!$A:$A="Настроение");FILTER(Dictionaries!$C:$C;Dictionaries!$A:$A="Настроение")));IF($P114="";"";XLOOKUP($P114;FILTER(Dictionaries!$B:$B;Dictionaries!$A:$A="Энергия");FILTER(Dictionaries!$C:$C;Dictionaries!$A:$A="Энергия")));IF($U114="";"";AVERAGE(IF(OR($B114="Ноги";$B114="Верх");IFS(AND($U114&gt;=1900;$U114&lt;=2050);1;AND($U114&gt;=1850;$U114&lt;1900);0,7;AND($U114&gt;2050;$U114&lt;=2100);0,7;TRUE;0,2);IFS(AND($U114&gt;=1700;$U114&lt;=1850);1;AND($U114&gt;=1650;$U114&lt;1700);0,7;AND($U114&gt;1850;$U114&lt;=1900);0,7;TRUE;0,2));IF(OR($B114="Ноги";$B114="Верх");IFS(AND($V114&gt;=125;$V114&lt;=135);1;AND($V114&gt;=115;$V114&lt;125);0,7;AND($V114&gt;135;$V114&lt;=145);0,7;AND($V114&gt;=105;$V114&lt;115);0,4;AND($V114&gt;145;$V114&lt;=155);0,4;TRUE;0,2);IFS(AND($V114&gt;=120;$V114&lt;=130);1;AND($V114&gt;=110;$V114&lt;120);0,7;AND($V114&gt;130;$V114&lt;=140);0,7;AND($V114&gt;=100;$V114&lt;110);0,4;AND($V114&gt;140;$V114&lt;=150);0,4;TRUE;0,2));IFS(AND($W114&gt;=55;$W114&lt;=65);1;AND($W114&gt;=50;$W114&lt;55);0,7;AND($W114&gt;65;$W114&lt;=70);0,7;AND($W114&gt;=45;$W114&lt;50);0,4;AND($W114&gt;70;$W114&lt;=75);0,4;TRUE;0,2);IF(OR($B114="Ноги";$B114="Верх");IFS(AND($X114&gt;=180;$X114&lt;=210);1;AND($X114&gt;=160;$X114&lt;180);0,7;AND($X114&gt;210;$X114&lt;=230);0,7;AND($X114&gt;=140;$X114&lt;160);0,4;AND($X114&gt;230;$X114&lt;=250);0,4;TRUE;0,2);IFS(AND($X114&gt;=140;$X114&lt;=170);1;AND($X114&gt;=120;$X114&lt;140);0,7;AND($X114&gt;170;$X114&lt;=190);0,7;AND($X114&gt;=100;$X114&lt;120);0,4;AND($X114&gt;190;$X114&lt;=210);0,4;TRUE;0,2)))));1);""))</f>
        <v/>
      </c>
      <c r="Z114">
        <f>IF($A114="";"";TEXTJOIN(", ";TRUE;IF($B114="";"Тренировка";"");IF($C114="";"Кардио";"");IF($D114="";"Шаги";"");IF($E114="";"Английский";"");IF($F114="";"Код-режим";"");IF($G114="";"Код-тема";"");IF($H114="";"Чтение";"");IF($L114="";"Сон";"");IF($M114="";"Режим";"");IF($N114="";"Продуктивность";"");IF($O114="";"Настроение";"");IF($P114="";"Энергия";"");IF($U114="";"Еда";"")))</f>
        <v/>
      </c>
    </row>
    <row r="115">
      <c r="B115" t="inlineStr"/>
      <c r="C115" t="inlineStr"/>
      <c r="D115" t="inlineStr"/>
      <c r="E115" t="inlineStr"/>
      <c r="F115" t="inlineStr"/>
      <c r="G115" t="inlineStr"/>
      <c r="H115" t="inlineStr"/>
      <c r="I115" t="inlineStr"/>
      <c r="J115" t="inlineStr"/>
      <c r="K115" t="inlineStr"/>
      <c r="L115" t="inlineStr"/>
      <c r="M115" t="inlineStr"/>
      <c r="N115" t="inlineStr"/>
      <c r="O115" t="inlineStr"/>
      <c r="P115" t="inlineStr"/>
      <c r="Q115" t="inlineStr"/>
      <c r="R115" t="inlineStr"/>
      <c r="S115" t="inlineStr"/>
      <c r="T115" t="inlineStr"/>
      <c r="U115">
        <f>IF($A115="";"";IF(SUMIF(FoodLog!$A:$A;$A115;FoodLog!$I:$I)=0;"";SUMIF(FoodLog!$A:$A;$A115;FoodLog!$I:$I)))</f>
        <v/>
      </c>
      <c r="V115">
        <f>IF($A115="";"";IF(SUMIF(FoodLog!$A:$A;$A115;FoodLog!$F:$F)=0;"";SUMIF(FoodLog!$A:$A;$A115;FoodLog!$F:$F)))</f>
        <v/>
      </c>
      <c r="W115">
        <f>IF($A115="";"";IF(SUMIF(FoodLog!$A:$A;$A115;FoodLog!$G:$G)=0;"";SUMIF(FoodLog!$A:$A;$A115;FoodLog!$G:$G)))</f>
        <v/>
      </c>
      <c r="X115">
        <f>IF($A115="";"";IF(SUMIF(FoodLog!$A:$A;$A115;FoodLog!$H:$H)=0;"";SUMIF(FoodLog!$A:$A;$A115;FoodLog!$H:$H)))</f>
        <v/>
      </c>
      <c r="Y115">
        <f>IF($A115="";"";IFERROR(ROUND(100*AVERAGE(IF($B115="";"";XLOOKUP($B115;FILTER(Dictionaries!$B:$B;Dictionaries!$A:$A="Тренировка");FILTER(Dictionaries!$C:$C;Dictionaries!$A:$A="Тренировка")));IF($C115="";"";MIN($C115/40;1));IF($D115="";"";XLOOKUP($D115;FILTER(Dictionaries!$B:$B;Dictionaries!$A:$A="Шаги");FILTER(Dictionaries!$C:$C;Dictionaries!$A:$A="Шаги")));IF($E115="";"";MIN($E115/120;1));IF(OR($F115&lt;&gt;"";$G115&lt;&gt;"");1;"");IF($H115="";"";MIN($H115/100;1));IF($L115="";"";XLOOKUP($L115;FILTER(Dictionaries!$B:$B;Dictionaries!$A:$A="Сон_часы");FILTER(Dictionaries!$C:$C;Dictionaries!$A:$A="Сон_часы")));IF($M115="";"";XLOOKUP($M115;FILTER(Dictionaries!$B:$B;Dictionaries!$A:$A="Режим");FILTER(Dictionaries!$C:$C;Dictionaries!$A:$A="Режим")));IF($N115="";"";MIN($N115/100;1));IF($O115="";"";XLOOKUP($O115;FILTER(Dictionaries!$B:$B;Dictionaries!$A:$A="Настроение");FILTER(Dictionaries!$C:$C;Dictionaries!$A:$A="Настроение")));IF($P115="";"";XLOOKUP($P115;FILTER(Dictionaries!$B:$B;Dictionaries!$A:$A="Энергия");FILTER(Dictionaries!$C:$C;Dictionaries!$A:$A="Энергия")));IF($U115="";"";AVERAGE(IF(OR($B115="Ноги";$B115="Верх");IFS(AND($U115&gt;=1900;$U115&lt;=2050);1;AND($U115&gt;=1850;$U115&lt;1900);0,7;AND($U115&gt;2050;$U115&lt;=2100);0,7;TRUE;0,2);IFS(AND($U115&gt;=1700;$U115&lt;=1850);1;AND($U115&gt;=1650;$U115&lt;1700);0,7;AND($U115&gt;1850;$U115&lt;=1900);0,7;TRUE;0,2));IF(OR($B115="Ноги";$B115="Верх");IFS(AND($V115&gt;=125;$V115&lt;=135);1;AND($V115&gt;=115;$V115&lt;125);0,7;AND($V115&gt;135;$V115&lt;=145);0,7;AND($V115&gt;=105;$V115&lt;115);0,4;AND($V115&gt;145;$V115&lt;=155);0,4;TRUE;0,2);IFS(AND($V115&gt;=120;$V115&lt;=130);1;AND($V115&gt;=110;$V115&lt;120);0,7;AND($V115&gt;130;$V115&lt;=140);0,7;AND($V115&gt;=100;$V115&lt;110);0,4;AND($V115&gt;140;$V115&lt;=150);0,4;TRUE;0,2));IFS(AND($W115&gt;=55;$W115&lt;=65);1;AND($W115&gt;=50;$W115&lt;55);0,7;AND($W115&gt;65;$W115&lt;=70);0,7;AND($W115&gt;=45;$W115&lt;50);0,4;AND($W115&gt;70;$W115&lt;=75);0,4;TRUE;0,2);IF(OR($B115="Ноги";$B115="Верх");IFS(AND($X115&gt;=180;$X115&lt;=210);1;AND($X115&gt;=160;$X115&lt;180);0,7;AND($X115&gt;210;$X115&lt;=230);0,7;AND($X115&gt;=140;$X115&lt;160);0,4;AND($X115&gt;230;$X115&lt;=250);0,4;TRUE;0,2);IFS(AND($X115&gt;=140;$X115&lt;=170);1;AND($X115&gt;=120;$X115&lt;140);0,7;AND($X115&gt;170;$X115&lt;=190);0,7;AND($X115&gt;=100;$X115&lt;120);0,4;AND($X115&gt;190;$X115&lt;=210);0,4;TRUE;0,2)))));1);""))</f>
        <v/>
      </c>
      <c r="Z115">
        <f>IF($A115="";"";TEXTJOIN(", ";TRUE;IF($B115="";"Тренировка";"");IF($C115="";"Кардио";"");IF($D115="";"Шаги";"");IF($E115="";"Английский";"");IF($F115="";"Код-режим";"");IF($G115="";"Код-тема";"");IF($H115="";"Чтение";"");IF($L115="";"Сон";"");IF($M115="";"Режим";"");IF($N115="";"Продуктивность";"");IF($O115="";"Настроение";"");IF($P115="";"Энергия";"");IF($U115="";"Еда";"")))</f>
        <v/>
      </c>
    </row>
    <row r="116">
      <c r="B116" t="inlineStr"/>
      <c r="C116" t="inlineStr"/>
      <c r="D116" t="inlineStr"/>
      <c r="E116" t="inlineStr"/>
      <c r="F116" t="inlineStr"/>
      <c r="G116" t="inlineStr"/>
      <c r="H116" t="inlineStr"/>
      <c r="I116" t="inlineStr"/>
      <c r="J116" t="inlineStr"/>
      <c r="K116" t="inlineStr"/>
      <c r="L116" t="inlineStr"/>
      <c r="M116" t="inlineStr"/>
      <c r="N116" t="inlineStr"/>
      <c r="O116" t="inlineStr"/>
      <c r="P116" t="inlineStr"/>
      <c r="Q116" t="inlineStr"/>
      <c r="R116" t="inlineStr"/>
      <c r="S116" t="inlineStr"/>
      <c r="T116" t="inlineStr"/>
      <c r="U116">
        <f>IF($A116="";"";IF(SUMIF(FoodLog!$A:$A;$A116;FoodLog!$I:$I)=0;"";SUMIF(FoodLog!$A:$A;$A116;FoodLog!$I:$I)))</f>
        <v/>
      </c>
      <c r="V116">
        <f>IF($A116="";"";IF(SUMIF(FoodLog!$A:$A;$A116;FoodLog!$F:$F)=0;"";SUMIF(FoodLog!$A:$A;$A116;FoodLog!$F:$F)))</f>
        <v/>
      </c>
      <c r="W116">
        <f>IF($A116="";"";IF(SUMIF(FoodLog!$A:$A;$A116;FoodLog!$G:$G)=0;"";SUMIF(FoodLog!$A:$A;$A116;FoodLog!$G:$G)))</f>
        <v/>
      </c>
      <c r="X116">
        <f>IF($A116="";"";IF(SUMIF(FoodLog!$A:$A;$A116;FoodLog!$H:$H)=0;"";SUMIF(FoodLog!$A:$A;$A116;FoodLog!$H:$H)))</f>
        <v/>
      </c>
      <c r="Y116">
        <f>IF($A116="";"";IFERROR(ROUND(100*AVERAGE(IF($B116="";"";XLOOKUP($B116;FILTER(Dictionaries!$B:$B;Dictionaries!$A:$A="Тренировка");FILTER(Dictionaries!$C:$C;Dictionaries!$A:$A="Тренировка")));IF($C116="";"";MIN($C116/40;1));IF($D116="";"";XLOOKUP($D116;FILTER(Dictionaries!$B:$B;Dictionaries!$A:$A="Шаги");FILTER(Dictionaries!$C:$C;Dictionaries!$A:$A="Шаги")));IF($E116="";"";MIN($E116/120;1));IF(OR($F116&lt;&gt;"";$G116&lt;&gt;"");1;"");IF($H116="";"";MIN($H116/100;1));IF($L116="";"";XLOOKUP($L116;FILTER(Dictionaries!$B:$B;Dictionaries!$A:$A="Сон_часы");FILTER(Dictionaries!$C:$C;Dictionaries!$A:$A="Сон_часы")));IF($M116="";"";XLOOKUP($M116;FILTER(Dictionaries!$B:$B;Dictionaries!$A:$A="Режим");FILTER(Dictionaries!$C:$C;Dictionaries!$A:$A="Режим")));IF($N116="";"";MIN($N116/100;1));IF($O116="";"";XLOOKUP($O116;FILTER(Dictionaries!$B:$B;Dictionaries!$A:$A="Настроение");FILTER(Dictionaries!$C:$C;Dictionaries!$A:$A="Настроение")));IF($P116="";"";XLOOKUP($P116;FILTER(Dictionaries!$B:$B;Dictionaries!$A:$A="Энергия");FILTER(Dictionaries!$C:$C;Dictionaries!$A:$A="Энергия")));IF($U116="";"";AVERAGE(IF(OR($B116="Ноги";$B116="Верх");IFS(AND($U116&gt;=1900;$U116&lt;=2050);1;AND($U116&gt;=1850;$U116&lt;1900);0,7;AND($U116&gt;2050;$U116&lt;=2100);0,7;TRUE;0,2);IFS(AND($U116&gt;=1700;$U116&lt;=1850);1;AND($U116&gt;=1650;$U116&lt;1700);0,7;AND($U116&gt;1850;$U116&lt;=1900);0,7;TRUE;0,2));IF(OR($B116="Ноги";$B116="Верх");IFS(AND($V116&gt;=125;$V116&lt;=135);1;AND($V116&gt;=115;$V116&lt;125);0,7;AND($V116&gt;135;$V116&lt;=145);0,7;AND($V116&gt;=105;$V116&lt;115);0,4;AND($V116&gt;145;$V116&lt;=155);0,4;TRUE;0,2);IFS(AND($V116&gt;=120;$V116&lt;=130);1;AND($V116&gt;=110;$V116&lt;120);0,7;AND($V116&gt;130;$V116&lt;=140);0,7;AND($V116&gt;=100;$V116&lt;110);0,4;AND($V116&gt;140;$V116&lt;=150);0,4;TRUE;0,2));IFS(AND($W116&gt;=55;$W116&lt;=65);1;AND($W116&gt;=50;$W116&lt;55);0,7;AND($W116&gt;65;$W116&lt;=70);0,7;AND($W116&gt;=45;$W116&lt;50);0,4;AND($W116&gt;70;$W116&lt;=75);0,4;TRUE;0,2);IF(OR($B116="Ноги";$B116="Верх");IFS(AND($X116&gt;=180;$X116&lt;=210);1;AND($X116&gt;=160;$X116&lt;180);0,7;AND($X116&gt;210;$X116&lt;=230);0,7;AND($X116&gt;=140;$X116&lt;160);0,4;AND($X116&gt;230;$X116&lt;=250);0,4;TRUE;0,2);IFS(AND($X116&gt;=140;$X116&lt;=170);1;AND($X116&gt;=120;$X116&lt;140);0,7;AND($X116&gt;170;$X116&lt;=190);0,7;AND($X116&gt;=100;$X116&lt;120);0,4;AND($X116&gt;190;$X116&lt;=210);0,4;TRUE;0,2)))));1);""))</f>
        <v/>
      </c>
      <c r="Z116">
        <f>IF($A116="";"";TEXTJOIN(", ";TRUE;IF($B116="";"Тренировка";"");IF($C116="";"Кардио";"");IF($D116="";"Шаги";"");IF($E116="";"Английский";"");IF($F116="";"Код-режим";"");IF($G116="";"Код-тема";"");IF($H116="";"Чтение";"");IF($L116="";"Сон";"");IF($M116="";"Режим";"");IF($N116="";"Продуктивность";"");IF($O116="";"Настроение";"");IF($P116="";"Энергия";"");IF($U116="";"Еда";"")))</f>
        <v/>
      </c>
    </row>
    <row r="117">
      <c r="B117" t="inlineStr"/>
      <c r="C117" t="inlineStr"/>
      <c r="D117" t="inlineStr"/>
      <c r="E117" t="inlineStr"/>
      <c r="F117" t="inlineStr"/>
      <c r="G117" t="inlineStr"/>
      <c r="H117" t="inlineStr"/>
      <c r="I117" t="inlineStr"/>
      <c r="J117" t="inlineStr"/>
      <c r="K117" t="inlineStr"/>
      <c r="L117" t="inlineStr"/>
      <c r="M117" t="inlineStr"/>
      <c r="N117" t="inlineStr"/>
      <c r="O117" t="inlineStr"/>
      <c r="P117" t="inlineStr"/>
      <c r="Q117" t="inlineStr"/>
      <c r="R117" t="inlineStr"/>
      <c r="S117" t="inlineStr"/>
      <c r="T117" t="inlineStr"/>
      <c r="U117">
        <f>IF($A117="";"";IF(SUMIF(FoodLog!$A:$A;$A117;FoodLog!$I:$I)=0;"";SUMIF(FoodLog!$A:$A;$A117;FoodLog!$I:$I)))</f>
        <v/>
      </c>
      <c r="V117">
        <f>IF($A117="";"";IF(SUMIF(FoodLog!$A:$A;$A117;FoodLog!$F:$F)=0;"";SUMIF(FoodLog!$A:$A;$A117;FoodLog!$F:$F)))</f>
        <v/>
      </c>
      <c r="W117">
        <f>IF($A117="";"";IF(SUMIF(FoodLog!$A:$A;$A117;FoodLog!$G:$G)=0;"";SUMIF(FoodLog!$A:$A;$A117;FoodLog!$G:$G)))</f>
        <v/>
      </c>
      <c r="X117">
        <f>IF($A117="";"";IF(SUMIF(FoodLog!$A:$A;$A117;FoodLog!$H:$H)=0;"";SUMIF(FoodLog!$A:$A;$A117;FoodLog!$H:$H)))</f>
        <v/>
      </c>
      <c r="Y117">
        <f>IF($A117="";"";IFERROR(ROUND(100*AVERAGE(IF($B117="";"";XLOOKUP($B117;FILTER(Dictionaries!$B:$B;Dictionaries!$A:$A="Тренировка");FILTER(Dictionaries!$C:$C;Dictionaries!$A:$A="Тренировка")));IF($C117="";"";MIN($C117/40;1));IF($D117="";"";XLOOKUP($D117;FILTER(Dictionaries!$B:$B;Dictionaries!$A:$A="Шаги");FILTER(Dictionaries!$C:$C;Dictionaries!$A:$A="Шаги")));IF($E117="";"";MIN($E117/120;1));IF(OR($F117&lt;&gt;"";$G117&lt;&gt;"");1;"");IF($H117="";"";MIN($H117/100;1));IF($L117="";"";XLOOKUP($L117;FILTER(Dictionaries!$B:$B;Dictionaries!$A:$A="Сон_часы");FILTER(Dictionaries!$C:$C;Dictionaries!$A:$A="Сон_часы")));IF($M117="";"";XLOOKUP($M117;FILTER(Dictionaries!$B:$B;Dictionaries!$A:$A="Режим");FILTER(Dictionaries!$C:$C;Dictionaries!$A:$A="Режим")));IF($N117="";"";MIN($N117/100;1));IF($O117="";"";XLOOKUP($O117;FILTER(Dictionaries!$B:$B;Dictionaries!$A:$A="Настроение");FILTER(Dictionaries!$C:$C;Dictionaries!$A:$A="Настроение")));IF($P117="";"";XLOOKUP($P117;FILTER(Dictionaries!$B:$B;Dictionaries!$A:$A="Энергия");FILTER(Dictionaries!$C:$C;Dictionaries!$A:$A="Энергия")));IF($U117="";"";AVERAGE(IF(OR($B117="Ноги";$B117="Верх");IFS(AND($U117&gt;=1900;$U117&lt;=2050);1;AND($U117&gt;=1850;$U117&lt;1900);0,7;AND($U117&gt;2050;$U117&lt;=2100);0,7;TRUE;0,2);IFS(AND($U117&gt;=1700;$U117&lt;=1850);1;AND($U117&gt;=1650;$U117&lt;1700);0,7;AND($U117&gt;1850;$U117&lt;=1900);0,7;TRUE;0,2));IF(OR($B117="Ноги";$B117="Верх");IFS(AND($V117&gt;=125;$V117&lt;=135);1;AND($V117&gt;=115;$V117&lt;125);0,7;AND($V117&gt;135;$V117&lt;=145);0,7;AND($V117&gt;=105;$V117&lt;115);0,4;AND($V117&gt;145;$V117&lt;=155);0,4;TRUE;0,2);IFS(AND($V117&gt;=120;$V117&lt;=130);1;AND($V117&gt;=110;$V117&lt;120);0,7;AND($V117&gt;130;$V117&lt;=140);0,7;AND($V117&gt;=100;$V117&lt;110);0,4;AND($V117&gt;140;$V117&lt;=150);0,4;TRUE;0,2));IFS(AND($W117&gt;=55;$W117&lt;=65);1;AND($W117&gt;=50;$W117&lt;55);0,7;AND($W117&gt;65;$W117&lt;=70);0,7;AND($W117&gt;=45;$W117&lt;50);0,4;AND($W117&gt;70;$W117&lt;=75);0,4;TRUE;0,2);IF(OR($B117="Ноги";$B117="Верх");IFS(AND($X117&gt;=180;$X117&lt;=210);1;AND($X117&gt;=160;$X117&lt;180);0,7;AND($X117&gt;210;$X117&lt;=230);0,7;AND($X117&gt;=140;$X117&lt;160);0,4;AND($X117&gt;230;$X117&lt;=250);0,4;TRUE;0,2);IFS(AND($X117&gt;=140;$X117&lt;=170);1;AND($X117&gt;=120;$X117&lt;140);0,7;AND($X117&gt;170;$X117&lt;=190);0,7;AND($X117&gt;=100;$X117&lt;120);0,4;AND($X117&gt;190;$X117&lt;=210);0,4;TRUE;0,2)))));1);""))</f>
        <v/>
      </c>
      <c r="Z117">
        <f>IF($A117="";"";TEXTJOIN(", ";TRUE;IF($B117="";"Тренировка";"");IF($C117="";"Кардио";"");IF($D117="";"Шаги";"");IF($E117="";"Английский";"");IF($F117="";"Код-режим";"");IF($G117="";"Код-тема";"");IF($H117="";"Чтение";"");IF($L117="";"Сон";"");IF($M117="";"Режим";"");IF($N117="";"Продуктивность";"");IF($O117="";"Настроение";"");IF($P117="";"Энергия";"");IF($U117="";"Еда";"")))</f>
        <v/>
      </c>
    </row>
    <row r="118">
      <c r="B118" t="inlineStr"/>
      <c r="C118" t="inlineStr"/>
      <c r="D118" t="inlineStr"/>
      <c r="E118" t="inlineStr"/>
      <c r="F118" t="inlineStr"/>
      <c r="G118" t="inlineStr"/>
      <c r="H118" t="inlineStr"/>
      <c r="I118" t="inlineStr"/>
      <c r="J118" t="inlineStr"/>
      <c r="K118" t="inlineStr"/>
      <c r="L118" t="inlineStr"/>
      <c r="M118" t="inlineStr"/>
      <c r="N118" t="inlineStr"/>
      <c r="O118" t="inlineStr"/>
      <c r="P118" t="inlineStr"/>
      <c r="Q118" t="inlineStr"/>
      <c r="R118" t="inlineStr"/>
      <c r="S118" t="inlineStr"/>
      <c r="T118" t="inlineStr"/>
      <c r="U118">
        <f>IF($A118="";"";IF(SUMIF(FoodLog!$A:$A;$A118;FoodLog!$I:$I)=0;"";SUMIF(FoodLog!$A:$A;$A118;FoodLog!$I:$I)))</f>
        <v/>
      </c>
      <c r="V118">
        <f>IF($A118="";"";IF(SUMIF(FoodLog!$A:$A;$A118;FoodLog!$F:$F)=0;"";SUMIF(FoodLog!$A:$A;$A118;FoodLog!$F:$F)))</f>
        <v/>
      </c>
      <c r="W118">
        <f>IF($A118="";"";IF(SUMIF(FoodLog!$A:$A;$A118;FoodLog!$G:$G)=0;"";SUMIF(FoodLog!$A:$A;$A118;FoodLog!$G:$G)))</f>
        <v/>
      </c>
      <c r="X118">
        <f>IF($A118="";"";IF(SUMIF(FoodLog!$A:$A;$A118;FoodLog!$H:$H)=0;"";SUMIF(FoodLog!$A:$A;$A118;FoodLog!$H:$H)))</f>
        <v/>
      </c>
      <c r="Y118">
        <f>IF($A118="";"";IFERROR(ROUND(100*AVERAGE(IF($B118="";"";XLOOKUP($B118;FILTER(Dictionaries!$B:$B;Dictionaries!$A:$A="Тренировка");FILTER(Dictionaries!$C:$C;Dictionaries!$A:$A="Тренировка")));IF($C118="";"";MIN($C118/40;1));IF($D118="";"";XLOOKUP($D118;FILTER(Dictionaries!$B:$B;Dictionaries!$A:$A="Шаги");FILTER(Dictionaries!$C:$C;Dictionaries!$A:$A="Шаги")));IF($E118="";"";MIN($E118/120;1));IF(OR($F118&lt;&gt;"";$G118&lt;&gt;"");1;"");IF($H118="";"";MIN($H118/100;1));IF($L118="";"";XLOOKUP($L118;FILTER(Dictionaries!$B:$B;Dictionaries!$A:$A="Сон_часы");FILTER(Dictionaries!$C:$C;Dictionaries!$A:$A="Сон_часы")));IF($M118="";"";XLOOKUP($M118;FILTER(Dictionaries!$B:$B;Dictionaries!$A:$A="Режим");FILTER(Dictionaries!$C:$C;Dictionaries!$A:$A="Режим")));IF($N118="";"";MIN($N118/100;1));IF($O118="";"";XLOOKUP($O118;FILTER(Dictionaries!$B:$B;Dictionaries!$A:$A="Настроение");FILTER(Dictionaries!$C:$C;Dictionaries!$A:$A="Настроение")));IF($P118="";"";XLOOKUP($P118;FILTER(Dictionaries!$B:$B;Dictionaries!$A:$A="Энергия");FILTER(Dictionaries!$C:$C;Dictionaries!$A:$A="Энергия")));IF($U118="";"";AVERAGE(IF(OR($B118="Ноги";$B118="Верх");IFS(AND($U118&gt;=1900;$U118&lt;=2050);1;AND($U118&gt;=1850;$U118&lt;1900);0,7;AND($U118&gt;2050;$U118&lt;=2100);0,7;TRUE;0,2);IFS(AND($U118&gt;=1700;$U118&lt;=1850);1;AND($U118&gt;=1650;$U118&lt;1700);0,7;AND($U118&gt;1850;$U118&lt;=1900);0,7;TRUE;0,2));IF(OR($B118="Ноги";$B118="Верх");IFS(AND($V118&gt;=125;$V118&lt;=135);1;AND($V118&gt;=115;$V118&lt;125);0,7;AND($V118&gt;135;$V118&lt;=145);0,7;AND($V118&gt;=105;$V118&lt;115);0,4;AND($V118&gt;145;$V118&lt;=155);0,4;TRUE;0,2);IFS(AND($V118&gt;=120;$V118&lt;=130);1;AND($V118&gt;=110;$V118&lt;120);0,7;AND($V118&gt;130;$V118&lt;=140);0,7;AND($V118&gt;=100;$V118&lt;110);0,4;AND($V118&gt;140;$V118&lt;=150);0,4;TRUE;0,2));IFS(AND($W118&gt;=55;$W118&lt;=65);1;AND($W118&gt;=50;$W118&lt;55);0,7;AND($W118&gt;65;$W118&lt;=70);0,7;AND($W118&gt;=45;$W118&lt;50);0,4;AND($W118&gt;70;$W118&lt;=75);0,4;TRUE;0,2);IF(OR($B118="Ноги";$B118="Верх");IFS(AND($X118&gt;=180;$X118&lt;=210);1;AND($X118&gt;=160;$X118&lt;180);0,7;AND($X118&gt;210;$X118&lt;=230);0,7;AND($X118&gt;=140;$X118&lt;160);0,4;AND($X118&gt;230;$X118&lt;=250);0,4;TRUE;0,2);IFS(AND($X118&gt;=140;$X118&lt;=170);1;AND($X118&gt;=120;$X118&lt;140);0,7;AND($X118&gt;170;$X118&lt;=190);0,7;AND($X118&gt;=100;$X118&lt;120);0,4;AND($X118&gt;190;$X118&lt;=210);0,4;TRUE;0,2)))));1);""))</f>
        <v/>
      </c>
      <c r="Z118">
        <f>IF($A118="";"";TEXTJOIN(", ";TRUE;IF($B118="";"Тренировка";"");IF($C118="";"Кардио";"");IF($D118="";"Шаги";"");IF($E118="";"Английский";"");IF($F118="";"Код-режим";"");IF($G118="";"Код-тема";"");IF($H118="";"Чтение";"");IF($L118="";"Сон";"");IF($M118="";"Режим";"");IF($N118="";"Продуктивность";"");IF($O118="";"Настроение";"");IF($P118="";"Энергия";"");IF($U118="";"Еда";"")))</f>
        <v/>
      </c>
    </row>
    <row r="119">
      <c r="B119" t="inlineStr"/>
      <c r="C119" t="inlineStr"/>
      <c r="D119" t="inlineStr"/>
      <c r="E119" t="inlineStr"/>
      <c r="F119" t="inlineStr"/>
      <c r="G119" t="inlineStr"/>
      <c r="H119" t="inlineStr"/>
      <c r="I119" t="inlineStr"/>
      <c r="J119" t="inlineStr"/>
      <c r="K119" t="inlineStr"/>
      <c r="L119" t="inlineStr"/>
      <c r="M119" t="inlineStr"/>
      <c r="N119" t="inlineStr"/>
      <c r="O119" t="inlineStr"/>
      <c r="P119" t="inlineStr"/>
      <c r="Q119" t="inlineStr"/>
      <c r="R119" t="inlineStr"/>
      <c r="S119" t="inlineStr"/>
      <c r="T119" t="inlineStr"/>
      <c r="U119">
        <f>IF($A119="";"";IF(SUMIF(FoodLog!$A:$A;$A119;FoodLog!$I:$I)=0;"";SUMIF(FoodLog!$A:$A;$A119;FoodLog!$I:$I)))</f>
        <v/>
      </c>
      <c r="V119">
        <f>IF($A119="";"";IF(SUMIF(FoodLog!$A:$A;$A119;FoodLog!$F:$F)=0;"";SUMIF(FoodLog!$A:$A;$A119;FoodLog!$F:$F)))</f>
        <v/>
      </c>
      <c r="W119">
        <f>IF($A119="";"";IF(SUMIF(FoodLog!$A:$A;$A119;FoodLog!$G:$G)=0;"";SUMIF(FoodLog!$A:$A;$A119;FoodLog!$G:$G)))</f>
        <v/>
      </c>
      <c r="X119">
        <f>IF($A119="";"";IF(SUMIF(FoodLog!$A:$A;$A119;FoodLog!$H:$H)=0;"";SUMIF(FoodLog!$A:$A;$A119;FoodLog!$H:$H)))</f>
        <v/>
      </c>
      <c r="Y119">
        <f>IF($A119="";"";IFERROR(ROUND(100*AVERAGE(IF($B119="";"";XLOOKUP($B119;FILTER(Dictionaries!$B:$B;Dictionaries!$A:$A="Тренировка");FILTER(Dictionaries!$C:$C;Dictionaries!$A:$A="Тренировка")));IF($C119="";"";MIN($C119/40;1));IF($D119="";"";XLOOKUP($D119;FILTER(Dictionaries!$B:$B;Dictionaries!$A:$A="Шаги");FILTER(Dictionaries!$C:$C;Dictionaries!$A:$A="Шаги")));IF($E119="";"";MIN($E119/120;1));IF(OR($F119&lt;&gt;"";$G119&lt;&gt;"");1;"");IF($H119="";"";MIN($H119/100;1));IF($L119="";"";XLOOKUP($L119;FILTER(Dictionaries!$B:$B;Dictionaries!$A:$A="Сон_часы");FILTER(Dictionaries!$C:$C;Dictionaries!$A:$A="Сон_часы")));IF($M119="";"";XLOOKUP($M119;FILTER(Dictionaries!$B:$B;Dictionaries!$A:$A="Режим");FILTER(Dictionaries!$C:$C;Dictionaries!$A:$A="Режим")));IF($N119="";"";MIN($N119/100;1));IF($O119="";"";XLOOKUP($O119;FILTER(Dictionaries!$B:$B;Dictionaries!$A:$A="Настроение");FILTER(Dictionaries!$C:$C;Dictionaries!$A:$A="Настроение")));IF($P119="";"";XLOOKUP($P119;FILTER(Dictionaries!$B:$B;Dictionaries!$A:$A="Энергия");FILTER(Dictionaries!$C:$C;Dictionaries!$A:$A="Энергия")));IF($U119="";"";AVERAGE(IF(OR($B119="Ноги";$B119="Верх");IFS(AND($U119&gt;=1900;$U119&lt;=2050);1;AND($U119&gt;=1850;$U119&lt;1900);0,7;AND($U119&gt;2050;$U119&lt;=2100);0,7;TRUE;0,2);IFS(AND($U119&gt;=1700;$U119&lt;=1850);1;AND($U119&gt;=1650;$U119&lt;1700);0,7;AND($U119&gt;1850;$U119&lt;=1900);0,7;TRUE;0,2));IF(OR($B119="Ноги";$B119="Верх");IFS(AND($V119&gt;=125;$V119&lt;=135);1;AND($V119&gt;=115;$V119&lt;125);0,7;AND($V119&gt;135;$V119&lt;=145);0,7;AND($V119&gt;=105;$V119&lt;115);0,4;AND($V119&gt;145;$V119&lt;=155);0,4;TRUE;0,2);IFS(AND($V119&gt;=120;$V119&lt;=130);1;AND($V119&gt;=110;$V119&lt;120);0,7;AND($V119&gt;130;$V119&lt;=140);0,7;AND($V119&gt;=100;$V119&lt;110);0,4;AND($V119&gt;140;$V119&lt;=150);0,4;TRUE;0,2));IFS(AND($W119&gt;=55;$W119&lt;=65);1;AND($W119&gt;=50;$W119&lt;55);0,7;AND($W119&gt;65;$W119&lt;=70);0,7;AND($W119&gt;=45;$W119&lt;50);0,4;AND($W119&gt;70;$W119&lt;=75);0,4;TRUE;0,2);IF(OR($B119="Ноги";$B119="Верх");IFS(AND($X119&gt;=180;$X119&lt;=210);1;AND($X119&gt;=160;$X119&lt;180);0,7;AND($X119&gt;210;$X119&lt;=230);0,7;AND($X119&gt;=140;$X119&lt;160);0,4;AND($X119&gt;230;$X119&lt;=250);0,4;TRUE;0,2);IFS(AND($X119&gt;=140;$X119&lt;=170);1;AND($X119&gt;=120;$X119&lt;140);0,7;AND($X119&gt;170;$X119&lt;=190);0,7;AND($X119&gt;=100;$X119&lt;120);0,4;AND($X119&gt;190;$X119&lt;=210);0,4;TRUE;0,2)))));1);""))</f>
        <v/>
      </c>
      <c r="Z119">
        <f>IF($A119="";"";TEXTJOIN(", ";TRUE;IF($B119="";"Тренировка";"");IF($C119="";"Кардио";"");IF($D119="";"Шаги";"");IF($E119="";"Английский";"");IF($F119="";"Код-режим";"");IF($G119="";"Код-тема";"");IF($H119="";"Чтение";"");IF($L119="";"Сон";"");IF($M119="";"Режим";"");IF($N119="";"Продуктивность";"");IF($O119="";"Настроение";"");IF($P119="";"Энергия";"");IF($U119="";"Еда";"")))</f>
        <v/>
      </c>
    </row>
    <row r="120">
      <c r="B120" t="inlineStr"/>
      <c r="C120" t="inlineStr"/>
      <c r="D120" t="inlineStr"/>
      <c r="E120" t="inlineStr"/>
      <c r="F120" t="inlineStr"/>
      <c r="G120" t="inlineStr"/>
      <c r="H120" t="inlineStr"/>
      <c r="I120" t="inlineStr"/>
      <c r="J120" t="inlineStr"/>
      <c r="K120" t="inlineStr"/>
      <c r="L120" t="inlineStr"/>
      <c r="M120" t="inlineStr"/>
      <c r="N120" t="inlineStr"/>
      <c r="O120" t="inlineStr"/>
      <c r="P120" t="inlineStr"/>
      <c r="Q120" t="inlineStr"/>
      <c r="R120" t="inlineStr"/>
      <c r="S120" t="inlineStr"/>
      <c r="T120" t="inlineStr"/>
      <c r="U120">
        <f>IF($A120="";"";IF(SUMIF(FoodLog!$A:$A;$A120;FoodLog!$I:$I)=0;"";SUMIF(FoodLog!$A:$A;$A120;FoodLog!$I:$I)))</f>
        <v/>
      </c>
      <c r="V120">
        <f>IF($A120="";"";IF(SUMIF(FoodLog!$A:$A;$A120;FoodLog!$F:$F)=0;"";SUMIF(FoodLog!$A:$A;$A120;FoodLog!$F:$F)))</f>
        <v/>
      </c>
      <c r="W120">
        <f>IF($A120="";"";IF(SUMIF(FoodLog!$A:$A;$A120;FoodLog!$G:$G)=0;"";SUMIF(FoodLog!$A:$A;$A120;FoodLog!$G:$G)))</f>
        <v/>
      </c>
      <c r="X120">
        <f>IF($A120="";"";IF(SUMIF(FoodLog!$A:$A;$A120;FoodLog!$H:$H)=0;"";SUMIF(FoodLog!$A:$A;$A120;FoodLog!$H:$H)))</f>
        <v/>
      </c>
      <c r="Y120">
        <f>IF($A120="";"";IFERROR(ROUND(100*AVERAGE(IF($B120="";"";XLOOKUP($B120;FILTER(Dictionaries!$B:$B;Dictionaries!$A:$A="Тренировка");FILTER(Dictionaries!$C:$C;Dictionaries!$A:$A="Тренировка")));IF($C120="";"";MIN($C120/40;1));IF($D120="";"";XLOOKUP($D120;FILTER(Dictionaries!$B:$B;Dictionaries!$A:$A="Шаги");FILTER(Dictionaries!$C:$C;Dictionaries!$A:$A="Шаги")));IF($E120="";"";MIN($E120/120;1));IF(OR($F120&lt;&gt;"";$G120&lt;&gt;"");1;"");IF($H120="";"";MIN($H120/100;1));IF($L120="";"";XLOOKUP($L120;FILTER(Dictionaries!$B:$B;Dictionaries!$A:$A="Сон_часы");FILTER(Dictionaries!$C:$C;Dictionaries!$A:$A="Сон_часы")));IF($M120="";"";XLOOKUP($M120;FILTER(Dictionaries!$B:$B;Dictionaries!$A:$A="Режим");FILTER(Dictionaries!$C:$C;Dictionaries!$A:$A="Режим")));IF($N120="";"";MIN($N120/100;1));IF($O120="";"";XLOOKUP($O120;FILTER(Dictionaries!$B:$B;Dictionaries!$A:$A="Настроение");FILTER(Dictionaries!$C:$C;Dictionaries!$A:$A="Настроение")));IF($P120="";"";XLOOKUP($P120;FILTER(Dictionaries!$B:$B;Dictionaries!$A:$A="Энергия");FILTER(Dictionaries!$C:$C;Dictionaries!$A:$A="Энергия")));IF($U120="";"";AVERAGE(IF(OR($B120="Ноги";$B120="Верх");IFS(AND($U120&gt;=1900;$U120&lt;=2050);1;AND($U120&gt;=1850;$U120&lt;1900);0,7;AND($U120&gt;2050;$U120&lt;=2100);0,7;TRUE;0,2);IFS(AND($U120&gt;=1700;$U120&lt;=1850);1;AND($U120&gt;=1650;$U120&lt;1700);0,7;AND($U120&gt;1850;$U120&lt;=1900);0,7;TRUE;0,2));IF(OR($B120="Ноги";$B120="Верх");IFS(AND($V120&gt;=125;$V120&lt;=135);1;AND($V120&gt;=115;$V120&lt;125);0,7;AND($V120&gt;135;$V120&lt;=145);0,7;AND($V120&gt;=105;$V120&lt;115);0,4;AND($V120&gt;145;$V120&lt;=155);0,4;TRUE;0,2);IFS(AND($V120&gt;=120;$V120&lt;=130);1;AND($V120&gt;=110;$V120&lt;120);0,7;AND($V120&gt;130;$V120&lt;=140);0,7;AND($V120&gt;=100;$V120&lt;110);0,4;AND($V120&gt;140;$V120&lt;=150);0,4;TRUE;0,2));IFS(AND($W120&gt;=55;$W120&lt;=65);1;AND($W120&gt;=50;$W120&lt;55);0,7;AND($W120&gt;65;$W120&lt;=70);0,7;AND($W120&gt;=45;$W120&lt;50);0,4;AND($W120&gt;70;$W120&lt;=75);0,4;TRUE;0,2);IF(OR($B120="Ноги";$B120="Верх");IFS(AND($X120&gt;=180;$X120&lt;=210);1;AND($X120&gt;=160;$X120&lt;180);0,7;AND($X120&gt;210;$X120&lt;=230);0,7;AND($X120&gt;=140;$X120&lt;160);0,4;AND($X120&gt;230;$X120&lt;=250);0,4;TRUE;0,2);IFS(AND($X120&gt;=140;$X120&lt;=170);1;AND($X120&gt;=120;$X120&lt;140);0,7;AND($X120&gt;170;$X120&lt;=190);0,7;AND($X120&gt;=100;$X120&lt;120);0,4;AND($X120&gt;190;$X120&lt;=210);0,4;TRUE;0,2)))));1);""))</f>
        <v/>
      </c>
      <c r="Z120">
        <f>IF($A120="";"";TEXTJOIN(", ";TRUE;IF($B120="";"Тренировка";"");IF($C120="";"Кардио";"");IF($D120="";"Шаги";"");IF($E120="";"Английский";"");IF($F120="";"Код-режим";"");IF($G120="";"Код-тема";"");IF($H120="";"Чтение";"");IF($L120="";"Сон";"");IF($M120="";"Режим";"");IF($N120="";"Продуктивность";"");IF($O120="";"Настроение";"");IF($P120="";"Энергия";"");IF($U120="";"Еда";"")))</f>
        <v/>
      </c>
    </row>
    <row r="121">
      <c r="B121" t="inlineStr"/>
      <c r="C121" t="inlineStr"/>
      <c r="D121" t="inlineStr"/>
      <c r="E121" t="inlineStr"/>
      <c r="F121" t="inlineStr"/>
      <c r="G121" t="inlineStr"/>
      <c r="H121" t="inlineStr"/>
      <c r="I121" t="inlineStr"/>
      <c r="J121" t="inlineStr"/>
      <c r="K121" t="inlineStr"/>
      <c r="L121" t="inlineStr"/>
      <c r="M121" t="inlineStr"/>
      <c r="N121" t="inlineStr"/>
      <c r="O121" t="inlineStr"/>
      <c r="P121" t="inlineStr"/>
      <c r="Q121" t="inlineStr"/>
      <c r="R121" t="inlineStr"/>
      <c r="S121" t="inlineStr"/>
      <c r="T121" t="inlineStr"/>
      <c r="U121">
        <f>IF($A121="";"";IF(SUMIF(FoodLog!$A:$A;$A121;FoodLog!$I:$I)=0;"";SUMIF(FoodLog!$A:$A;$A121;FoodLog!$I:$I)))</f>
        <v/>
      </c>
      <c r="V121">
        <f>IF($A121="";"";IF(SUMIF(FoodLog!$A:$A;$A121;FoodLog!$F:$F)=0;"";SUMIF(FoodLog!$A:$A;$A121;FoodLog!$F:$F)))</f>
        <v/>
      </c>
      <c r="W121">
        <f>IF($A121="";"";IF(SUMIF(FoodLog!$A:$A;$A121;FoodLog!$G:$G)=0;"";SUMIF(FoodLog!$A:$A;$A121;FoodLog!$G:$G)))</f>
        <v/>
      </c>
      <c r="X121">
        <f>IF($A121="";"";IF(SUMIF(FoodLog!$A:$A;$A121;FoodLog!$H:$H)=0;"";SUMIF(FoodLog!$A:$A;$A121;FoodLog!$H:$H)))</f>
        <v/>
      </c>
      <c r="Y121">
        <f>IF($A121="";"";IFERROR(ROUND(100*AVERAGE(IF($B121="";"";XLOOKUP($B121;FILTER(Dictionaries!$B:$B;Dictionaries!$A:$A="Тренировка");FILTER(Dictionaries!$C:$C;Dictionaries!$A:$A="Тренировка")));IF($C121="";"";MIN($C121/40;1));IF($D121="";"";XLOOKUP($D121;FILTER(Dictionaries!$B:$B;Dictionaries!$A:$A="Шаги");FILTER(Dictionaries!$C:$C;Dictionaries!$A:$A="Шаги")));IF($E121="";"";MIN($E121/120;1));IF(OR($F121&lt;&gt;"";$G121&lt;&gt;"");1;"");IF($H121="";"";MIN($H121/100;1));IF($L121="";"";XLOOKUP($L121;FILTER(Dictionaries!$B:$B;Dictionaries!$A:$A="Сон_часы");FILTER(Dictionaries!$C:$C;Dictionaries!$A:$A="Сон_часы")));IF($M121="";"";XLOOKUP($M121;FILTER(Dictionaries!$B:$B;Dictionaries!$A:$A="Режим");FILTER(Dictionaries!$C:$C;Dictionaries!$A:$A="Режим")));IF($N121="";"";MIN($N121/100;1));IF($O121="";"";XLOOKUP($O121;FILTER(Dictionaries!$B:$B;Dictionaries!$A:$A="Настроение");FILTER(Dictionaries!$C:$C;Dictionaries!$A:$A="Настроение")));IF($P121="";"";XLOOKUP($P121;FILTER(Dictionaries!$B:$B;Dictionaries!$A:$A="Энергия");FILTER(Dictionaries!$C:$C;Dictionaries!$A:$A="Энергия")));IF($U121="";"";AVERAGE(IF(OR($B121="Ноги";$B121="Верх");IFS(AND($U121&gt;=1900;$U121&lt;=2050);1;AND($U121&gt;=1850;$U121&lt;1900);0,7;AND($U121&gt;2050;$U121&lt;=2100);0,7;TRUE;0,2);IFS(AND($U121&gt;=1700;$U121&lt;=1850);1;AND($U121&gt;=1650;$U121&lt;1700);0,7;AND($U121&gt;1850;$U121&lt;=1900);0,7;TRUE;0,2));IF(OR($B121="Ноги";$B121="Верх");IFS(AND($V121&gt;=125;$V121&lt;=135);1;AND($V121&gt;=115;$V121&lt;125);0,7;AND($V121&gt;135;$V121&lt;=145);0,7;AND($V121&gt;=105;$V121&lt;115);0,4;AND($V121&gt;145;$V121&lt;=155);0,4;TRUE;0,2);IFS(AND($V121&gt;=120;$V121&lt;=130);1;AND($V121&gt;=110;$V121&lt;120);0,7;AND($V121&gt;130;$V121&lt;=140);0,7;AND($V121&gt;=100;$V121&lt;110);0,4;AND($V121&gt;140;$V121&lt;=150);0,4;TRUE;0,2));IFS(AND($W121&gt;=55;$W121&lt;=65);1;AND($W121&gt;=50;$W121&lt;55);0,7;AND($W121&gt;65;$W121&lt;=70);0,7;AND($W121&gt;=45;$W121&lt;50);0,4;AND($W121&gt;70;$W121&lt;=75);0,4;TRUE;0,2);IF(OR($B121="Ноги";$B121="Верх");IFS(AND($X121&gt;=180;$X121&lt;=210);1;AND($X121&gt;=160;$X121&lt;180);0,7;AND($X121&gt;210;$X121&lt;=230);0,7;AND($X121&gt;=140;$X121&lt;160);0,4;AND($X121&gt;230;$X121&lt;=250);0,4;TRUE;0,2);IFS(AND($X121&gt;=140;$X121&lt;=170);1;AND($X121&gt;=120;$X121&lt;140);0,7;AND($X121&gt;170;$X121&lt;=190);0,7;AND($X121&gt;=100;$X121&lt;120);0,4;AND($X121&gt;190;$X121&lt;=210);0,4;TRUE;0,2)))));1);""))</f>
        <v/>
      </c>
      <c r="Z121">
        <f>IF($A121="";"";TEXTJOIN(", ";TRUE;IF($B121="";"Тренировка";"");IF($C121="";"Кардио";"");IF($D121="";"Шаги";"");IF($E121="";"Английский";"");IF($F121="";"Код-режим";"");IF($G121="";"Код-тема";"");IF($H121="";"Чтение";"");IF($L121="";"Сон";"");IF($M121="";"Режим";"");IF($N121="";"Продуктивность";"");IF($O121="";"Настроение";"");IF($P121="";"Энергия";"");IF($U121="";"Еда";"")))</f>
        <v/>
      </c>
    </row>
    <row r="122">
      <c r="B122" t="inlineStr"/>
      <c r="C122" t="inlineStr"/>
      <c r="D122" t="inlineStr"/>
      <c r="E122" t="inlineStr"/>
      <c r="F122" t="inlineStr"/>
      <c r="G122" t="inlineStr"/>
      <c r="H122" t="inlineStr"/>
      <c r="I122" t="inlineStr"/>
      <c r="J122" t="inlineStr"/>
      <c r="K122" t="inlineStr"/>
      <c r="L122" t="inlineStr"/>
      <c r="M122" t="inlineStr"/>
      <c r="N122" t="inlineStr"/>
      <c r="O122" t="inlineStr"/>
      <c r="P122" t="inlineStr"/>
      <c r="Q122" t="inlineStr"/>
      <c r="R122" t="inlineStr"/>
      <c r="S122" t="inlineStr"/>
      <c r="T122" t="inlineStr"/>
      <c r="U122">
        <f>IF($A122="";"";IF(SUMIF(FoodLog!$A:$A;$A122;FoodLog!$I:$I)=0;"";SUMIF(FoodLog!$A:$A;$A122;FoodLog!$I:$I)))</f>
        <v/>
      </c>
      <c r="V122">
        <f>IF($A122="";"";IF(SUMIF(FoodLog!$A:$A;$A122;FoodLog!$F:$F)=0;"";SUMIF(FoodLog!$A:$A;$A122;FoodLog!$F:$F)))</f>
        <v/>
      </c>
      <c r="W122">
        <f>IF($A122="";"";IF(SUMIF(FoodLog!$A:$A;$A122;FoodLog!$G:$G)=0;"";SUMIF(FoodLog!$A:$A;$A122;FoodLog!$G:$G)))</f>
        <v/>
      </c>
      <c r="X122">
        <f>IF($A122="";"";IF(SUMIF(FoodLog!$A:$A;$A122;FoodLog!$H:$H)=0;"";SUMIF(FoodLog!$A:$A;$A122;FoodLog!$H:$H)))</f>
        <v/>
      </c>
      <c r="Y122">
        <f>IF($A122="";"";IFERROR(ROUND(100*AVERAGE(IF($B122="";"";XLOOKUP($B122;FILTER(Dictionaries!$B:$B;Dictionaries!$A:$A="Тренировка");FILTER(Dictionaries!$C:$C;Dictionaries!$A:$A="Тренировка")));IF($C122="";"";MIN($C122/40;1));IF($D122="";"";XLOOKUP($D122;FILTER(Dictionaries!$B:$B;Dictionaries!$A:$A="Шаги");FILTER(Dictionaries!$C:$C;Dictionaries!$A:$A="Шаги")));IF($E122="";"";MIN($E122/120;1));IF(OR($F122&lt;&gt;"";$G122&lt;&gt;"");1;"");IF($H122="";"";MIN($H122/100;1));IF($L122="";"";XLOOKUP($L122;FILTER(Dictionaries!$B:$B;Dictionaries!$A:$A="Сон_часы");FILTER(Dictionaries!$C:$C;Dictionaries!$A:$A="Сон_часы")));IF($M122="";"";XLOOKUP($M122;FILTER(Dictionaries!$B:$B;Dictionaries!$A:$A="Режим");FILTER(Dictionaries!$C:$C;Dictionaries!$A:$A="Режим")));IF($N122="";"";MIN($N122/100;1));IF($O122="";"";XLOOKUP($O122;FILTER(Dictionaries!$B:$B;Dictionaries!$A:$A="Настроение");FILTER(Dictionaries!$C:$C;Dictionaries!$A:$A="Настроение")));IF($P122="";"";XLOOKUP($P122;FILTER(Dictionaries!$B:$B;Dictionaries!$A:$A="Энергия");FILTER(Dictionaries!$C:$C;Dictionaries!$A:$A="Энергия")));IF($U122="";"";AVERAGE(IF(OR($B122="Ноги";$B122="Верх");IFS(AND($U122&gt;=1900;$U122&lt;=2050);1;AND($U122&gt;=1850;$U122&lt;1900);0,7;AND($U122&gt;2050;$U122&lt;=2100);0,7;TRUE;0,2);IFS(AND($U122&gt;=1700;$U122&lt;=1850);1;AND($U122&gt;=1650;$U122&lt;1700);0,7;AND($U122&gt;1850;$U122&lt;=1900);0,7;TRUE;0,2));IF(OR($B122="Ноги";$B122="Верх");IFS(AND($V122&gt;=125;$V122&lt;=135);1;AND($V122&gt;=115;$V122&lt;125);0,7;AND($V122&gt;135;$V122&lt;=145);0,7;AND($V122&gt;=105;$V122&lt;115);0,4;AND($V122&gt;145;$V122&lt;=155);0,4;TRUE;0,2);IFS(AND($V122&gt;=120;$V122&lt;=130);1;AND($V122&gt;=110;$V122&lt;120);0,7;AND($V122&gt;130;$V122&lt;=140);0,7;AND($V122&gt;=100;$V122&lt;110);0,4;AND($V122&gt;140;$V122&lt;=150);0,4;TRUE;0,2));IFS(AND($W122&gt;=55;$W122&lt;=65);1;AND($W122&gt;=50;$W122&lt;55);0,7;AND($W122&gt;65;$W122&lt;=70);0,7;AND($W122&gt;=45;$W122&lt;50);0,4;AND($W122&gt;70;$W122&lt;=75);0,4;TRUE;0,2);IF(OR($B122="Ноги";$B122="Верх");IFS(AND($X122&gt;=180;$X122&lt;=210);1;AND($X122&gt;=160;$X122&lt;180);0,7;AND($X122&gt;210;$X122&lt;=230);0,7;AND($X122&gt;=140;$X122&lt;160);0,4;AND($X122&gt;230;$X122&lt;=250);0,4;TRUE;0,2);IFS(AND($X122&gt;=140;$X122&lt;=170);1;AND($X122&gt;=120;$X122&lt;140);0,7;AND($X122&gt;170;$X122&lt;=190);0,7;AND($X122&gt;=100;$X122&lt;120);0,4;AND($X122&gt;190;$X122&lt;=210);0,4;TRUE;0,2)))));1);""))</f>
        <v/>
      </c>
      <c r="Z122">
        <f>IF($A122="";"";TEXTJOIN(", ";TRUE;IF($B122="";"Тренировка";"");IF($C122="";"Кардио";"");IF($D122="";"Шаги";"");IF($E122="";"Английский";"");IF($F122="";"Код-режим";"");IF($G122="";"Код-тема";"");IF($H122="";"Чтение";"");IF($L122="";"Сон";"");IF($M122="";"Режим";"");IF($N122="";"Продуктивность";"");IF($O122="";"Настроение";"");IF($P122="";"Энергия";"");IF($U122="";"Еда";"")))</f>
        <v/>
      </c>
    </row>
    <row r="123">
      <c r="B123" t="inlineStr"/>
      <c r="C123" t="inlineStr"/>
      <c r="D123" t="inlineStr"/>
      <c r="E123" t="inlineStr"/>
      <c r="F123" t="inlineStr"/>
      <c r="G123" t="inlineStr"/>
      <c r="H123" t="inlineStr"/>
      <c r="I123" t="inlineStr"/>
      <c r="J123" t="inlineStr"/>
      <c r="K123" t="inlineStr"/>
      <c r="L123" t="inlineStr"/>
      <c r="M123" t="inlineStr"/>
      <c r="N123" t="inlineStr"/>
      <c r="O123" t="inlineStr"/>
      <c r="P123" t="inlineStr"/>
      <c r="Q123" t="inlineStr"/>
      <c r="R123" t="inlineStr"/>
      <c r="S123" t="inlineStr"/>
      <c r="T123" t="inlineStr"/>
      <c r="U123">
        <f>IF($A123="";"";IF(SUMIF(FoodLog!$A:$A;$A123;FoodLog!$I:$I)=0;"";SUMIF(FoodLog!$A:$A;$A123;FoodLog!$I:$I)))</f>
        <v/>
      </c>
      <c r="V123">
        <f>IF($A123="";"";IF(SUMIF(FoodLog!$A:$A;$A123;FoodLog!$F:$F)=0;"";SUMIF(FoodLog!$A:$A;$A123;FoodLog!$F:$F)))</f>
        <v/>
      </c>
      <c r="W123">
        <f>IF($A123="";"";IF(SUMIF(FoodLog!$A:$A;$A123;FoodLog!$G:$G)=0;"";SUMIF(FoodLog!$A:$A;$A123;FoodLog!$G:$G)))</f>
        <v/>
      </c>
      <c r="X123">
        <f>IF($A123="";"";IF(SUMIF(FoodLog!$A:$A;$A123;FoodLog!$H:$H)=0;"";SUMIF(FoodLog!$A:$A;$A123;FoodLog!$H:$H)))</f>
        <v/>
      </c>
      <c r="Y123">
        <f>IF($A123="";"";IFERROR(ROUND(100*AVERAGE(IF($B123="";"";XLOOKUP($B123;FILTER(Dictionaries!$B:$B;Dictionaries!$A:$A="Тренировка");FILTER(Dictionaries!$C:$C;Dictionaries!$A:$A="Тренировка")));IF($C123="";"";MIN($C123/40;1));IF($D123="";"";XLOOKUP($D123;FILTER(Dictionaries!$B:$B;Dictionaries!$A:$A="Шаги");FILTER(Dictionaries!$C:$C;Dictionaries!$A:$A="Шаги")));IF($E123="";"";MIN($E123/120;1));IF(OR($F123&lt;&gt;"";$G123&lt;&gt;"");1;"");IF($H123="";"";MIN($H123/100;1));IF($L123="";"";XLOOKUP($L123;FILTER(Dictionaries!$B:$B;Dictionaries!$A:$A="Сон_часы");FILTER(Dictionaries!$C:$C;Dictionaries!$A:$A="Сон_часы")));IF($M123="";"";XLOOKUP($M123;FILTER(Dictionaries!$B:$B;Dictionaries!$A:$A="Режим");FILTER(Dictionaries!$C:$C;Dictionaries!$A:$A="Режим")));IF($N123="";"";MIN($N123/100;1));IF($O123="";"";XLOOKUP($O123;FILTER(Dictionaries!$B:$B;Dictionaries!$A:$A="Настроение");FILTER(Dictionaries!$C:$C;Dictionaries!$A:$A="Настроение")));IF($P123="";"";XLOOKUP($P123;FILTER(Dictionaries!$B:$B;Dictionaries!$A:$A="Энергия");FILTER(Dictionaries!$C:$C;Dictionaries!$A:$A="Энергия")));IF($U123="";"";AVERAGE(IF(OR($B123="Ноги";$B123="Верх");IFS(AND($U123&gt;=1900;$U123&lt;=2050);1;AND($U123&gt;=1850;$U123&lt;1900);0,7;AND($U123&gt;2050;$U123&lt;=2100);0,7;TRUE;0,2);IFS(AND($U123&gt;=1700;$U123&lt;=1850);1;AND($U123&gt;=1650;$U123&lt;1700);0,7;AND($U123&gt;1850;$U123&lt;=1900);0,7;TRUE;0,2));IF(OR($B123="Ноги";$B123="Верх");IFS(AND($V123&gt;=125;$V123&lt;=135);1;AND($V123&gt;=115;$V123&lt;125);0,7;AND($V123&gt;135;$V123&lt;=145);0,7;AND($V123&gt;=105;$V123&lt;115);0,4;AND($V123&gt;145;$V123&lt;=155);0,4;TRUE;0,2);IFS(AND($V123&gt;=120;$V123&lt;=130);1;AND($V123&gt;=110;$V123&lt;120);0,7;AND($V123&gt;130;$V123&lt;=140);0,7;AND($V123&gt;=100;$V123&lt;110);0,4;AND($V123&gt;140;$V123&lt;=150);0,4;TRUE;0,2));IFS(AND($W123&gt;=55;$W123&lt;=65);1;AND($W123&gt;=50;$W123&lt;55);0,7;AND($W123&gt;65;$W123&lt;=70);0,7;AND($W123&gt;=45;$W123&lt;50);0,4;AND($W123&gt;70;$W123&lt;=75);0,4;TRUE;0,2);IF(OR($B123="Ноги";$B123="Верх");IFS(AND($X123&gt;=180;$X123&lt;=210);1;AND($X123&gt;=160;$X123&lt;180);0,7;AND($X123&gt;210;$X123&lt;=230);0,7;AND($X123&gt;=140;$X123&lt;160);0,4;AND($X123&gt;230;$X123&lt;=250);0,4;TRUE;0,2);IFS(AND($X123&gt;=140;$X123&lt;=170);1;AND($X123&gt;=120;$X123&lt;140);0,7;AND($X123&gt;170;$X123&lt;=190);0,7;AND($X123&gt;=100;$X123&lt;120);0,4;AND($X123&gt;190;$X123&lt;=210);0,4;TRUE;0,2)))));1);""))</f>
        <v/>
      </c>
      <c r="Z123">
        <f>IF($A123="";"";TEXTJOIN(", ";TRUE;IF($B123="";"Тренировка";"");IF($C123="";"Кардио";"");IF($D123="";"Шаги";"");IF($E123="";"Английский";"");IF($F123="";"Код-режим";"");IF($G123="";"Код-тема";"");IF($H123="";"Чтение";"");IF($L123="";"Сон";"");IF($M123="";"Режим";"");IF($N123="";"Продуктивность";"");IF($O123="";"Настроение";"");IF($P123="";"Энергия";"");IF($U123="";"Еда";"")))</f>
        <v/>
      </c>
    </row>
    <row r="124">
      <c r="B124" t="inlineStr"/>
      <c r="C124" t="inlineStr"/>
      <c r="D124" t="inlineStr"/>
      <c r="E124" t="inlineStr"/>
      <c r="F124" t="inlineStr"/>
      <c r="G124" t="inlineStr"/>
      <c r="H124" t="inlineStr"/>
      <c r="I124" t="inlineStr"/>
      <c r="J124" t="inlineStr"/>
      <c r="K124" t="inlineStr"/>
      <c r="L124" t="inlineStr"/>
      <c r="M124" t="inlineStr"/>
      <c r="N124" t="inlineStr"/>
      <c r="O124" t="inlineStr"/>
      <c r="P124" t="inlineStr"/>
      <c r="Q124" t="inlineStr"/>
      <c r="R124" t="inlineStr"/>
      <c r="S124" t="inlineStr"/>
      <c r="T124" t="inlineStr"/>
      <c r="U124">
        <f>IF($A124="";"";IF(SUMIF(FoodLog!$A:$A;$A124;FoodLog!$I:$I)=0;"";SUMIF(FoodLog!$A:$A;$A124;FoodLog!$I:$I)))</f>
        <v/>
      </c>
      <c r="V124">
        <f>IF($A124="";"";IF(SUMIF(FoodLog!$A:$A;$A124;FoodLog!$F:$F)=0;"";SUMIF(FoodLog!$A:$A;$A124;FoodLog!$F:$F)))</f>
        <v/>
      </c>
      <c r="W124">
        <f>IF($A124="";"";IF(SUMIF(FoodLog!$A:$A;$A124;FoodLog!$G:$G)=0;"";SUMIF(FoodLog!$A:$A;$A124;FoodLog!$G:$G)))</f>
        <v/>
      </c>
      <c r="X124">
        <f>IF($A124="";"";IF(SUMIF(FoodLog!$A:$A;$A124;FoodLog!$H:$H)=0;"";SUMIF(FoodLog!$A:$A;$A124;FoodLog!$H:$H)))</f>
        <v/>
      </c>
      <c r="Y124">
        <f>IF($A124="";"";IFERROR(ROUND(100*AVERAGE(IF($B124="";"";XLOOKUP($B124;FILTER(Dictionaries!$B:$B;Dictionaries!$A:$A="Тренировка");FILTER(Dictionaries!$C:$C;Dictionaries!$A:$A="Тренировка")));IF($C124="";"";MIN($C124/40;1));IF($D124="";"";XLOOKUP($D124;FILTER(Dictionaries!$B:$B;Dictionaries!$A:$A="Шаги");FILTER(Dictionaries!$C:$C;Dictionaries!$A:$A="Шаги")));IF($E124="";"";MIN($E124/120;1));IF(OR($F124&lt;&gt;"";$G124&lt;&gt;"");1;"");IF($H124="";"";MIN($H124/100;1));IF($L124="";"";XLOOKUP($L124;FILTER(Dictionaries!$B:$B;Dictionaries!$A:$A="Сон_часы");FILTER(Dictionaries!$C:$C;Dictionaries!$A:$A="Сон_часы")));IF($M124="";"";XLOOKUP($M124;FILTER(Dictionaries!$B:$B;Dictionaries!$A:$A="Режим");FILTER(Dictionaries!$C:$C;Dictionaries!$A:$A="Режим")));IF($N124="";"";MIN($N124/100;1));IF($O124="";"";XLOOKUP($O124;FILTER(Dictionaries!$B:$B;Dictionaries!$A:$A="Настроение");FILTER(Dictionaries!$C:$C;Dictionaries!$A:$A="Настроение")));IF($P124="";"";XLOOKUP($P124;FILTER(Dictionaries!$B:$B;Dictionaries!$A:$A="Энергия");FILTER(Dictionaries!$C:$C;Dictionaries!$A:$A="Энергия")));IF($U124="";"";AVERAGE(IF(OR($B124="Ноги";$B124="Верх");IFS(AND($U124&gt;=1900;$U124&lt;=2050);1;AND($U124&gt;=1850;$U124&lt;1900);0,7;AND($U124&gt;2050;$U124&lt;=2100);0,7;TRUE;0,2);IFS(AND($U124&gt;=1700;$U124&lt;=1850);1;AND($U124&gt;=1650;$U124&lt;1700);0,7;AND($U124&gt;1850;$U124&lt;=1900);0,7;TRUE;0,2));IF(OR($B124="Ноги";$B124="Верх");IFS(AND($V124&gt;=125;$V124&lt;=135);1;AND($V124&gt;=115;$V124&lt;125);0,7;AND($V124&gt;135;$V124&lt;=145);0,7;AND($V124&gt;=105;$V124&lt;115);0,4;AND($V124&gt;145;$V124&lt;=155);0,4;TRUE;0,2);IFS(AND($V124&gt;=120;$V124&lt;=130);1;AND($V124&gt;=110;$V124&lt;120);0,7;AND($V124&gt;130;$V124&lt;=140);0,7;AND($V124&gt;=100;$V124&lt;110);0,4;AND($V124&gt;140;$V124&lt;=150);0,4;TRUE;0,2));IFS(AND($W124&gt;=55;$W124&lt;=65);1;AND($W124&gt;=50;$W124&lt;55);0,7;AND($W124&gt;65;$W124&lt;=70);0,7;AND($W124&gt;=45;$W124&lt;50);0,4;AND($W124&gt;70;$W124&lt;=75);0,4;TRUE;0,2);IF(OR($B124="Ноги";$B124="Верх");IFS(AND($X124&gt;=180;$X124&lt;=210);1;AND($X124&gt;=160;$X124&lt;180);0,7;AND($X124&gt;210;$X124&lt;=230);0,7;AND($X124&gt;=140;$X124&lt;160);0,4;AND($X124&gt;230;$X124&lt;=250);0,4;TRUE;0,2);IFS(AND($X124&gt;=140;$X124&lt;=170);1;AND($X124&gt;=120;$X124&lt;140);0,7;AND($X124&gt;170;$X124&lt;=190);0,7;AND($X124&gt;=100;$X124&lt;120);0,4;AND($X124&gt;190;$X124&lt;=210);0,4;TRUE;0,2)))));1);""))</f>
        <v/>
      </c>
      <c r="Z124">
        <f>IF($A124="";"";TEXTJOIN(", ";TRUE;IF($B124="";"Тренировка";"");IF($C124="";"Кардио";"");IF($D124="";"Шаги";"");IF($E124="";"Английский";"");IF($F124="";"Код-режим";"");IF($G124="";"Код-тема";"");IF($H124="";"Чтение";"");IF($L124="";"Сон";"");IF($M124="";"Режим";"");IF($N124="";"Продуктивность";"");IF($O124="";"Настроение";"");IF($P124="";"Энергия";"");IF($U124="";"Еда";"")))</f>
        <v/>
      </c>
    </row>
    <row r="125">
      <c r="B125" t="inlineStr"/>
      <c r="C125" t="inlineStr"/>
      <c r="D125" t="inlineStr"/>
      <c r="E125" t="inlineStr"/>
      <c r="F125" t="inlineStr"/>
      <c r="G125" t="inlineStr"/>
      <c r="H125" t="inlineStr"/>
      <c r="I125" t="inlineStr"/>
      <c r="J125" t="inlineStr"/>
      <c r="K125" t="inlineStr"/>
      <c r="L125" t="inlineStr"/>
      <c r="M125" t="inlineStr"/>
      <c r="N125" t="inlineStr"/>
      <c r="O125" t="inlineStr"/>
      <c r="P125" t="inlineStr"/>
      <c r="Q125" t="inlineStr"/>
      <c r="R125" t="inlineStr"/>
      <c r="S125" t="inlineStr"/>
      <c r="T125" t="inlineStr"/>
      <c r="U125">
        <f>IF($A125="";"";IF(SUMIF(FoodLog!$A:$A;$A125;FoodLog!$I:$I)=0;"";SUMIF(FoodLog!$A:$A;$A125;FoodLog!$I:$I)))</f>
        <v/>
      </c>
      <c r="V125">
        <f>IF($A125="";"";IF(SUMIF(FoodLog!$A:$A;$A125;FoodLog!$F:$F)=0;"";SUMIF(FoodLog!$A:$A;$A125;FoodLog!$F:$F)))</f>
        <v/>
      </c>
      <c r="W125">
        <f>IF($A125="";"";IF(SUMIF(FoodLog!$A:$A;$A125;FoodLog!$G:$G)=0;"";SUMIF(FoodLog!$A:$A;$A125;FoodLog!$G:$G)))</f>
        <v/>
      </c>
      <c r="X125">
        <f>IF($A125="";"";IF(SUMIF(FoodLog!$A:$A;$A125;FoodLog!$H:$H)=0;"";SUMIF(FoodLog!$A:$A;$A125;FoodLog!$H:$H)))</f>
        <v/>
      </c>
      <c r="Y125">
        <f>IF($A125="";"";IFERROR(ROUND(100*AVERAGE(IF($B125="";"";XLOOKUP($B125;FILTER(Dictionaries!$B:$B;Dictionaries!$A:$A="Тренировка");FILTER(Dictionaries!$C:$C;Dictionaries!$A:$A="Тренировка")));IF($C125="";"";MIN($C125/40;1));IF($D125="";"";XLOOKUP($D125;FILTER(Dictionaries!$B:$B;Dictionaries!$A:$A="Шаги");FILTER(Dictionaries!$C:$C;Dictionaries!$A:$A="Шаги")));IF($E125="";"";MIN($E125/120;1));IF(OR($F125&lt;&gt;"";$G125&lt;&gt;"");1;"");IF($H125="";"";MIN($H125/100;1));IF($L125="";"";XLOOKUP($L125;FILTER(Dictionaries!$B:$B;Dictionaries!$A:$A="Сон_часы");FILTER(Dictionaries!$C:$C;Dictionaries!$A:$A="Сон_часы")));IF($M125="";"";XLOOKUP($M125;FILTER(Dictionaries!$B:$B;Dictionaries!$A:$A="Режим");FILTER(Dictionaries!$C:$C;Dictionaries!$A:$A="Режим")));IF($N125="";"";MIN($N125/100;1));IF($O125="";"";XLOOKUP($O125;FILTER(Dictionaries!$B:$B;Dictionaries!$A:$A="Настроение");FILTER(Dictionaries!$C:$C;Dictionaries!$A:$A="Настроение")));IF($P125="";"";XLOOKUP($P125;FILTER(Dictionaries!$B:$B;Dictionaries!$A:$A="Энергия");FILTER(Dictionaries!$C:$C;Dictionaries!$A:$A="Энергия")));IF($U125="";"";AVERAGE(IF(OR($B125="Ноги";$B125="Верх");IFS(AND($U125&gt;=1900;$U125&lt;=2050);1;AND($U125&gt;=1850;$U125&lt;1900);0,7;AND($U125&gt;2050;$U125&lt;=2100);0,7;TRUE;0,2);IFS(AND($U125&gt;=1700;$U125&lt;=1850);1;AND($U125&gt;=1650;$U125&lt;1700);0,7;AND($U125&gt;1850;$U125&lt;=1900);0,7;TRUE;0,2));IF(OR($B125="Ноги";$B125="Верх");IFS(AND($V125&gt;=125;$V125&lt;=135);1;AND($V125&gt;=115;$V125&lt;125);0,7;AND($V125&gt;135;$V125&lt;=145);0,7;AND($V125&gt;=105;$V125&lt;115);0,4;AND($V125&gt;145;$V125&lt;=155);0,4;TRUE;0,2);IFS(AND($V125&gt;=120;$V125&lt;=130);1;AND($V125&gt;=110;$V125&lt;120);0,7;AND($V125&gt;130;$V125&lt;=140);0,7;AND($V125&gt;=100;$V125&lt;110);0,4;AND($V125&gt;140;$V125&lt;=150);0,4;TRUE;0,2));IFS(AND($W125&gt;=55;$W125&lt;=65);1;AND($W125&gt;=50;$W125&lt;55);0,7;AND($W125&gt;65;$W125&lt;=70);0,7;AND($W125&gt;=45;$W125&lt;50);0,4;AND($W125&gt;70;$W125&lt;=75);0,4;TRUE;0,2);IF(OR($B125="Ноги";$B125="Верх");IFS(AND($X125&gt;=180;$X125&lt;=210);1;AND($X125&gt;=160;$X125&lt;180);0,7;AND($X125&gt;210;$X125&lt;=230);0,7;AND($X125&gt;=140;$X125&lt;160);0,4;AND($X125&gt;230;$X125&lt;=250);0,4;TRUE;0,2);IFS(AND($X125&gt;=140;$X125&lt;=170);1;AND($X125&gt;=120;$X125&lt;140);0,7;AND($X125&gt;170;$X125&lt;=190);0,7;AND($X125&gt;=100;$X125&lt;120);0,4;AND($X125&gt;190;$X125&lt;=210);0,4;TRUE;0,2)))));1);""))</f>
        <v/>
      </c>
      <c r="Z125">
        <f>IF($A125="";"";TEXTJOIN(", ";TRUE;IF($B125="";"Тренировка";"");IF($C125="";"Кардио";"");IF($D125="";"Шаги";"");IF($E125="";"Английский";"");IF($F125="";"Код-режим";"");IF($G125="";"Код-тема";"");IF($H125="";"Чтение";"");IF($L125="";"Сон";"");IF($M125="";"Режим";"");IF($N125="";"Продуктивность";"");IF($O125="";"Настроение";"");IF($P125="";"Энергия";"");IF($U125="";"Еда";"")))</f>
        <v/>
      </c>
    </row>
    <row r="126">
      <c r="B126" t="inlineStr"/>
      <c r="C126" t="inlineStr"/>
      <c r="D126" t="inlineStr"/>
      <c r="E126" t="inlineStr"/>
      <c r="F126" t="inlineStr"/>
      <c r="G126" t="inlineStr"/>
      <c r="H126" t="inlineStr"/>
      <c r="I126" t="inlineStr"/>
      <c r="J126" t="inlineStr"/>
      <c r="K126" t="inlineStr"/>
      <c r="L126" t="inlineStr"/>
      <c r="M126" t="inlineStr"/>
      <c r="N126" t="inlineStr"/>
      <c r="O126" t="inlineStr"/>
      <c r="P126" t="inlineStr"/>
      <c r="Q126" t="inlineStr"/>
      <c r="R126" t="inlineStr"/>
      <c r="S126" t="inlineStr"/>
      <c r="T126" t="inlineStr"/>
      <c r="U126">
        <f>IF($A126="";"";IF(SUMIF(FoodLog!$A:$A;$A126;FoodLog!$I:$I)=0;"";SUMIF(FoodLog!$A:$A;$A126;FoodLog!$I:$I)))</f>
        <v/>
      </c>
      <c r="V126">
        <f>IF($A126="";"";IF(SUMIF(FoodLog!$A:$A;$A126;FoodLog!$F:$F)=0;"";SUMIF(FoodLog!$A:$A;$A126;FoodLog!$F:$F)))</f>
        <v/>
      </c>
      <c r="W126">
        <f>IF($A126="";"";IF(SUMIF(FoodLog!$A:$A;$A126;FoodLog!$G:$G)=0;"";SUMIF(FoodLog!$A:$A;$A126;FoodLog!$G:$G)))</f>
        <v/>
      </c>
      <c r="X126">
        <f>IF($A126="";"";IF(SUMIF(FoodLog!$A:$A;$A126;FoodLog!$H:$H)=0;"";SUMIF(FoodLog!$A:$A;$A126;FoodLog!$H:$H)))</f>
        <v/>
      </c>
      <c r="Y126">
        <f>IF($A126="";"";IFERROR(ROUND(100*AVERAGE(IF($B126="";"";XLOOKUP($B126;FILTER(Dictionaries!$B:$B;Dictionaries!$A:$A="Тренировка");FILTER(Dictionaries!$C:$C;Dictionaries!$A:$A="Тренировка")));IF($C126="";"";MIN($C126/40;1));IF($D126="";"";XLOOKUP($D126;FILTER(Dictionaries!$B:$B;Dictionaries!$A:$A="Шаги");FILTER(Dictionaries!$C:$C;Dictionaries!$A:$A="Шаги")));IF($E126="";"";MIN($E126/120;1));IF(OR($F126&lt;&gt;"";$G126&lt;&gt;"");1;"");IF($H126="";"";MIN($H126/100;1));IF($L126="";"";XLOOKUP($L126;FILTER(Dictionaries!$B:$B;Dictionaries!$A:$A="Сон_часы");FILTER(Dictionaries!$C:$C;Dictionaries!$A:$A="Сон_часы")));IF($M126="";"";XLOOKUP($M126;FILTER(Dictionaries!$B:$B;Dictionaries!$A:$A="Режим");FILTER(Dictionaries!$C:$C;Dictionaries!$A:$A="Режим")));IF($N126="";"";MIN($N126/100;1));IF($O126="";"";XLOOKUP($O126;FILTER(Dictionaries!$B:$B;Dictionaries!$A:$A="Настроение");FILTER(Dictionaries!$C:$C;Dictionaries!$A:$A="Настроение")));IF($P126="";"";XLOOKUP($P126;FILTER(Dictionaries!$B:$B;Dictionaries!$A:$A="Энергия");FILTER(Dictionaries!$C:$C;Dictionaries!$A:$A="Энергия")));IF($U126="";"";AVERAGE(IF(OR($B126="Ноги";$B126="Верх");IFS(AND($U126&gt;=1900;$U126&lt;=2050);1;AND($U126&gt;=1850;$U126&lt;1900);0,7;AND($U126&gt;2050;$U126&lt;=2100);0,7;TRUE;0,2);IFS(AND($U126&gt;=1700;$U126&lt;=1850);1;AND($U126&gt;=1650;$U126&lt;1700);0,7;AND($U126&gt;1850;$U126&lt;=1900);0,7;TRUE;0,2));IF(OR($B126="Ноги";$B126="Верх");IFS(AND($V126&gt;=125;$V126&lt;=135);1;AND($V126&gt;=115;$V126&lt;125);0,7;AND($V126&gt;135;$V126&lt;=145);0,7;AND($V126&gt;=105;$V126&lt;115);0,4;AND($V126&gt;145;$V126&lt;=155);0,4;TRUE;0,2);IFS(AND($V126&gt;=120;$V126&lt;=130);1;AND($V126&gt;=110;$V126&lt;120);0,7;AND($V126&gt;130;$V126&lt;=140);0,7;AND($V126&gt;=100;$V126&lt;110);0,4;AND($V126&gt;140;$V126&lt;=150);0,4;TRUE;0,2));IFS(AND($W126&gt;=55;$W126&lt;=65);1;AND($W126&gt;=50;$W126&lt;55);0,7;AND($W126&gt;65;$W126&lt;=70);0,7;AND($W126&gt;=45;$W126&lt;50);0,4;AND($W126&gt;70;$W126&lt;=75);0,4;TRUE;0,2);IF(OR($B126="Ноги";$B126="Верх");IFS(AND($X126&gt;=180;$X126&lt;=210);1;AND($X126&gt;=160;$X126&lt;180);0,7;AND($X126&gt;210;$X126&lt;=230);0,7;AND($X126&gt;=140;$X126&lt;160);0,4;AND($X126&gt;230;$X126&lt;=250);0,4;TRUE;0,2);IFS(AND($X126&gt;=140;$X126&lt;=170);1;AND($X126&gt;=120;$X126&lt;140);0,7;AND($X126&gt;170;$X126&lt;=190);0,7;AND($X126&gt;=100;$X126&lt;120);0,4;AND($X126&gt;190;$X126&lt;=210);0,4;TRUE;0,2)))));1);""))</f>
        <v/>
      </c>
      <c r="Z126">
        <f>IF($A126="";"";TEXTJOIN(", ";TRUE;IF($B126="";"Тренировка";"");IF($C126="";"Кардио";"");IF($D126="";"Шаги";"");IF($E126="";"Английский";"");IF($F126="";"Код-режим";"");IF($G126="";"Код-тема";"");IF($H126="";"Чтение";"");IF($L126="";"Сон";"");IF($M126="";"Режим";"");IF($N126="";"Продуктивность";"");IF($O126="";"Настроение";"");IF($P126="";"Энергия";"");IF($U126="";"Еда";"")))</f>
        <v/>
      </c>
    </row>
    <row r="127">
      <c r="B127" t="inlineStr"/>
      <c r="C127" t="inlineStr"/>
      <c r="D127" t="inlineStr"/>
      <c r="E127" t="inlineStr"/>
      <c r="F127" t="inlineStr"/>
      <c r="G127" t="inlineStr"/>
      <c r="H127" t="inlineStr"/>
      <c r="I127" t="inlineStr"/>
      <c r="J127" t="inlineStr"/>
      <c r="K127" t="inlineStr"/>
      <c r="L127" t="inlineStr"/>
      <c r="M127" t="inlineStr"/>
      <c r="N127" t="inlineStr"/>
      <c r="O127" t="inlineStr"/>
      <c r="P127" t="inlineStr"/>
      <c r="Q127" t="inlineStr"/>
      <c r="R127" t="inlineStr"/>
      <c r="S127" t="inlineStr"/>
      <c r="T127" t="inlineStr"/>
      <c r="U127">
        <f>IF($A127="";"";IF(SUMIF(FoodLog!$A:$A;$A127;FoodLog!$I:$I)=0;"";SUMIF(FoodLog!$A:$A;$A127;FoodLog!$I:$I)))</f>
        <v/>
      </c>
      <c r="V127">
        <f>IF($A127="";"";IF(SUMIF(FoodLog!$A:$A;$A127;FoodLog!$F:$F)=0;"";SUMIF(FoodLog!$A:$A;$A127;FoodLog!$F:$F)))</f>
        <v/>
      </c>
      <c r="W127">
        <f>IF($A127="";"";IF(SUMIF(FoodLog!$A:$A;$A127;FoodLog!$G:$G)=0;"";SUMIF(FoodLog!$A:$A;$A127;FoodLog!$G:$G)))</f>
        <v/>
      </c>
      <c r="X127">
        <f>IF($A127="";"";IF(SUMIF(FoodLog!$A:$A;$A127;FoodLog!$H:$H)=0;"";SUMIF(FoodLog!$A:$A;$A127;FoodLog!$H:$H)))</f>
        <v/>
      </c>
      <c r="Y127">
        <f>IF($A127="";"";IFERROR(ROUND(100*AVERAGE(IF($B127="";"";XLOOKUP($B127;FILTER(Dictionaries!$B:$B;Dictionaries!$A:$A="Тренировка");FILTER(Dictionaries!$C:$C;Dictionaries!$A:$A="Тренировка")));IF($C127="";"";MIN($C127/40;1));IF($D127="";"";XLOOKUP($D127;FILTER(Dictionaries!$B:$B;Dictionaries!$A:$A="Шаги");FILTER(Dictionaries!$C:$C;Dictionaries!$A:$A="Шаги")));IF($E127="";"";MIN($E127/120;1));IF(OR($F127&lt;&gt;"";$G127&lt;&gt;"");1;"");IF($H127="";"";MIN($H127/100;1));IF($L127="";"";XLOOKUP($L127;FILTER(Dictionaries!$B:$B;Dictionaries!$A:$A="Сон_часы");FILTER(Dictionaries!$C:$C;Dictionaries!$A:$A="Сон_часы")));IF($M127="";"";XLOOKUP($M127;FILTER(Dictionaries!$B:$B;Dictionaries!$A:$A="Режим");FILTER(Dictionaries!$C:$C;Dictionaries!$A:$A="Режим")));IF($N127="";"";MIN($N127/100;1));IF($O127="";"";XLOOKUP($O127;FILTER(Dictionaries!$B:$B;Dictionaries!$A:$A="Настроение");FILTER(Dictionaries!$C:$C;Dictionaries!$A:$A="Настроение")));IF($P127="";"";XLOOKUP($P127;FILTER(Dictionaries!$B:$B;Dictionaries!$A:$A="Энергия");FILTER(Dictionaries!$C:$C;Dictionaries!$A:$A="Энергия")));IF($U127="";"";AVERAGE(IF(OR($B127="Ноги";$B127="Верх");IFS(AND($U127&gt;=1900;$U127&lt;=2050);1;AND($U127&gt;=1850;$U127&lt;1900);0,7;AND($U127&gt;2050;$U127&lt;=2100);0,7;TRUE;0,2);IFS(AND($U127&gt;=1700;$U127&lt;=1850);1;AND($U127&gt;=1650;$U127&lt;1700);0,7;AND($U127&gt;1850;$U127&lt;=1900);0,7;TRUE;0,2));IF(OR($B127="Ноги";$B127="Верх");IFS(AND($V127&gt;=125;$V127&lt;=135);1;AND($V127&gt;=115;$V127&lt;125);0,7;AND($V127&gt;135;$V127&lt;=145);0,7;AND($V127&gt;=105;$V127&lt;115);0,4;AND($V127&gt;145;$V127&lt;=155);0,4;TRUE;0,2);IFS(AND($V127&gt;=120;$V127&lt;=130);1;AND($V127&gt;=110;$V127&lt;120);0,7;AND($V127&gt;130;$V127&lt;=140);0,7;AND($V127&gt;=100;$V127&lt;110);0,4;AND($V127&gt;140;$V127&lt;=150);0,4;TRUE;0,2));IFS(AND($W127&gt;=55;$W127&lt;=65);1;AND($W127&gt;=50;$W127&lt;55);0,7;AND($W127&gt;65;$W127&lt;=70);0,7;AND($W127&gt;=45;$W127&lt;50);0,4;AND($W127&gt;70;$W127&lt;=75);0,4;TRUE;0,2);IF(OR($B127="Ноги";$B127="Верх");IFS(AND($X127&gt;=180;$X127&lt;=210);1;AND($X127&gt;=160;$X127&lt;180);0,7;AND($X127&gt;210;$X127&lt;=230);0,7;AND($X127&gt;=140;$X127&lt;160);0,4;AND($X127&gt;230;$X127&lt;=250);0,4;TRUE;0,2);IFS(AND($X127&gt;=140;$X127&lt;=170);1;AND($X127&gt;=120;$X127&lt;140);0,7;AND($X127&gt;170;$X127&lt;=190);0,7;AND($X127&gt;=100;$X127&lt;120);0,4;AND($X127&gt;190;$X127&lt;=210);0,4;TRUE;0,2)))));1);""))</f>
        <v/>
      </c>
      <c r="Z127">
        <f>IF($A127="";"";TEXTJOIN(", ";TRUE;IF($B127="";"Тренировка";"");IF($C127="";"Кардио";"");IF($D127="";"Шаги";"");IF($E127="";"Английский";"");IF($F127="";"Код-режим";"");IF($G127="";"Код-тема";"");IF($H127="";"Чтение";"");IF($L127="";"Сон";"");IF($M127="";"Режим";"");IF($N127="";"Продуктивность";"");IF($O127="";"Настроение";"");IF($P127="";"Энергия";"");IF($U127="";"Еда";"")))</f>
        <v/>
      </c>
    </row>
    <row r="128">
      <c r="B128" t="inlineStr"/>
      <c r="C128" t="inlineStr"/>
      <c r="D128" t="inlineStr"/>
      <c r="E128" t="inlineStr"/>
      <c r="F128" t="inlineStr"/>
      <c r="G128" t="inlineStr"/>
      <c r="H128" t="inlineStr"/>
      <c r="I128" t="inlineStr"/>
      <c r="J128" t="inlineStr"/>
      <c r="K128" t="inlineStr"/>
      <c r="L128" t="inlineStr"/>
      <c r="M128" t="inlineStr"/>
      <c r="N128" t="inlineStr"/>
      <c r="O128" t="inlineStr"/>
      <c r="P128" t="inlineStr"/>
      <c r="Q128" t="inlineStr"/>
      <c r="R128" t="inlineStr"/>
      <c r="S128" t="inlineStr"/>
      <c r="T128" t="inlineStr"/>
      <c r="U128">
        <f>IF($A128="";"";IF(SUMIF(FoodLog!$A:$A;$A128;FoodLog!$I:$I)=0;"";SUMIF(FoodLog!$A:$A;$A128;FoodLog!$I:$I)))</f>
        <v/>
      </c>
      <c r="V128">
        <f>IF($A128="";"";IF(SUMIF(FoodLog!$A:$A;$A128;FoodLog!$F:$F)=0;"";SUMIF(FoodLog!$A:$A;$A128;FoodLog!$F:$F)))</f>
        <v/>
      </c>
      <c r="W128">
        <f>IF($A128="";"";IF(SUMIF(FoodLog!$A:$A;$A128;FoodLog!$G:$G)=0;"";SUMIF(FoodLog!$A:$A;$A128;FoodLog!$G:$G)))</f>
        <v/>
      </c>
      <c r="X128">
        <f>IF($A128="";"";IF(SUMIF(FoodLog!$A:$A;$A128;FoodLog!$H:$H)=0;"";SUMIF(FoodLog!$A:$A;$A128;FoodLog!$H:$H)))</f>
        <v/>
      </c>
      <c r="Y128">
        <f>IF($A128="";"";IFERROR(ROUND(100*AVERAGE(IF($B128="";"";XLOOKUP($B128;FILTER(Dictionaries!$B:$B;Dictionaries!$A:$A="Тренировка");FILTER(Dictionaries!$C:$C;Dictionaries!$A:$A="Тренировка")));IF($C128="";"";MIN($C128/40;1));IF($D128="";"";XLOOKUP($D128;FILTER(Dictionaries!$B:$B;Dictionaries!$A:$A="Шаги");FILTER(Dictionaries!$C:$C;Dictionaries!$A:$A="Шаги")));IF($E128="";"";MIN($E128/120;1));IF(OR($F128&lt;&gt;"";$G128&lt;&gt;"");1;"");IF($H128="";"";MIN($H128/100;1));IF($L128="";"";XLOOKUP($L128;FILTER(Dictionaries!$B:$B;Dictionaries!$A:$A="Сон_часы");FILTER(Dictionaries!$C:$C;Dictionaries!$A:$A="Сон_часы")));IF($M128="";"";XLOOKUP($M128;FILTER(Dictionaries!$B:$B;Dictionaries!$A:$A="Режим");FILTER(Dictionaries!$C:$C;Dictionaries!$A:$A="Режим")));IF($N128="";"";MIN($N128/100;1));IF($O128="";"";XLOOKUP($O128;FILTER(Dictionaries!$B:$B;Dictionaries!$A:$A="Настроение");FILTER(Dictionaries!$C:$C;Dictionaries!$A:$A="Настроение")));IF($P128="";"";XLOOKUP($P128;FILTER(Dictionaries!$B:$B;Dictionaries!$A:$A="Энергия");FILTER(Dictionaries!$C:$C;Dictionaries!$A:$A="Энергия")));IF($U128="";"";AVERAGE(IF(OR($B128="Ноги";$B128="Верх");IFS(AND($U128&gt;=1900;$U128&lt;=2050);1;AND($U128&gt;=1850;$U128&lt;1900);0,7;AND($U128&gt;2050;$U128&lt;=2100);0,7;TRUE;0,2);IFS(AND($U128&gt;=1700;$U128&lt;=1850);1;AND($U128&gt;=1650;$U128&lt;1700);0,7;AND($U128&gt;1850;$U128&lt;=1900);0,7;TRUE;0,2));IF(OR($B128="Ноги";$B128="Верх");IFS(AND($V128&gt;=125;$V128&lt;=135);1;AND($V128&gt;=115;$V128&lt;125);0,7;AND($V128&gt;135;$V128&lt;=145);0,7;AND($V128&gt;=105;$V128&lt;115);0,4;AND($V128&gt;145;$V128&lt;=155);0,4;TRUE;0,2);IFS(AND($V128&gt;=120;$V128&lt;=130);1;AND($V128&gt;=110;$V128&lt;120);0,7;AND($V128&gt;130;$V128&lt;=140);0,7;AND($V128&gt;=100;$V128&lt;110);0,4;AND($V128&gt;140;$V128&lt;=150);0,4;TRUE;0,2));IFS(AND($W128&gt;=55;$W128&lt;=65);1;AND($W128&gt;=50;$W128&lt;55);0,7;AND($W128&gt;65;$W128&lt;=70);0,7;AND($W128&gt;=45;$W128&lt;50);0,4;AND($W128&gt;70;$W128&lt;=75);0,4;TRUE;0,2);IF(OR($B128="Ноги";$B128="Верх");IFS(AND($X128&gt;=180;$X128&lt;=210);1;AND($X128&gt;=160;$X128&lt;180);0,7;AND($X128&gt;210;$X128&lt;=230);0,7;AND($X128&gt;=140;$X128&lt;160);0,4;AND($X128&gt;230;$X128&lt;=250);0,4;TRUE;0,2);IFS(AND($X128&gt;=140;$X128&lt;=170);1;AND($X128&gt;=120;$X128&lt;140);0,7;AND($X128&gt;170;$X128&lt;=190);0,7;AND($X128&gt;=100;$X128&lt;120);0,4;AND($X128&gt;190;$X128&lt;=210);0,4;TRUE;0,2)))));1);""))</f>
        <v/>
      </c>
      <c r="Z128">
        <f>IF($A128="";"";TEXTJOIN(", ";TRUE;IF($B128="";"Тренировка";"");IF($C128="";"Кардио";"");IF($D128="";"Шаги";"");IF($E128="";"Английский";"");IF($F128="";"Код-режим";"");IF($G128="";"Код-тема";"");IF($H128="";"Чтение";"");IF($L128="";"Сон";"");IF($M128="";"Режим";"");IF($N128="";"Продуктивность";"");IF($O128="";"Настроение";"");IF($P128="";"Энергия";"");IF($U128="";"Еда";"")))</f>
        <v/>
      </c>
    </row>
    <row r="129">
      <c r="B129" t="inlineStr"/>
      <c r="C129" t="inlineStr"/>
      <c r="D129" t="inlineStr"/>
      <c r="E129" t="inlineStr"/>
      <c r="F129" t="inlineStr"/>
      <c r="G129" t="inlineStr"/>
      <c r="H129" t="inlineStr"/>
      <c r="I129" t="inlineStr"/>
      <c r="J129" t="inlineStr"/>
      <c r="K129" t="inlineStr"/>
      <c r="L129" t="inlineStr"/>
      <c r="M129" t="inlineStr"/>
      <c r="N129" t="inlineStr"/>
      <c r="O129" t="inlineStr"/>
      <c r="P129" t="inlineStr"/>
      <c r="Q129" t="inlineStr"/>
      <c r="R129" t="inlineStr"/>
      <c r="S129" t="inlineStr"/>
      <c r="T129" t="inlineStr"/>
      <c r="U129">
        <f>IF($A129="";"";IF(SUMIF(FoodLog!$A:$A;$A129;FoodLog!$I:$I)=0;"";SUMIF(FoodLog!$A:$A;$A129;FoodLog!$I:$I)))</f>
        <v/>
      </c>
      <c r="V129">
        <f>IF($A129="";"";IF(SUMIF(FoodLog!$A:$A;$A129;FoodLog!$F:$F)=0;"";SUMIF(FoodLog!$A:$A;$A129;FoodLog!$F:$F)))</f>
        <v/>
      </c>
      <c r="W129">
        <f>IF($A129="";"";IF(SUMIF(FoodLog!$A:$A;$A129;FoodLog!$G:$G)=0;"";SUMIF(FoodLog!$A:$A;$A129;FoodLog!$G:$G)))</f>
        <v/>
      </c>
      <c r="X129">
        <f>IF($A129="";"";IF(SUMIF(FoodLog!$A:$A;$A129;FoodLog!$H:$H)=0;"";SUMIF(FoodLog!$A:$A;$A129;FoodLog!$H:$H)))</f>
        <v/>
      </c>
      <c r="Y129">
        <f>IF($A129="";"";IFERROR(ROUND(100*AVERAGE(IF($B129="";"";XLOOKUP($B129;FILTER(Dictionaries!$B:$B;Dictionaries!$A:$A="Тренировка");FILTER(Dictionaries!$C:$C;Dictionaries!$A:$A="Тренировка")));IF($C129="";"";MIN($C129/40;1));IF($D129="";"";XLOOKUP($D129;FILTER(Dictionaries!$B:$B;Dictionaries!$A:$A="Шаги");FILTER(Dictionaries!$C:$C;Dictionaries!$A:$A="Шаги")));IF($E129="";"";MIN($E129/120;1));IF(OR($F129&lt;&gt;"";$G129&lt;&gt;"");1;"");IF($H129="";"";MIN($H129/100;1));IF($L129="";"";XLOOKUP($L129;FILTER(Dictionaries!$B:$B;Dictionaries!$A:$A="Сон_часы");FILTER(Dictionaries!$C:$C;Dictionaries!$A:$A="Сон_часы")));IF($M129="";"";XLOOKUP($M129;FILTER(Dictionaries!$B:$B;Dictionaries!$A:$A="Режим");FILTER(Dictionaries!$C:$C;Dictionaries!$A:$A="Режим")));IF($N129="";"";MIN($N129/100;1));IF($O129="";"";XLOOKUP($O129;FILTER(Dictionaries!$B:$B;Dictionaries!$A:$A="Настроение");FILTER(Dictionaries!$C:$C;Dictionaries!$A:$A="Настроение")));IF($P129="";"";XLOOKUP($P129;FILTER(Dictionaries!$B:$B;Dictionaries!$A:$A="Энергия");FILTER(Dictionaries!$C:$C;Dictionaries!$A:$A="Энергия")));IF($U129="";"";AVERAGE(IF(OR($B129="Ноги";$B129="Верх");IFS(AND($U129&gt;=1900;$U129&lt;=2050);1;AND($U129&gt;=1850;$U129&lt;1900);0,7;AND($U129&gt;2050;$U129&lt;=2100);0,7;TRUE;0,2);IFS(AND($U129&gt;=1700;$U129&lt;=1850);1;AND($U129&gt;=1650;$U129&lt;1700);0,7;AND($U129&gt;1850;$U129&lt;=1900);0,7;TRUE;0,2));IF(OR($B129="Ноги";$B129="Верх");IFS(AND($V129&gt;=125;$V129&lt;=135);1;AND($V129&gt;=115;$V129&lt;125);0,7;AND($V129&gt;135;$V129&lt;=145);0,7;AND($V129&gt;=105;$V129&lt;115);0,4;AND($V129&gt;145;$V129&lt;=155);0,4;TRUE;0,2);IFS(AND($V129&gt;=120;$V129&lt;=130);1;AND($V129&gt;=110;$V129&lt;120);0,7;AND($V129&gt;130;$V129&lt;=140);0,7;AND($V129&gt;=100;$V129&lt;110);0,4;AND($V129&gt;140;$V129&lt;=150);0,4;TRUE;0,2));IFS(AND($W129&gt;=55;$W129&lt;=65);1;AND($W129&gt;=50;$W129&lt;55);0,7;AND($W129&gt;65;$W129&lt;=70);0,7;AND($W129&gt;=45;$W129&lt;50);0,4;AND($W129&gt;70;$W129&lt;=75);0,4;TRUE;0,2);IF(OR($B129="Ноги";$B129="Верх");IFS(AND($X129&gt;=180;$X129&lt;=210);1;AND($X129&gt;=160;$X129&lt;180);0,7;AND($X129&gt;210;$X129&lt;=230);0,7;AND($X129&gt;=140;$X129&lt;160);0,4;AND($X129&gt;230;$X129&lt;=250);0,4;TRUE;0,2);IFS(AND($X129&gt;=140;$X129&lt;=170);1;AND($X129&gt;=120;$X129&lt;140);0,7;AND($X129&gt;170;$X129&lt;=190);0,7;AND($X129&gt;=100;$X129&lt;120);0,4;AND($X129&gt;190;$X129&lt;=210);0,4;TRUE;0,2)))));1);""))</f>
        <v/>
      </c>
      <c r="Z129">
        <f>IF($A129="";"";TEXTJOIN(", ";TRUE;IF($B129="";"Тренировка";"");IF($C129="";"Кардио";"");IF($D129="";"Шаги";"");IF($E129="";"Английский";"");IF($F129="";"Код-режим";"");IF($G129="";"Код-тема";"");IF($H129="";"Чтение";"");IF($L129="";"Сон";"");IF($M129="";"Режим";"");IF($N129="";"Продуктивность";"");IF($O129="";"Настроение";"");IF($P129="";"Энергия";"");IF($U129="";"Еда";"")))</f>
        <v/>
      </c>
    </row>
    <row r="130">
      <c r="B130" t="inlineStr"/>
      <c r="C130" t="inlineStr"/>
      <c r="D130" t="inlineStr"/>
      <c r="E130" t="inlineStr"/>
      <c r="F130" t="inlineStr"/>
      <c r="G130" t="inlineStr"/>
      <c r="H130" t="inlineStr"/>
      <c r="I130" t="inlineStr"/>
      <c r="J130" t="inlineStr"/>
      <c r="K130" t="inlineStr"/>
      <c r="L130" t="inlineStr"/>
      <c r="M130" t="inlineStr"/>
      <c r="N130" t="inlineStr"/>
      <c r="O130" t="inlineStr"/>
      <c r="P130" t="inlineStr"/>
      <c r="Q130" t="inlineStr"/>
      <c r="R130" t="inlineStr"/>
      <c r="S130" t="inlineStr"/>
      <c r="T130" t="inlineStr"/>
      <c r="U130">
        <f>IF($A130="";"";IF(SUMIF(FoodLog!$A:$A;$A130;FoodLog!$I:$I)=0;"";SUMIF(FoodLog!$A:$A;$A130;FoodLog!$I:$I)))</f>
        <v/>
      </c>
      <c r="V130">
        <f>IF($A130="";"";IF(SUMIF(FoodLog!$A:$A;$A130;FoodLog!$F:$F)=0;"";SUMIF(FoodLog!$A:$A;$A130;FoodLog!$F:$F)))</f>
        <v/>
      </c>
      <c r="W130">
        <f>IF($A130="";"";IF(SUMIF(FoodLog!$A:$A;$A130;FoodLog!$G:$G)=0;"";SUMIF(FoodLog!$A:$A;$A130;FoodLog!$G:$G)))</f>
        <v/>
      </c>
      <c r="X130">
        <f>IF($A130="";"";IF(SUMIF(FoodLog!$A:$A;$A130;FoodLog!$H:$H)=0;"";SUMIF(FoodLog!$A:$A;$A130;FoodLog!$H:$H)))</f>
        <v/>
      </c>
      <c r="Y130">
        <f>IF($A130="";"";IFERROR(ROUND(100*AVERAGE(IF($B130="";"";XLOOKUP($B130;FILTER(Dictionaries!$B:$B;Dictionaries!$A:$A="Тренировка");FILTER(Dictionaries!$C:$C;Dictionaries!$A:$A="Тренировка")));IF($C130="";"";MIN($C130/40;1));IF($D130="";"";XLOOKUP($D130;FILTER(Dictionaries!$B:$B;Dictionaries!$A:$A="Шаги");FILTER(Dictionaries!$C:$C;Dictionaries!$A:$A="Шаги")));IF($E130="";"";MIN($E130/120;1));IF(OR($F130&lt;&gt;"";$G130&lt;&gt;"");1;"");IF($H130="";"";MIN($H130/100;1));IF($L130="";"";XLOOKUP($L130;FILTER(Dictionaries!$B:$B;Dictionaries!$A:$A="Сон_часы");FILTER(Dictionaries!$C:$C;Dictionaries!$A:$A="Сон_часы")));IF($M130="";"";XLOOKUP($M130;FILTER(Dictionaries!$B:$B;Dictionaries!$A:$A="Режим");FILTER(Dictionaries!$C:$C;Dictionaries!$A:$A="Режим")));IF($N130="";"";MIN($N130/100;1));IF($O130="";"";XLOOKUP($O130;FILTER(Dictionaries!$B:$B;Dictionaries!$A:$A="Настроение");FILTER(Dictionaries!$C:$C;Dictionaries!$A:$A="Настроение")));IF($P130="";"";XLOOKUP($P130;FILTER(Dictionaries!$B:$B;Dictionaries!$A:$A="Энергия");FILTER(Dictionaries!$C:$C;Dictionaries!$A:$A="Энергия")));IF($U130="";"";AVERAGE(IF(OR($B130="Ноги";$B130="Верх");IFS(AND($U130&gt;=1900;$U130&lt;=2050);1;AND($U130&gt;=1850;$U130&lt;1900);0,7;AND($U130&gt;2050;$U130&lt;=2100);0,7;TRUE;0,2);IFS(AND($U130&gt;=1700;$U130&lt;=1850);1;AND($U130&gt;=1650;$U130&lt;1700);0,7;AND($U130&gt;1850;$U130&lt;=1900);0,7;TRUE;0,2));IF(OR($B130="Ноги";$B130="Верх");IFS(AND($V130&gt;=125;$V130&lt;=135);1;AND($V130&gt;=115;$V130&lt;125);0,7;AND($V130&gt;135;$V130&lt;=145);0,7;AND($V130&gt;=105;$V130&lt;115);0,4;AND($V130&gt;145;$V130&lt;=155);0,4;TRUE;0,2);IFS(AND($V130&gt;=120;$V130&lt;=130);1;AND($V130&gt;=110;$V130&lt;120);0,7;AND($V130&gt;130;$V130&lt;=140);0,7;AND($V130&gt;=100;$V130&lt;110);0,4;AND($V130&gt;140;$V130&lt;=150);0,4;TRUE;0,2));IFS(AND($W130&gt;=55;$W130&lt;=65);1;AND($W130&gt;=50;$W130&lt;55);0,7;AND($W130&gt;65;$W130&lt;=70);0,7;AND($W130&gt;=45;$W130&lt;50);0,4;AND($W130&gt;70;$W130&lt;=75);0,4;TRUE;0,2);IF(OR($B130="Ноги";$B130="Верх");IFS(AND($X130&gt;=180;$X130&lt;=210);1;AND($X130&gt;=160;$X130&lt;180);0,7;AND($X130&gt;210;$X130&lt;=230);0,7;AND($X130&gt;=140;$X130&lt;160);0,4;AND($X130&gt;230;$X130&lt;=250);0,4;TRUE;0,2);IFS(AND($X130&gt;=140;$X130&lt;=170);1;AND($X130&gt;=120;$X130&lt;140);0,7;AND($X130&gt;170;$X130&lt;=190);0,7;AND($X130&gt;=100;$X130&lt;120);0,4;AND($X130&gt;190;$X130&lt;=210);0,4;TRUE;0,2)))));1);""))</f>
        <v/>
      </c>
      <c r="Z130">
        <f>IF($A130="";"";TEXTJOIN(", ";TRUE;IF($B130="";"Тренировка";"");IF($C130="";"Кардио";"");IF($D130="";"Шаги";"");IF($E130="";"Английский";"");IF($F130="";"Код-режим";"");IF($G130="";"Код-тема";"");IF($H130="";"Чтение";"");IF($L130="";"Сон";"");IF($M130="";"Режим";"");IF($N130="";"Продуктивность";"");IF($O130="";"Настроение";"");IF($P130="";"Энергия";"");IF($U130="";"Еда";"")))</f>
        <v/>
      </c>
    </row>
    <row r="131">
      <c r="B131" t="inlineStr"/>
      <c r="C131" t="inlineStr"/>
      <c r="D131" t="inlineStr"/>
      <c r="E131" t="inlineStr"/>
      <c r="F131" t="inlineStr"/>
      <c r="G131" t="inlineStr"/>
      <c r="H131" t="inlineStr"/>
      <c r="I131" t="inlineStr"/>
      <c r="J131" t="inlineStr"/>
      <c r="K131" t="inlineStr"/>
      <c r="L131" t="inlineStr"/>
      <c r="M131" t="inlineStr"/>
      <c r="N131" t="inlineStr"/>
      <c r="O131" t="inlineStr"/>
      <c r="P131" t="inlineStr"/>
      <c r="Q131" t="inlineStr"/>
      <c r="R131" t="inlineStr"/>
      <c r="S131" t="inlineStr"/>
      <c r="T131" t="inlineStr"/>
      <c r="U131">
        <f>IF($A131="";"";IF(SUMIF(FoodLog!$A:$A;$A131;FoodLog!$I:$I)=0;"";SUMIF(FoodLog!$A:$A;$A131;FoodLog!$I:$I)))</f>
        <v/>
      </c>
      <c r="V131">
        <f>IF($A131="";"";IF(SUMIF(FoodLog!$A:$A;$A131;FoodLog!$F:$F)=0;"";SUMIF(FoodLog!$A:$A;$A131;FoodLog!$F:$F)))</f>
        <v/>
      </c>
      <c r="W131">
        <f>IF($A131="";"";IF(SUMIF(FoodLog!$A:$A;$A131;FoodLog!$G:$G)=0;"";SUMIF(FoodLog!$A:$A;$A131;FoodLog!$G:$G)))</f>
        <v/>
      </c>
      <c r="X131">
        <f>IF($A131="";"";IF(SUMIF(FoodLog!$A:$A;$A131;FoodLog!$H:$H)=0;"";SUMIF(FoodLog!$A:$A;$A131;FoodLog!$H:$H)))</f>
        <v/>
      </c>
      <c r="Y131">
        <f>IF($A131="";"";IFERROR(ROUND(100*AVERAGE(IF($B131="";"";XLOOKUP($B131;FILTER(Dictionaries!$B:$B;Dictionaries!$A:$A="Тренировка");FILTER(Dictionaries!$C:$C;Dictionaries!$A:$A="Тренировка")));IF($C131="";"";MIN($C131/40;1));IF($D131="";"";XLOOKUP($D131;FILTER(Dictionaries!$B:$B;Dictionaries!$A:$A="Шаги");FILTER(Dictionaries!$C:$C;Dictionaries!$A:$A="Шаги")));IF($E131="";"";MIN($E131/120;1));IF(OR($F131&lt;&gt;"";$G131&lt;&gt;"");1;"");IF($H131="";"";MIN($H131/100;1));IF($L131="";"";XLOOKUP($L131;FILTER(Dictionaries!$B:$B;Dictionaries!$A:$A="Сон_часы");FILTER(Dictionaries!$C:$C;Dictionaries!$A:$A="Сон_часы")));IF($M131="";"";XLOOKUP($M131;FILTER(Dictionaries!$B:$B;Dictionaries!$A:$A="Режим");FILTER(Dictionaries!$C:$C;Dictionaries!$A:$A="Режим")));IF($N131="";"";MIN($N131/100;1));IF($O131="";"";XLOOKUP($O131;FILTER(Dictionaries!$B:$B;Dictionaries!$A:$A="Настроение");FILTER(Dictionaries!$C:$C;Dictionaries!$A:$A="Настроение")));IF($P131="";"";XLOOKUP($P131;FILTER(Dictionaries!$B:$B;Dictionaries!$A:$A="Энергия");FILTER(Dictionaries!$C:$C;Dictionaries!$A:$A="Энергия")));IF($U131="";"";AVERAGE(IF(OR($B131="Ноги";$B131="Верх");IFS(AND($U131&gt;=1900;$U131&lt;=2050);1;AND($U131&gt;=1850;$U131&lt;1900);0,7;AND($U131&gt;2050;$U131&lt;=2100);0,7;TRUE;0,2);IFS(AND($U131&gt;=1700;$U131&lt;=1850);1;AND($U131&gt;=1650;$U131&lt;1700);0,7;AND($U131&gt;1850;$U131&lt;=1900);0,7;TRUE;0,2));IF(OR($B131="Ноги";$B131="Верх");IFS(AND($V131&gt;=125;$V131&lt;=135);1;AND($V131&gt;=115;$V131&lt;125);0,7;AND($V131&gt;135;$V131&lt;=145);0,7;AND($V131&gt;=105;$V131&lt;115);0,4;AND($V131&gt;145;$V131&lt;=155);0,4;TRUE;0,2);IFS(AND($V131&gt;=120;$V131&lt;=130);1;AND($V131&gt;=110;$V131&lt;120);0,7;AND($V131&gt;130;$V131&lt;=140);0,7;AND($V131&gt;=100;$V131&lt;110);0,4;AND($V131&gt;140;$V131&lt;=150);0,4;TRUE;0,2));IFS(AND($W131&gt;=55;$W131&lt;=65);1;AND($W131&gt;=50;$W131&lt;55);0,7;AND($W131&gt;65;$W131&lt;=70);0,7;AND($W131&gt;=45;$W131&lt;50);0,4;AND($W131&gt;70;$W131&lt;=75);0,4;TRUE;0,2);IF(OR($B131="Ноги";$B131="Верх");IFS(AND($X131&gt;=180;$X131&lt;=210);1;AND($X131&gt;=160;$X131&lt;180);0,7;AND($X131&gt;210;$X131&lt;=230);0,7;AND($X131&gt;=140;$X131&lt;160);0,4;AND($X131&gt;230;$X131&lt;=250);0,4;TRUE;0,2);IFS(AND($X131&gt;=140;$X131&lt;=170);1;AND($X131&gt;=120;$X131&lt;140);0,7;AND($X131&gt;170;$X131&lt;=190);0,7;AND($X131&gt;=100;$X131&lt;120);0,4;AND($X131&gt;190;$X131&lt;=210);0,4;TRUE;0,2)))));1);""))</f>
        <v/>
      </c>
      <c r="Z131">
        <f>IF($A131="";"";TEXTJOIN(", ";TRUE;IF($B131="";"Тренировка";"");IF($C131="";"Кардио";"");IF($D131="";"Шаги";"");IF($E131="";"Английский";"");IF($F131="";"Код-режим";"");IF($G131="";"Код-тема";"");IF($H131="";"Чтение";"");IF($L131="";"Сон";"");IF($M131="";"Режим";"");IF($N131="";"Продуктивность";"");IF($O131="";"Настроение";"");IF($P131="";"Энергия";"");IF($U131="";"Еда";"")))</f>
        <v/>
      </c>
    </row>
    <row r="132">
      <c r="B132" t="inlineStr"/>
      <c r="C132" t="inlineStr"/>
      <c r="D132" t="inlineStr"/>
      <c r="E132" t="inlineStr"/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/>
      <c r="P132" t="inlineStr"/>
      <c r="Q132" t="inlineStr"/>
      <c r="R132" t="inlineStr"/>
      <c r="S132" t="inlineStr"/>
      <c r="T132" t="inlineStr"/>
      <c r="U132">
        <f>IF($A132="";"";IF(SUMIF(FoodLog!$A:$A;$A132;FoodLog!$I:$I)=0;"";SUMIF(FoodLog!$A:$A;$A132;FoodLog!$I:$I)))</f>
        <v/>
      </c>
      <c r="V132">
        <f>IF($A132="";"";IF(SUMIF(FoodLog!$A:$A;$A132;FoodLog!$F:$F)=0;"";SUMIF(FoodLog!$A:$A;$A132;FoodLog!$F:$F)))</f>
        <v/>
      </c>
      <c r="W132">
        <f>IF($A132="";"";IF(SUMIF(FoodLog!$A:$A;$A132;FoodLog!$G:$G)=0;"";SUMIF(FoodLog!$A:$A;$A132;FoodLog!$G:$G)))</f>
        <v/>
      </c>
      <c r="X132">
        <f>IF($A132="";"";IF(SUMIF(FoodLog!$A:$A;$A132;FoodLog!$H:$H)=0;"";SUMIF(FoodLog!$A:$A;$A132;FoodLog!$H:$H)))</f>
        <v/>
      </c>
      <c r="Y132">
        <f>IF($A132="";"";IFERROR(ROUND(100*AVERAGE(IF($B132="";"";XLOOKUP($B132;FILTER(Dictionaries!$B:$B;Dictionaries!$A:$A="Тренировка");FILTER(Dictionaries!$C:$C;Dictionaries!$A:$A="Тренировка")));IF($C132="";"";MIN($C132/40;1));IF($D132="";"";XLOOKUP($D132;FILTER(Dictionaries!$B:$B;Dictionaries!$A:$A="Шаги");FILTER(Dictionaries!$C:$C;Dictionaries!$A:$A="Шаги")));IF($E132="";"";MIN($E132/120;1));IF(OR($F132&lt;&gt;"";$G132&lt;&gt;"");1;"");IF($H132="";"";MIN($H132/100;1));IF($L132="";"";XLOOKUP($L132;FILTER(Dictionaries!$B:$B;Dictionaries!$A:$A="Сон_часы");FILTER(Dictionaries!$C:$C;Dictionaries!$A:$A="Сон_часы")));IF($M132="";"";XLOOKUP($M132;FILTER(Dictionaries!$B:$B;Dictionaries!$A:$A="Режим");FILTER(Dictionaries!$C:$C;Dictionaries!$A:$A="Режим")));IF($N132="";"";MIN($N132/100;1));IF($O132="";"";XLOOKUP($O132;FILTER(Dictionaries!$B:$B;Dictionaries!$A:$A="Настроение");FILTER(Dictionaries!$C:$C;Dictionaries!$A:$A="Настроение")));IF($P132="";"";XLOOKUP($P132;FILTER(Dictionaries!$B:$B;Dictionaries!$A:$A="Энергия");FILTER(Dictionaries!$C:$C;Dictionaries!$A:$A="Энергия")));IF($U132="";"";AVERAGE(IF(OR($B132="Ноги";$B132="Верх");IFS(AND($U132&gt;=1900;$U132&lt;=2050);1;AND($U132&gt;=1850;$U132&lt;1900);0,7;AND($U132&gt;2050;$U132&lt;=2100);0,7;TRUE;0,2);IFS(AND($U132&gt;=1700;$U132&lt;=1850);1;AND($U132&gt;=1650;$U132&lt;1700);0,7;AND($U132&gt;1850;$U132&lt;=1900);0,7;TRUE;0,2));IF(OR($B132="Ноги";$B132="Верх");IFS(AND($V132&gt;=125;$V132&lt;=135);1;AND($V132&gt;=115;$V132&lt;125);0,7;AND($V132&gt;135;$V132&lt;=145);0,7;AND($V132&gt;=105;$V132&lt;115);0,4;AND($V132&gt;145;$V132&lt;=155);0,4;TRUE;0,2);IFS(AND($V132&gt;=120;$V132&lt;=130);1;AND($V132&gt;=110;$V132&lt;120);0,7;AND($V132&gt;130;$V132&lt;=140);0,7;AND($V132&gt;=100;$V132&lt;110);0,4;AND($V132&gt;140;$V132&lt;=150);0,4;TRUE;0,2));IFS(AND($W132&gt;=55;$W132&lt;=65);1;AND($W132&gt;=50;$W132&lt;55);0,7;AND($W132&gt;65;$W132&lt;=70);0,7;AND($W132&gt;=45;$W132&lt;50);0,4;AND($W132&gt;70;$W132&lt;=75);0,4;TRUE;0,2);IF(OR($B132="Ноги";$B132="Верх");IFS(AND($X132&gt;=180;$X132&lt;=210);1;AND($X132&gt;=160;$X132&lt;180);0,7;AND($X132&gt;210;$X132&lt;=230);0,7;AND($X132&gt;=140;$X132&lt;160);0,4;AND($X132&gt;230;$X132&lt;=250);0,4;TRUE;0,2);IFS(AND($X132&gt;=140;$X132&lt;=170);1;AND($X132&gt;=120;$X132&lt;140);0,7;AND($X132&gt;170;$X132&lt;=190);0,7;AND($X132&gt;=100;$X132&lt;120);0,4;AND($X132&gt;190;$X132&lt;=210);0,4;TRUE;0,2)))));1);""))</f>
        <v/>
      </c>
      <c r="Z132">
        <f>IF($A132="";"";TEXTJOIN(", ";TRUE;IF($B132="";"Тренировка";"");IF($C132="";"Кардио";"");IF($D132="";"Шаги";"");IF($E132="";"Английский";"");IF($F132="";"Код-режим";"");IF($G132="";"Код-тема";"");IF($H132="";"Чтение";"");IF($L132="";"Сон";"");IF($M132="";"Режим";"");IF($N132="";"Продуктивность";"");IF($O132="";"Настроение";"");IF($P132="";"Энергия";"");IF($U132="";"Еда";"")))</f>
        <v/>
      </c>
    </row>
    <row r="133">
      <c r="B133" t="inlineStr"/>
      <c r="C133" t="inlineStr"/>
      <c r="D133" t="inlineStr"/>
      <c r="E133" t="inlineStr"/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/>
      <c r="P133" t="inlineStr"/>
      <c r="Q133" t="inlineStr"/>
      <c r="R133" t="inlineStr"/>
      <c r="S133" t="inlineStr"/>
      <c r="T133" t="inlineStr"/>
      <c r="U133">
        <f>IF($A133="";"";IF(SUMIF(FoodLog!$A:$A;$A133;FoodLog!$I:$I)=0;"";SUMIF(FoodLog!$A:$A;$A133;FoodLog!$I:$I)))</f>
        <v/>
      </c>
      <c r="V133">
        <f>IF($A133="";"";IF(SUMIF(FoodLog!$A:$A;$A133;FoodLog!$F:$F)=0;"";SUMIF(FoodLog!$A:$A;$A133;FoodLog!$F:$F)))</f>
        <v/>
      </c>
      <c r="W133">
        <f>IF($A133="";"";IF(SUMIF(FoodLog!$A:$A;$A133;FoodLog!$G:$G)=0;"";SUMIF(FoodLog!$A:$A;$A133;FoodLog!$G:$G)))</f>
        <v/>
      </c>
      <c r="X133">
        <f>IF($A133="";"";IF(SUMIF(FoodLog!$A:$A;$A133;FoodLog!$H:$H)=0;"";SUMIF(FoodLog!$A:$A;$A133;FoodLog!$H:$H)))</f>
        <v/>
      </c>
      <c r="Y133">
        <f>IF($A133="";"";IFERROR(ROUND(100*AVERAGE(IF($B133="";"";XLOOKUP($B133;FILTER(Dictionaries!$B:$B;Dictionaries!$A:$A="Тренировка");FILTER(Dictionaries!$C:$C;Dictionaries!$A:$A="Тренировка")));IF($C133="";"";MIN($C133/40;1));IF($D133="";"";XLOOKUP($D133;FILTER(Dictionaries!$B:$B;Dictionaries!$A:$A="Шаги");FILTER(Dictionaries!$C:$C;Dictionaries!$A:$A="Шаги")));IF($E133="";"";MIN($E133/120;1));IF(OR($F133&lt;&gt;"";$G133&lt;&gt;"");1;"");IF($H133="";"";MIN($H133/100;1));IF($L133="";"";XLOOKUP($L133;FILTER(Dictionaries!$B:$B;Dictionaries!$A:$A="Сон_часы");FILTER(Dictionaries!$C:$C;Dictionaries!$A:$A="Сон_часы")));IF($M133="";"";XLOOKUP($M133;FILTER(Dictionaries!$B:$B;Dictionaries!$A:$A="Режим");FILTER(Dictionaries!$C:$C;Dictionaries!$A:$A="Режим")));IF($N133="";"";MIN($N133/100;1));IF($O133="";"";XLOOKUP($O133;FILTER(Dictionaries!$B:$B;Dictionaries!$A:$A="Настроение");FILTER(Dictionaries!$C:$C;Dictionaries!$A:$A="Настроение")));IF($P133="";"";XLOOKUP($P133;FILTER(Dictionaries!$B:$B;Dictionaries!$A:$A="Энергия");FILTER(Dictionaries!$C:$C;Dictionaries!$A:$A="Энергия")));IF($U133="";"";AVERAGE(IF(OR($B133="Ноги";$B133="Верх");IFS(AND($U133&gt;=1900;$U133&lt;=2050);1;AND($U133&gt;=1850;$U133&lt;1900);0,7;AND($U133&gt;2050;$U133&lt;=2100);0,7;TRUE;0,2);IFS(AND($U133&gt;=1700;$U133&lt;=1850);1;AND($U133&gt;=1650;$U133&lt;1700);0,7;AND($U133&gt;1850;$U133&lt;=1900);0,7;TRUE;0,2));IF(OR($B133="Ноги";$B133="Верх");IFS(AND($V133&gt;=125;$V133&lt;=135);1;AND($V133&gt;=115;$V133&lt;125);0,7;AND($V133&gt;135;$V133&lt;=145);0,7;AND($V133&gt;=105;$V133&lt;115);0,4;AND($V133&gt;145;$V133&lt;=155);0,4;TRUE;0,2);IFS(AND($V133&gt;=120;$V133&lt;=130);1;AND($V133&gt;=110;$V133&lt;120);0,7;AND($V133&gt;130;$V133&lt;=140);0,7;AND($V133&gt;=100;$V133&lt;110);0,4;AND($V133&gt;140;$V133&lt;=150);0,4;TRUE;0,2));IFS(AND($W133&gt;=55;$W133&lt;=65);1;AND($W133&gt;=50;$W133&lt;55);0,7;AND($W133&gt;65;$W133&lt;=70);0,7;AND($W133&gt;=45;$W133&lt;50);0,4;AND($W133&gt;70;$W133&lt;=75);0,4;TRUE;0,2);IF(OR($B133="Ноги";$B133="Верх");IFS(AND($X133&gt;=180;$X133&lt;=210);1;AND($X133&gt;=160;$X133&lt;180);0,7;AND($X133&gt;210;$X133&lt;=230);0,7;AND($X133&gt;=140;$X133&lt;160);0,4;AND($X133&gt;230;$X133&lt;=250);0,4;TRUE;0,2);IFS(AND($X133&gt;=140;$X133&lt;=170);1;AND($X133&gt;=120;$X133&lt;140);0,7;AND($X133&gt;170;$X133&lt;=190);0,7;AND($X133&gt;=100;$X133&lt;120);0,4;AND($X133&gt;190;$X133&lt;=210);0,4;TRUE;0,2)))));1);""))</f>
        <v/>
      </c>
      <c r="Z133">
        <f>IF($A133="";"";TEXTJOIN(", ";TRUE;IF($B133="";"Тренировка";"");IF($C133="";"Кардио";"");IF($D133="";"Шаги";"");IF($E133="";"Английский";"");IF($F133="";"Код-режим";"");IF($G133="";"Код-тема";"");IF($H133="";"Чтение";"");IF($L133="";"Сон";"");IF($M133="";"Режим";"");IF($N133="";"Продуктивность";"");IF($O133="";"Настроение";"");IF($P133="";"Энергия";"");IF($U133="";"Еда";"")))</f>
        <v/>
      </c>
    </row>
    <row r="134">
      <c r="B134" t="inlineStr"/>
      <c r="C134" t="inlineStr"/>
      <c r="D134" t="inlineStr"/>
      <c r="E134" t="inlineStr"/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/>
      <c r="P134" t="inlineStr"/>
      <c r="Q134" t="inlineStr"/>
      <c r="R134" t="inlineStr"/>
      <c r="S134" t="inlineStr"/>
      <c r="T134" t="inlineStr"/>
      <c r="U134">
        <f>IF($A134="";"";IF(SUMIF(FoodLog!$A:$A;$A134;FoodLog!$I:$I)=0;"";SUMIF(FoodLog!$A:$A;$A134;FoodLog!$I:$I)))</f>
        <v/>
      </c>
      <c r="V134">
        <f>IF($A134="";"";IF(SUMIF(FoodLog!$A:$A;$A134;FoodLog!$F:$F)=0;"";SUMIF(FoodLog!$A:$A;$A134;FoodLog!$F:$F)))</f>
        <v/>
      </c>
      <c r="W134">
        <f>IF($A134="";"";IF(SUMIF(FoodLog!$A:$A;$A134;FoodLog!$G:$G)=0;"";SUMIF(FoodLog!$A:$A;$A134;FoodLog!$G:$G)))</f>
        <v/>
      </c>
      <c r="X134">
        <f>IF($A134="";"";IF(SUMIF(FoodLog!$A:$A;$A134;FoodLog!$H:$H)=0;"";SUMIF(FoodLog!$A:$A;$A134;FoodLog!$H:$H)))</f>
        <v/>
      </c>
      <c r="Y134">
        <f>IF($A134="";"";IFERROR(ROUND(100*AVERAGE(IF($B134="";"";XLOOKUP($B134;FILTER(Dictionaries!$B:$B;Dictionaries!$A:$A="Тренировка");FILTER(Dictionaries!$C:$C;Dictionaries!$A:$A="Тренировка")));IF($C134="";"";MIN($C134/40;1));IF($D134="";"";XLOOKUP($D134;FILTER(Dictionaries!$B:$B;Dictionaries!$A:$A="Шаги");FILTER(Dictionaries!$C:$C;Dictionaries!$A:$A="Шаги")));IF($E134="";"";MIN($E134/120;1));IF(OR($F134&lt;&gt;"";$G134&lt;&gt;"");1;"");IF($H134="";"";MIN($H134/100;1));IF($L134="";"";XLOOKUP($L134;FILTER(Dictionaries!$B:$B;Dictionaries!$A:$A="Сон_часы");FILTER(Dictionaries!$C:$C;Dictionaries!$A:$A="Сон_часы")));IF($M134="";"";XLOOKUP($M134;FILTER(Dictionaries!$B:$B;Dictionaries!$A:$A="Режим");FILTER(Dictionaries!$C:$C;Dictionaries!$A:$A="Режим")));IF($N134="";"";MIN($N134/100;1));IF($O134="";"";XLOOKUP($O134;FILTER(Dictionaries!$B:$B;Dictionaries!$A:$A="Настроение");FILTER(Dictionaries!$C:$C;Dictionaries!$A:$A="Настроение")));IF($P134="";"";XLOOKUP($P134;FILTER(Dictionaries!$B:$B;Dictionaries!$A:$A="Энергия");FILTER(Dictionaries!$C:$C;Dictionaries!$A:$A="Энергия")));IF($U134="";"";AVERAGE(IF(OR($B134="Ноги";$B134="Верх");IFS(AND($U134&gt;=1900;$U134&lt;=2050);1;AND($U134&gt;=1850;$U134&lt;1900);0,7;AND($U134&gt;2050;$U134&lt;=2100);0,7;TRUE;0,2);IFS(AND($U134&gt;=1700;$U134&lt;=1850);1;AND($U134&gt;=1650;$U134&lt;1700);0,7;AND($U134&gt;1850;$U134&lt;=1900);0,7;TRUE;0,2));IF(OR($B134="Ноги";$B134="Верх");IFS(AND($V134&gt;=125;$V134&lt;=135);1;AND($V134&gt;=115;$V134&lt;125);0,7;AND($V134&gt;135;$V134&lt;=145);0,7;AND($V134&gt;=105;$V134&lt;115);0,4;AND($V134&gt;145;$V134&lt;=155);0,4;TRUE;0,2);IFS(AND($V134&gt;=120;$V134&lt;=130);1;AND($V134&gt;=110;$V134&lt;120);0,7;AND($V134&gt;130;$V134&lt;=140);0,7;AND($V134&gt;=100;$V134&lt;110);0,4;AND($V134&gt;140;$V134&lt;=150);0,4;TRUE;0,2));IFS(AND($W134&gt;=55;$W134&lt;=65);1;AND($W134&gt;=50;$W134&lt;55);0,7;AND($W134&gt;65;$W134&lt;=70);0,7;AND($W134&gt;=45;$W134&lt;50);0,4;AND($W134&gt;70;$W134&lt;=75);0,4;TRUE;0,2);IF(OR($B134="Ноги";$B134="Верх");IFS(AND($X134&gt;=180;$X134&lt;=210);1;AND($X134&gt;=160;$X134&lt;180);0,7;AND($X134&gt;210;$X134&lt;=230);0,7;AND($X134&gt;=140;$X134&lt;160);0,4;AND($X134&gt;230;$X134&lt;=250);0,4;TRUE;0,2);IFS(AND($X134&gt;=140;$X134&lt;=170);1;AND($X134&gt;=120;$X134&lt;140);0,7;AND($X134&gt;170;$X134&lt;=190);0,7;AND($X134&gt;=100;$X134&lt;120);0,4;AND($X134&gt;190;$X134&lt;=210);0,4;TRUE;0,2)))));1);""))</f>
        <v/>
      </c>
      <c r="Z134">
        <f>IF($A134="";"";TEXTJOIN(", ";TRUE;IF($B134="";"Тренировка";"");IF($C134="";"Кардио";"");IF($D134="";"Шаги";"");IF($E134="";"Английский";"");IF($F134="";"Код-режим";"");IF($G134="";"Код-тема";"");IF($H134="";"Чтение";"");IF($L134="";"Сон";"");IF($M134="";"Режим";"");IF($N134="";"Продуктивность";"");IF($O134="";"Настроение";"");IF($P134="";"Энергия";"");IF($U134="";"Еда";"")))</f>
        <v/>
      </c>
    </row>
    <row r="135">
      <c r="B135" t="inlineStr"/>
      <c r="C135" t="inlineStr"/>
      <c r="D135" t="inlineStr"/>
      <c r="E135" t="inlineStr"/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/>
      <c r="P135" t="inlineStr"/>
      <c r="Q135" t="inlineStr"/>
      <c r="R135" t="inlineStr"/>
      <c r="S135" t="inlineStr"/>
      <c r="T135" t="inlineStr"/>
      <c r="U135">
        <f>IF($A135="";"";IF(SUMIF(FoodLog!$A:$A;$A135;FoodLog!$I:$I)=0;"";SUMIF(FoodLog!$A:$A;$A135;FoodLog!$I:$I)))</f>
        <v/>
      </c>
      <c r="V135">
        <f>IF($A135="";"";IF(SUMIF(FoodLog!$A:$A;$A135;FoodLog!$F:$F)=0;"";SUMIF(FoodLog!$A:$A;$A135;FoodLog!$F:$F)))</f>
        <v/>
      </c>
      <c r="W135">
        <f>IF($A135="";"";IF(SUMIF(FoodLog!$A:$A;$A135;FoodLog!$G:$G)=0;"";SUMIF(FoodLog!$A:$A;$A135;FoodLog!$G:$G)))</f>
        <v/>
      </c>
      <c r="X135">
        <f>IF($A135="";"";IF(SUMIF(FoodLog!$A:$A;$A135;FoodLog!$H:$H)=0;"";SUMIF(FoodLog!$A:$A;$A135;FoodLog!$H:$H)))</f>
        <v/>
      </c>
      <c r="Y135">
        <f>IF($A135="";"";IFERROR(ROUND(100*AVERAGE(IF($B135="";"";XLOOKUP($B135;FILTER(Dictionaries!$B:$B;Dictionaries!$A:$A="Тренировка");FILTER(Dictionaries!$C:$C;Dictionaries!$A:$A="Тренировка")));IF($C135="";"";MIN($C135/40;1));IF($D135="";"";XLOOKUP($D135;FILTER(Dictionaries!$B:$B;Dictionaries!$A:$A="Шаги");FILTER(Dictionaries!$C:$C;Dictionaries!$A:$A="Шаги")));IF($E135="";"";MIN($E135/120;1));IF(OR($F135&lt;&gt;"";$G135&lt;&gt;"");1;"");IF($H135="";"";MIN($H135/100;1));IF($L135="";"";XLOOKUP($L135;FILTER(Dictionaries!$B:$B;Dictionaries!$A:$A="Сон_часы");FILTER(Dictionaries!$C:$C;Dictionaries!$A:$A="Сон_часы")));IF($M135="";"";XLOOKUP($M135;FILTER(Dictionaries!$B:$B;Dictionaries!$A:$A="Режим");FILTER(Dictionaries!$C:$C;Dictionaries!$A:$A="Режим")));IF($N135="";"";MIN($N135/100;1));IF($O135="";"";XLOOKUP($O135;FILTER(Dictionaries!$B:$B;Dictionaries!$A:$A="Настроение");FILTER(Dictionaries!$C:$C;Dictionaries!$A:$A="Настроение")));IF($P135="";"";XLOOKUP($P135;FILTER(Dictionaries!$B:$B;Dictionaries!$A:$A="Энергия");FILTER(Dictionaries!$C:$C;Dictionaries!$A:$A="Энергия")));IF($U135="";"";AVERAGE(IF(OR($B135="Ноги";$B135="Верх");IFS(AND($U135&gt;=1900;$U135&lt;=2050);1;AND($U135&gt;=1850;$U135&lt;1900);0,7;AND($U135&gt;2050;$U135&lt;=2100);0,7;TRUE;0,2);IFS(AND($U135&gt;=1700;$U135&lt;=1850);1;AND($U135&gt;=1650;$U135&lt;1700);0,7;AND($U135&gt;1850;$U135&lt;=1900);0,7;TRUE;0,2));IF(OR($B135="Ноги";$B135="Верх");IFS(AND($V135&gt;=125;$V135&lt;=135);1;AND($V135&gt;=115;$V135&lt;125);0,7;AND($V135&gt;135;$V135&lt;=145);0,7;AND($V135&gt;=105;$V135&lt;115);0,4;AND($V135&gt;145;$V135&lt;=155);0,4;TRUE;0,2);IFS(AND($V135&gt;=120;$V135&lt;=130);1;AND($V135&gt;=110;$V135&lt;120);0,7;AND($V135&gt;130;$V135&lt;=140);0,7;AND($V135&gt;=100;$V135&lt;110);0,4;AND($V135&gt;140;$V135&lt;=150);0,4;TRUE;0,2));IFS(AND($W135&gt;=55;$W135&lt;=65);1;AND($W135&gt;=50;$W135&lt;55);0,7;AND($W135&gt;65;$W135&lt;=70);0,7;AND($W135&gt;=45;$W135&lt;50);0,4;AND($W135&gt;70;$W135&lt;=75);0,4;TRUE;0,2);IF(OR($B135="Ноги";$B135="Верх");IFS(AND($X135&gt;=180;$X135&lt;=210);1;AND($X135&gt;=160;$X135&lt;180);0,7;AND($X135&gt;210;$X135&lt;=230);0,7;AND($X135&gt;=140;$X135&lt;160);0,4;AND($X135&gt;230;$X135&lt;=250);0,4;TRUE;0,2);IFS(AND($X135&gt;=140;$X135&lt;=170);1;AND($X135&gt;=120;$X135&lt;140);0,7;AND($X135&gt;170;$X135&lt;=190);0,7;AND($X135&gt;=100;$X135&lt;120);0,4;AND($X135&gt;190;$X135&lt;=210);0,4;TRUE;0,2)))));1);""))</f>
        <v/>
      </c>
      <c r="Z135">
        <f>IF($A135="";"";TEXTJOIN(", ";TRUE;IF($B135="";"Тренировка";"");IF($C135="";"Кардио";"");IF($D135="";"Шаги";"");IF($E135="";"Английский";"");IF($F135="";"Код-режим";"");IF($G135="";"Код-тема";"");IF($H135="";"Чтение";"");IF($L135="";"Сон";"");IF($M135="";"Режим";"");IF($N135="";"Продуктивность";"");IF($O135="";"Настроение";"");IF($P135="";"Энергия";"");IF($U135="";"Еда";"")))</f>
        <v/>
      </c>
    </row>
    <row r="136">
      <c r="B136" t="inlineStr"/>
      <c r="C136" t="inlineStr"/>
      <c r="D136" t="inlineStr"/>
      <c r="E136" t="inlineStr"/>
      <c r="F136" t="inlineStr"/>
      <c r="G136" t="inlineStr"/>
      <c r="H136" t="inlineStr"/>
      <c r="I136" t="inlineStr"/>
      <c r="J136" t="inlineStr"/>
      <c r="K136" t="inlineStr"/>
      <c r="L136" t="inlineStr"/>
      <c r="M136" t="inlineStr"/>
      <c r="N136" t="inlineStr"/>
      <c r="O136" t="inlineStr"/>
      <c r="P136" t="inlineStr"/>
      <c r="Q136" t="inlineStr"/>
      <c r="R136" t="inlineStr"/>
      <c r="S136" t="inlineStr"/>
      <c r="T136" t="inlineStr"/>
      <c r="U136">
        <f>IF($A136="";"";IF(SUMIF(FoodLog!$A:$A;$A136;FoodLog!$I:$I)=0;"";SUMIF(FoodLog!$A:$A;$A136;FoodLog!$I:$I)))</f>
        <v/>
      </c>
      <c r="V136">
        <f>IF($A136="";"";IF(SUMIF(FoodLog!$A:$A;$A136;FoodLog!$F:$F)=0;"";SUMIF(FoodLog!$A:$A;$A136;FoodLog!$F:$F)))</f>
        <v/>
      </c>
      <c r="W136">
        <f>IF($A136="";"";IF(SUMIF(FoodLog!$A:$A;$A136;FoodLog!$G:$G)=0;"";SUMIF(FoodLog!$A:$A;$A136;FoodLog!$G:$G)))</f>
        <v/>
      </c>
      <c r="X136">
        <f>IF($A136="";"";IF(SUMIF(FoodLog!$A:$A;$A136;FoodLog!$H:$H)=0;"";SUMIF(FoodLog!$A:$A;$A136;FoodLog!$H:$H)))</f>
        <v/>
      </c>
      <c r="Y136">
        <f>IF($A136="";"";IFERROR(ROUND(100*AVERAGE(IF($B136="";"";XLOOKUP($B136;FILTER(Dictionaries!$B:$B;Dictionaries!$A:$A="Тренировка");FILTER(Dictionaries!$C:$C;Dictionaries!$A:$A="Тренировка")));IF($C136="";"";MIN($C136/40;1));IF($D136="";"";XLOOKUP($D136;FILTER(Dictionaries!$B:$B;Dictionaries!$A:$A="Шаги");FILTER(Dictionaries!$C:$C;Dictionaries!$A:$A="Шаги")));IF($E136="";"";MIN($E136/120;1));IF(OR($F136&lt;&gt;"";$G136&lt;&gt;"");1;"");IF($H136="";"";MIN($H136/100;1));IF($L136="";"";XLOOKUP($L136;FILTER(Dictionaries!$B:$B;Dictionaries!$A:$A="Сон_часы");FILTER(Dictionaries!$C:$C;Dictionaries!$A:$A="Сон_часы")));IF($M136="";"";XLOOKUP($M136;FILTER(Dictionaries!$B:$B;Dictionaries!$A:$A="Режим");FILTER(Dictionaries!$C:$C;Dictionaries!$A:$A="Режим")));IF($N136="";"";MIN($N136/100;1));IF($O136="";"";XLOOKUP($O136;FILTER(Dictionaries!$B:$B;Dictionaries!$A:$A="Настроение");FILTER(Dictionaries!$C:$C;Dictionaries!$A:$A="Настроение")));IF($P136="";"";XLOOKUP($P136;FILTER(Dictionaries!$B:$B;Dictionaries!$A:$A="Энергия");FILTER(Dictionaries!$C:$C;Dictionaries!$A:$A="Энергия")));IF($U136="";"";AVERAGE(IF(OR($B136="Ноги";$B136="Верх");IFS(AND($U136&gt;=1900;$U136&lt;=2050);1;AND($U136&gt;=1850;$U136&lt;1900);0,7;AND($U136&gt;2050;$U136&lt;=2100);0,7;TRUE;0,2);IFS(AND($U136&gt;=1700;$U136&lt;=1850);1;AND($U136&gt;=1650;$U136&lt;1700);0,7;AND($U136&gt;1850;$U136&lt;=1900);0,7;TRUE;0,2));IF(OR($B136="Ноги";$B136="Верх");IFS(AND($V136&gt;=125;$V136&lt;=135);1;AND($V136&gt;=115;$V136&lt;125);0,7;AND($V136&gt;135;$V136&lt;=145);0,7;AND($V136&gt;=105;$V136&lt;115);0,4;AND($V136&gt;145;$V136&lt;=155);0,4;TRUE;0,2);IFS(AND($V136&gt;=120;$V136&lt;=130);1;AND($V136&gt;=110;$V136&lt;120);0,7;AND($V136&gt;130;$V136&lt;=140);0,7;AND($V136&gt;=100;$V136&lt;110);0,4;AND($V136&gt;140;$V136&lt;=150);0,4;TRUE;0,2));IFS(AND($W136&gt;=55;$W136&lt;=65);1;AND($W136&gt;=50;$W136&lt;55);0,7;AND($W136&gt;65;$W136&lt;=70);0,7;AND($W136&gt;=45;$W136&lt;50);0,4;AND($W136&gt;70;$W136&lt;=75);0,4;TRUE;0,2);IF(OR($B136="Ноги";$B136="Верх");IFS(AND($X136&gt;=180;$X136&lt;=210);1;AND($X136&gt;=160;$X136&lt;180);0,7;AND($X136&gt;210;$X136&lt;=230);0,7;AND($X136&gt;=140;$X136&lt;160);0,4;AND($X136&gt;230;$X136&lt;=250);0,4;TRUE;0,2);IFS(AND($X136&gt;=140;$X136&lt;=170);1;AND($X136&gt;=120;$X136&lt;140);0,7;AND($X136&gt;170;$X136&lt;=190);0,7;AND($X136&gt;=100;$X136&lt;120);0,4;AND($X136&gt;190;$X136&lt;=210);0,4;TRUE;0,2)))));1);""))</f>
        <v/>
      </c>
      <c r="Z136">
        <f>IF($A136="";"";TEXTJOIN(", ";TRUE;IF($B136="";"Тренировка";"");IF($C136="";"Кардио";"");IF($D136="";"Шаги";"");IF($E136="";"Английский";"");IF($F136="";"Код-режим";"");IF($G136="";"Код-тема";"");IF($H136="";"Чтение";"");IF($L136="";"Сон";"");IF($M136="";"Режим";"");IF($N136="";"Продуктивность";"");IF($O136="";"Настроение";"");IF($P136="";"Энергия";"");IF($U136="";"Еда";"")))</f>
        <v/>
      </c>
    </row>
    <row r="137">
      <c r="B137" t="inlineStr"/>
      <c r="C137" t="inlineStr"/>
      <c r="D137" t="inlineStr"/>
      <c r="E137" t="inlineStr"/>
      <c r="F137" t="inlineStr"/>
      <c r="G137" t="inlineStr"/>
      <c r="H137" t="inlineStr"/>
      <c r="I137" t="inlineStr"/>
      <c r="J137" t="inlineStr"/>
      <c r="K137" t="inlineStr"/>
      <c r="L137" t="inlineStr"/>
      <c r="M137" t="inlineStr"/>
      <c r="N137" t="inlineStr"/>
      <c r="O137" t="inlineStr"/>
      <c r="P137" t="inlineStr"/>
      <c r="Q137" t="inlineStr"/>
      <c r="R137" t="inlineStr"/>
      <c r="S137" t="inlineStr"/>
      <c r="T137" t="inlineStr"/>
      <c r="U137">
        <f>IF($A137="";"";IF(SUMIF(FoodLog!$A:$A;$A137;FoodLog!$I:$I)=0;"";SUMIF(FoodLog!$A:$A;$A137;FoodLog!$I:$I)))</f>
        <v/>
      </c>
      <c r="V137">
        <f>IF($A137="";"";IF(SUMIF(FoodLog!$A:$A;$A137;FoodLog!$F:$F)=0;"";SUMIF(FoodLog!$A:$A;$A137;FoodLog!$F:$F)))</f>
        <v/>
      </c>
      <c r="W137">
        <f>IF($A137="";"";IF(SUMIF(FoodLog!$A:$A;$A137;FoodLog!$G:$G)=0;"";SUMIF(FoodLog!$A:$A;$A137;FoodLog!$G:$G)))</f>
        <v/>
      </c>
      <c r="X137">
        <f>IF($A137="";"";IF(SUMIF(FoodLog!$A:$A;$A137;FoodLog!$H:$H)=0;"";SUMIF(FoodLog!$A:$A;$A137;FoodLog!$H:$H)))</f>
        <v/>
      </c>
      <c r="Y137">
        <f>IF($A137="";"";IFERROR(ROUND(100*AVERAGE(IF($B137="";"";XLOOKUP($B137;FILTER(Dictionaries!$B:$B;Dictionaries!$A:$A="Тренировка");FILTER(Dictionaries!$C:$C;Dictionaries!$A:$A="Тренировка")));IF($C137="";"";MIN($C137/40;1));IF($D137="";"";XLOOKUP($D137;FILTER(Dictionaries!$B:$B;Dictionaries!$A:$A="Шаги");FILTER(Dictionaries!$C:$C;Dictionaries!$A:$A="Шаги")));IF($E137="";"";MIN($E137/120;1));IF(OR($F137&lt;&gt;"";$G137&lt;&gt;"");1;"");IF($H137="";"";MIN($H137/100;1));IF($L137="";"";XLOOKUP($L137;FILTER(Dictionaries!$B:$B;Dictionaries!$A:$A="Сон_часы");FILTER(Dictionaries!$C:$C;Dictionaries!$A:$A="Сон_часы")));IF($M137="";"";XLOOKUP($M137;FILTER(Dictionaries!$B:$B;Dictionaries!$A:$A="Режим");FILTER(Dictionaries!$C:$C;Dictionaries!$A:$A="Режим")));IF($N137="";"";MIN($N137/100;1));IF($O137="";"";XLOOKUP($O137;FILTER(Dictionaries!$B:$B;Dictionaries!$A:$A="Настроение");FILTER(Dictionaries!$C:$C;Dictionaries!$A:$A="Настроение")));IF($P137="";"";XLOOKUP($P137;FILTER(Dictionaries!$B:$B;Dictionaries!$A:$A="Энергия");FILTER(Dictionaries!$C:$C;Dictionaries!$A:$A="Энергия")));IF($U137="";"";AVERAGE(IF(OR($B137="Ноги";$B137="Верх");IFS(AND($U137&gt;=1900;$U137&lt;=2050);1;AND($U137&gt;=1850;$U137&lt;1900);0,7;AND($U137&gt;2050;$U137&lt;=2100);0,7;TRUE;0,2);IFS(AND($U137&gt;=1700;$U137&lt;=1850);1;AND($U137&gt;=1650;$U137&lt;1700);0,7;AND($U137&gt;1850;$U137&lt;=1900);0,7;TRUE;0,2));IF(OR($B137="Ноги";$B137="Верх");IFS(AND($V137&gt;=125;$V137&lt;=135);1;AND($V137&gt;=115;$V137&lt;125);0,7;AND($V137&gt;135;$V137&lt;=145);0,7;AND($V137&gt;=105;$V137&lt;115);0,4;AND($V137&gt;145;$V137&lt;=155);0,4;TRUE;0,2);IFS(AND($V137&gt;=120;$V137&lt;=130);1;AND($V137&gt;=110;$V137&lt;120);0,7;AND($V137&gt;130;$V137&lt;=140);0,7;AND($V137&gt;=100;$V137&lt;110);0,4;AND($V137&gt;140;$V137&lt;=150);0,4;TRUE;0,2));IFS(AND($W137&gt;=55;$W137&lt;=65);1;AND($W137&gt;=50;$W137&lt;55);0,7;AND($W137&gt;65;$W137&lt;=70);0,7;AND($W137&gt;=45;$W137&lt;50);0,4;AND($W137&gt;70;$W137&lt;=75);0,4;TRUE;0,2);IF(OR($B137="Ноги";$B137="Верх");IFS(AND($X137&gt;=180;$X137&lt;=210);1;AND($X137&gt;=160;$X137&lt;180);0,7;AND($X137&gt;210;$X137&lt;=230);0,7;AND($X137&gt;=140;$X137&lt;160);0,4;AND($X137&gt;230;$X137&lt;=250);0,4;TRUE;0,2);IFS(AND($X137&gt;=140;$X137&lt;=170);1;AND($X137&gt;=120;$X137&lt;140);0,7;AND($X137&gt;170;$X137&lt;=190);0,7;AND($X137&gt;=100;$X137&lt;120);0,4;AND($X137&gt;190;$X137&lt;=210);0,4;TRUE;0,2)))));1);""))</f>
        <v/>
      </c>
      <c r="Z137">
        <f>IF($A137="";"";TEXTJOIN(", ";TRUE;IF($B137="";"Тренировка";"");IF($C137="";"Кардио";"");IF($D137="";"Шаги";"");IF($E137="";"Английский";"");IF($F137="";"Код-режим";"");IF($G137="";"Код-тема";"");IF($H137="";"Чтение";"");IF($L137="";"Сон";"");IF($M137="";"Режим";"");IF($N137="";"Продуктивность";"");IF($O137="";"Настроение";"");IF($P137="";"Энергия";"");IF($U137="";"Еда";"")))</f>
        <v/>
      </c>
    </row>
    <row r="138">
      <c r="B138" t="inlineStr"/>
      <c r="C138" t="inlineStr"/>
      <c r="D138" t="inlineStr"/>
      <c r="E138" t="inlineStr"/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/>
      <c r="P138" t="inlineStr"/>
      <c r="Q138" t="inlineStr"/>
      <c r="R138" t="inlineStr"/>
      <c r="S138" t="inlineStr"/>
      <c r="T138" t="inlineStr"/>
      <c r="U138">
        <f>IF($A138="";"";IF(SUMIF(FoodLog!$A:$A;$A138;FoodLog!$I:$I)=0;"";SUMIF(FoodLog!$A:$A;$A138;FoodLog!$I:$I)))</f>
        <v/>
      </c>
      <c r="V138">
        <f>IF($A138="";"";IF(SUMIF(FoodLog!$A:$A;$A138;FoodLog!$F:$F)=0;"";SUMIF(FoodLog!$A:$A;$A138;FoodLog!$F:$F)))</f>
        <v/>
      </c>
      <c r="W138">
        <f>IF($A138="";"";IF(SUMIF(FoodLog!$A:$A;$A138;FoodLog!$G:$G)=0;"";SUMIF(FoodLog!$A:$A;$A138;FoodLog!$G:$G)))</f>
        <v/>
      </c>
      <c r="X138">
        <f>IF($A138="";"";IF(SUMIF(FoodLog!$A:$A;$A138;FoodLog!$H:$H)=0;"";SUMIF(FoodLog!$A:$A;$A138;FoodLog!$H:$H)))</f>
        <v/>
      </c>
      <c r="Y138">
        <f>IF($A138="";"";IFERROR(ROUND(100*AVERAGE(IF($B138="";"";XLOOKUP($B138;FILTER(Dictionaries!$B:$B;Dictionaries!$A:$A="Тренировка");FILTER(Dictionaries!$C:$C;Dictionaries!$A:$A="Тренировка")));IF($C138="";"";MIN($C138/40;1));IF($D138="";"";XLOOKUP($D138;FILTER(Dictionaries!$B:$B;Dictionaries!$A:$A="Шаги");FILTER(Dictionaries!$C:$C;Dictionaries!$A:$A="Шаги")));IF($E138="";"";MIN($E138/120;1));IF(OR($F138&lt;&gt;"";$G138&lt;&gt;"");1;"");IF($H138="";"";MIN($H138/100;1));IF($L138="";"";XLOOKUP($L138;FILTER(Dictionaries!$B:$B;Dictionaries!$A:$A="Сон_часы");FILTER(Dictionaries!$C:$C;Dictionaries!$A:$A="Сон_часы")));IF($M138="";"";XLOOKUP($M138;FILTER(Dictionaries!$B:$B;Dictionaries!$A:$A="Режим");FILTER(Dictionaries!$C:$C;Dictionaries!$A:$A="Режим")));IF($N138="";"";MIN($N138/100;1));IF($O138="";"";XLOOKUP($O138;FILTER(Dictionaries!$B:$B;Dictionaries!$A:$A="Настроение");FILTER(Dictionaries!$C:$C;Dictionaries!$A:$A="Настроение")));IF($P138="";"";XLOOKUP($P138;FILTER(Dictionaries!$B:$B;Dictionaries!$A:$A="Энергия");FILTER(Dictionaries!$C:$C;Dictionaries!$A:$A="Энергия")));IF($U138="";"";AVERAGE(IF(OR($B138="Ноги";$B138="Верх");IFS(AND($U138&gt;=1900;$U138&lt;=2050);1;AND($U138&gt;=1850;$U138&lt;1900);0,7;AND($U138&gt;2050;$U138&lt;=2100);0,7;TRUE;0,2);IFS(AND($U138&gt;=1700;$U138&lt;=1850);1;AND($U138&gt;=1650;$U138&lt;1700);0,7;AND($U138&gt;1850;$U138&lt;=1900);0,7;TRUE;0,2));IF(OR($B138="Ноги";$B138="Верх");IFS(AND($V138&gt;=125;$V138&lt;=135);1;AND($V138&gt;=115;$V138&lt;125);0,7;AND($V138&gt;135;$V138&lt;=145);0,7;AND($V138&gt;=105;$V138&lt;115);0,4;AND($V138&gt;145;$V138&lt;=155);0,4;TRUE;0,2);IFS(AND($V138&gt;=120;$V138&lt;=130);1;AND($V138&gt;=110;$V138&lt;120);0,7;AND($V138&gt;130;$V138&lt;=140);0,7;AND($V138&gt;=100;$V138&lt;110);0,4;AND($V138&gt;140;$V138&lt;=150);0,4;TRUE;0,2));IFS(AND($W138&gt;=55;$W138&lt;=65);1;AND($W138&gt;=50;$W138&lt;55);0,7;AND($W138&gt;65;$W138&lt;=70);0,7;AND($W138&gt;=45;$W138&lt;50);0,4;AND($W138&gt;70;$W138&lt;=75);0,4;TRUE;0,2);IF(OR($B138="Ноги";$B138="Верх");IFS(AND($X138&gt;=180;$X138&lt;=210);1;AND($X138&gt;=160;$X138&lt;180);0,7;AND($X138&gt;210;$X138&lt;=230);0,7;AND($X138&gt;=140;$X138&lt;160);0,4;AND($X138&gt;230;$X138&lt;=250);0,4;TRUE;0,2);IFS(AND($X138&gt;=140;$X138&lt;=170);1;AND($X138&gt;=120;$X138&lt;140);0,7;AND($X138&gt;170;$X138&lt;=190);0,7;AND($X138&gt;=100;$X138&lt;120);0,4;AND($X138&gt;190;$X138&lt;=210);0,4;TRUE;0,2)))));1);""))</f>
        <v/>
      </c>
      <c r="Z138">
        <f>IF($A138="";"";TEXTJOIN(", ";TRUE;IF($B138="";"Тренировка";"");IF($C138="";"Кардио";"");IF($D138="";"Шаги";"");IF($E138="";"Английский";"");IF($F138="";"Код-режим";"");IF($G138="";"Код-тема";"");IF($H138="";"Чтение";"");IF($L138="";"Сон";"");IF($M138="";"Режим";"");IF($N138="";"Продуктивность";"");IF($O138="";"Настроение";"");IF($P138="";"Энергия";"");IF($U138="";"Еда";"")))</f>
        <v/>
      </c>
    </row>
    <row r="139">
      <c r="B139" t="inlineStr"/>
      <c r="C139" t="inlineStr"/>
      <c r="D139" t="inlineStr"/>
      <c r="E139" t="inlineStr"/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  <c r="O139" t="inlineStr"/>
      <c r="P139" t="inlineStr"/>
      <c r="Q139" t="inlineStr"/>
      <c r="R139" t="inlineStr"/>
      <c r="S139" t="inlineStr"/>
      <c r="T139" t="inlineStr"/>
      <c r="U139">
        <f>IF($A139="";"";IF(SUMIF(FoodLog!$A:$A;$A139;FoodLog!$I:$I)=0;"";SUMIF(FoodLog!$A:$A;$A139;FoodLog!$I:$I)))</f>
        <v/>
      </c>
      <c r="V139">
        <f>IF($A139="";"";IF(SUMIF(FoodLog!$A:$A;$A139;FoodLog!$F:$F)=0;"";SUMIF(FoodLog!$A:$A;$A139;FoodLog!$F:$F)))</f>
        <v/>
      </c>
      <c r="W139">
        <f>IF($A139="";"";IF(SUMIF(FoodLog!$A:$A;$A139;FoodLog!$G:$G)=0;"";SUMIF(FoodLog!$A:$A;$A139;FoodLog!$G:$G)))</f>
        <v/>
      </c>
      <c r="X139">
        <f>IF($A139="";"";IF(SUMIF(FoodLog!$A:$A;$A139;FoodLog!$H:$H)=0;"";SUMIF(FoodLog!$A:$A;$A139;FoodLog!$H:$H)))</f>
        <v/>
      </c>
      <c r="Y139">
        <f>IF($A139="";"";IFERROR(ROUND(100*AVERAGE(IF($B139="";"";XLOOKUP($B139;FILTER(Dictionaries!$B:$B;Dictionaries!$A:$A="Тренировка");FILTER(Dictionaries!$C:$C;Dictionaries!$A:$A="Тренировка")));IF($C139="";"";MIN($C139/40;1));IF($D139="";"";XLOOKUP($D139;FILTER(Dictionaries!$B:$B;Dictionaries!$A:$A="Шаги");FILTER(Dictionaries!$C:$C;Dictionaries!$A:$A="Шаги")));IF($E139="";"";MIN($E139/120;1));IF(OR($F139&lt;&gt;"";$G139&lt;&gt;"");1;"");IF($H139="";"";MIN($H139/100;1));IF($L139="";"";XLOOKUP($L139;FILTER(Dictionaries!$B:$B;Dictionaries!$A:$A="Сон_часы");FILTER(Dictionaries!$C:$C;Dictionaries!$A:$A="Сон_часы")));IF($M139="";"";XLOOKUP($M139;FILTER(Dictionaries!$B:$B;Dictionaries!$A:$A="Режим");FILTER(Dictionaries!$C:$C;Dictionaries!$A:$A="Режим")));IF($N139="";"";MIN($N139/100;1));IF($O139="";"";XLOOKUP($O139;FILTER(Dictionaries!$B:$B;Dictionaries!$A:$A="Настроение");FILTER(Dictionaries!$C:$C;Dictionaries!$A:$A="Настроение")));IF($P139="";"";XLOOKUP($P139;FILTER(Dictionaries!$B:$B;Dictionaries!$A:$A="Энергия");FILTER(Dictionaries!$C:$C;Dictionaries!$A:$A="Энергия")));IF($U139="";"";AVERAGE(IF(OR($B139="Ноги";$B139="Верх");IFS(AND($U139&gt;=1900;$U139&lt;=2050);1;AND($U139&gt;=1850;$U139&lt;1900);0,7;AND($U139&gt;2050;$U139&lt;=2100);0,7;TRUE;0,2);IFS(AND($U139&gt;=1700;$U139&lt;=1850);1;AND($U139&gt;=1650;$U139&lt;1700);0,7;AND($U139&gt;1850;$U139&lt;=1900);0,7;TRUE;0,2));IF(OR($B139="Ноги";$B139="Верх");IFS(AND($V139&gt;=125;$V139&lt;=135);1;AND($V139&gt;=115;$V139&lt;125);0,7;AND($V139&gt;135;$V139&lt;=145);0,7;AND($V139&gt;=105;$V139&lt;115);0,4;AND($V139&gt;145;$V139&lt;=155);0,4;TRUE;0,2);IFS(AND($V139&gt;=120;$V139&lt;=130);1;AND($V139&gt;=110;$V139&lt;120);0,7;AND($V139&gt;130;$V139&lt;=140);0,7;AND($V139&gt;=100;$V139&lt;110);0,4;AND($V139&gt;140;$V139&lt;=150);0,4;TRUE;0,2));IFS(AND($W139&gt;=55;$W139&lt;=65);1;AND($W139&gt;=50;$W139&lt;55);0,7;AND($W139&gt;65;$W139&lt;=70);0,7;AND($W139&gt;=45;$W139&lt;50);0,4;AND($W139&gt;70;$W139&lt;=75);0,4;TRUE;0,2);IF(OR($B139="Ноги";$B139="Верх");IFS(AND($X139&gt;=180;$X139&lt;=210);1;AND($X139&gt;=160;$X139&lt;180);0,7;AND($X139&gt;210;$X139&lt;=230);0,7;AND($X139&gt;=140;$X139&lt;160);0,4;AND($X139&gt;230;$X139&lt;=250);0,4;TRUE;0,2);IFS(AND($X139&gt;=140;$X139&lt;=170);1;AND($X139&gt;=120;$X139&lt;140);0,7;AND($X139&gt;170;$X139&lt;=190);0,7;AND($X139&gt;=100;$X139&lt;120);0,4;AND($X139&gt;190;$X139&lt;=210);0,4;TRUE;0,2)))));1);""))</f>
        <v/>
      </c>
      <c r="Z139">
        <f>IF($A139="";"";TEXTJOIN(", ";TRUE;IF($B139="";"Тренировка";"");IF($C139="";"Кардио";"");IF($D139="";"Шаги";"");IF($E139="";"Английский";"");IF($F139="";"Код-режим";"");IF($G139="";"Код-тема";"");IF($H139="";"Чтение";"");IF($L139="";"Сон";"");IF($M139="";"Режим";"");IF($N139="";"Продуктивность";"");IF($O139="";"Настроение";"");IF($P139="";"Энергия";"");IF($U139="";"Еда";"")))</f>
        <v/>
      </c>
    </row>
    <row r="140">
      <c r="B140" t="inlineStr"/>
      <c r="C140" t="inlineStr"/>
      <c r="D140" t="inlineStr"/>
      <c r="E140" t="inlineStr"/>
      <c r="F140" t="inlineStr"/>
      <c r="G140" t="inlineStr"/>
      <c r="H140" t="inlineStr"/>
      <c r="I140" t="inlineStr"/>
      <c r="J140" t="inlineStr"/>
      <c r="K140" t="inlineStr"/>
      <c r="L140" t="inlineStr"/>
      <c r="M140" t="inlineStr"/>
      <c r="N140" t="inlineStr"/>
      <c r="O140" t="inlineStr"/>
      <c r="P140" t="inlineStr"/>
      <c r="Q140" t="inlineStr"/>
      <c r="R140" t="inlineStr"/>
      <c r="S140" t="inlineStr"/>
      <c r="T140" t="inlineStr"/>
      <c r="U140">
        <f>IF($A140="";"";IF(SUMIF(FoodLog!$A:$A;$A140;FoodLog!$I:$I)=0;"";SUMIF(FoodLog!$A:$A;$A140;FoodLog!$I:$I)))</f>
        <v/>
      </c>
      <c r="V140">
        <f>IF($A140="";"";IF(SUMIF(FoodLog!$A:$A;$A140;FoodLog!$F:$F)=0;"";SUMIF(FoodLog!$A:$A;$A140;FoodLog!$F:$F)))</f>
        <v/>
      </c>
      <c r="W140">
        <f>IF($A140="";"";IF(SUMIF(FoodLog!$A:$A;$A140;FoodLog!$G:$G)=0;"";SUMIF(FoodLog!$A:$A;$A140;FoodLog!$G:$G)))</f>
        <v/>
      </c>
      <c r="X140">
        <f>IF($A140="";"";IF(SUMIF(FoodLog!$A:$A;$A140;FoodLog!$H:$H)=0;"";SUMIF(FoodLog!$A:$A;$A140;FoodLog!$H:$H)))</f>
        <v/>
      </c>
      <c r="Y140">
        <f>IF($A140="";"";IFERROR(ROUND(100*AVERAGE(IF($B140="";"";XLOOKUP($B140;FILTER(Dictionaries!$B:$B;Dictionaries!$A:$A="Тренировка");FILTER(Dictionaries!$C:$C;Dictionaries!$A:$A="Тренировка")));IF($C140="";"";MIN($C140/40;1));IF($D140="";"";XLOOKUP($D140;FILTER(Dictionaries!$B:$B;Dictionaries!$A:$A="Шаги");FILTER(Dictionaries!$C:$C;Dictionaries!$A:$A="Шаги")));IF($E140="";"";MIN($E140/120;1));IF(OR($F140&lt;&gt;"";$G140&lt;&gt;"");1;"");IF($H140="";"";MIN($H140/100;1));IF($L140="";"";XLOOKUP($L140;FILTER(Dictionaries!$B:$B;Dictionaries!$A:$A="Сон_часы");FILTER(Dictionaries!$C:$C;Dictionaries!$A:$A="Сон_часы")));IF($M140="";"";XLOOKUP($M140;FILTER(Dictionaries!$B:$B;Dictionaries!$A:$A="Режим");FILTER(Dictionaries!$C:$C;Dictionaries!$A:$A="Режим")));IF($N140="";"";MIN($N140/100;1));IF($O140="";"";XLOOKUP($O140;FILTER(Dictionaries!$B:$B;Dictionaries!$A:$A="Настроение");FILTER(Dictionaries!$C:$C;Dictionaries!$A:$A="Настроение")));IF($P140="";"";XLOOKUP($P140;FILTER(Dictionaries!$B:$B;Dictionaries!$A:$A="Энергия");FILTER(Dictionaries!$C:$C;Dictionaries!$A:$A="Энергия")));IF($U140="";"";AVERAGE(IF(OR($B140="Ноги";$B140="Верх");IFS(AND($U140&gt;=1900;$U140&lt;=2050);1;AND($U140&gt;=1850;$U140&lt;1900);0,7;AND($U140&gt;2050;$U140&lt;=2100);0,7;TRUE;0,2);IFS(AND($U140&gt;=1700;$U140&lt;=1850);1;AND($U140&gt;=1650;$U140&lt;1700);0,7;AND($U140&gt;1850;$U140&lt;=1900);0,7;TRUE;0,2));IF(OR($B140="Ноги";$B140="Верх");IFS(AND($V140&gt;=125;$V140&lt;=135);1;AND($V140&gt;=115;$V140&lt;125);0,7;AND($V140&gt;135;$V140&lt;=145);0,7;AND($V140&gt;=105;$V140&lt;115);0,4;AND($V140&gt;145;$V140&lt;=155);0,4;TRUE;0,2);IFS(AND($V140&gt;=120;$V140&lt;=130);1;AND($V140&gt;=110;$V140&lt;120);0,7;AND($V140&gt;130;$V140&lt;=140);0,7;AND($V140&gt;=100;$V140&lt;110);0,4;AND($V140&gt;140;$V140&lt;=150);0,4;TRUE;0,2));IFS(AND($W140&gt;=55;$W140&lt;=65);1;AND($W140&gt;=50;$W140&lt;55);0,7;AND($W140&gt;65;$W140&lt;=70);0,7;AND($W140&gt;=45;$W140&lt;50);0,4;AND($W140&gt;70;$W140&lt;=75);0,4;TRUE;0,2);IF(OR($B140="Ноги";$B140="Верх");IFS(AND($X140&gt;=180;$X140&lt;=210);1;AND($X140&gt;=160;$X140&lt;180);0,7;AND($X140&gt;210;$X140&lt;=230);0,7;AND($X140&gt;=140;$X140&lt;160);0,4;AND($X140&gt;230;$X140&lt;=250);0,4;TRUE;0,2);IFS(AND($X140&gt;=140;$X140&lt;=170);1;AND($X140&gt;=120;$X140&lt;140);0,7;AND($X140&gt;170;$X140&lt;=190);0,7;AND($X140&gt;=100;$X140&lt;120);0,4;AND($X140&gt;190;$X140&lt;=210);0,4;TRUE;0,2)))));1);""))</f>
        <v/>
      </c>
      <c r="Z140">
        <f>IF($A140="";"";TEXTJOIN(", ";TRUE;IF($B140="";"Тренировка";"");IF($C140="";"Кардио";"");IF($D140="";"Шаги";"");IF($E140="";"Английский";"");IF($F140="";"Код-режим";"");IF($G140="";"Код-тема";"");IF($H140="";"Чтение";"");IF($L140="";"Сон";"");IF($M140="";"Режим";"");IF($N140="";"Продуктивность";"");IF($O140="";"Настроение";"");IF($P140="";"Энергия";"");IF($U140="";"Еда";"")))</f>
        <v/>
      </c>
    </row>
    <row r="141">
      <c r="B141" t="inlineStr"/>
      <c r="C141" t="inlineStr"/>
      <c r="D141" t="inlineStr"/>
      <c r="E141" t="inlineStr"/>
      <c r="F141" t="inlineStr"/>
      <c r="G141" t="inlineStr"/>
      <c r="H141" t="inlineStr"/>
      <c r="I141" t="inlineStr"/>
      <c r="J141" t="inlineStr"/>
      <c r="K141" t="inlineStr"/>
      <c r="L141" t="inlineStr"/>
      <c r="M141" t="inlineStr"/>
      <c r="N141" t="inlineStr"/>
      <c r="O141" t="inlineStr"/>
      <c r="P141" t="inlineStr"/>
      <c r="Q141" t="inlineStr"/>
      <c r="R141" t="inlineStr"/>
      <c r="S141" t="inlineStr"/>
      <c r="T141" t="inlineStr"/>
      <c r="U141">
        <f>IF($A141="";"";IF(SUMIF(FoodLog!$A:$A;$A141;FoodLog!$I:$I)=0;"";SUMIF(FoodLog!$A:$A;$A141;FoodLog!$I:$I)))</f>
        <v/>
      </c>
      <c r="V141">
        <f>IF($A141="";"";IF(SUMIF(FoodLog!$A:$A;$A141;FoodLog!$F:$F)=0;"";SUMIF(FoodLog!$A:$A;$A141;FoodLog!$F:$F)))</f>
        <v/>
      </c>
      <c r="W141">
        <f>IF($A141="";"";IF(SUMIF(FoodLog!$A:$A;$A141;FoodLog!$G:$G)=0;"";SUMIF(FoodLog!$A:$A;$A141;FoodLog!$G:$G)))</f>
        <v/>
      </c>
      <c r="X141">
        <f>IF($A141="";"";IF(SUMIF(FoodLog!$A:$A;$A141;FoodLog!$H:$H)=0;"";SUMIF(FoodLog!$A:$A;$A141;FoodLog!$H:$H)))</f>
        <v/>
      </c>
      <c r="Y141">
        <f>IF($A141="";"";IFERROR(ROUND(100*AVERAGE(IF($B141="";"";XLOOKUP($B141;FILTER(Dictionaries!$B:$B;Dictionaries!$A:$A="Тренировка");FILTER(Dictionaries!$C:$C;Dictionaries!$A:$A="Тренировка")));IF($C141="";"";MIN($C141/40;1));IF($D141="";"";XLOOKUP($D141;FILTER(Dictionaries!$B:$B;Dictionaries!$A:$A="Шаги");FILTER(Dictionaries!$C:$C;Dictionaries!$A:$A="Шаги")));IF($E141="";"";MIN($E141/120;1));IF(OR($F141&lt;&gt;"";$G141&lt;&gt;"");1;"");IF($H141="";"";MIN($H141/100;1));IF($L141="";"";XLOOKUP($L141;FILTER(Dictionaries!$B:$B;Dictionaries!$A:$A="Сон_часы");FILTER(Dictionaries!$C:$C;Dictionaries!$A:$A="Сон_часы")));IF($M141="";"";XLOOKUP($M141;FILTER(Dictionaries!$B:$B;Dictionaries!$A:$A="Режим");FILTER(Dictionaries!$C:$C;Dictionaries!$A:$A="Режим")));IF($N141="";"";MIN($N141/100;1));IF($O141="";"";XLOOKUP($O141;FILTER(Dictionaries!$B:$B;Dictionaries!$A:$A="Настроение");FILTER(Dictionaries!$C:$C;Dictionaries!$A:$A="Настроение")));IF($P141="";"";XLOOKUP($P141;FILTER(Dictionaries!$B:$B;Dictionaries!$A:$A="Энергия");FILTER(Dictionaries!$C:$C;Dictionaries!$A:$A="Энергия")));IF($U141="";"";AVERAGE(IF(OR($B141="Ноги";$B141="Верх");IFS(AND($U141&gt;=1900;$U141&lt;=2050);1;AND($U141&gt;=1850;$U141&lt;1900);0,7;AND($U141&gt;2050;$U141&lt;=2100);0,7;TRUE;0,2);IFS(AND($U141&gt;=1700;$U141&lt;=1850);1;AND($U141&gt;=1650;$U141&lt;1700);0,7;AND($U141&gt;1850;$U141&lt;=1900);0,7;TRUE;0,2));IF(OR($B141="Ноги";$B141="Верх");IFS(AND($V141&gt;=125;$V141&lt;=135);1;AND($V141&gt;=115;$V141&lt;125);0,7;AND($V141&gt;135;$V141&lt;=145);0,7;AND($V141&gt;=105;$V141&lt;115);0,4;AND($V141&gt;145;$V141&lt;=155);0,4;TRUE;0,2);IFS(AND($V141&gt;=120;$V141&lt;=130);1;AND($V141&gt;=110;$V141&lt;120);0,7;AND($V141&gt;130;$V141&lt;=140);0,7;AND($V141&gt;=100;$V141&lt;110);0,4;AND($V141&gt;140;$V141&lt;=150);0,4;TRUE;0,2));IFS(AND($W141&gt;=55;$W141&lt;=65);1;AND($W141&gt;=50;$W141&lt;55);0,7;AND($W141&gt;65;$W141&lt;=70);0,7;AND($W141&gt;=45;$W141&lt;50);0,4;AND($W141&gt;70;$W141&lt;=75);0,4;TRUE;0,2);IF(OR($B141="Ноги";$B141="Верх");IFS(AND($X141&gt;=180;$X141&lt;=210);1;AND($X141&gt;=160;$X141&lt;180);0,7;AND($X141&gt;210;$X141&lt;=230);0,7;AND($X141&gt;=140;$X141&lt;160);0,4;AND($X141&gt;230;$X141&lt;=250);0,4;TRUE;0,2);IFS(AND($X141&gt;=140;$X141&lt;=170);1;AND($X141&gt;=120;$X141&lt;140);0,7;AND($X141&gt;170;$X141&lt;=190);0,7;AND($X141&gt;=100;$X141&lt;120);0,4;AND($X141&gt;190;$X141&lt;=210);0,4;TRUE;0,2)))));1);""))</f>
        <v/>
      </c>
      <c r="Z141">
        <f>IF($A141="";"";TEXTJOIN(", ";TRUE;IF($B141="";"Тренировка";"");IF($C141="";"Кардио";"");IF($D141="";"Шаги";"");IF($E141="";"Английский";"");IF($F141="";"Код-режим";"");IF($G141="";"Код-тема";"");IF($H141="";"Чтение";"");IF($L141="";"Сон";"");IF($M141="";"Режим";"");IF($N141="";"Продуктивность";"");IF($O141="";"Настроение";"");IF($P141="";"Энергия";"");IF($U141="";"Еда";"")))</f>
        <v/>
      </c>
    </row>
    <row r="142">
      <c r="B142" t="inlineStr"/>
      <c r="C142" t="inlineStr"/>
      <c r="D142" t="inlineStr"/>
      <c r="E142" t="inlineStr"/>
      <c r="F142" t="inlineStr"/>
      <c r="G142" t="inlineStr"/>
      <c r="H142" t="inlineStr"/>
      <c r="I142" t="inlineStr"/>
      <c r="J142" t="inlineStr"/>
      <c r="K142" t="inlineStr"/>
      <c r="L142" t="inlineStr"/>
      <c r="M142" t="inlineStr"/>
      <c r="N142" t="inlineStr"/>
      <c r="O142" t="inlineStr"/>
      <c r="P142" t="inlineStr"/>
      <c r="Q142" t="inlineStr"/>
      <c r="R142" t="inlineStr"/>
      <c r="S142" t="inlineStr"/>
      <c r="T142" t="inlineStr"/>
      <c r="U142">
        <f>IF($A142="";"";IF(SUMIF(FoodLog!$A:$A;$A142;FoodLog!$I:$I)=0;"";SUMIF(FoodLog!$A:$A;$A142;FoodLog!$I:$I)))</f>
        <v/>
      </c>
      <c r="V142">
        <f>IF($A142="";"";IF(SUMIF(FoodLog!$A:$A;$A142;FoodLog!$F:$F)=0;"";SUMIF(FoodLog!$A:$A;$A142;FoodLog!$F:$F)))</f>
        <v/>
      </c>
      <c r="W142">
        <f>IF($A142="";"";IF(SUMIF(FoodLog!$A:$A;$A142;FoodLog!$G:$G)=0;"";SUMIF(FoodLog!$A:$A;$A142;FoodLog!$G:$G)))</f>
        <v/>
      </c>
      <c r="X142">
        <f>IF($A142="";"";IF(SUMIF(FoodLog!$A:$A;$A142;FoodLog!$H:$H)=0;"";SUMIF(FoodLog!$A:$A;$A142;FoodLog!$H:$H)))</f>
        <v/>
      </c>
      <c r="Y142">
        <f>IF($A142="";"";IFERROR(ROUND(100*AVERAGE(IF($B142="";"";XLOOKUP($B142;FILTER(Dictionaries!$B:$B;Dictionaries!$A:$A="Тренировка");FILTER(Dictionaries!$C:$C;Dictionaries!$A:$A="Тренировка")));IF($C142="";"";MIN($C142/40;1));IF($D142="";"";XLOOKUP($D142;FILTER(Dictionaries!$B:$B;Dictionaries!$A:$A="Шаги");FILTER(Dictionaries!$C:$C;Dictionaries!$A:$A="Шаги")));IF($E142="";"";MIN($E142/120;1));IF(OR($F142&lt;&gt;"";$G142&lt;&gt;"");1;"");IF($H142="";"";MIN($H142/100;1));IF($L142="";"";XLOOKUP($L142;FILTER(Dictionaries!$B:$B;Dictionaries!$A:$A="Сон_часы");FILTER(Dictionaries!$C:$C;Dictionaries!$A:$A="Сон_часы")));IF($M142="";"";XLOOKUP($M142;FILTER(Dictionaries!$B:$B;Dictionaries!$A:$A="Режим");FILTER(Dictionaries!$C:$C;Dictionaries!$A:$A="Режим")));IF($N142="";"";MIN($N142/100;1));IF($O142="";"";XLOOKUP($O142;FILTER(Dictionaries!$B:$B;Dictionaries!$A:$A="Настроение");FILTER(Dictionaries!$C:$C;Dictionaries!$A:$A="Настроение")));IF($P142="";"";XLOOKUP($P142;FILTER(Dictionaries!$B:$B;Dictionaries!$A:$A="Энергия");FILTER(Dictionaries!$C:$C;Dictionaries!$A:$A="Энергия")));IF($U142="";"";AVERAGE(IF(OR($B142="Ноги";$B142="Верх");IFS(AND($U142&gt;=1900;$U142&lt;=2050);1;AND($U142&gt;=1850;$U142&lt;1900);0,7;AND($U142&gt;2050;$U142&lt;=2100);0,7;TRUE;0,2);IFS(AND($U142&gt;=1700;$U142&lt;=1850);1;AND($U142&gt;=1650;$U142&lt;1700);0,7;AND($U142&gt;1850;$U142&lt;=1900);0,7;TRUE;0,2));IF(OR($B142="Ноги";$B142="Верх");IFS(AND($V142&gt;=125;$V142&lt;=135);1;AND($V142&gt;=115;$V142&lt;125);0,7;AND($V142&gt;135;$V142&lt;=145);0,7;AND($V142&gt;=105;$V142&lt;115);0,4;AND($V142&gt;145;$V142&lt;=155);0,4;TRUE;0,2);IFS(AND($V142&gt;=120;$V142&lt;=130);1;AND($V142&gt;=110;$V142&lt;120);0,7;AND($V142&gt;130;$V142&lt;=140);0,7;AND($V142&gt;=100;$V142&lt;110);0,4;AND($V142&gt;140;$V142&lt;=150);0,4;TRUE;0,2));IFS(AND($W142&gt;=55;$W142&lt;=65);1;AND($W142&gt;=50;$W142&lt;55);0,7;AND($W142&gt;65;$W142&lt;=70);0,7;AND($W142&gt;=45;$W142&lt;50);0,4;AND($W142&gt;70;$W142&lt;=75);0,4;TRUE;0,2);IF(OR($B142="Ноги";$B142="Верх");IFS(AND($X142&gt;=180;$X142&lt;=210);1;AND($X142&gt;=160;$X142&lt;180);0,7;AND($X142&gt;210;$X142&lt;=230);0,7;AND($X142&gt;=140;$X142&lt;160);0,4;AND($X142&gt;230;$X142&lt;=250);0,4;TRUE;0,2);IFS(AND($X142&gt;=140;$X142&lt;=170);1;AND($X142&gt;=120;$X142&lt;140);0,7;AND($X142&gt;170;$X142&lt;=190);0,7;AND($X142&gt;=100;$X142&lt;120);0,4;AND($X142&gt;190;$X142&lt;=210);0,4;TRUE;0,2)))));1);""))</f>
        <v/>
      </c>
      <c r="Z142">
        <f>IF($A142="";"";TEXTJOIN(", ";TRUE;IF($B142="";"Тренировка";"");IF($C142="";"Кардио";"");IF($D142="";"Шаги";"");IF($E142="";"Английский";"");IF($F142="";"Код-режим";"");IF($G142="";"Код-тема";"");IF($H142="";"Чтение";"");IF($L142="";"Сон";"");IF($M142="";"Режим";"");IF($N142="";"Продуктивность";"");IF($O142="";"Настроение";"");IF($P142="";"Энергия";"");IF($U142="";"Еда";"")))</f>
        <v/>
      </c>
    </row>
    <row r="143">
      <c r="B143" t="inlineStr"/>
      <c r="C143" t="inlineStr"/>
      <c r="D143" t="inlineStr"/>
      <c r="E143" t="inlineStr"/>
      <c r="F143" t="inlineStr"/>
      <c r="G143" t="inlineStr"/>
      <c r="H143" t="inlineStr"/>
      <c r="I143" t="inlineStr"/>
      <c r="J143" t="inlineStr"/>
      <c r="K143" t="inlineStr"/>
      <c r="L143" t="inlineStr"/>
      <c r="M143" t="inlineStr"/>
      <c r="N143" t="inlineStr"/>
      <c r="O143" t="inlineStr"/>
      <c r="P143" t="inlineStr"/>
      <c r="Q143" t="inlineStr"/>
      <c r="R143" t="inlineStr"/>
      <c r="S143" t="inlineStr"/>
      <c r="T143" t="inlineStr"/>
      <c r="U143">
        <f>IF($A143="";"";IF(SUMIF(FoodLog!$A:$A;$A143;FoodLog!$I:$I)=0;"";SUMIF(FoodLog!$A:$A;$A143;FoodLog!$I:$I)))</f>
        <v/>
      </c>
      <c r="V143">
        <f>IF($A143="";"";IF(SUMIF(FoodLog!$A:$A;$A143;FoodLog!$F:$F)=0;"";SUMIF(FoodLog!$A:$A;$A143;FoodLog!$F:$F)))</f>
        <v/>
      </c>
      <c r="W143">
        <f>IF($A143="";"";IF(SUMIF(FoodLog!$A:$A;$A143;FoodLog!$G:$G)=0;"";SUMIF(FoodLog!$A:$A;$A143;FoodLog!$G:$G)))</f>
        <v/>
      </c>
      <c r="X143">
        <f>IF($A143="";"";IF(SUMIF(FoodLog!$A:$A;$A143;FoodLog!$H:$H)=0;"";SUMIF(FoodLog!$A:$A;$A143;FoodLog!$H:$H)))</f>
        <v/>
      </c>
      <c r="Y143">
        <f>IF($A143="";"";IFERROR(ROUND(100*AVERAGE(IF($B143="";"";XLOOKUP($B143;FILTER(Dictionaries!$B:$B;Dictionaries!$A:$A="Тренировка");FILTER(Dictionaries!$C:$C;Dictionaries!$A:$A="Тренировка")));IF($C143="";"";MIN($C143/40;1));IF($D143="";"";XLOOKUP($D143;FILTER(Dictionaries!$B:$B;Dictionaries!$A:$A="Шаги");FILTER(Dictionaries!$C:$C;Dictionaries!$A:$A="Шаги")));IF($E143="";"";MIN($E143/120;1));IF(OR($F143&lt;&gt;"";$G143&lt;&gt;"");1;"");IF($H143="";"";MIN($H143/100;1));IF($L143="";"";XLOOKUP($L143;FILTER(Dictionaries!$B:$B;Dictionaries!$A:$A="Сон_часы");FILTER(Dictionaries!$C:$C;Dictionaries!$A:$A="Сон_часы")));IF($M143="";"";XLOOKUP($M143;FILTER(Dictionaries!$B:$B;Dictionaries!$A:$A="Режим");FILTER(Dictionaries!$C:$C;Dictionaries!$A:$A="Режим")));IF($N143="";"";MIN($N143/100;1));IF($O143="";"";XLOOKUP($O143;FILTER(Dictionaries!$B:$B;Dictionaries!$A:$A="Настроение");FILTER(Dictionaries!$C:$C;Dictionaries!$A:$A="Настроение")));IF($P143="";"";XLOOKUP($P143;FILTER(Dictionaries!$B:$B;Dictionaries!$A:$A="Энергия");FILTER(Dictionaries!$C:$C;Dictionaries!$A:$A="Энергия")));IF($U143="";"";AVERAGE(IF(OR($B143="Ноги";$B143="Верх");IFS(AND($U143&gt;=1900;$U143&lt;=2050);1;AND($U143&gt;=1850;$U143&lt;1900);0,7;AND($U143&gt;2050;$U143&lt;=2100);0,7;TRUE;0,2);IFS(AND($U143&gt;=1700;$U143&lt;=1850);1;AND($U143&gt;=1650;$U143&lt;1700);0,7;AND($U143&gt;1850;$U143&lt;=1900);0,7;TRUE;0,2));IF(OR($B143="Ноги";$B143="Верх");IFS(AND($V143&gt;=125;$V143&lt;=135);1;AND($V143&gt;=115;$V143&lt;125);0,7;AND($V143&gt;135;$V143&lt;=145);0,7;AND($V143&gt;=105;$V143&lt;115);0,4;AND($V143&gt;145;$V143&lt;=155);0,4;TRUE;0,2);IFS(AND($V143&gt;=120;$V143&lt;=130);1;AND($V143&gt;=110;$V143&lt;120);0,7;AND($V143&gt;130;$V143&lt;=140);0,7;AND($V143&gt;=100;$V143&lt;110);0,4;AND($V143&gt;140;$V143&lt;=150);0,4;TRUE;0,2));IFS(AND($W143&gt;=55;$W143&lt;=65);1;AND($W143&gt;=50;$W143&lt;55);0,7;AND($W143&gt;65;$W143&lt;=70);0,7;AND($W143&gt;=45;$W143&lt;50);0,4;AND($W143&gt;70;$W143&lt;=75);0,4;TRUE;0,2);IF(OR($B143="Ноги";$B143="Верх");IFS(AND($X143&gt;=180;$X143&lt;=210);1;AND($X143&gt;=160;$X143&lt;180);0,7;AND($X143&gt;210;$X143&lt;=230);0,7;AND($X143&gt;=140;$X143&lt;160);0,4;AND($X143&gt;230;$X143&lt;=250);0,4;TRUE;0,2);IFS(AND($X143&gt;=140;$X143&lt;=170);1;AND($X143&gt;=120;$X143&lt;140);0,7;AND($X143&gt;170;$X143&lt;=190);0,7;AND($X143&gt;=100;$X143&lt;120);0,4;AND($X143&gt;190;$X143&lt;=210);0,4;TRUE;0,2)))));1);""))</f>
        <v/>
      </c>
      <c r="Z143">
        <f>IF($A143="";"";TEXTJOIN(", ";TRUE;IF($B143="";"Тренировка";"");IF($C143="";"Кардио";"");IF($D143="";"Шаги";"");IF($E143="";"Английский";"");IF($F143="";"Код-режим";"");IF($G143="";"Код-тема";"");IF($H143="";"Чтение";"");IF($L143="";"Сон";"");IF($M143="";"Режим";"");IF($N143="";"Продуктивность";"");IF($O143="";"Настроение";"");IF($P143="";"Энергия";"");IF($U143="";"Еда";"")))</f>
        <v/>
      </c>
    </row>
    <row r="144">
      <c r="B144" t="inlineStr"/>
      <c r="C144" t="inlineStr"/>
      <c r="D144" t="inlineStr"/>
      <c r="E144" t="inlineStr"/>
      <c r="F144" t="inlineStr"/>
      <c r="G144" t="inlineStr"/>
      <c r="H144" t="inlineStr"/>
      <c r="I144" t="inlineStr"/>
      <c r="J144" t="inlineStr"/>
      <c r="K144" t="inlineStr"/>
      <c r="L144" t="inlineStr"/>
      <c r="M144" t="inlineStr"/>
      <c r="N144" t="inlineStr"/>
      <c r="O144" t="inlineStr"/>
      <c r="P144" t="inlineStr"/>
      <c r="Q144" t="inlineStr"/>
      <c r="R144" t="inlineStr"/>
      <c r="S144" t="inlineStr"/>
      <c r="T144" t="inlineStr"/>
      <c r="U144">
        <f>IF($A144="";"";IF(SUMIF(FoodLog!$A:$A;$A144;FoodLog!$I:$I)=0;"";SUMIF(FoodLog!$A:$A;$A144;FoodLog!$I:$I)))</f>
        <v/>
      </c>
      <c r="V144">
        <f>IF($A144="";"";IF(SUMIF(FoodLog!$A:$A;$A144;FoodLog!$F:$F)=0;"";SUMIF(FoodLog!$A:$A;$A144;FoodLog!$F:$F)))</f>
        <v/>
      </c>
      <c r="W144">
        <f>IF($A144="";"";IF(SUMIF(FoodLog!$A:$A;$A144;FoodLog!$G:$G)=0;"";SUMIF(FoodLog!$A:$A;$A144;FoodLog!$G:$G)))</f>
        <v/>
      </c>
      <c r="X144">
        <f>IF($A144="";"";IF(SUMIF(FoodLog!$A:$A;$A144;FoodLog!$H:$H)=0;"";SUMIF(FoodLog!$A:$A;$A144;FoodLog!$H:$H)))</f>
        <v/>
      </c>
      <c r="Y144">
        <f>IF($A144="";"";IFERROR(ROUND(100*AVERAGE(IF($B144="";"";XLOOKUP($B144;FILTER(Dictionaries!$B:$B;Dictionaries!$A:$A="Тренировка");FILTER(Dictionaries!$C:$C;Dictionaries!$A:$A="Тренировка")));IF($C144="";"";MIN($C144/40;1));IF($D144="";"";XLOOKUP($D144;FILTER(Dictionaries!$B:$B;Dictionaries!$A:$A="Шаги");FILTER(Dictionaries!$C:$C;Dictionaries!$A:$A="Шаги")));IF($E144="";"";MIN($E144/120;1));IF(OR($F144&lt;&gt;"";$G144&lt;&gt;"");1;"");IF($H144="";"";MIN($H144/100;1));IF($L144="";"";XLOOKUP($L144;FILTER(Dictionaries!$B:$B;Dictionaries!$A:$A="Сон_часы");FILTER(Dictionaries!$C:$C;Dictionaries!$A:$A="Сон_часы")));IF($M144="";"";XLOOKUP($M144;FILTER(Dictionaries!$B:$B;Dictionaries!$A:$A="Режим");FILTER(Dictionaries!$C:$C;Dictionaries!$A:$A="Режим")));IF($N144="";"";MIN($N144/100;1));IF($O144="";"";XLOOKUP($O144;FILTER(Dictionaries!$B:$B;Dictionaries!$A:$A="Настроение");FILTER(Dictionaries!$C:$C;Dictionaries!$A:$A="Настроение")));IF($P144="";"";XLOOKUP($P144;FILTER(Dictionaries!$B:$B;Dictionaries!$A:$A="Энергия");FILTER(Dictionaries!$C:$C;Dictionaries!$A:$A="Энергия")));IF($U144="";"";AVERAGE(IF(OR($B144="Ноги";$B144="Верх");IFS(AND($U144&gt;=1900;$U144&lt;=2050);1;AND($U144&gt;=1850;$U144&lt;1900);0,7;AND($U144&gt;2050;$U144&lt;=2100);0,7;TRUE;0,2);IFS(AND($U144&gt;=1700;$U144&lt;=1850);1;AND($U144&gt;=1650;$U144&lt;1700);0,7;AND($U144&gt;1850;$U144&lt;=1900);0,7;TRUE;0,2));IF(OR($B144="Ноги";$B144="Верх");IFS(AND($V144&gt;=125;$V144&lt;=135);1;AND($V144&gt;=115;$V144&lt;125);0,7;AND($V144&gt;135;$V144&lt;=145);0,7;AND($V144&gt;=105;$V144&lt;115);0,4;AND($V144&gt;145;$V144&lt;=155);0,4;TRUE;0,2);IFS(AND($V144&gt;=120;$V144&lt;=130);1;AND($V144&gt;=110;$V144&lt;120);0,7;AND($V144&gt;130;$V144&lt;=140);0,7;AND($V144&gt;=100;$V144&lt;110);0,4;AND($V144&gt;140;$V144&lt;=150);0,4;TRUE;0,2));IFS(AND($W144&gt;=55;$W144&lt;=65);1;AND($W144&gt;=50;$W144&lt;55);0,7;AND($W144&gt;65;$W144&lt;=70);0,7;AND($W144&gt;=45;$W144&lt;50);0,4;AND($W144&gt;70;$W144&lt;=75);0,4;TRUE;0,2);IF(OR($B144="Ноги";$B144="Верх");IFS(AND($X144&gt;=180;$X144&lt;=210);1;AND($X144&gt;=160;$X144&lt;180);0,7;AND($X144&gt;210;$X144&lt;=230);0,7;AND($X144&gt;=140;$X144&lt;160);0,4;AND($X144&gt;230;$X144&lt;=250);0,4;TRUE;0,2);IFS(AND($X144&gt;=140;$X144&lt;=170);1;AND($X144&gt;=120;$X144&lt;140);0,7;AND($X144&gt;170;$X144&lt;=190);0,7;AND($X144&gt;=100;$X144&lt;120);0,4;AND($X144&gt;190;$X144&lt;=210);0,4;TRUE;0,2)))));1);""))</f>
        <v/>
      </c>
      <c r="Z144">
        <f>IF($A144="";"";TEXTJOIN(", ";TRUE;IF($B144="";"Тренировка";"");IF($C144="";"Кардио";"");IF($D144="";"Шаги";"");IF($E144="";"Английский";"");IF($F144="";"Код-режим";"");IF($G144="";"Код-тема";"");IF($H144="";"Чтение";"");IF($L144="";"Сон";"");IF($M144="";"Режим";"");IF($N144="";"Продуктивность";"");IF($O144="";"Настроение";"");IF($P144="";"Энергия";"");IF($U144="";"Еда";"")))</f>
        <v/>
      </c>
    </row>
    <row r="145">
      <c r="B145" t="inlineStr"/>
      <c r="C145" t="inlineStr"/>
      <c r="D145" t="inlineStr"/>
      <c r="E145" t="inlineStr"/>
      <c r="F145" t="inlineStr"/>
      <c r="G145" t="inlineStr"/>
      <c r="H145" t="inlineStr"/>
      <c r="I145" t="inlineStr"/>
      <c r="J145" t="inlineStr"/>
      <c r="K145" t="inlineStr"/>
      <c r="L145" t="inlineStr"/>
      <c r="M145" t="inlineStr"/>
      <c r="N145" t="inlineStr"/>
      <c r="O145" t="inlineStr"/>
      <c r="P145" t="inlineStr"/>
      <c r="Q145" t="inlineStr"/>
      <c r="R145" t="inlineStr"/>
      <c r="S145" t="inlineStr"/>
      <c r="T145" t="inlineStr"/>
      <c r="U145">
        <f>IF($A145="";"";IF(SUMIF(FoodLog!$A:$A;$A145;FoodLog!$I:$I)=0;"";SUMIF(FoodLog!$A:$A;$A145;FoodLog!$I:$I)))</f>
        <v/>
      </c>
      <c r="V145">
        <f>IF($A145="";"";IF(SUMIF(FoodLog!$A:$A;$A145;FoodLog!$F:$F)=0;"";SUMIF(FoodLog!$A:$A;$A145;FoodLog!$F:$F)))</f>
        <v/>
      </c>
      <c r="W145">
        <f>IF($A145="";"";IF(SUMIF(FoodLog!$A:$A;$A145;FoodLog!$G:$G)=0;"";SUMIF(FoodLog!$A:$A;$A145;FoodLog!$G:$G)))</f>
        <v/>
      </c>
      <c r="X145">
        <f>IF($A145="";"";IF(SUMIF(FoodLog!$A:$A;$A145;FoodLog!$H:$H)=0;"";SUMIF(FoodLog!$A:$A;$A145;FoodLog!$H:$H)))</f>
        <v/>
      </c>
      <c r="Y145">
        <f>IF($A145="";"";IFERROR(ROUND(100*AVERAGE(IF($B145="";"";XLOOKUP($B145;FILTER(Dictionaries!$B:$B;Dictionaries!$A:$A="Тренировка");FILTER(Dictionaries!$C:$C;Dictionaries!$A:$A="Тренировка")));IF($C145="";"";MIN($C145/40;1));IF($D145="";"";XLOOKUP($D145;FILTER(Dictionaries!$B:$B;Dictionaries!$A:$A="Шаги");FILTER(Dictionaries!$C:$C;Dictionaries!$A:$A="Шаги")));IF($E145="";"";MIN($E145/120;1));IF(OR($F145&lt;&gt;"";$G145&lt;&gt;"");1;"");IF($H145="";"";MIN($H145/100;1));IF($L145="";"";XLOOKUP($L145;FILTER(Dictionaries!$B:$B;Dictionaries!$A:$A="Сон_часы");FILTER(Dictionaries!$C:$C;Dictionaries!$A:$A="Сон_часы")));IF($M145="";"";XLOOKUP($M145;FILTER(Dictionaries!$B:$B;Dictionaries!$A:$A="Режим");FILTER(Dictionaries!$C:$C;Dictionaries!$A:$A="Режим")));IF($N145="";"";MIN($N145/100;1));IF($O145="";"";XLOOKUP($O145;FILTER(Dictionaries!$B:$B;Dictionaries!$A:$A="Настроение");FILTER(Dictionaries!$C:$C;Dictionaries!$A:$A="Настроение")));IF($P145="";"";XLOOKUP($P145;FILTER(Dictionaries!$B:$B;Dictionaries!$A:$A="Энергия");FILTER(Dictionaries!$C:$C;Dictionaries!$A:$A="Энергия")));IF($U145="";"";AVERAGE(IF(OR($B145="Ноги";$B145="Верх");IFS(AND($U145&gt;=1900;$U145&lt;=2050);1;AND($U145&gt;=1850;$U145&lt;1900);0,7;AND($U145&gt;2050;$U145&lt;=2100);0,7;TRUE;0,2);IFS(AND($U145&gt;=1700;$U145&lt;=1850);1;AND($U145&gt;=1650;$U145&lt;1700);0,7;AND($U145&gt;1850;$U145&lt;=1900);0,7;TRUE;0,2));IF(OR($B145="Ноги";$B145="Верх");IFS(AND($V145&gt;=125;$V145&lt;=135);1;AND($V145&gt;=115;$V145&lt;125);0,7;AND($V145&gt;135;$V145&lt;=145);0,7;AND($V145&gt;=105;$V145&lt;115);0,4;AND($V145&gt;145;$V145&lt;=155);0,4;TRUE;0,2);IFS(AND($V145&gt;=120;$V145&lt;=130);1;AND($V145&gt;=110;$V145&lt;120);0,7;AND($V145&gt;130;$V145&lt;=140);0,7;AND($V145&gt;=100;$V145&lt;110);0,4;AND($V145&gt;140;$V145&lt;=150);0,4;TRUE;0,2));IFS(AND($W145&gt;=55;$W145&lt;=65);1;AND($W145&gt;=50;$W145&lt;55);0,7;AND($W145&gt;65;$W145&lt;=70);0,7;AND($W145&gt;=45;$W145&lt;50);0,4;AND($W145&gt;70;$W145&lt;=75);0,4;TRUE;0,2);IF(OR($B145="Ноги";$B145="Верх");IFS(AND($X145&gt;=180;$X145&lt;=210);1;AND($X145&gt;=160;$X145&lt;180);0,7;AND($X145&gt;210;$X145&lt;=230);0,7;AND($X145&gt;=140;$X145&lt;160);0,4;AND($X145&gt;230;$X145&lt;=250);0,4;TRUE;0,2);IFS(AND($X145&gt;=140;$X145&lt;=170);1;AND($X145&gt;=120;$X145&lt;140);0,7;AND($X145&gt;170;$X145&lt;=190);0,7;AND($X145&gt;=100;$X145&lt;120);0,4;AND($X145&gt;190;$X145&lt;=210);0,4;TRUE;0,2)))));1);""))</f>
        <v/>
      </c>
      <c r="Z145">
        <f>IF($A145="";"";TEXTJOIN(", ";TRUE;IF($B145="";"Тренировка";"");IF($C145="";"Кардио";"");IF($D145="";"Шаги";"");IF($E145="";"Английский";"");IF($F145="";"Код-режим";"");IF($G145="";"Код-тема";"");IF($H145="";"Чтение";"");IF($L145="";"Сон";"");IF($M145="";"Режим";"");IF($N145="";"Продуктивность";"");IF($O145="";"Настроение";"");IF($P145="";"Энергия";"");IF($U145="";"Еда";"")))</f>
        <v/>
      </c>
    </row>
    <row r="146">
      <c r="B146" t="inlineStr"/>
      <c r="C146" t="inlineStr"/>
      <c r="D146" t="inlineStr"/>
      <c r="E146" t="inlineStr"/>
      <c r="F146" t="inlineStr"/>
      <c r="G146" t="inlineStr"/>
      <c r="H146" t="inlineStr"/>
      <c r="I146" t="inlineStr"/>
      <c r="J146" t="inlineStr"/>
      <c r="K146" t="inlineStr"/>
      <c r="L146" t="inlineStr"/>
      <c r="M146" t="inlineStr"/>
      <c r="N146" t="inlineStr"/>
      <c r="O146" t="inlineStr"/>
      <c r="P146" t="inlineStr"/>
      <c r="Q146" t="inlineStr"/>
      <c r="R146" t="inlineStr"/>
      <c r="S146" t="inlineStr"/>
      <c r="T146" t="inlineStr"/>
      <c r="U146">
        <f>IF($A146="";"";IF(SUMIF(FoodLog!$A:$A;$A146;FoodLog!$I:$I)=0;"";SUMIF(FoodLog!$A:$A;$A146;FoodLog!$I:$I)))</f>
        <v/>
      </c>
      <c r="V146">
        <f>IF($A146="";"";IF(SUMIF(FoodLog!$A:$A;$A146;FoodLog!$F:$F)=0;"";SUMIF(FoodLog!$A:$A;$A146;FoodLog!$F:$F)))</f>
        <v/>
      </c>
      <c r="W146">
        <f>IF($A146="";"";IF(SUMIF(FoodLog!$A:$A;$A146;FoodLog!$G:$G)=0;"";SUMIF(FoodLog!$A:$A;$A146;FoodLog!$G:$G)))</f>
        <v/>
      </c>
      <c r="X146">
        <f>IF($A146="";"";IF(SUMIF(FoodLog!$A:$A;$A146;FoodLog!$H:$H)=0;"";SUMIF(FoodLog!$A:$A;$A146;FoodLog!$H:$H)))</f>
        <v/>
      </c>
      <c r="Y146">
        <f>IF($A146="";"";IFERROR(ROUND(100*AVERAGE(IF($B146="";"";XLOOKUP($B146;FILTER(Dictionaries!$B:$B;Dictionaries!$A:$A="Тренировка");FILTER(Dictionaries!$C:$C;Dictionaries!$A:$A="Тренировка")));IF($C146="";"";MIN($C146/40;1));IF($D146="";"";XLOOKUP($D146;FILTER(Dictionaries!$B:$B;Dictionaries!$A:$A="Шаги");FILTER(Dictionaries!$C:$C;Dictionaries!$A:$A="Шаги")));IF($E146="";"";MIN($E146/120;1));IF(OR($F146&lt;&gt;"";$G146&lt;&gt;"");1;"");IF($H146="";"";MIN($H146/100;1));IF($L146="";"";XLOOKUP($L146;FILTER(Dictionaries!$B:$B;Dictionaries!$A:$A="Сон_часы");FILTER(Dictionaries!$C:$C;Dictionaries!$A:$A="Сон_часы")));IF($M146="";"";XLOOKUP($M146;FILTER(Dictionaries!$B:$B;Dictionaries!$A:$A="Режим");FILTER(Dictionaries!$C:$C;Dictionaries!$A:$A="Режим")));IF($N146="";"";MIN($N146/100;1));IF($O146="";"";XLOOKUP($O146;FILTER(Dictionaries!$B:$B;Dictionaries!$A:$A="Настроение");FILTER(Dictionaries!$C:$C;Dictionaries!$A:$A="Настроение")));IF($P146="";"";XLOOKUP($P146;FILTER(Dictionaries!$B:$B;Dictionaries!$A:$A="Энергия");FILTER(Dictionaries!$C:$C;Dictionaries!$A:$A="Энергия")));IF($U146="";"";AVERAGE(IF(OR($B146="Ноги";$B146="Верх");IFS(AND($U146&gt;=1900;$U146&lt;=2050);1;AND($U146&gt;=1850;$U146&lt;1900);0,7;AND($U146&gt;2050;$U146&lt;=2100);0,7;TRUE;0,2);IFS(AND($U146&gt;=1700;$U146&lt;=1850);1;AND($U146&gt;=1650;$U146&lt;1700);0,7;AND($U146&gt;1850;$U146&lt;=1900);0,7;TRUE;0,2));IF(OR($B146="Ноги";$B146="Верх");IFS(AND($V146&gt;=125;$V146&lt;=135);1;AND($V146&gt;=115;$V146&lt;125);0,7;AND($V146&gt;135;$V146&lt;=145);0,7;AND($V146&gt;=105;$V146&lt;115);0,4;AND($V146&gt;145;$V146&lt;=155);0,4;TRUE;0,2);IFS(AND($V146&gt;=120;$V146&lt;=130);1;AND($V146&gt;=110;$V146&lt;120);0,7;AND($V146&gt;130;$V146&lt;=140);0,7;AND($V146&gt;=100;$V146&lt;110);0,4;AND($V146&gt;140;$V146&lt;=150);0,4;TRUE;0,2));IFS(AND($W146&gt;=55;$W146&lt;=65);1;AND($W146&gt;=50;$W146&lt;55);0,7;AND($W146&gt;65;$W146&lt;=70);0,7;AND($W146&gt;=45;$W146&lt;50);0,4;AND($W146&gt;70;$W146&lt;=75);0,4;TRUE;0,2);IF(OR($B146="Ноги";$B146="Верх");IFS(AND($X146&gt;=180;$X146&lt;=210);1;AND($X146&gt;=160;$X146&lt;180);0,7;AND($X146&gt;210;$X146&lt;=230);0,7;AND($X146&gt;=140;$X146&lt;160);0,4;AND($X146&gt;230;$X146&lt;=250);0,4;TRUE;0,2);IFS(AND($X146&gt;=140;$X146&lt;=170);1;AND($X146&gt;=120;$X146&lt;140);0,7;AND($X146&gt;170;$X146&lt;=190);0,7;AND($X146&gt;=100;$X146&lt;120);0,4;AND($X146&gt;190;$X146&lt;=210);0,4;TRUE;0,2)))));1);""))</f>
        <v/>
      </c>
      <c r="Z146">
        <f>IF($A146="";"";TEXTJOIN(", ";TRUE;IF($B146="";"Тренировка";"");IF($C146="";"Кардио";"");IF($D146="";"Шаги";"");IF($E146="";"Английский";"");IF($F146="";"Код-режим";"");IF($G146="";"Код-тема";"");IF($H146="";"Чтение";"");IF($L146="";"Сон";"");IF($M146="";"Режим";"");IF($N146="";"Продуктивность";"");IF($O146="";"Настроение";"");IF($P146="";"Энергия";"");IF($U146="";"Еда";"")))</f>
        <v/>
      </c>
    </row>
    <row r="147">
      <c r="B147" t="inlineStr"/>
      <c r="C147" t="inlineStr"/>
      <c r="D147" t="inlineStr"/>
      <c r="E147" t="inlineStr"/>
      <c r="F147" t="inlineStr"/>
      <c r="G147" t="inlineStr"/>
      <c r="H147" t="inlineStr"/>
      <c r="I147" t="inlineStr"/>
      <c r="J147" t="inlineStr"/>
      <c r="K147" t="inlineStr"/>
      <c r="L147" t="inlineStr"/>
      <c r="M147" t="inlineStr"/>
      <c r="N147" t="inlineStr"/>
      <c r="O147" t="inlineStr"/>
      <c r="P147" t="inlineStr"/>
      <c r="Q147" t="inlineStr"/>
      <c r="R147" t="inlineStr"/>
      <c r="S147" t="inlineStr"/>
      <c r="T147" t="inlineStr"/>
      <c r="U147">
        <f>IF($A147="";"";IF(SUMIF(FoodLog!$A:$A;$A147;FoodLog!$I:$I)=0;"";SUMIF(FoodLog!$A:$A;$A147;FoodLog!$I:$I)))</f>
        <v/>
      </c>
      <c r="V147">
        <f>IF($A147="";"";IF(SUMIF(FoodLog!$A:$A;$A147;FoodLog!$F:$F)=0;"";SUMIF(FoodLog!$A:$A;$A147;FoodLog!$F:$F)))</f>
        <v/>
      </c>
      <c r="W147">
        <f>IF($A147="";"";IF(SUMIF(FoodLog!$A:$A;$A147;FoodLog!$G:$G)=0;"";SUMIF(FoodLog!$A:$A;$A147;FoodLog!$G:$G)))</f>
        <v/>
      </c>
      <c r="X147">
        <f>IF($A147="";"";IF(SUMIF(FoodLog!$A:$A;$A147;FoodLog!$H:$H)=0;"";SUMIF(FoodLog!$A:$A;$A147;FoodLog!$H:$H)))</f>
        <v/>
      </c>
      <c r="Y147">
        <f>IF($A147="";"";IFERROR(ROUND(100*AVERAGE(IF($B147="";"";XLOOKUP($B147;FILTER(Dictionaries!$B:$B;Dictionaries!$A:$A="Тренировка");FILTER(Dictionaries!$C:$C;Dictionaries!$A:$A="Тренировка")));IF($C147="";"";MIN($C147/40;1));IF($D147="";"";XLOOKUP($D147;FILTER(Dictionaries!$B:$B;Dictionaries!$A:$A="Шаги");FILTER(Dictionaries!$C:$C;Dictionaries!$A:$A="Шаги")));IF($E147="";"";MIN($E147/120;1));IF(OR($F147&lt;&gt;"";$G147&lt;&gt;"");1;"");IF($H147="";"";MIN($H147/100;1));IF($L147="";"";XLOOKUP($L147;FILTER(Dictionaries!$B:$B;Dictionaries!$A:$A="Сон_часы");FILTER(Dictionaries!$C:$C;Dictionaries!$A:$A="Сон_часы")));IF($M147="";"";XLOOKUP($M147;FILTER(Dictionaries!$B:$B;Dictionaries!$A:$A="Режим");FILTER(Dictionaries!$C:$C;Dictionaries!$A:$A="Режим")));IF($N147="";"";MIN($N147/100;1));IF($O147="";"";XLOOKUP($O147;FILTER(Dictionaries!$B:$B;Dictionaries!$A:$A="Настроение");FILTER(Dictionaries!$C:$C;Dictionaries!$A:$A="Настроение")));IF($P147="";"";XLOOKUP($P147;FILTER(Dictionaries!$B:$B;Dictionaries!$A:$A="Энергия");FILTER(Dictionaries!$C:$C;Dictionaries!$A:$A="Энергия")));IF($U147="";"";AVERAGE(IF(OR($B147="Ноги";$B147="Верх");IFS(AND($U147&gt;=1900;$U147&lt;=2050);1;AND($U147&gt;=1850;$U147&lt;1900);0,7;AND($U147&gt;2050;$U147&lt;=2100);0,7;TRUE;0,2);IFS(AND($U147&gt;=1700;$U147&lt;=1850);1;AND($U147&gt;=1650;$U147&lt;1700);0,7;AND($U147&gt;1850;$U147&lt;=1900);0,7;TRUE;0,2));IF(OR($B147="Ноги";$B147="Верх");IFS(AND($V147&gt;=125;$V147&lt;=135);1;AND($V147&gt;=115;$V147&lt;125);0,7;AND($V147&gt;135;$V147&lt;=145);0,7;AND($V147&gt;=105;$V147&lt;115);0,4;AND($V147&gt;145;$V147&lt;=155);0,4;TRUE;0,2);IFS(AND($V147&gt;=120;$V147&lt;=130);1;AND($V147&gt;=110;$V147&lt;120);0,7;AND($V147&gt;130;$V147&lt;=140);0,7;AND($V147&gt;=100;$V147&lt;110);0,4;AND($V147&gt;140;$V147&lt;=150);0,4;TRUE;0,2));IFS(AND($W147&gt;=55;$W147&lt;=65);1;AND($W147&gt;=50;$W147&lt;55);0,7;AND($W147&gt;65;$W147&lt;=70);0,7;AND($W147&gt;=45;$W147&lt;50);0,4;AND($W147&gt;70;$W147&lt;=75);0,4;TRUE;0,2);IF(OR($B147="Ноги";$B147="Верх");IFS(AND($X147&gt;=180;$X147&lt;=210);1;AND($X147&gt;=160;$X147&lt;180);0,7;AND($X147&gt;210;$X147&lt;=230);0,7;AND($X147&gt;=140;$X147&lt;160);0,4;AND($X147&gt;230;$X147&lt;=250);0,4;TRUE;0,2);IFS(AND($X147&gt;=140;$X147&lt;=170);1;AND($X147&gt;=120;$X147&lt;140);0,7;AND($X147&gt;170;$X147&lt;=190);0,7;AND($X147&gt;=100;$X147&lt;120);0,4;AND($X147&gt;190;$X147&lt;=210);0,4;TRUE;0,2)))));1);""))</f>
        <v/>
      </c>
      <c r="Z147">
        <f>IF($A147="";"";TEXTJOIN(", ";TRUE;IF($B147="";"Тренировка";"");IF($C147="";"Кардио";"");IF($D147="";"Шаги";"");IF($E147="";"Английский";"");IF($F147="";"Код-режим";"");IF($G147="";"Код-тема";"");IF($H147="";"Чтение";"");IF($L147="";"Сон";"");IF($M147="";"Режим";"");IF($N147="";"Продуктивность";"");IF($O147="";"Настроение";"");IF($P147="";"Энергия";"");IF($U147="";"Еда";"")))</f>
        <v/>
      </c>
    </row>
    <row r="148">
      <c r="B148" t="inlineStr"/>
      <c r="C148" t="inlineStr"/>
      <c r="D148" t="inlineStr"/>
      <c r="E148" t="inlineStr"/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/>
      <c r="O148" t="inlineStr"/>
      <c r="P148" t="inlineStr"/>
      <c r="Q148" t="inlineStr"/>
      <c r="R148" t="inlineStr"/>
      <c r="S148" t="inlineStr"/>
      <c r="T148" t="inlineStr"/>
      <c r="U148">
        <f>IF($A148="";"";IF(SUMIF(FoodLog!$A:$A;$A148;FoodLog!$I:$I)=0;"";SUMIF(FoodLog!$A:$A;$A148;FoodLog!$I:$I)))</f>
        <v/>
      </c>
      <c r="V148">
        <f>IF($A148="";"";IF(SUMIF(FoodLog!$A:$A;$A148;FoodLog!$F:$F)=0;"";SUMIF(FoodLog!$A:$A;$A148;FoodLog!$F:$F)))</f>
        <v/>
      </c>
      <c r="W148">
        <f>IF($A148="";"";IF(SUMIF(FoodLog!$A:$A;$A148;FoodLog!$G:$G)=0;"";SUMIF(FoodLog!$A:$A;$A148;FoodLog!$G:$G)))</f>
        <v/>
      </c>
      <c r="X148">
        <f>IF($A148="";"";IF(SUMIF(FoodLog!$A:$A;$A148;FoodLog!$H:$H)=0;"";SUMIF(FoodLog!$A:$A;$A148;FoodLog!$H:$H)))</f>
        <v/>
      </c>
      <c r="Y148">
        <f>IF($A148="";"";IFERROR(ROUND(100*AVERAGE(IF($B148="";"";XLOOKUP($B148;FILTER(Dictionaries!$B:$B;Dictionaries!$A:$A="Тренировка");FILTER(Dictionaries!$C:$C;Dictionaries!$A:$A="Тренировка")));IF($C148="";"";MIN($C148/40;1));IF($D148="";"";XLOOKUP($D148;FILTER(Dictionaries!$B:$B;Dictionaries!$A:$A="Шаги");FILTER(Dictionaries!$C:$C;Dictionaries!$A:$A="Шаги")));IF($E148="";"";MIN($E148/120;1));IF(OR($F148&lt;&gt;"";$G148&lt;&gt;"");1;"");IF($H148="";"";MIN($H148/100;1));IF($L148="";"";XLOOKUP($L148;FILTER(Dictionaries!$B:$B;Dictionaries!$A:$A="Сон_часы");FILTER(Dictionaries!$C:$C;Dictionaries!$A:$A="Сон_часы")));IF($M148="";"";XLOOKUP($M148;FILTER(Dictionaries!$B:$B;Dictionaries!$A:$A="Режим");FILTER(Dictionaries!$C:$C;Dictionaries!$A:$A="Режим")));IF($N148="";"";MIN($N148/100;1));IF($O148="";"";XLOOKUP($O148;FILTER(Dictionaries!$B:$B;Dictionaries!$A:$A="Настроение");FILTER(Dictionaries!$C:$C;Dictionaries!$A:$A="Настроение")));IF($P148="";"";XLOOKUP($P148;FILTER(Dictionaries!$B:$B;Dictionaries!$A:$A="Энергия");FILTER(Dictionaries!$C:$C;Dictionaries!$A:$A="Энергия")));IF($U148="";"";AVERAGE(IF(OR($B148="Ноги";$B148="Верх");IFS(AND($U148&gt;=1900;$U148&lt;=2050);1;AND($U148&gt;=1850;$U148&lt;1900);0,7;AND($U148&gt;2050;$U148&lt;=2100);0,7;TRUE;0,2);IFS(AND($U148&gt;=1700;$U148&lt;=1850);1;AND($U148&gt;=1650;$U148&lt;1700);0,7;AND($U148&gt;1850;$U148&lt;=1900);0,7;TRUE;0,2));IF(OR($B148="Ноги";$B148="Верх");IFS(AND($V148&gt;=125;$V148&lt;=135);1;AND($V148&gt;=115;$V148&lt;125);0,7;AND($V148&gt;135;$V148&lt;=145);0,7;AND($V148&gt;=105;$V148&lt;115);0,4;AND($V148&gt;145;$V148&lt;=155);0,4;TRUE;0,2);IFS(AND($V148&gt;=120;$V148&lt;=130);1;AND($V148&gt;=110;$V148&lt;120);0,7;AND($V148&gt;130;$V148&lt;=140);0,7;AND($V148&gt;=100;$V148&lt;110);0,4;AND($V148&gt;140;$V148&lt;=150);0,4;TRUE;0,2));IFS(AND($W148&gt;=55;$W148&lt;=65);1;AND($W148&gt;=50;$W148&lt;55);0,7;AND($W148&gt;65;$W148&lt;=70);0,7;AND($W148&gt;=45;$W148&lt;50);0,4;AND($W148&gt;70;$W148&lt;=75);0,4;TRUE;0,2);IF(OR($B148="Ноги";$B148="Верх");IFS(AND($X148&gt;=180;$X148&lt;=210);1;AND($X148&gt;=160;$X148&lt;180);0,7;AND($X148&gt;210;$X148&lt;=230);0,7;AND($X148&gt;=140;$X148&lt;160);0,4;AND($X148&gt;230;$X148&lt;=250);0,4;TRUE;0,2);IFS(AND($X148&gt;=140;$X148&lt;=170);1;AND($X148&gt;=120;$X148&lt;140);0,7;AND($X148&gt;170;$X148&lt;=190);0,7;AND($X148&gt;=100;$X148&lt;120);0,4;AND($X148&gt;190;$X148&lt;=210);0,4;TRUE;0,2)))));1);""))</f>
        <v/>
      </c>
      <c r="Z148">
        <f>IF($A148="";"";TEXTJOIN(", ";TRUE;IF($B148="";"Тренировка";"");IF($C148="";"Кардио";"");IF($D148="";"Шаги";"");IF($E148="";"Английский";"");IF($F148="";"Код-режим";"");IF($G148="";"Код-тема";"");IF($H148="";"Чтение";"");IF($L148="";"Сон";"");IF($M148="";"Режим";"");IF($N148="";"Продуктивность";"");IF($O148="";"Настроение";"");IF($P148="";"Энергия";"");IF($U148="";"Еда";"")))</f>
        <v/>
      </c>
    </row>
    <row r="149">
      <c r="B149" t="inlineStr"/>
      <c r="C149" t="inlineStr"/>
      <c r="D149" t="inlineStr"/>
      <c r="E149" t="inlineStr"/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/>
      <c r="O149" t="inlineStr"/>
      <c r="P149" t="inlineStr"/>
      <c r="Q149" t="inlineStr"/>
      <c r="R149" t="inlineStr"/>
      <c r="S149" t="inlineStr"/>
      <c r="T149" t="inlineStr"/>
      <c r="U149">
        <f>IF($A149="";"";IF(SUMIF(FoodLog!$A:$A;$A149;FoodLog!$I:$I)=0;"";SUMIF(FoodLog!$A:$A;$A149;FoodLog!$I:$I)))</f>
        <v/>
      </c>
      <c r="V149">
        <f>IF($A149="";"";IF(SUMIF(FoodLog!$A:$A;$A149;FoodLog!$F:$F)=0;"";SUMIF(FoodLog!$A:$A;$A149;FoodLog!$F:$F)))</f>
        <v/>
      </c>
      <c r="W149">
        <f>IF($A149="";"";IF(SUMIF(FoodLog!$A:$A;$A149;FoodLog!$G:$G)=0;"";SUMIF(FoodLog!$A:$A;$A149;FoodLog!$G:$G)))</f>
        <v/>
      </c>
      <c r="X149">
        <f>IF($A149="";"";IF(SUMIF(FoodLog!$A:$A;$A149;FoodLog!$H:$H)=0;"";SUMIF(FoodLog!$A:$A;$A149;FoodLog!$H:$H)))</f>
        <v/>
      </c>
      <c r="Y149">
        <f>IF($A149="";"";IFERROR(ROUND(100*AVERAGE(IF($B149="";"";XLOOKUP($B149;FILTER(Dictionaries!$B:$B;Dictionaries!$A:$A="Тренировка");FILTER(Dictionaries!$C:$C;Dictionaries!$A:$A="Тренировка")));IF($C149="";"";MIN($C149/40;1));IF($D149="";"";XLOOKUP($D149;FILTER(Dictionaries!$B:$B;Dictionaries!$A:$A="Шаги");FILTER(Dictionaries!$C:$C;Dictionaries!$A:$A="Шаги")));IF($E149="";"";MIN($E149/120;1));IF(OR($F149&lt;&gt;"";$G149&lt;&gt;"");1;"");IF($H149="";"";MIN($H149/100;1));IF($L149="";"";XLOOKUP($L149;FILTER(Dictionaries!$B:$B;Dictionaries!$A:$A="Сон_часы");FILTER(Dictionaries!$C:$C;Dictionaries!$A:$A="Сон_часы")));IF($M149="";"";XLOOKUP($M149;FILTER(Dictionaries!$B:$B;Dictionaries!$A:$A="Режим");FILTER(Dictionaries!$C:$C;Dictionaries!$A:$A="Режим")));IF($N149="";"";MIN($N149/100;1));IF($O149="";"";XLOOKUP($O149;FILTER(Dictionaries!$B:$B;Dictionaries!$A:$A="Настроение");FILTER(Dictionaries!$C:$C;Dictionaries!$A:$A="Настроение")));IF($P149="";"";XLOOKUP($P149;FILTER(Dictionaries!$B:$B;Dictionaries!$A:$A="Энергия");FILTER(Dictionaries!$C:$C;Dictionaries!$A:$A="Энергия")));IF($U149="";"";AVERAGE(IF(OR($B149="Ноги";$B149="Верх");IFS(AND($U149&gt;=1900;$U149&lt;=2050);1;AND($U149&gt;=1850;$U149&lt;1900);0,7;AND($U149&gt;2050;$U149&lt;=2100);0,7;TRUE;0,2);IFS(AND($U149&gt;=1700;$U149&lt;=1850);1;AND($U149&gt;=1650;$U149&lt;1700);0,7;AND($U149&gt;1850;$U149&lt;=1900);0,7;TRUE;0,2));IF(OR($B149="Ноги";$B149="Верх");IFS(AND($V149&gt;=125;$V149&lt;=135);1;AND($V149&gt;=115;$V149&lt;125);0,7;AND($V149&gt;135;$V149&lt;=145);0,7;AND($V149&gt;=105;$V149&lt;115);0,4;AND($V149&gt;145;$V149&lt;=155);0,4;TRUE;0,2);IFS(AND($V149&gt;=120;$V149&lt;=130);1;AND($V149&gt;=110;$V149&lt;120);0,7;AND($V149&gt;130;$V149&lt;=140);0,7;AND($V149&gt;=100;$V149&lt;110);0,4;AND($V149&gt;140;$V149&lt;=150);0,4;TRUE;0,2));IFS(AND($W149&gt;=55;$W149&lt;=65);1;AND($W149&gt;=50;$W149&lt;55);0,7;AND($W149&gt;65;$W149&lt;=70);0,7;AND($W149&gt;=45;$W149&lt;50);0,4;AND($W149&gt;70;$W149&lt;=75);0,4;TRUE;0,2);IF(OR($B149="Ноги";$B149="Верх");IFS(AND($X149&gt;=180;$X149&lt;=210);1;AND($X149&gt;=160;$X149&lt;180);0,7;AND($X149&gt;210;$X149&lt;=230);0,7;AND($X149&gt;=140;$X149&lt;160);0,4;AND($X149&gt;230;$X149&lt;=250);0,4;TRUE;0,2);IFS(AND($X149&gt;=140;$X149&lt;=170);1;AND($X149&gt;=120;$X149&lt;140);0,7;AND($X149&gt;170;$X149&lt;=190);0,7;AND($X149&gt;=100;$X149&lt;120);0,4;AND($X149&gt;190;$X149&lt;=210);0,4;TRUE;0,2)))));1);""))</f>
        <v/>
      </c>
      <c r="Z149">
        <f>IF($A149="";"";TEXTJOIN(", ";TRUE;IF($B149="";"Тренировка";"");IF($C149="";"Кардио";"");IF($D149="";"Шаги";"");IF($E149="";"Английский";"");IF($F149="";"Код-режим";"");IF($G149="";"Код-тема";"");IF($H149="";"Чтение";"");IF($L149="";"Сон";"");IF($M149="";"Режим";"");IF($N149="";"Продуктивность";"");IF($O149="";"Настроение";"");IF($P149="";"Энергия";"");IF($U149="";"Еда";"")))</f>
        <v/>
      </c>
    </row>
    <row r="150">
      <c r="B150" t="inlineStr"/>
      <c r="C150" t="inlineStr"/>
      <c r="D150" t="inlineStr"/>
      <c r="E150" t="inlineStr"/>
      <c r="F150" t="inlineStr"/>
      <c r="G150" t="inlineStr"/>
      <c r="H150" t="inlineStr"/>
      <c r="I150" t="inlineStr"/>
      <c r="J150" t="inlineStr"/>
      <c r="K150" t="inlineStr"/>
      <c r="L150" t="inlineStr"/>
      <c r="M150" t="inlineStr"/>
      <c r="N150" t="inlineStr"/>
      <c r="O150" t="inlineStr"/>
      <c r="P150" t="inlineStr"/>
      <c r="Q150" t="inlineStr"/>
      <c r="R150" t="inlineStr"/>
      <c r="S150" t="inlineStr"/>
      <c r="T150" t="inlineStr"/>
      <c r="U150">
        <f>IF($A150="";"";IF(SUMIF(FoodLog!$A:$A;$A150;FoodLog!$I:$I)=0;"";SUMIF(FoodLog!$A:$A;$A150;FoodLog!$I:$I)))</f>
        <v/>
      </c>
      <c r="V150">
        <f>IF($A150="";"";IF(SUMIF(FoodLog!$A:$A;$A150;FoodLog!$F:$F)=0;"";SUMIF(FoodLog!$A:$A;$A150;FoodLog!$F:$F)))</f>
        <v/>
      </c>
      <c r="W150">
        <f>IF($A150="";"";IF(SUMIF(FoodLog!$A:$A;$A150;FoodLog!$G:$G)=0;"";SUMIF(FoodLog!$A:$A;$A150;FoodLog!$G:$G)))</f>
        <v/>
      </c>
      <c r="X150">
        <f>IF($A150="";"";IF(SUMIF(FoodLog!$A:$A;$A150;FoodLog!$H:$H)=0;"";SUMIF(FoodLog!$A:$A;$A150;FoodLog!$H:$H)))</f>
        <v/>
      </c>
      <c r="Y150">
        <f>IF($A150="";"";IFERROR(ROUND(100*AVERAGE(IF($B150="";"";XLOOKUP($B150;FILTER(Dictionaries!$B:$B;Dictionaries!$A:$A="Тренировка");FILTER(Dictionaries!$C:$C;Dictionaries!$A:$A="Тренировка")));IF($C150="";"";MIN($C150/40;1));IF($D150="";"";XLOOKUP($D150;FILTER(Dictionaries!$B:$B;Dictionaries!$A:$A="Шаги");FILTER(Dictionaries!$C:$C;Dictionaries!$A:$A="Шаги")));IF($E150="";"";MIN($E150/120;1));IF(OR($F150&lt;&gt;"";$G150&lt;&gt;"");1;"");IF($H150="";"";MIN($H150/100;1));IF($L150="";"";XLOOKUP($L150;FILTER(Dictionaries!$B:$B;Dictionaries!$A:$A="Сон_часы");FILTER(Dictionaries!$C:$C;Dictionaries!$A:$A="Сон_часы")));IF($M150="";"";XLOOKUP($M150;FILTER(Dictionaries!$B:$B;Dictionaries!$A:$A="Режим");FILTER(Dictionaries!$C:$C;Dictionaries!$A:$A="Режим")));IF($N150="";"";MIN($N150/100;1));IF($O150="";"";XLOOKUP($O150;FILTER(Dictionaries!$B:$B;Dictionaries!$A:$A="Настроение");FILTER(Dictionaries!$C:$C;Dictionaries!$A:$A="Настроение")));IF($P150="";"";XLOOKUP($P150;FILTER(Dictionaries!$B:$B;Dictionaries!$A:$A="Энергия");FILTER(Dictionaries!$C:$C;Dictionaries!$A:$A="Энергия")));IF($U150="";"";AVERAGE(IF(OR($B150="Ноги";$B150="Верх");IFS(AND($U150&gt;=1900;$U150&lt;=2050);1;AND($U150&gt;=1850;$U150&lt;1900);0,7;AND($U150&gt;2050;$U150&lt;=2100);0,7;TRUE;0,2);IFS(AND($U150&gt;=1700;$U150&lt;=1850);1;AND($U150&gt;=1650;$U150&lt;1700);0,7;AND($U150&gt;1850;$U150&lt;=1900);0,7;TRUE;0,2));IF(OR($B150="Ноги";$B150="Верх");IFS(AND($V150&gt;=125;$V150&lt;=135);1;AND($V150&gt;=115;$V150&lt;125);0,7;AND($V150&gt;135;$V150&lt;=145);0,7;AND($V150&gt;=105;$V150&lt;115);0,4;AND($V150&gt;145;$V150&lt;=155);0,4;TRUE;0,2);IFS(AND($V150&gt;=120;$V150&lt;=130);1;AND($V150&gt;=110;$V150&lt;120);0,7;AND($V150&gt;130;$V150&lt;=140);0,7;AND($V150&gt;=100;$V150&lt;110);0,4;AND($V150&gt;140;$V150&lt;=150);0,4;TRUE;0,2));IFS(AND($W150&gt;=55;$W150&lt;=65);1;AND($W150&gt;=50;$W150&lt;55);0,7;AND($W150&gt;65;$W150&lt;=70);0,7;AND($W150&gt;=45;$W150&lt;50);0,4;AND($W150&gt;70;$W150&lt;=75);0,4;TRUE;0,2);IF(OR($B150="Ноги";$B150="Верх");IFS(AND($X150&gt;=180;$X150&lt;=210);1;AND($X150&gt;=160;$X150&lt;180);0,7;AND($X150&gt;210;$X150&lt;=230);0,7;AND($X150&gt;=140;$X150&lt;160);0,4;AND($X150&gt;230;$X150&lt;=250);0,4;TRUE;0,2);IFS(AND($X150&gt;=140;$X150&lt;=170);1;AND($X150&gt;=120;$X150&lt;140);0,7;AND($X150&gt;170;$X150&lt;=190);0,7;AND($X150&gt;=100;$X150&lt;120);0,4;AND($X150&gt;190;$X150&lt;=210);0,4;TRUE;0,2)))));1);""))</f>
        <v/>
      </c>
      <c r="Z150">
        <f>IF($A150="";"";TEXTJOIN(", ";TRUE;IF($B150="";"Тренировка";"");IF($C150="";"Кардио";"");IF($D150="";"Шаги";"");IF($E150="";"Английский";"");IF($F150="";"Код-режим";"");IF($G150="";"Код-тема";"");IF($H150="";"Чтение";"");IF($L150="";"Сон";"");IF($M150="";"Режим";"");IF($N150="";"Продуктивность";"");IF($O150="";"Настроение";"");IF($P150="";"Энергия";"");IF($U150="";"Еда";"")))</f>
        <v/>
      </c>
    </row>
    <row r="151">
      <c r="B151" t="inlineStr"/>
      <c r="C151" t="inlineStr"/>
      <c r="D151" t="inlineStr"/>
      <c r="E151" t="inlineStr"/>
      <c r="F151" t="inlineStr"/>
      <c r="G151" t="inlineStr"/>
      <c r="H151" t="inlineStr"/>
      <c r="I151" t="inlineStr"/>
      <c r="J151" t="inlineStr"/>
      <c r="K151" t="inlineStr"/>
      <c r="L151" t="inlineStr"/>
      <c r="M151" t="inlineStr"/>
      <c r="N151" t="inlineStr"/>
      <c r="O151" t="inlineStr"/>
      <c r="P151" t="inlineStr"/>
      <c r="Q151" t="inlineStr"/>
      <c r="R151" t="inlineStr"/>
      <c r="S151" t="inlineStr"/>
      <c r="T151" t="inlineStr"/>
      <c r="U151">
        <f>IF($A151="";"";IF(SUMIF(FoodLog!$A:$A;$A151;FoodLog!$I:$I)=0;"";SUMIF(FoodLog!$A:$A;$A151;FoodLog!$I:$I)))</f>
        <v/>
      </c>
      <c r="V151">
        <f>IF($A151="";"";IF(SUMIF(FoodLog!$A:$A;$A151;FoodLog!$F:$F)=0;"";SUMIF(FoodLog!$A:$A;$A151;FoodLog!$F:$F)))</f>
        <v/>
      </c>
      <c r="W151">
        <f>IF($A151="";"";IF(SUMIF(FoodLog!$A:$A;$A151;FoodLog!$G:$G)=0;"";SUMIF(FoodLog!$A:$A;$A151;FoodLog!$G:$G)))</f>
        <v/>
      </c>
      <c r="X151">
        <f>IF($A151="";"";IF(SUMIF(FoodLog!$A:$A;$A151;FoodLog!$H:$H)=0;"";SUMIF(FoodLog!$A:$A;$A151;FoodLog!$H:$H)))</f>
        <v/>
      </c>
      <c r="Y151">
        <f>IF($A151="";"";IFERROR(ROUND(100*AVERAGE(IF($B151="";"";XLOOKUP($B151;FILTER(Dictionaries!$B:$B;Dictionaries!$A:$A="Тренировка");FILTER(Dictionaries!$C:$C;Dictionaries!$A:$A="Тренировка")));IF($C151="";"";MIN($C151/40;1));IF($D151="";"";XLOOKUP($D151;FILTER(Dictionaries!$B:$B;Dictionaries!$A:$A="Шаги");FILTER(Dictionaries!$C:$C;Dictionaries!$A:$A="Шаги")));IF($E151="";"";MIN($E151/120;1));IF(OR($F151&lt;&gt;"";$G151&lt;&gt;"");1;"");IF($H151="";"";MIN($H151/100;1));IF($L151="";"";XLOOKUP($L151;FILTER(Dictionaries!$B:$B;Dictionaries!$A:$A="Сон_часы");FILTER(Dictionaries!$C:$C;Dictionaries!$A:$A="Сон_часы")));IF($M151="";"";XLOOKUP($M151;FILTER(Dictionaries!$B:$B;Dictionaries!$A:$A="Режим");FILTER(Dictionaries!$C:$C;Dictionaries!$A:$A="Режим")));IF($N151="";"";MIN($N151/100;1));IF($O151="";"";XLOOKUP($O151;FILTER(Dictionaries!$B:$B;Dictionaries!$A:$A="Настроение");FILTER(Dictionaries!$C:$C;Dictionaries!$A:$A="Настроение")));IF($P151="";"";XLOOKUP($P151;FILTER(Dictionaries!$B:$B;Dictionaries!$A:$A="Энергия");FILTER(Dictionaries!$C:$C;Dictionaries!$A:$A="Энергия")));IF($U151="";"";AVERAGE(IF(OR($B151="Ноги";$B151="Верх");IFS(AND($U151&gt;=1900;$U151&lt;=2050);1;AND($U151&gt;=1850;$U151&lt;1900);0,7;AND($U151&gt;2050;$U151&lt;=2100);0,7;TRUE;0,2);IFS(AND($U151&gt;=1700;$U151&lt;=1850);1;AND($U151&gt;=1650;$U151&lt;1700);0,7;AND($U151&gt;1850;$U151&lt;=1900);0,7;TRUE;0,2));IF(OR($B151="Ноги";$B151="Верх");IFS(AND($V151&gt;=125;$V151&lt;=135);1;AND($V151&gt;=115;$V151&lt;125);0,7;AND($V151&gt;135;$V151&lt;=145);0,7;AND($V151&gt;=105;$V151&lt;115);0,4;AND($V151&gt;145;$V151&lt;=155);0,4;TRUE;0,2);IFS(AND($V151&gt;=120;$V151&lt;=130);1;AND($V151&gt;=110;$V151&lt;120);0,7;AND($V151&gt;130;$V151&lt;=140);0,7;AND($V151&gt;=100;$V151&lt;110);0,4;AND($V151&gt;140;$V151&lt;=150);0,4;TRUE;0,2));IFS(AND($W151&gt;=55;$W151&lt;=65);1;AND($W151&gt;=50;$W151&lt;55);0,7;AND($W151&gt;65;$W151&lt;=70);0,7;AND($W151&gt;=45;$W151&lt;50);0,4;AND($W151&gt;70;$W151&lt;=75);0,4;TRUE;0,2);IF(OR($B151="Ноги";$B151="Верх");IFS(AND($X151&gt;=180;$X151&lt;=210);1;AND($X151&gt;=160;$X151&lt;180);0,7;AND($X151&gt;210;$X151&lt;=230);0,7;AND($X151&gt;=140;$X151&lt;160);0,4;AND($X151&gt;230;$X151&lt;=250);0,4;TRUE;0,2);IFS(AND($X151&gt;=140;$X151&lt;=170);1;AND($X151&gt;=120;$X151&lt;140);0,7;AND($X151&gt;170;$X151&lt;=190);0,7;AND($X151&gt;=100;$X151&lt;120);0,4;AND($X151&gt;190;$X151&lt;=210);0,4;TRUE;0,2)))));1);""))</f>
        <v/>
      </c>
      <c r="Z151">
        <f>IF($A151="";"";TEXTJOIN(", ";TRUE;IF($B151="";"Тренировка";"");IF($C151="";"Кардио";"");IF($D151="";"Шаги";"");IF($E151="";"Английский";"");IF($F151="";"Код-режим";"");IF($G151="";"Код-тема";"");IF($H151="";"Чтение";"");IF($L151="";"Сон";"");IF($M151="";"Режим";"");IF($N151="";"Продуктивность";"");IF($O151="";"Настроение";"");IF($P151="";"Энергия";"");IF($U151="";"Еда";"")))</f>
        <v/>
      </c>
    </row>
    <row r="152">
      <c r="B152" t="inlineStr"/>
      <c r="C152" t="inlineStr"/>
      <c r="D152" t="inlineStr"/>
      <c r="E152" t="inlineStr"/>
      <c r="F152" t="inlineStr"/>
      <c r="G152" t="inlineStr"/>
      <c r="H152" t="inlineStr"/>
      <c r="I152" t="inlineStr"/>
      <c r="J152" t="inlineStr"/>
      <c r="K152" t="inlineStr"/>
      <c r="L152" t="inlineStr"/>
      <c r="M152" t="inlineStr"/>
      <c r="N152" t="inlineStr"/>
      <c r="O152" t="inlineStr"/>
      <c r="P152" t="inlineStr"/>
      <c r="Q152" t="inlineStr"/>
      <c r="R152" t="inlineStr"/>
      <c r="S152" t="inlineStr"/>
      <c r="T152" t="inlineStr"/>
      <c r="U152">
        <f>IF($A152="";"";IF(SUMIF(FoodLog!$A:$A;$A152;FoodLog!$I:$I)=0;"";SUMIF(FoodLog!$A:$A;$A152;FoodLog!$I:$I)))</f>
        <v/>
      </c>
      <c r="V152">
        <f>IF($A152="";"";IF(SUMIF(FoodLog!$A:$A;$A152;FoodLog!$F:$F)=0;"";SUMIF(FoodLog!$A:$A;$A152;FoodLog!$F:$F)))</f>
        <v/>
      </c>
      <c r="W152">
        <f>IF($A152="";"";IF(SUMIF(FoodLog!$A:$A;$A152;FoodLog!$G:$G)=0;"";SUMIF(FoodLog!$A:$A;$A152;FoodLog!$G:$G)))</f>
        <v/>
      </c>
      <c r="X152">
        <f>IF($A152="";"";IF(SUMIF(FoodLog!$A:$A;$A152;FoodLog!$H:$H)=0;"";SUMIF(FoodLog!$A:$A;$A152;FoodLog!$H:$H)))</f>
        <v/>
      </c>
      <c r="Y152">
        <f>IF($A152="";"";IFERROR(ROUND(100*AVERAGE(IF($B152="";"";XLOOKUP($B152;FILTER(Dictionaries!$B:$B;Dictionaries!$A:$A="Тренировка");FILTER(Dictionaries!$C:$C;Dictionaries!$A:$A="Тренировка")));IF($C152="";"";MIN($C152/40;1));IF($D152="";"";XLOOKUP($D152;FILTER(Dictionaries!$B:$B;Dictionaries!$A:$A="Шаги");FILTER(Dictionaries!$C:$C;Dictionaries!$A:$A="Шаги")));IF($E152="";"";MIN($E152/120;1));IF(OR($F152&lt;&gt;"";$G152&lt;&gt;"");1;"");IF($H152="";"";MIN($H152/100;1));IF($L152="";"";XLOOKUP($L152;FILTER(Dictionaries!$B:$B;Dictionaries!$A:$A="Сон_часы");FILTER(Dictionaries!$C:$C;Dictionaries!$A:$A="Сон_часы")));IF($M152="";"";XLOOKUP($M152;FILTER(Dictionaries!$B:$B;Dictionaries!$A:$A="Режим");FILTER(Dictionaries!$C:$C;Dictionaries!$A:$A="Режим")));IF($N152="";"";MIN($N152/100;1));IF($O152="";"";XLOOKUP($O152;FILTER(Dictionaries!$B:$B;Dictionaries!$A:$A="Настроение");FILTER(Dictionaries!$C:$C;Dictionaries!$A:$A="Настроение")));IF($P152="";"";XLOOKUP($P152;FILTER(Dictionaries!$B:$B;Dictionaries!$A:$A="Энергия");FILTER(Dictionaries!$C:$C;Dictionaries!$A:$A="Энергия")));IF($U152="";"";AVERAGE(IF(OR($B152="Ноги";$B152="Верх");IFS(AND($U152&gt;=1900;$U152&lt;=2050);1;AND($U152&gt;=1850;$U152&lt;1900);0,7;AND($U152&gt;2050;$U152&lt;=2100);0,7;TRUE;0,2);IFS(AND($U152&gt;=1700;$U152&lt;=1850);1;AND($U152&gt;=1650;$U152&lt;1700);0,7;AND($U152&gt;1850;$U152&lt;=1900);0,7;TRUE;0,2));IF(OR($B152="Ноги";$B152="Верх");IFS(AND($V152&gt;=125;$V152&lt;=135);1;AND($V152&gt;=115;$V152&lt;125);0,7;AND($V152&gt;135;$V152&lt;=145);0,7;AND($V152&gt;=105;$V152&lt;115);0,4;AND($V152&gt;145;$V152&lt;=155);0,4;TRUE;0,2);IFS(AND($V152&gt;=120;$V152&lt;=130);1;AND($V152&gt;=110;$V152&lt;120);0,7;AND($V152&gt;130;$V152&lt;=140);0,7;AND($V152&gt;=100;$V152&lt;110);0,4;AND($V152&gt;140;$V152&lt;=150);0,4;TRUE;0,2));IFS(AND($W152&gt;=55;$W152&lt;=65);1;AND($W152&gt;=50;$W152&lt;55);0,7;AND($W152&gt;65;$W152&lt;=70);0,7;AND($W152&gt;=45;$W152&lt;50);0,4;AND($W152&gt;70;$W152&lt;=75);0,4;TRUE;0,2);IF(OR($B152="Ноги";$B152="Верх");IFS(AND($X152&gt;=180;$X152&lt;=210);1;AND($X152&gt;=160;$X152&lt;180);0,7;AND($X152&gt;210;$X152&lt;=230);0,7;AND($X152&gt;=140;$X152&lt;160);0,4;AND($X152&gt;230;$X152&lt;=250);0,4;TRUE;0,2);IFS(AND($X152&gt;=140;$X152&lt;=170);1;AND($X152&gt;=120;$X152&lt;140);0,7;AND($X152&gt;170;$X152&lt;=190);0,7;AND($X152&gt;=100;$X152&lt;120);0,4;AND($X152&gt;190;$X152&lt;=210);0,4;TRUE;0,2)))));1);""))</f>
        <v/>
      </c>
      <c r="Z152">
        <f>IF($A152="";"";TEXTJOIN(", ";TRUE;IF($B152="";"Тренировка";"");IF($C152="";"Кардио";"");IF($D152="";"Шаги";"");IF($E152="";"Английский";"");IF($F152="";"Код-режим";"");IF($G152="";"Код-тема";"");IF($H152="";"Чтение";"");IF($L152="";"Сон";"");IF($M152="";"Режим";"");IF($N152="";"Продуктивность";"");IF($O152="";"Настроение";"");IF($P152="";"Энергия";"");IF($U152="";"Еда";"")))</f>
        <v/>
      </c>
    </row>
    <row r="153">
      <c r="B153" t="inlineStr"/>
      <c r="C153" t="inlineStr"/>
      <c r="D153" t="inlineStr"/>
      <c r="E153" t="inlineStr"/>
      <c r="F153" t="inlineStr"/>
      <c r="G153" t="inlineStr"/>
      <c r="H153" t="inlineStr"/>
      <c r="I153" t="inlineStr"/>
      <c r="J153" t="inlineStr"/>
      <c r="K153" t="inlineStr"/>
      <c r="L153" t="inlineStr"/>
      <c r="M153" t="inlineStr"/>
      <c r="N153" t="inlineStr"/>
      <c r="O153" t="inlineStr"/>
      <c r="P153" t="inlineStr"/>
      <c r="Q153" t="inlineStr"/>
      <c r="R153" t="inlineStr"/>
      <c r="S153" t="inlineStr"/>
      <c r="T153" t="inlineStr"/>
      <c r="U153">
        <f>IF($A153="";"";IF(SUMIF(FoodLog!$A:$A;$A153;FoodLog!$I:$I)=0;"";SUMIF(FoodLog!$A:$A;$A153;FoodLog!$I:$I)))</f>
        <v/>
      </c>
      <c r="V153">
        <f>IF($A153="";"";IF(SUMIF(FoodLog!$A:$A;$A153;FoodLog!$F:$F)=0;"";SUMIF(FoodLog!$A:$A;$A153;FoodLog!$F:$F)))</f>
        <v/>
      </c>
      <c r="W153">
        <f>IF($A153="";"";IF(SUMIF(FoodLog!$A:$A;$A153;FoodLog!$G:$G)=0;"";SUMIF(FoodLog!$A:$A;$A153;FoodLog!$G:$G)))</f>
        <v/>
      </c>
      <c r="X153">
        <f>IF($A153="";"";IF(SUMIF(FoodLog!$A:$A;$A153;FoodLog!$H:$H)=0;"";SUMIF(FoodLog!$A:$A;$A153;FoodLog!$H:$H)))</f>
        <v/>
      </c>
      <c r="Y153">
        <f>IF($A153="";"";IFERROR(ROUND(100*AVERAGE(IF($B153="";"";XLOOKUP($B153;FILTER(Dictionaries!$B:$B;Dictionaries!$A:$A="Тренировка");FILTER(Dictionaries!$C:$C;Dictionaries!$A:$A="Тренировка")));IF($C153="";"";MIN($C153/40;1));IF($D153="";"";XLOOKUP($D153;FILTER(Dictionaries!$B:$B;Dictionaries!$A:$A="Шаги");FILTER(Dictionaries!$C:$C;Dictionaries!$A:$A="Шаги")));IF($E153="";"";MIN($E153/120;1));IF(OR($F153&lt;&gt;"";$G153&lt;&gt;"");1;"");IF($H153="";"";MIN($H153/100;1));IF($L153="";"";XLOOKUP($L153;FILTER(Dictionaries!$B:$B;Dictionaries!$A:$A="Сон_часы");FILTER(Dictionaries!$C:$C;Dictionaries!$A:$A="Сон_часы")));IF($M153="";"";XLOOKUP($M153;FILTER(Dictionaries!$B:$B;Dictionaries!$A:$A="Режим");FILTER(Dictionaries!$C:$C;Dictionaries!$A:$A="Режим")));IF($N153="";"";MIN($N153/100;1));IF($O153="";"";XLOOKUP($O153;FILTER(Dictionaries!$B:$B;Dictionaries!$A:$A="Настроение");FILTER(Dictionaries!$C:$C;Dictionaries!$A:$A="Настроение")));IF($P153="";"";XLOOKUP($P153;FILTER(Dictionaries!$B:$B;Dictionaries!$A:$A="Энергия");FILTER(Dictionaries!$C:$C;Dictionaries!$A:$A="Энергия")));IF($U153="";"";AVERAGE(IF(OR($B153="Ноги";$B153="Верх");IFS(AND($U153&gt;=1900;$U153&lt;=2050);1;AND($U153&gt;=1850;$U153&lt;1900);0,7;AND($U153&gt;2050;$U153&lt;=2100);0,7;TRUE;0,2);IFS(AND($U153&gt;=1700;$U153&lt;=1850);1;AND($U153&gt;=1650;$U153&lt;1700);0,7;AND($U153&gt;1850;$U153&lt;=1900);0,7;TRUE;0,2));IF(OR($B153="Ноги";$B153="Верх");IFS(AND($V153&gt;=125;$V153&lt;=135);1;AND($V153&gt;=115;$V153&lt;125);0,7;AND($V153&gt;135;$V153&lt;=145);0,7;AND($V153&gt;=105;$V153&lt;115);0,4;AND($V153&gt;145;$V153&lt;=155);0,4;TRUE;0,2);IFS(AND($V153&gt;=120;$V153&lt;=130);1;AND($V153&gt;=110;$V153&lt;120);0,7;AND($V153&gt;130;$V153&lt;=140);0,7;AND($V153&gt;=100;$V153&lt;110);0,4;AND($V153&gt;140;$V153&lt;=150);0,4;TRUE;0,2));IFS(AND($W153&gt;=55;$W153&lt;=65);1;AND($W153&gt;=50;$W153&lt;55);0,7;AND($W153&gt;65;$W153&lt;=70);0,7;AND($W153&gt;=45;$W153&lt;50);0,4;AND($W153&gt;70;$W153&lt;=75);0,4;TRUE;0,2);IF(OR($B153="Ноги";$B153="Верх");IFS(AND($X153&gt;=180;$X153&lt;=210);1;AND($X153&gt;=160;$X153&lt;180);0,7;AND($X153&gt;210;$X153&lt;=230);0,7;AND($X153&gt;=140;$X153&lt;160);0,4;AND($X153&gt;230;$X153&lt;=250);0,4;TRUE;0,2);IFS(AND($X153&gt;=140;$X153&lt;=170);1;AND($X153&gt;=120;$X153&lt;140);0,7;AND($X153&gt;170;$X153&lt;=190);0,7;AND($X153&gt;=100;$X153&lt;120);0,4;AND($X153&gt;190;$X153&lt;=210);0,4;TRUE;0,2)))));1);""))</f>
        <v/>
      </c>
      <c r="Z153">
        <f>IF($A153="";"";TEXTJOIN(", ";TRUE;IF($B153="";"Тренировка";"");IF($C153="";"Кардио";"");IF($D153="";"Шаги";"");IF($E153="";"Английский";"");IF($F153="";"Код-режим";"");IF($G153="";"Код-тема";"");IF($H153="";"Чтение";"");IF($L153="";"Сон";"");IF($M153="";"Режим";"");IF($N153="";"Продуктивность";"");IF($O153="";"Настроение";"");IF($P153="";"Энергия";"");IF($U153="";"Еда";"")))</f>
        <v/>
      </c>
    </row>
    <row r="154">
      <c r="B154" t="inlineStr"/>
      <c r="C154" t="inlineStr"/>
      <c r="D154" t="inlineStr"/>
      <c r="E154" t="inlineStr"/>
      <c r="F154" t="inlineStr"/>
      <c r="G154" t="inlineStr"/>
      <c r="H154" t="inlineStr"/>
      <c r="I154" t="inlineStr"/>
      <c r="J154" t="inlineStr"/>
      <c r="K154" t="inlineStr"/>
      <c r="L154" t="inlineStr"/>
      <c r="M154" t="inlineStr"/>
      <c r="N154" t="inlineStr"/>
      <c r="O154" t="inlineStr"/>
      <c r="P154" t="inlineStr"/>
      <c r="Q154" t="inlineStr"/>
      <c r="R154" t="inlineStr"/>
      <c r="S154" t="inlineStr"/>
      <c r="T154" t="inlineStr"/>
      <c r="U154">
        <f>IF($A154="";"";IF(SUMIF(FoodLog!$A:$A;$A154;FoodLog!$I:$I)=0;"";SUMIF(FoodLog!$A:$A;$A154;FoodLog!$I:$I)))</f>
        <v/>
      </c>
      <c r="V154">
        <f>IF($A154="";"";IF(SUMIF(FoodLog!$A:$A;$A154;FoodLog!$F:$F)=0;"";SUMIF(FoodLog!$A:$A;$A154;FoodLog!$F:$F)))</f>
        <v/>
      </c>
      <c r="W154">
        <f>IF($A154="";"";IF(SUMIF(FoodLog!$A:$A;$A154;FoodLog!$G:$G)=0;"";SUMIF(FoodLog!$A:$A;$A154;FoodLog!$G:$G)))</f>
        <v/>
      </c>
      <c r="X154">
        <f>IF($A154="";"";IF(SUMIF(FoodLog!$A:$A;$A154;FoodLog!$H:$H)=0;"";SUMIF(FoodLog!$A:$A;$A154;FoodLog!$H:$H)))</f>
        <v/>
      </c>
      <c r="Y154">
        <f>IF($A154="";"";IFERROR(ROUND(100*AVERAGE(IF($B154="";"";XLOOKUP($B154;FILTER(Dictionaries!$B:$B;Dictionaries!$A:$A="Тренировка");FILTER(Dictionaries!$C:$C;Dictionaries!$A:$A="Тренировка")));IF($C154="";"";MIN($C154/40;1));IF($D154="";"";XLOOKUP($D154;FILTER(Dictionaries!$B:$B;Dictionaries!$A:$A="Шаги");FILTER(Dictionaries!$C:$C;Dictionaries!$A:$A="Шаги")));IF($E154="";"";MIN($E154/120;1));IF(OR($F154&lt;&gt;"";$G154&lt;&gt;"");1;"");IF($H154="";"";MIN($H154/100;1));IF($L154="";"";XLOOKUP($L154;FILTER(Dictionaries!$B:$B;Dictionaries!$A:$A="Сон_часы");FILTER(Dictionaries!$C:$C;Dictionaries!$A:$A="Сон_часы")));IF($M154="";"";XLOOKUP($M154;FILTER(Dictionaries!$B:$B;Dictionaries!$A:$A="Режим");FILTER(Dictionaries!$C:$C;Dictionaries!$A:$A="Режим")));IF($N154="";"";MIN($N154/100;1));IF($O154="";"";XLOOKUP($O154;FILTER(Dictionaries!$B:$B;Dictionaries!$A:$A="Настроение");FILTER(Dictionaries!$C:$C;Dictionaries!$A:$A="Настроение")));IF($P154="";"";XLOOKUP($P154;FILTER(Dictionaries!$B:$B;Dictionaries!$A:$A="Энергия");FILTER(Dictionaries!$C:$C;Dictionaries!$A:$A="Энергия")));IF($U154="";"";AVERAGE(IF(OR($B154="Ноги";$B154="Верх");IFS(AND($U154&gt;=1900;$U154&lt;=2050);1;AND($U154&gt;=1850;$U154&lt;1900);0,7;AND($U154&gt;2050;$U154&lt;=2100);0,7;TRUE;0,2);IFS(AND($U154&gt;=1700;$U154&lt;=1850);1;AND($U154&gt;=1650;$U154&lt;1700);0,7;AND($U154&gt;1850;$U154&lt;=1900);0,7;TRUE;0,2));IF(OR($B154="Ноги";$B154="Верх");IFS(AND($V154&gt;=125;$V154&lt;=135);1;AND($V154&gt;=115;$V154&lt;125);0,7;AND($V154&gt;135;$V154&lt;=145);0,7;AND($V154&gt;=105;$V154&lt;115);0,4;AND($V154&gt;145;$V154&lt;=155);0,4;TRUE;0,2);IFS(AND($V154&gt;=120;$V154&lt;=130);1;AND($V154&gt;=110;$V154&lt;120);0,7;AND($V154&gt;130;$V154&lt;=140);0,7;AND($V154&gt;=100;$V154&lt;110);0,4;AND($V154&gt;140;$V154&lt;=150);0,4;TRUE;0,2));IFS(AND($W154&gt;=55;$W154&lt;=65);1;AND($W154&gt;=50;$W154&lt;55);0,7;AND($W154&gt;65;$W154&lt;=70);0,7;AND($W154&gt;=45;$W154&lt;50);0,4;AND($W154&gt;70;$W154&lt;=75);0,4;TRUE;0,2);IF(OR($B154="Ноги";$B154="Верх");IFS(AND($X154&gt;=180;$X154&lt;=210);1;AND($X154&gt;=160;$X154&lt;180);0,7;AND($X154&gt;210;$X154&lt;=230);0,7;AND($X154&gt;=140;$X154&lt;160);0,4;AND($X154&gt;230;$X154&lt;=250);0,4;TRUE;0,2);IFS(AND($X154&gt;=140;$X154&lt;=170);1;AND($X154&gt;=120;$X154&lt;140);0,7;AND($X154&gt;170;$X154&lt;=190);0,7;AND($X154&gt;=100;$X154&lt;120);0,4;AND($X154&gt;190;$X154&lt;=210);0,4;TRUE;0,2)))));1);""))</f>
        <v/>
      </c>
      <c r="Z154">
        <f>IF($A154="";"";TEXTJOIN(", ";TRUE;IF($B154="";"Тренировка";"");IF($C154="";"Кардио";"");IF($D154="";"Шаги";"");IF($E154="";"Английский";"");IF($F154="";"Код-режим";"");IF($G154="";"Код-тема";"");IF($H154="";"Чтение";"");IF($L154="";"Сон";"");IF($M154="";"Режим";"");IF($N154="";"Продуктивность";"");IF($O154="";"Настроение";"");IF($P154="";"Энергия";"");IF($U154="";"Еда";"")))</f>
        <v/>
      </c>
    </row>
    <row r="155">
      <c r="B155" t="inlineStr"/>
      <c r="C155" t="inlineStr"/>
      <c r="D155" t="inlineStr"/>
      <c r="E155" t="inlineStr"/>
      <c r="F155" t="inlineStr"/>
      <c r="G155" t="inlineStr"/>
      <c r="H155" t="inlineStr"/>
      <c r="I155" t="inlineStr"/>
      <c r="J155" t="inlineStr"/>
      <c r="K155" t="inlineStr"/>
      <c r="L155" t="inlineStr"/>
      <c r="M155" t="inlineStr"/>
      <c r="N155" t="inlineStr"/>
      <c r="O155" t="inlineStr"/>
      <c r="P155" t="inlineStr"/>
      <c r="Q155" t="inlineStr"/>
      <c r="R155" t="inlineStr"/>
      <c r="S155" t="inlineStr"/>
      <c r="T155" t="inlineStr"/>
      <c r="U155">
        <f>IF($A155="";"";IF(SUMIF(FoodLog!$A:$A;$A155;FoodLog!$I:$I)=0;"";SUMIF(FoodLog!$A:$A;$A155;FoodLog!$I:$I)))</f>
        <v/>
      </c>
      <c r="V155">
        <f>IF($A155="";"";IF(SUMIF(FoodLog!$A:$A;$A155;FoodLog!$F:$F)=0;"";SUMIF(FoodLog!$A:$A;$A155;FoodLog!$F:$F)))</f>
        <v/>
      </c>
      <c r="W155">
        <f>IF($A155="";"";IF(SUMIF(FoodLog!$A:$A;$A155;FoodLog!$G:$G)=0;"";SUMIF(FoodLog!$A:$A;$A155;FoodLog!$G:$G)))</f>
        <v/>
      </c>
      <c r="X155">
        <f>IF($A155="";"";IF(SUMIF(FoodLog!$A:$A;$A155;FoodLog!$H:$H)=0;"";SUMIF(FoodLog!$A:$A;$A155;FoodLog!$H:$H)))</f>
        <v/>
      </c>
      <c r="Y155">
        <f>IF($A155="";"";IFERROR(ROUND(100*AVERAGE(IF($B155="";"";XLOOKUP($B155;FILTER(Dictionaries!$B:$B;Dictionaries!$A:$A="Тренировка");FILTER(Dictionaries!$C:$C;Dictionaries!$A:$A="Тренировка")));IF($C155="";"";MIN($C155/40;1));IF($D155="";"";XLOOKUP($D155;FILTER(Dictionaries!$B:$B;Dictionaries!$A:$A="Шаги");FILTER(Dictionaries!$C:$C;Dictionaries!$A:$A="Шаги")));IF($E155="";"";MIN($E155/120;1));IF(OR($F155&lt;&gt;"";$G155&lt;&gt;"");1;"");IF($H155="";"";MIN($H155/100;1));IF($L155="";"";XLOOKUP($L155;FILTER(Dictionaries!$B:$B;Dictionaries!$A:$A="Сон_часы");FILTER(Dictionaries!$C:$C;Dictionaries!$A:$A="Сон_часы")));IF($M155="";"";XLOOKUP($M155;FILTER(Dictionaries!$B:$B;Dictionaries!$A:$A="Режим");FILTER(Dictionaries!$C:$C;Dictionaries!$A:$A="Режим")));IF($N155="";"";MIN($N155/100;1));IF($O155="";"";XLOOKUP($O155;FILTER(Dictionaries!$B:$B;Dictionaries!$A:$A="Настроение");FILTER(Dictionaries!$C:$C;Dictionaries!$A:$A="Настроение")));IF($P155="";"";XLOOKUP($P155;FILTER(Dictionaries!$B:$B;Dictionaries!$A:$A="Энергия");FILTER(Dictionaries!$C:$C;Dictionaries!$A:$A="Энергия")));IF($U155="";"";AVERAGE(IF(OR($B155="Ноги";$B155="Верх");IFS(AND($U155&gt;=1900;$U155&lt;=2050);1;AND($U155&gt;=1850;$U155&lt;1900);0,7;AND($U155&gt;2050;$U155&lt;=2100);0,7;TRUE;0,2);IFS(AND($U155&gt;=1700;$U155&lt;=1850);1;AND($U155&gt;=1650;$U155&lt;1700);0,7;AND($U155&gt;1850;$U155&lt;=1900);0,7;TRUE;0,2));IF(OR($B155="Ноги";$B155="Верх");IFS(AND($V155&gt;=125;$V155&lt;=135);1;AND($V155&gt;=115;$V155&lt;125);0,7;AND($V155&gt;135;$V155&lt;=145);0,7;AND($V155&gt;=105;$V155&lt;115);0,4;AND($V155&gt;145;$V155&lt;=155);0,4;TRUE;0,2);IFS(AND($V155&gt;=120;$V155&lt;=130);1;AND($V155&gt;=110;$V155&lt;120);0,7;AND($V155&gt;130;$V155&lt;=140);0,7;AND($V155&gt;=100;$V155&lt;110);0,4;AND($V155&gt;140;$V155&lt;=150);0,4;TRUE;0,2));IFS(AND($W155&gt;=55;$W155&lt;=65);1;AND($W155&gt;=50;$W155&lt;55);0,7;AND($W155&gt;65;$W155&lt;=70);0,7;AND($W155&gt;=45;$W155&lt;50);0,4;AND($W155&gt;70;$W155&lt;=75);0,4;TRUE;0,2);IF(OR($B155="Ноги";$B155="Верх");IFS(AND($X155&gt;=180;$X155&lt;=210);1;AND($X155&gt;=160;$X155&lt;180);0,7;AND($X155&gt;210;$X155&lt;=230);0,7;AND($X155&gt;=140;$X155&lt;160);0,4;AND($X155&gt;230;$X155&lt;=250);0,4;TRUE;0,2);IFS(AND($X155&gt;=140;$X155&lt;=170);1;AND($X155&gt;=120;$X155&lt;140);0,7;AND($X155&gt;170;$X155&lt;=190);0,7;AND($X155&gt;=100;$X155&lt;120);0,4;AND($X155&gt;190;$X155&lt;=210);0,4;TRUE;0,2)))));1);""))</f>
        <v/>
      </c>
      <c r="Z155">
        <f>IF($A155="";"";TEXTJOIN(", ";TRUE;IF($B155="";"Тренировка";"");IF($C155="";"Кардио";"");IF($D155="";"Шаги";"");IF($E155="";"Английский";"");IF($F155="";"Код-режим";"");IF($G155="";"Код-тема";"");IF($H155="";"Чтение";"");IF($L155="";"Сон";"");IF($M155="";"Режим";"");IF($N155="";"Продуктивность";"");IF($O155="";"Настроение";"");IF($P155="";"Энергия";"");IF($U155="";"Еда";"")))</f>
        <v/>
      </c>
    </row>
    <row r="156">
      <c r="B156" t="inlineStr"/>
      <c r="C156" t="inlineStr"/>
      <c r="D156" t="inlineStr"/>
      <c r="E156" t="inlineStr"/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/>
      <c r="P156" t="inlineStr"/>
      <c r="Q156" t="inlineStr"/>
      <c r="R156" t="inlineStr"/>
      <c r="S156" t="inlineStr"/>
      <c r="T156" t="inlineStr"/>
      <c r="U156">
        <f>IF($A156="";"";IF(SUMIF(FoodLog!$A:$A;$A156;FoodLog!$I:$I)=0;"";SUMIF(FoodLog!$A:$A;$A156;FoodLog!$I:$I)))</f>
        <v/>
      </c>
      <c r="V156">
        <f>IF($A156="";"";IF(SUMIF(FoodLog!$A:$A;$A156;FoodLog!$F:$F)=0;"";SUMIF(FoodLog!$A:$A;$A156;FoodLog!$F:$F)))</f>
        <v/>
      </c>
      <c r="W156">
        <f>IF($A156="";"";IF(SUMIF(FoodLog!$A:$A;$A156;FoodLog!$G:$G)=0;"";SUMIF(FoodLog!$A:$A;$A156;FoodLog!$G:$G)))</f>
        <v/>
      </c>
      <c r="X156">
        <f>IF($A156="";"";IF(SUMIF(FoodLog!$A:$A;$A156;FoodLog!$H:$H)=0;"";SUMIF(FoodLog!$A:$A;$A156;FoodLog!$H:$H)))</f>
        <v/>
      </c>
      <c r="Y156">
        <f>IF($A156="";"";IFERROR(ROUND(100*AVERAGE(IF($B156="";"";XLOOKUP($B156;FILTER(Dictionaries!$B:$B;Dictionaries!$A:$A="Тренировка");FILTER(Dictionaries!$C:$C;Dictionaries!$A:$A="Тренировка")));IF($C156="";"";MIN($C156/40;1));IF($D156="";"";XLOOKUP($D156;FILTER(Dictionaries!$B:$B;Dictionaries!$A:$A="Шаги");FILTER(Dictionaries!$C:$C;Dictionaries!$A:$A="Шаги")));IF($E156="";"";MIN($E156/120;1));IF(OR($F156&lt;&gt;"";$G156&lt;&gt;"");1;"");IF($H156="";"";MIN($H156/100;1));IF($L156="";"";XLOOKUP($L156;FILTER(Dictionaries!$B:$B;Dictionaries!$A:$A="Сон_часы");FILTER(Dictionaries!$C:$C;Dictionaries!$A:$A="Сон_часы")));IF($M156="";"";XLOOKUP($M156;FILTER(Dictionaries!$B:$B;Dictionaries!$A:$A="Режим");FILTER(Dictionaries!$C:$C;Dictionaries!$A:$A="Режим")));IF($N156="";"";MIN($N156/100;1));IF($O156="";"";XLOOKUP($O156;FILTER(Dictionaries!$B:$B;Dictionaries!$A:$A="Настроение");FILTER(Dictionaries!$C:$C;Dictionaries!$A:$A="Настроение")));IF($P156="";"";XLOOKUP($P156;FILTER(Dictionaries!$B:$B;Dictionaries!$A:$A="Энергия");FILTER(Dictionaries!$C:$C;Dictionaries!$A:$A="Энергия")));IF($U156="";"";AVERAGE(IF(OR($B156="Ноги";$B156="Верх");IFS(AND($U156&gt;=1900;$U156&lt;=2050);1;AND($U156&gt;=1850;$U156&lt;1900);0,7;AND($U156&gt;2050;$U156&lt;=2100);0,7;TRUE;0,2);IFS(AND($U156&gt;=1700;$U156&lt;=1850);1;AND($U156&gt;=1650;$U156&lt;1700);0,7;AND($U156&gt;1850;$U156&lt;=1900);0,7;TRUE;0,2));IF(OR($B156="Ноги";$B156="Верх");IFS(AND($V156&gt;=125;$V156&lt;=135);1;AND($V156&gt;=115;$V156&lt;125);0,7;AND($V156&gt;135;$V156&lt;=145);0,7;AND($V156&gt;=105;$V156&lt;115);0,4;AND($V156&gt;145;$V156&lt;=155);0,4;TRUE;0,2);IFS(AND($V156&gt;=120;$V156&lt;=130);1;AND($V156&gt;=110;$V156&lt;120);0,7;AND($V156&gt;130;$V156&lt;=140);0,7;AND($V156&gt;=100;$V156&lt;110);0,4;AND($V156&gt;140;$V156&lt;=150);0,4;TRUE;0,2));IFS(AND($W156&gt;=55;$W156&lt;=65);1;AND($W156&gt;=50;$W156&lt;55);0,7;AND($W156&gt;65;$W156&lt;=70);0,7;AND($W156&gt;=45;$W156&lt;50);0,4;AND($W156&gt;70;$W156&lt;=75);0,4;TRUE;0,2);IF(OR($B156="Ноги";$B156="Верх");IFS(AND($X156&gt;=180;$X156&lt;=210);1;AND($X156&gt;=160;$X156&lt;180);0,7;AND($X156&gt;210;$X156&lt;=230);0,7;AND($X156&gt;=140;$X156&lt;160);0,4;AND($X156&gt;230;$X156&lt;=250);0,4;TRUE;0,2);IFS(AND($X156&gt;=140;$X156&lt;=170);1;AND($X156&gt;=120;$X156&lt;140);0,7;AND($X156&gt;170;$X156&lt;=190);0,7;AND($X156&gt;=100;$X156&lt;120);0,4;AND($X156&gt;190;$X156&lt;=210);0,4;TRUE;0,2)))));1);""))</f>
        <v/>
      </c>
      <c r="Z156">
        <f>IF($A156="";"";TEXTJOIN(", ";TRUE;IF($B156="";"Тренировка";"");IF($C156="";"Кардио";"");IF($D156="";"Шаги";"");IF($E156="";"Английский";"");IF($F156="";"Код-режим";"");IF($G156="";"Код-тема";"");IF($H156="";"Чтение";"");IF($L156="";"Сон";"");IF($M156="";"Режим";"");IF($N156="";"Продуктивность";"");IF($O156="";"Настроение";"");IF($P156="";"Энергия";"");IF($U156="";"Еда";"")))</f>
        <v/>
      </c>
    </row>
    <row r="157">
      <c r="B157" t="inlineStr"/>
      <c r="C157" t="inlineStr"/>
      <c r="D157" t="inlineStr"/>
      <c r="E157" t="inlineStr"/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/>
      <c r="P157" t="inlineStr"/>
      <c r="Q157" t="inlineStr"/>
      <c r="R157" t="inlineStr"/>
      <c r="S157" t="inlineStr"/>
      <c r="T157" t="inlineStr"/>
      <c r="U157">
        <f>IF($A157="";"";IF(SUMIF(FoodLog!$A:$A;$A157;FoodLog!$I:$I)=0;"";SUMIF(FoodLog!$A:$A;$A157;FoodLog!$I:$I)))</f>
        <v/>
      </c>
      <c r="V157">
        <f>IF($A157="";"";IF(SUMIF(FoodLog!$A:$A;$A157;FoodLog!$F:$F)=0;"";SUMIF(FoodLog!$A:$A;$A157;FoodLog!$F:$F)))</f>
        <v/>
      </c>
      <c r="W157">
        <f>IF($A157="";"";IF(SUMIF(FoodLog!$A:$A;$A157;FoodLog!$G:$G)=0;"";SUMIF(FoodLog!$A:$A;$A157;FoodLog!$G:$G)))</f>
        <v/>
      </c>
      <c r="X157">
        <f>IF($A157="";"";IF(SUMIF(FoodLog!$A:$A;$A157;FoodLog!$H:$H)=0;"";SUMIF(FoodLog!$A:$A;$A157;FoodLog!$H:$H)))</f>
        <v/>
      </c>
      <c r="Y157">
        <f>IF($A157="";"";IFERROR(ROUND(100*AVERAGE(IF($B157="";"";XLOOKUP($B157;FILTER(Dictionaries!$B:$B;Dictionaries!$A:$A="Тренировка");FILTER(Dictionaries!$C:$C;Dictionaries!$A:$A="Тренировка")));IF($C157="";"";MIN($C157/40;1));IF($D157="";"";XLOOKUP($D157;FILTER(Dictionaries!$B:$B;Dictionaries!$A:$A="Шаги");FILTER(Dictionaries!$C:$C;Dictionaries!$A:$A="Шаги")));IF($E157="";"";MIN($E157/120;1));IF(OR($F157&lt;&gt;"";$G157&lt;&gt;"");1;"");IF($H157="";"";MIN($H157/100;1));IF($L157="";"";XLOOKUP($L157;FILTER(Dictionaries!$B:$B;Dictionaries!$A:$A="Сон_часы");FILTER(Dictionaries!$C:$C;Dictionaries!$A:$A="Сон_часы")));IF($M157="";"";XLOOKUP($M157;FILTER(Dictionaries!$B:$B;Dictionaries!$A:$A="Режим");FILTER(Dictionaries!$C:$C;Dictionaries!$A:$A="Режим")));IF($N157="";"";MIN($N157/100;1));IF($O157="";"";XLOOKUP($O157;FILTER(Dictionaries!$B:$B;Dictionaries!$A:$A="Настроение");FILTER(Dictionaries!$C:$C;Dictionaries!$A:$A="Настроение")));IF($P157="";"";XLOOKUP($P157;FILTER(Dictionaries!$B:$B;Dictionaries!$A:$A="Энергия");FILTER(Dictionaries!$C:$C;Dictionaries!$A:$A="Энергия")));IF($U157="";"";AVERAGE(IF(OR($B157="Ноги";$B157="Верх");IFS(AND($U157&gt;=1900;$U157&lt;=2050);1;AND($U157&gt;=1850;$U157&lt;1900);0,7;AND($U157&gt;2050;$U157&lt;=2100);0,7;TRUE;0,2);IFS(AND($U157&gt;=1700;$U157&lt;=1850);1;AND($U157&gt;=1650;$U157&lt;1700);0,7;AND($U157&gt;1850;$U157&lt;=1900);0,7;TRUE;0,2));IF(OR($B157="Ноги";$B157="Верх");IFS(AND($V157&gt;=125;$V157&lt;=135);1;AND($V157&gt;=115;$V157&lt;125);0,7;AND($V157&gt;135;$V157&lt;=145);0,7;AND($V157&gt;=105;$V157&lt;115);0,4;AND($V157&gt;145;$V157&lt;=155);0,4;TRUE;0,2);IFS(AND($V157&gt;=120;$V157&lt;=130);1;AND($V157&gt;=110;$V157&lt;120);0,7;AND($V157&gt;130;$V157&lt;=140);0,7;AND($V157&gt;=100;$V157&lt;110);0,4;AND($V157&gt;140;$V157&lt;=150);0,4;TRUE;0,2));IFS(AND($W157&gt;=55;$W157&lt;=65);1;AND($W157&gt;=50;$W157&lt;55);0,7;AND($W157&gt;65;$W157&lt;=70);0,7;AND($W157&gt;=45;$W157&lt;50);0,4;AND($W157&gt;70;$W157&lt;=75);0,4;TRUE;0,2);IF(OR($B157="Ноги";$B157="Верх");IFS(AND($X157&gt;=180;$X157&lt;=210);1;AND($X157&gt;=160;$X157&lt;180);0,7;AND($X157&gt;210;$X157&lt;=230);0,7;AND($X157&gt;=140;$X157&lt;160);0,4;AND($X157&gt;230;$X157&lt;=250);0,4;TRUE;0,2);IFS(AND($X157&gt;=140;$X157&lt;=170);1;AND($X157&gt;=120;$X157&lt;140);0,7;AND($X157&gt;170;$X157&lt;=190);0,7;AND($X157&gt;=100;$X157&lt;120);0,4;AND($X157&gt;190;$X157&lt;=210);0,4;TRUE;0,2)))));1);""))</f>
        <v/>
      </c>
      <c r="Z157">
        <f>IF($A157="";"";TEXTJOIN(", ";TRUE;IF($B157="";"Тренировка";"");IF($C157="";"Кардио";"");IF($D157="";"Шаги";"");IF($E157="";"Английский";"");IF($F157="";"Код-режим";"");IF($G157="";"Код-тема";"");IF($H157="";"Чтение";"");IF($L157="";"Сон";"");IF($M157="";"Режим";"");IF($N157="";"Продуктивность";"");IF($O157="";"Настроение";"");IF($P157="";"Энергия";"");IF($U157="";"Еда";"")))</f>
        <v/>
      </c>
    </row>
    <row r="158">
      <c r="B158" t="inlineStr"/>
      <c r="C158" t="inlineStr"/>
      <c r="D158" t="inlineStr"/>
      <c r="E158" t="inlineStr"/>
      <c r="F158" t="inlineStr"/>
      <c r="G158" t="inlineStr"/>
      <c r="H158" t="inlineStr"/>
      <c r="I158" t="inlineStr"/>
      <c r="J158" t="inlineStr"/>
      <c r="K158" t="inlineStr"/>
      <c r="L158" t="inlineStr"/>
      <c r="M158" t="inlineStr"/>
      <c r="N158" t="inlineStr"/>
      <c r="O158" t="inlineStr"/>
      <c r="P158" t="inlineStr"/>
      <c r="Q158" t="inlineStr"/>
      <c r="R158" t="inlineStr"/>
      <c r="S158" t="inlineStr"/>
      <c r="T158" t="inlineStr"/>
      <c r="U158">
        <f>IF($A158="";"";IF(SUMIF(FoodLog!$A:$A;$A158;FoodLog!$I:$I)=0;"";SUMIF(FoodLog!$A:$A;$A158;FoodLog!$I:$I)))</f>
        <v/>
      </c>
      <c r="V158">
        <f>IF($A158="";"";IF(SUMIF(FoodLog!$A:$A;$A158;FoodLog!$F:$F)=0;"";SUMIF(FoodLog!$A:$A;$A158;FoodLog!$F:$F)))</f>
        <v/>
      </c>
      <c r="W158">
        <f>IF($A158="";"";IF(SUMIF(FoodLog!$A:$A;$A158;FoodLog!$G:$G)=0;"";SUMIF(FoodLog!$A:$A;$A158;FoodLog!$G:$G)))</f>
        <v/>
      </c>
      <c r="X158">
        <f>IF($A158="";"";IF(SUMIF(FoodLog!$A:$A;$A158;FoodLog!$H:$H)=0;"";SUMIF(FoodLog!$A:$A;$A158;FoodLog!$H:$H)))</f>
        <v/>
      </c>
      <c r="Y158">
        <f>IF($A158="";"";IFERROR(ROUND(100*AVERAGE(IF($B158="";"";XLOOKUP($B158;FILTER(Dictionaries!$B:$B;Dictionaries!$A:$A="Тренировка");FILTER(Dictionaries!$C:$C;Dictionaries!$A:$A="Тренировка")));IF($C158="";"";MIN($C158/40;1));IF($D158="";"";XLOOKUP($D158;FILTER(Dictionaries!$B:$B;Dictionaries!$A:$A="Шаги");FILTER(Dictionaries!$C:$C;Dictionaries!$A:$A="Шаги")));IF($E158="";"";MIN($E158/120;1));IF(OR($F158&lt;&gt;"";$G158&lt;&gt;"");1;"");IF($H158="";"";MIN($H158/100;1));IF($L158="";"";XLOOKUP($L158;FILTER(Dictionaries!$B:$B;Dictionaries!$A:$A="Сон_часы");FILTER(Dictionaries!$C:$C;Dictionaries!$A:$A="Сон_часы")));IF($M158="";"";XLOOKUP($M158;FILTER(Dictionaries!$B:$B;Dictionaries!$A:$A="Режим");FILTER(Dictionaries!$C:$C;Dictionaries!$A:$A="Режим")));IF($N158="";"";MIN($N158/100;1));IF($O158="";"";XLOOKUP($O158;FILTER(Dictionaries!$B:$B;Dictionaries!$A:$A="Настроение");FILTER(Dictionaries!$C:$C;Dictionaries!$A:$A="Настроение")));IF($P158="";"";XLOOKUP($P158;FILTER(Dictionaries!$B:$B;Dictionaries!$A:$A="Энергия");FILTER(Dictionaries!$C:$C;Dictionaries!$A:$A="Энергия")));IF($U158="";"";AVERAGE(IF(OR($B158="Ноги";$B158="Верх");IFS(AND($U158&gt;=1900;$U158&lt;=2050);1;AND($U158&gt;=1850;$U158&lt;1900);0,7;AND($U158&gt;2050;$U158&lt;=2100);0,7;TRUE;0,2);IFS(AND($U158&gt;=1700;$U158&lt;=1850);1;AND($U158&gt;=1650;$U158&lt;1700);0,7;AND($U158&gt;1850;$U158&lt;=1900);0,7;TRUE;0,2));IF(OR($B158="Ноги";$B158="Верх");IFS(AND($V158&gt;=125;$V158&lt;=135);1;AND($V158&gt;=115;$V158&lt;125);0,7;AND($V158&gt;135;$V158&lt;=145);0,7;AND($V158&gt;=105;$V158&lt;115);0,4;AND($V158&gt;145;$V158&lt;=155);0,4;TRUE;0,2);IFS(AND($V158&gt;=120;$V158&lt;=130);1;AND($V158&gt;=110;$V158&lt;120);0,7;AND($V158&gt;130;$V158&lt;=140);0,7;AND($V158&gt;=100;$V158&lt;110);0,4;AND($V158&gt;140;$V158&lt;=150);0,4;TRUE;0,2));IFS(AND($W158&gt;=55;$W158&lt;=65);1;AND($W158&gt;=50;$W158&lt;55);0,7;AND($W158&gt;65;$W158&lt;=70);0,7;AND($W158&gt;=45;$W158&lt;50);0,4;AND($W158&gt;70;$W158&lt;=75);0,4;TRUE;0,2);IF(OR($B158="Ноги";$B158="Верх");IFS(AND($X158&gt;=180;$X158&lt;=210);1;AND($X158&gt;=160;$X158&lt;180);0,7;AND($X158&gt;210;$X158&lt;=230);0,7;AND($X158&gt;=140;$X158&lt;160);0,4;AND($X158&gt;230;$X158&lt;=250);0,4;TRUE;0,2);IFS(AND($X158&gt;=140;$X158&lt;=170);1;AND($X158&gt;=120;$X158&lt;140);0,7;AND($X158&gt;170;$X158&lt;=190);0,7;AND($X158&gt;=100;$X158&lt;120);0,4;AND($X158&gt;190;$X158&lt;=210);0,4;TRUE;0,2)))));1);""))</f>
        <v/>
      </c>
      <c r="Z158">
        <f>IF($A158="";"";TEXTJOIN(", ";TRUE;IF($B158="";"Тренировка";"");IF($C158="";"Кардио";"");IF($D158="";"Шаги";"");IF($E158="";"Английский";"");IF($F158="";"Код-режим";"");IF($G158="";"Код-тема";"");IF($H158="";"Чтение";"");IF($L158="";"Сон";"");IF($M158="";"Режим";"");IF($N158="";"Продуктивность";"");IF($O158="";"Настроение";"");IF($P158="";"Энергия";"");IF($U158="";"Еда";"")))</f>
        <v/>
      </c>
    </row>
    <row r="159">
      <c r="B159" t="inlineStr"/>
      <c r="C159" t="inlineStr"/>
      <c r="D159" t="inlineStr"/>
      <c r="E159" t="inlineStr"/>
      <c r="F159" t="inlineStr"/>
      <c r="G159" t="inlineStr"/>
      <c r="H159" t="inlineStr"/>
      <c r="I159" t="inlineStr"/>
      <c r="J159" t="inlineStr"/>
      <c r="K159" t="inlineStr"/>
      <c r="L159" t="inlineStr"/>
      <c r="M159" t="inlineStr"/>
      <c r="N159" t="inlineStr"/>
      <c r="O159" t="inlineStr"/>
      <c r="P159" t="inlineStr"/>
      <c r="Q159" t="inlineStr"/>
      <c r="R159" t="inlineStr"/>
      <c r="S159" t="inlineStr"/>
      <c r="T159" t="inlineStr"/>
      <c r="U159">
        <f>IF($A159="";"";IF(SUMIF(FoodLog!$A:$A;$A159;FoodLog!$I:$I)=0;"";SUMIF(FoodLog!$A:$A;$A159;FoodLog!$I:$I)))</f>
        <v/>
      </c>
      <c r="V159">
        <f>IF($A159="";"";IF(SUMIF(FoodLog!$A:$A;$A159;FoodLog!$F:$F)=0;"";SUMIF(FoodLog!$A:$A;$A159;FoodLog!$F:$F)))</f>
        <v/>
      </c>
      <c r="W159">
        <f>IF($A159="";"";IF(SUMIF(FoodLog!$A:$A;$A159;FoodLog!$G:$G)=0;"";SUMIF(FoodLog!$A:$A;$A159;FoodLog!$G:$G)))</f>
        <v/>
      </c>
      <c r="X159">
        <f>IF($A159="";"";IF(SUMIF(FoodLog!$A:$A;$A159;FoodLog!$H:$H)=0;"";SUMIF(FoodLog!$A:$A;$A159;FoodLog!$H:$H)))</f>
        <v/>
      </c>
      <c r="Y159">
        <f>IF($A159="";"";IFERROR(ROUND(100*AVERAGE(IF($B159="";"";XLOOKUP($B159;FILTER(Dictionaries!$B:$B;Dictionaries!$A:$A="Тренировка");FILTER(Dictionaries!$C:$C;Dictionaries!$A:$A="Тренировка")));IF($C159="";"";MIN($C159/40;1));IF($D159="";"";XLOOKUP($D159;FILTER(Dictionaries!$B:$B;Dictionaries!$A:$A="Шаги");FILTER(Dictionaries!$C:$C;Dictionaries!$A:$A="Шаги")));IF($E159="";"";MIN($E159/120;1));IF(OR($F159&lt;&gt;"";$G159&lt;&gt;"");1;"");IF($H159="";"";MIN($H159/100;1));IF($L159="";"";XLOOKUP($L159;FILTER(Dictionaries!$B:$B;Dictionaries!$A:$A="Сон_часы");FILTER(Dictionaries!$C:$C;Dictionaries!$A:$A="Сон_часы")));IF($M159="";"";XLOOKUP($M159;FILTER(Dictionaries!$B:$B;Dictionaries!$A:$A="Режим");FILTER(Dictionaries!$C:$C;Dictionaries!$A:$A="Режим")));IF($N159="";"";MIN($N159/100;1));IF($O159="";"";XLOOKUP($O159;FILTER(Dictionaries!$B:$B;Dictionaries!$A:$A="Настроение");FILTER(Dictionaries!$C:$C;Dictionaries!$A:$A="Настроение")));IF($P159="";"";XLOOKUP($P159;FILTER(Dictionaries!$B:$B;Dictionaries!$A:$A="Энергия");FILTER(Dictionaries!$C:$C;Dictionaries!$A:$A="Энергия")));IF($U159="";"";AVERAGE(IF(OR($B159="Ноги";$B159="Верх");IFS(AND($U159&gt;=1900;$U159&lt;=2050);1;AND($U159&gt;=1850;$U159&lt;1900);0,7;AND($U159&gt;2050;$U159&lt;=2100);0,7;TRUE;0,2);IFS(AND($U159&gt;=1700;$U159&lt;=1850);1;AND($U159&gt;=1650;$U159&lt;1700);0,7;AND($U159&gt;1850;$U159&lt;=1900);0,7;TRUE;0,2));IF(OR($B159="Ноги";$B159="Верх");IFS(AND($V159&gt;=125;$V159&lt;=135);1;AND($V159&gt;=115;$V159&lt;125);0,7;AND($V159&gt;135;$V159&lt;=145);0,7;AND($V159&gt;=105;$V159&lt;115);0,4;AND($V159&gt;145;$V159&lt;=155);0,4;TRUE;0,2);IFS(AND($V159&gt;=120;$V159&lt;=130);1;AND($V159&gt;=110;$V159&lt;120);0,7;AND($V159&gt;130;$V159&lt;=140);0,7;AND($V159&gt;=100;$V159&lt;110);0,4;AND($V159&gt;140;$V159&lt;=150);0,4;TRUE;0,2));IFS(AND($W159&gt;=55;$W159&lt;=65);1;AND($W159&gt;=50;$W159&lt;55);0,7;AND($W159&gt;65;$W159&lt;=70);0,7;AND($W159&gt;=45;$W159&lt;50);0,4;AND($W159&gt;70;$W159&lt;=75);0,4;TRUE;0,2);IF(OR($B159="Ноги";$B159="Верх");IFS(AND($X159&gt;=180;$X159&lt;=210);1;AND($X159&gt;=160;$X159&lt;180);0,7;AND($X159&gt;210;$X159&lt;=230);0,7;AND($X159&gt;=140;$X159&lt;160);0,4;AND($X159&gt;230;$X159&lt;=250);0,4;TRUE;0,2);IFS(AND($X159&gt;=140;$X159&lt;=170);1;AND($X159&gt;=120;$X159&lt;140);0,7;AND($X159&gt;170;$X159&lt;=190);0,7;AND($X159&gt;=100;$X159&lt;120);0,4;AND($X159&gt;190;$X159&lt;=210);0,4;TRUE;0,2)))));1);""))</f>
        <v/>
      </c>
      <c r="Z159">
        <f>IF($A159="";"";TEXTJOIN(", ";TRUE;IF($B159="";"Тренировка";"");IF($C159="";"Кардио";"");IF($D159="";"Шаги";"");IF($E159="";"Английский";"");IF($F159="";"Код-режим";"");IF($G159="";"Код-тема";"");IF($H159="";"Чтение";"");IF($L159="";"Сон";"");IF($M159="";"Режим";"");IF($N159="";"Продуктивность";"");IF($O159="";"Настроение";"");IF($P159="";"Энергия";"");IF($U159="";"Еда";"")))</f>
        <v/>
      </c>
    </row>
    <row r="160">
      <c r="B160" t="inlineStr"/>
      <c r="C160" t="inlineStr"/>
      <c r="D160" t="inlineStr"/>
      <c r="E160" t="inlineStr"/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/>
      <c r="P160" t="inlineStr"/>
      <c r="Q160" t="inlineStr"/>
      <c r="R160" t="inlineStr"/>
      <c r="S160" t="inlineStr"/>
      <c r="T160" t="inlineStr"/>
      <c r="U160">
        <f>IF($A160="";"";IF(SUMIF(FoodLog!$A:$A;$A160;FoodLog!$I:$I)=0;"";SUMIF(FoodLog!$A:$A;$A160;FoodLog!$I:$I)))</f>
        <v/>
      </c>
      <c r="V160">
        <f>IF($A160="";"";IF(SUMIF(FoodLog!$A:$A;$A160;FoodLog!$F:$F)=0;"";SUMIF(FoodLog!$A:$A;$A160;FoodLog!$F:$F)))</f>
        <v/>
      </c>
      <c r="W160">
        <f>IF($A160="";"";IF(SUMIF(FoodLog!$A:$A;$A160;FoodLog!$G:$G)=0;"";SUMIF(FoodLog!$A:$A;$A160;FoodLog!$G:$G)))</f>
        <v/>
      </c>
      <c r="X160">
        <f>IF($A160="";"";IF(SUMIF(FoodLog!$A:$A;$A160;FoodLog!$H:$H)=0;"";SUMIF(FoodLog!$A:$A;$A160;FoodLog!$H:$H)))</f>
        <v/>
      </c>
      <c r="Y160">
        <f>IF($A160="";"";IFERROR(ROUND(100*AVERAGE(IF($B160="";"";XLOOKUP($B160;FILTER(Dictionaries!$B:$B;Dictionaries!$A:$A="Тренировка");FILTER(Dictionaries!$C:$C;Dictionaries!$A:$A="Тренировка")));IF($C160="";"";MIN($C160/40;1));IF($D160="";"";XLOOKUP($D160;FILTER(Dictionaries!$B:$B;Dictionaries!$A:$A="Шаги");FILTER(Dictionaries!$C:$C;Dictionaries!$A:$A="Шаги")));IF($E160="";"";MIN($E160/120;1));IF(OR($F160&lt;&gt;"";$G160&lt;&gt;"");1;"");IF($H160="";"";MIN($H160/100;1));IF($L160="";"";XLOOKUP($L160;FILTER(Dictionaries!$B:$B;Dictionaries!$A:$A="Сон_часы");FILTER(Dictionaries!$C:$C;Dictionaries!$A:$A="Сон_часы")));IF($M160="";"";XLOOKUP($M160;FILTER(Dictionaries!$B:$B;Dictionaries!$A:$A="Режим");FILTER(Dictionaries!$C:$C;Dictionaries!$A:$A="Режим")));IF($N160="";"";MIN($N160/100;1));IF($O160="";"";XLOOKUP($O160;FILTER(Dictionaries!$B:$B;Dictionaries!$A:$A="Настроение");FILTER(Dictionaries!$C:$C;Dictionaries!$A:$A="Настроение")));IF($P160="";"";XLOOKUP($P160;FILTER(Dictionaries!$B:$B;Dictionaries!$A:$A="Энергия");FILTER(Dictionaries!$C:$C;Dictionaries!$A:$A="Энергия")));IF($U160="";"";AVERAGE(IF(OR($B160="Ноги";$B160="Верх");IFS(AND($U160&gt;=1900;$U160&lt;=2050);1;AND($U160&gt;=1850;$U160&lt;1900);0,7;AND($U160&gt;2050;$U160&lt;=2100);0,7;TRUE;0,2);IFS(AND($U160&gt;=1700;$U160&lt;=1850);1;AND($U160&gt;=1650;$U160&lt;1700);0,7;AND($U160&gt;1850;$U160&lt;=1900);0,7;TRUE;0,2));IF(OR($B160="Ноги";$B160="Верх");IFS(AND($V160&gt;=125;$V160&lt;=135);1;AND($V160&gt;=115;$V160&lt;125);0,7;AND($V160&gt;135;$V160&lt;=145);0,7;AND($V160&gt;=105;$V160&lt;115);0,4;AND($V160&gt;145;$V160&lt;=155);0,4;TRUE;0,2);IFS(AND($V160&gt;=120;$V160&lt;=130);1;AND($V160&gt;=110;$V160&lt;120);0,7;AND($V160&gt;130;$V160&lt;=140);0,7;AND($V160&gt;=100;$V160&lt;110);0,4;AND($V160&gt;140;$V160&lt;=150);0,4;TRUE;0,2));IFS(AND($W160&gt;=55;$W160&lt;=65);1;AND($W160&gt;=50;$W160&lt;55);0,7;AND($W160&gt;65;$W160&lt;=70);0,7;AND($W160&gt;=45;$W160&lt;50);0,4;AND($W160&gt;70;$W160&lt;=75);0,4;TRUE;0,2);IF(OR($B160="Ноги";$B160="Верх");IFS(AND($X160&gt;=180;$X160&lt;=210);1;AND($X160&gt;=160;$X160&lt;180);0,7;AND($X160&gt;210;$X160&lt;=230);0,7;AND($X160&gt;=140;$X160&lt;160);0,4;AND($X160&gt;230;$X160&lt;=250);0,4;TRUE;0,2);IFS(AND($X160&gt;=140;$X160&lt;=170);1;AND($X160&gt;=120;$X160&lt;140);0,7;AND($X160&gt;170;$X160&lt;=190);0,7;AND($X160&gt;=100;$X160&lt;120);0,4;AND($X160&gt;190;$X160&lt;=210);0,4;TRUE;0,2)))));1);""))</f>
        <v/>
      </c>
      <c r="Z160">
        <f>IF($A160="";"";TEXTJOIN(", ";TRUE;IF($B160="";"Тренировка";"");IF($C160="";"Кардио";"");IF($D160="";"Шаги";"");IF($E160="";"Английский";"");IF($F160="";"Код-режим";"");IF($G160="";"Код-тема";"");IF($H160="";"Чтение";"");IF($L160="";"Сон";"");IF($M160="";"Режим";"");IF($N160="";"Продуктивность";"");IF($O160="";"Настроение";"");IF($P160="";"Энергия";"");IF($U160="";"Еда";"")))</f>
        <v/>
      </c>
    </row>
    <row r="161">
      <c r="B161" t="inlineStr"/>
      <c r="C161" t="inlineStr"/>
      <c r="D161" t="inlineStr"/>
      <c r="E161" t="inlineStr"/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/>
      <c r="P161" t="inlineStr"/>
      <c r="Q161" t="inlineStr"/>
      <c r="R161" t="inlineStr"/>
      <c r="S161" t="inlineStr"/>
      <c r="T161" t="inlineStr"/>
      <c r="U161">
        <f>IF($A161="";"";IF(SUMIF(FoodLog!$A:$A;$A161;FoodLog!$I:$I)=0;"";SUMIF(FoodLog!$A:$A;$A161;FoodLog!$I:$I)))</f>
        <v/>
      </c>
      <c r="V161">
        <f>IF($A161="";"";IF(SUMIF(FoodLog!$A:$A;$A161;FoodLog!$F:$F)=0;"";SUMIF(FoodLog!$A:$A;$A161;FoodLog!$F:$F)))</f>
        <v/>
      </c>
      <c r="W161">
        <f>IF($A161="";"";IF(SUMIF(FoodLog!$A:$A;$A161;FoodLog!$G:$G)=0;"";SUMIF(FoodLog!$A:$A;$A161;FoodLog!$G:$G)))</f>
        <v/>
      </c>
      <c r="X161">
        <f>IF($A161="";"";IF(SUMIF(FoodLog!$A:$A;$A161;FoodLog!$H:$H)=0;"";SUMIF(FoodLog!$A:$A;$A161;FoodLog!$H:$H)))</f>
        <v/>
      </c>
      <c r="Y161">
        <f>IF($A161="";"";IFERROR(ROUND(100*AVERAGE(IF($B161="";"";XLOOKUP($B161;FILTER(Dictionaries!$B:$B;Dictionaries!$A:$A="Тренировка");FILTER(Dictionaries!$C:$C;Dictionaries!$A:$A="Тренировка")));IF($C161="";"";MIN($C161/40;1));IF($D161="";"";XLOOKUP($D161;FILTER(Dictionaries!$B:$B;Dictionaries!$A:$A="Шаги");FILTER(Dictionaries!$C:$C;Dictionaries!$A:$A="Шаги")));IF($E161="";"";MIN($E161/120;1));IF(OR($F161&lt;&gt;"";$G161&lt;&gt;"");1;"");IF($H161="";"";MIN($H161/100;1));IF($L161="";"";XLOOKUP($L161;FILTER(Dictionaries!$B:$B;Dictionaries!$A:$A="Сон_часы");FILTER(Dictionaries!$C:$C;Dictionaries!$A:$A="Сон_часы")));IF($M161="";"";XLOOKUP($M161;FILTER(Dictionaries!$B:$B;Dictionaries!$A:$A="Режим");FILTER(Dictionaries!$C:$C;Dictionaries!$A:$A="Режим")));IF($N161="";"";MIN($N161/100;1));IF($O161="";"";XLOOKUP($O161;FILTER(Dictionaries!$B:$B;Dictionaries!$A:$A="Настроение");FILTER(Dictionaries!$C:$C;Dictionaries!$A:$A="Настроение")));IF($P161="";"";XLOOKUP($P161;FILTER(Dictionaries!$B:$B;Dictionaries!$A:$A="Энергия");FILTER(Dictionaries!$C:$C;Dictionaries!$A:$A="Энергия")));IF($U161="";"";AVERAGE(IF(OR($B161="Ноги";$B161="Верх");IFS(AND($U161&gt;=1900;$U161&lt;=2050);1;AND($U161&gt;=1850;$U161&lt;1900);0,7;AND($U161&gt;2050;$U161&lt;=2100);0,7;TRUE;0,2);IFS(AND($U161&gt;=1700;$U161&lt;=1850);1;AND($U161&gt;=1650;$U161&lt;1700);0,7;AND($U161&gt;1850;$U161&lt;=1900);0,7;TRUE;0,2));IF(OR($B161="Ноги";$B161="Верх");IFS(AND($V161&gt;=125;$V161&lt;=135);1;AND($V161&gt;=115;$V161&lt;125);0,7;AND($V161&gt;135;$V161&lt;=145);0,7;AND($V161&gt;=105;$V161&lt;115);0,4;AND($V161&gt;145;$V161&lt;=155);0,4;TRUE;0,2);IFS(AND($V161&gt;=120;$V161&lt;=130);1;AND($V161&gt;=110;$V161&lt;120);0,7;AND($V161&gt;130;$V161&lt;=140);0,7;AND($V161&gt;=100;$V161&lt;110);0,4;AND($V161&gt;140;$V161&lt;=150);0,4;TRUE;0,2));IFS(AND($W161&gt;=55;$W161&lt;=65);1;AND($W161&gt;=50;$W161&lt;55);0,7;AND($W161&gt;65;$W161&lt;=70);0,7;AND($W161&gt;=45;$W161&lt;50);0,4;AND($W161&gt;70;$W161&lt;=75);0,4;TRUE;0,2);IF(OR($B161="Ноги";$B161="Верх");IFS(AND($X161&gt;=180;$X161&lt;=210);1;AND($X161&gt;=160;$X161&lt;180);0,7;AND($X161&gt;210;$X161&lt;=230);0,7;AND($X161&gt;=140;$X161&lt;160);0,4;AND($X161&gt;230;$X161&lt;=250);0,4;TRUE;0,2);IFS(AND($X161&gt;=140;$X161&lt;=170);1;AND($X161&gt;=120;$X161&lt;140);0,7;AND($X161&gt;170;$X161&lt;=190);0,7;AND($X161&gt;=100;$X161&lt;120);0,4;AND($X161&gt;190;$X161&lt;=210);0,4;TRUE;0,2)))));1);""))</f>
        <v/>
      </c>
      <c r="Z161">
        <f>IF($A161="";"";TEXTJOIN(", ";TRUE;IF($B161="";"Тренировка";"");IF($C161="";"Кардио";"");IF($D161="";"Шаги";"");IF($E161="";"Английский";"");IF($F161="";"Код-режим";"");IF($G161="";"Код-тема";"");IF($H161="";"Чтение";"");IF($L161="";"Сон";"");IF($M161="";"Режим";"");IF($N161="";"Продуктивность";"");IF($O161="";"Настроение";"");IF($P161="";"Энергия";"");IF($U161="";"Еда";"")))</f>
        <v/>
      </c>
    </row>
    <row r="162">
      <c r="B162" t="inlineStr"/>
      <c r="C162" t="inlineStr"/>
      <c r="D162" t="inlineStr"/>
      <c r="E162" t="inlineStr"/>
      <c r="F162" t="inlineStr"/>
      <c r="G162" t="inlineStr"/>
      <c r="H162" t="inlineStr"/>
      <c r="I162" t="inlineStr"/>
      <c r="J162" t="inlineStr"/>
      <c r="K162" t="inlineStr"/>
      <c r="L162" t="inlineStr"/>
      <c r="M162" t="inlineStr"/>
      <c r="N162" t="inlineStr"/>
      <c r="O162" t="inlineStr"/>
      <c r="P162" t="inlineStr"/>
      <c r="Q162" t="inlineStr"/>
      <c r="R162" t="inlineStr"/>
      <c r="S162" t="inlineStr"/>
      <c r="T162" t="inlineStr"/>
      <c r="U162">
        <f>IF($A162="";"";IF(SUMIF(FoodLog!$A:$A;$A162;FoodLog!$I:$I)=0;"";SUMIF(FoodLog!$A:$A;$A162;FoodLog!$I:$I)))</f>
        <v/>
      </c>
      <c r="V162">
        <f>IF($A162="";"";IF(SUMIF(FoodLog!$A:$A;$A162;FoodLog!$F:$F)=0;"";SUMIF(FoodLog!$A:$A;$A162;FoodLog!$F:$F)))</f>
        <v/>
      </c>
      <c r="W162">
        <f>IF($A162="";"";IF(SUMIF(FoodLog!$A:$A;$A162;FoodLog!$G:$G)=0;"";SUMIF(FoodLog!$A:$A;$A162;FoodLog!$G:$G)))</f>
        <v/>
      </c>
      <c r="X162">
        <f>IF($A162="";"";IF(SUMIF(FoodLog!$A:$A;$A162;FoodLog!$H:$H)=0;"";SUMIF(FoodLog!$A:$A;$A162;FoodLog!$H:$H)))</f>
        <v/>
      </c>
      <c r="Y162">
        <f>IF($A162="";"";IFERROR(ROUND(100*AVERAGE(IF($B162="";"";XLOOKUP($B162;FILTER(Dictionaries!$B:$B;Dictionaries!$A:$A="Тренировка");FILTER(Dictionaries!$C:$C;Dictionaries!$A:$A="Тренировка")));IF($C162="";"";MIN($C162/40;1));IF($D162="";"";XLOOKUP($D162;FILTER(Dictionaries!$B:$B;Dictionaries!$A:$A="Шаги");FILTER(Dictionaries!$C:$C;Dictionaries!$A:$A="Шаги")));IF($E162="";"";MIN($E162/120;1));IF(OR($F162&lt;&gt;"";$G162&lt;&gt;"");1;"");IF($H162="";"";MIN($H162/100;1));IF($L162="";"";XLOOKUP($L162;FILTER(Dictionaries!$B:$B;Dictionaries!$A:$A="Сон_часы");FILTER(Dictionaries!$C:$C;Dictionaries!$A:$A="Сон_часы")));IF($M162="";"";XLOOKUP($M162;FILTER(Dictionaries!$B:$B;Dictionaries!$A:$A="Режим");FILTER(Dictionaries!$C:$C;Dictionaries!$A:$A="Режим")));IF($N162="";"";MIN($N162/100;1));IF($O162="";"";XLOOKUP($O162;FILTER(Dictionaries!$B:$B;Dictionaries!$A:$A="Настроение");FILTER(Dictionaries!$C:$C;Dictionaries!$A:$A="Настроение")));IF($P162="";"";XLOOKUP($P162;FILTER(Dictionaries!$B:$B;Dictionaries!$A:$A="Энергия");FILTER(Dictionaries!$C:$C;Dictionaries!$A:$A="Энергия")));IF($U162="";"";AVERAGE(IF(OR($B162="Ноги";$B162="Верх");IFS(AND($U162&gt;=1900;$U162&lt;=2050);1;AND($U162&gt;=1850;$U162&lt;1900);0,7;AND($U162&gt;2050;$U162&lt;=2100);0,7;TRUE;0,2);IFS(AND($U162&gt;=1700;$U162&lt;=1850);1;AND($U162&gt;=1650;$U162&lt;1700);0,7;AND($U162&gt;1850;$U162&lt;=1900);0,7;TRUE;0,2));IF(OR($B162="Ноги";$B162="Верх");IFS(AND($V162&gt;=125;$V162&lt;=135);1;AND($V162&gt;=115;$V162&lt;125);0,7;AND($V162&gt;135;$V162&lt;=145);0,7;AND($V162&gt;=105;$V162&lt;115);0,4;AND($V162&gt;145;$V162&lt;=155);0,4;TRUE;0,2);IFS(AND($V162&gt;=120;$V162&lt;=130);1;AND($V162&gt;=110;$V162&lt;120);0,7;AND($V162&gt;130;$V162&lt;=140);0,7;AND($V162&gt;=100;$V162&lt;110);0,4;AND($V162&gt;140;$V162&lt;=150);0,4;TRUE;0,2));IFS(AND($W162&gt;=55;$W162&lt;=65);1;AND($W162&gt;=50;$W162&lt;55);0,7;AND($W162&gt;65;$W162&lt;=70);0,7;AND($W162&gt;=45;$W162&lt;50);0,4;AND($W162&gt;70;$W162&lt;=75);0,4;TRUE;0,2);IF(OR($B162="Ноги";$B162="Верх");IFS(AND($X162&gt;=180;$X162&lt;=210);1;AND($X162&gt;=160;$X162&lt;180);0,7;AND($X162&gt;210;$X162&lt;=230);0,7;AND($X162&gt;=140;$X162&lt;160);0,4;AND($X162&gt;230;$X162&lt;=250);0,4;TRUE;0,2);IFS(AND($X162&gt;=140;$X162&lt;=170);1;AND($X162&gt;=120;$X162&lt;140);0,7;AND($X162&gt;170;$X162&lt;=190);0,7;AND($X162&gt;=100;$X162&lt;120);0,4;AND($X162&gt;190;$X162&lt;=210);0,4;TRUE;0,2)))));1);""))</f>
        <v/>
      </c>
      <c r="Z162">
        <f>IF($A162="";"";TEXTJOIN(", ";TRUE;IF($B162="";"Тренировка";"");IF($C162="";"Кардио";"");IF($D162="";"Шаги";"");IF($E162="";"Английский";"");IF($F162="";"Код-режим";"");IF($G162="";"Код-тема";"");IF($H162="";"Чтение";"");IF($L162="";"Сон";"");IF($M162="";"Режим";"");IF($N162="";"Продуктивность";"");IF($O162="";"Настроение";"");IF($P162="";"Энергия";"");IF($U162="";"Еда";"")))</f>
        <v/>
      </c>
    </row>
    <row r="163">
      <c r="B163" t="inlineStr"/>
      <c r="C163" t="inlineStr"/>
      <c r="D163" t="inlineStr"/>
      <c r="E163" t="inlineStr"/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/>
      <c r="O163" t="inlineStr"/>
      <c r="P163" t="inlineStr"/>
      <c r="Q163" t="inlineStr"/>
      <c r="R163" t="inlineStr"/>
      <c r="S163" t="inlineStr"/>
      <c r="T163" t="inlineStr"/>
      <c r="U163">
        <f>IF($A163="";"";IF(SUMIF(FoodLog!$A:$A;$A163;FoodLog!$I:$I)=0;"";SUMIF(FoodLog!$A:$A;$A163;FoodLog!$I:$I)))</f>
        <v/>
      </c>
      <c r="V163">
        <f>IF($A163="";"";IF(SUMIF(FoodLog!$A:$A;$A163;FoodLog!$F:$F)=0;"";SUMIF(FoodLog!$A:$A;$A163;FoodLog!$F:$F)))</f>
        <v/>
      </c>
      <c r="W163">
        <f>IF($A163="";"";IF(SUMIF(FoodLog!$A:$A;$A163;FoodLog!$G:$G)=0;"";SUMIF(FoodLog!$A:$A;$A163;FoodLog!$G:$G)))</f>
        <v/>
      </c>
      <c r="X163">
        <f>IF($A163="";"";IF(SUMIF(FoodLog!$A:$A;$A163;FoodLog!$H:$H)=0;"";SUMIF(FoodLog!$A:$A;$A163;FoodLog!$H:$H)))</f>
        <v/>
      </c>
      <c r="Y163">
        <f>IF($A163="";"";IFERROR(ROUND(100*AVERAGE(IF($B163="";"";XLOOKUP($B163;FILTER(Dictionaries!$B:$B;Dictionaries!$A:$A="Тренировка");FILTER(Dictionaries!$C:$C;Dictionaries!$A:$A="Тренировка")));IF($C163="";"";MIN($C163/40;1));IF($D163="";"";XLOOKUP($D163;FILTER(Dictionaries!$B:$B;Dictionaries!$A:$A="Шаги");FILTER(Dictionaries!$C:$C;Dictionaries!$A:$A="Шаги")));IF($E163="";"";MIN($E163/120;1));IF(OR($F163&lt;&gt;"";$G163&lt;&gt;"");1;"");IF($H163="";"";MIN($H163/100;1));IF($L163="";"";XLOOKUP($L163;FILTER(Dictionaries!$B:$B;Dictionaries!$A:$A="Сон_часы");FILTER(Dictionaries!$C:$C;Dictionaries!$A:$A="Сон_часы")));IF($M163="";"";XLOOKUP($M163;FILTER(Dictionaries!$B:$B;Dictionaries!$A:$A="Режим");FILTER(Dictionaries!$C:$C;Dictionaries!$A:$A="Режим")));IF($N163="";"";MIN($N163/100;1));IF($O163="";"";XLOOKUP($O163;FILTER(Dictionaries!$B:$B;Dictionaries!$A:$A="Настроение");FILTER(Dictionaries!$C:$C;Dictionaries!$A:$A="Настроение")));IF($P163="";"";XLOOKUP($P163;FILTER(Dictionaries!$B:$B;Dictionaries!$A:$A="Энергия");FILTER(Dictionaries!$C:$C;Dictionaries!$A:$A="Энергия")));IF($U163="";"";AVERAGE(IF(OR($B163="Ноги";$B163="Верх");IFS(AND($U163&gt;=1900;$U163&lt;=2050);1;AND($U163&gt;=1850;$U163&lt;1900);0,7;AND($U163&gt;2050;$U163&lt;=2100);0,7;TRUE;0,2);IFS(AND($U163&gt;=1700;$U163&lt;=1850);1;AND($U163&gt;=1650;$U163&lt;1700);0,7;AND($U163&gt;1850;$U163&lt;=1900);0,7;TRUE;0,2));IF(OR($B163="Ноги";$B163="Верх");IFS(AND($V163&gt;=125;$V163&lt;=135);1;AND($V163&gt;=115;$V163&lt;125);0,7;AND($V163&gt;135;$V163&lt;=145);0,7;AND($V163&gt;=105;$V163&lt;115);0,4;AND($V163&gt;145;$V163&lt;=155);0,4;TRUE;0,2);IFS(AND($V163&gt;=120;$V163&lt;=130);1;AND($V163&gt;=110;$V163&lt;120);0,7;AND($V163&gt;130;$V163&lt;=140);0,7;AND($V163&gt;=100;$V163&lt;110);0,4;AND($V163&gt;140;$V163&lt;=150);0,4;TRUE;0,2));IFS(AND($W163&gt;=55;$W163&lt;=65);1;AND($W163&gt;=50;$W163&lt;55);0,7;AND($W163&gt;65;$W163&lt;=70);0,7;AND($W163&gt;=45;$W163&lt;50);0,4;AND($W163&gt;70;$W163&lt;=75);0,4;TRUE;0,2);IF(OR($B163="Ноги";$B163="Верх");IFS(AND($X163&gt;=180;$X163&lt;=210);1;AND($X163&gt;=160;$X163&lt;180);0,7;AND($X163&gt;210;$X163&lt;=230);0,7;AND($X163&gt;=140;$X163&lt;160);0,4;AND($X163&gt;230;$X163&lt;=250);0,4;TRUE;0,2);IFS(AND($X163&gt;=140;$X163&lt;=170);1;AND($X163&gt;=120;$X163&lt;140);0,7;AND($X163&gt;170;$X163&lt;=190);0,7;AND($X163&gt;=100;$X163&lt;120);0,4;AND($X163&gt;190;$X163&lt;=210);0,4;TRUE;0,2)))));1);""))</f>
        <v/>
      </c>
      <c r="Z163">
        <f>IF($A163="";"";TEXTJOIN(", ";TRUE;IF($B163="";"Тренировка";"");IF($C163="";"Кардио";"");IF($D163="";"Шаги";"");IF($E163="";"Английский";"");IF($F163="";"Код-режим";"");IF($G163="";"Код-тема";"");IF($H163="";"Чтение";"");IF($L163="";"Сон";"");IF($M163="";"Режим";"");IF($N163="";"Продуктивность";"");IF($O163="";"Настроение";"");IF($P163="";"Энергия";"");IF($U163="";"Еда";"")))</f>
        <v/>
      </c>
    </row>
    <row r="164">
      <c r="B164" t="inlineStr"/>
      <c r="C164" t="inlineStr"/>
      <c r="D164" t="inlineStr"/>
      <c r="E164" t="inlineStr"/>
      <c r="F164" t="inlineStr"/>
      <c r="G164" t="inlineStr"/>
      <c r="H164" t="inlineStr"/>
      <c r="I164" t="inlineStr"/>
      <c r="J164" t="inlineStr"/>
      <c r="K164" t="inlineStr"/>
      <c r="L164" t="inlineStr"/>
      <c r="M164" t="inlineStr"/>
      <c r="N164" t="inlineStr"/>
      <c r="O164" t="inlineStr"/>
      <c r="P164" t="inlineStr"/>
      <c r="Q164" t="inlineStr"/>
      <c r="R164" t="inlineStr"/>
      <c r="S164" t="inlineStr"/>
      <c r="T164" t="inlineStr"/>
      <c r="U164">
        <f>IF($A164="";"";IF(SUMIF(FoodLog!$A:$A;$A164;FoodLog!$I:$I)=0;"";SUMIF(FoodLog!$A:$A;$A164;FoodLog!$I:$I)))</f>
        <v/>
      </c>
      <c r="V164">
        <f>IF($A164="";"";IF(SUMIF(FoodLog!$A:$A;$A164;FoodLog!$F:$F)=0;"";SUMIF(FoodLog!$A:$A;$A164;FoodLog!$F:$F)))</f>
        <v/>
      </c>
      <c r="W164">
        <f>IF($A164="";"";IF(SUMIF(FoodLog!$A:$A;$A164;FoodLog!$G:$G)=0;"";SUMIF(FoodLog!$A:$A;$A164;FoodLog!$G:$G)))</f>
        <v/>
      </c>
      <c r="X164">
        <f>IF($A164="";"";IF(SUMIF(FoodLog!$A:$A;$A164;FoodLog!$H:$H)=0;"";SUMIF(FoodLog!$A:$A;$A164;FoodLog!$H:$H)))</f>
        <v/>
      </c>
      <c r="Y164">
        <f>IF($A164="";"";IFERROR(ROUND(100*AVERAGE(IF($B164="";"";XLOOKUP($B164;FILTER(Dictionaries!$B:$B;Dictionaries!$A:$A="Тренировка");FILTER(Dictionaries!$C:$C;Dictionaries!$A:$A="Тренировка")));IF($C164="";"";MIN($C164/40;1));IF($D164="";"";XLOOKUP($D164;FILTER(Dictionaries!$B:$B;Dictionaries!$A:$A="Шаги");FILTER(Dictionaries!$C:$C;Dictionaries!$A:$A="Шаги")));IF($E164="";"";MIN($E164/120;1));IF(OR($F164&lt;&gt;"";$G164&lt;&gt;"");1;"");IF($H164="";"";MIN($H164/100;1));IF($L164="";"";XLOOKUP($L164;FILTER(Dictionaries!$B:$B;Dictionaries!$A:$A="Сон_часы");FILTER(Dictionaries!$C:$C;Dictionaries!$A:$A="Сон_часы")));IF($M164="";"";XLOOKUP($M164;FILTER(Dictionaries!$B:$B;Dictionaries!$A:$A="Режим");FILTER(Dictionaries!$C:$C;Dictionaries!$A:$A="Режим")));IF($N164="";"";MIN($N164/100;1));IF($O164="";"";XLOOKUP($O164;FILTER(Dictionaries!$B:$B;Dictionaries!$A:$A="Настроение");FILTER(Dictionaries!$C:$C;Dictionaries!$A:$A="Настроение")));IF($P164="";"";XLOOKUP($P164;FILTER(Dictionaries!$B:$B;Dictionaries!$A:$A="Энергия");FILTER(Dictionaries!$C:$C;Dictionaries!$A:$A="Энергия")));IF($U164="";"";AVERAGE(IF(OR($B164="Ноги";$B164="Верх");IFS(AND($U164&gt;=1900;$U164&lt;=2050);1;AND($U164&gt;=1850;$U164&lt;1900);0,7;AND($U164&gt;2050;$U164&lt;=2100);0,7;TRUE;0,2);IFS(AND($U164&gt;=1700;$U164&lt;=1850);1;AND($U164&gt;=1650;$U164&lt;1700);0,7;AND($U164&gt;1850;$U164&lt;=1900);0,7;TRUE;0,2));IF(OR($B164="Ноги";$B164="Верх");IFS(AND($V164&gt;=125;$V164&lt;=135);1;AND($V164&gt;=115;$V164&lt;125);0,7;AND($V164&gt;135;$V164&lt;=145);0,7;AND($V164&gt;=105;$V164&lt;115);0,4;AND($V164&gt;145;$V164&lt;=155);0,4;TRUE;0,2);IFS(AND($V164&gt;=120;$V164&lt;=130);1;AND($V164&gt;=110;$V164&lt;120);0,7;AND($V164&gt;130;$V164&lt;=140);0,7;AND($V164&gt;=100;$V164&lt;110);0,4;AND($V164&gt;140;$V164&lt;=150);0,4;TRUE;0,2));IFS(AND($W164&gt;=55;$W164&lt;=65);1;AND($W164&gt;=50;$W164&lt;55);0,7;AND($W164&gt;65;$W164&lt;=70);0,7;AND($W164&gt;=45;$W164&lt;50);0,4;AND($W164&gt;70;$W164&lt;=75);0,4;TRUE;0,2);IF(OR($B164="Ноги";$B164="Верх");IFS(AND($X164&gt;=180;$X164&lt;=210);1;AND($X164&gt;=160;$X164&lt;180);0,7;AND($X164&gt;210;$X164&lt;=230);0,7;AND($X164&gt;=140;$X164&lt;160);0,4;AND($X164&gt;230;$X164&lt;=250);0,4;TRUE;0,2);IFS(AND($X164&gt;=140;$X164&lt;=170);1;AND($X164&gt;=120;$X164&lt;140);0,7;AND($X164&gt;170;$X164&lt;=190);0,7;AND($X164&gt;=100;$X164&lt;120);0,4;AND($X164&gt;190;$X164&lt;=210);0,4;TRUE;0,2)))));1);""))</f>
        <v/>
      </c>
      <c r="Z164">
        <f>IF($A164="";"";TEXTJOIN(", ";TRUE;IF($B164="";"Тренировка";"");IF($C164="";"Кардио";"");IF($D164="";"Шаги";"");IF($E164="";"Английский";"");IF($F164="";"Код-режим";"");IF($G164="";"Код-тема";"");IF($H164="";"Чтение";"");IF($L164="";"Сон";"");IF($M164="";"Режим";"");IF($N164="";"Продуктивность";"");IF($O164="";"Настроение";"");IF($P164="";"Энергия";"");IF($U164="";"Еда";"")))</f>
        <v/>
      </c>
    </row>
    <row r="165">
      <c r="B165" t="inlineStr"/>
      <c r="C165" t="inlineStr"/>
      <c r="D165" t="inlineStr"/>
      <c r="E165" t="inlineStr"/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  <c r="O165" t="inlineStr"/>
      <c r="P165" t="inlineStr"/>
      <c r="Q165" t="inlineStr"/>
      <c r="R165" t="inlineStr"/>
      <c r="S165" t="inlineStr"/>
      <c r="T165" t="inlineStr"/>
      <c r="U165">
        <f>IF($A165="";"";IF(SUMIF(FoodLog!$A:$A;$A165;FoodLog!$I:$I)=0;"";SUMIF(FoodLog!$A:$A;$A165;FoodLog!$I:$I)))</f>
        <v/>
      </c>
      <c r="V165">
        <f>IF($A165="";"";IF(SUMIF(FoodLog!$A:$A;$A165;FoodLog!$F:$F)=0;"";SUMIF(FoodLog!$A:$A;$A165;FoodLog!$F:$F)))</f>
        <v/>
      </c>
      <c r="W165">
        <f>IF($A165="";"";IF(SUMIF(FoodLog!$A:$A;$A165;FoodLog!$G:$G)=0;"";SUMIF(FoodLog!$A:$A;$A165;FoodLog!$G:$G)))</f>
        <v/>
      </c>
      <c r="X165">
        <f>IF($A165="";"";IF(SUMIF(FoodLog!$A:$A;$A165;FoodLog!$H:$H)=0;"";SUMIF(FoodLog!$A:$A;$A165;FoodLog!$H:$H)))</f>
        <v/>
      </c>
      <c r="Y165">
        <f>IF($A165="";"";IFERROR(ROUND(100*AVERAGE(IF($B165="";"";XLOOKUP($B165;FILTER(Dictionaries!$B:$B;Dictionaries!$A:$A="Тренировка");FILTER(Dictionaries!$C:$C;Dictionaries!$A:$A="Тренировка")));IF($C165="";"";MIN($C165/40;1));IF($D165="";"";XLOOKUP($D165;FILTER(Dictionaries!$B:$B;Dictionaries!$A:$A="Шаги");FILTER(Dictionaries!$C:$C;Dictionaries!$A:$A="Шаги")));IF($E165="";"";MIN($E165/120;1));IF(OR($F165&lt;&gt;"";$G165&lt;&gt;"");1;"");IF($H165="";"";MIN($H165/100;1));IF($L165="";"";XLOOKUP($L165;FILTER(Dictionaries!$B:$B;Dictionaries!$A:$A="Сон_часы");FILTER(Dictionaries!$C:$C;Dictionaries!$A:$A="Сон_часы")));IF($M165="";"";XLOOKUP($M165;FILTER(Dictionaries!$B:$B;Dictionaries!$A:$A="Режим");FILTER(Dictionaries!$C:$C;Dictionaries!$A:$A="Режим")));IF($N165="";"";MIN($N165/100;1));IF($O165="";"";XLOOKUP($O165;FILTER(Dictionaries!$B:$B;Dictionaries!$A:$A="Настроение");FILTER(Dictionaries!$C:$C;Dictionaries!$A:$A="Настроение")));IF($P165="";"";XLOOKUP($P165;FILTER(Dictionaries!$B:$B;Dictionaries!$A:$A="Энергия");FILTER(Dictionaries!$C:$C;Dictionaries!$A:$A="Энергия")));IF($U165="";"";AVERAGE(IF(OR($B165="Ноги";$B165="Верх");IFS(AND($U165&gt;=1900;$U165&lt;=2050);1;AND($U165&gt;=1850;$U165&lt;1900);0,7;AND($U165&gt;2050;$U165&lt;=2100);0,7;TRUE;0,2);IFS(AND($U165&gt;=1700;$U165&lt;=1850);1;AND($U165&gt;=1650;$U165&lt;1700);0,7;AND($U165&gt;1850;$U165&lt;=1900);0,7;TRUE;0,2));IF(OR($B165="Ноги";$B165="Верх");IFS(AND($V165&gt;=125;$V165&lt;=135);1;AND($V165&gt;=115;$V165&lt;125);0,7;AND($V165&gt;135;$V165&lt;=145);0,7;AND($V165&gt;=105;$V165&lt;115);0,4;AND($V165&gt;145;$V165&lt;=155);0,4;TRUE;0,2);IFS(AND($V165&gt;=120;$V165&lt;=130);1;AND($V165&gt;=110;$V165&lt;120);0,7;AND($V165&gt;130;$V165&lt;=140);0,7;AND($V165&gt;=100;$V165&lt;110);0,4;AND($V165&gt;140;$V165&lt;=150);0,4;TRUE;0,2));IFS(AND($W165&gt;=55;$W165&lt;=65);1;AND($W165&gt;=50;$W165&lt;55);0,7;AND($W165&gt;65;$W165&lt;=70);0,7;AND($W165&gt;=45;$W165&lt;50);0,4;AND($W165&gt;70;$W165&lt;=75);0,4;TRUE;0,2);IF(OR($B165="Ноги";$B165="Верх");IFS(AND($X165&gt;=180;$X165&lt;=210);1;AND($X165&gt;=160;$X165&lt;180);0,7;AND($X165&gt;210;$X165&lt;=230);0,7;AND($X165&gt;=140;$X165&lt;160);0,4;AND($X165&gt;230;$X165&lt;=250);0,4;TRUE;0,2);IFS(AND($X165&gt;=140;$X165&lt;=170);1;AND($X165&gt;=120;$X165&lt;140);0,7;AND($X165&gt;170;$X165&lt;=190);0,7;AND($X165&gt;=100;$X165&lt;120);0,4;AND($X165&gt;190;$X165&lt;=210);0,4;TRUE;0,2)))));1);""))</f>
        <v/>
      </c>
      <c r="Z165">
        <f>IF($A165="";"";TEXTJOIN(", ";TRUE;IF($B165="";"Тренировка";"");IF($C165="";"Кардио";"");IF($D165="";"Шаги";"");IF($E165="";"Английский";"");IF($F165="";"Код-режим";"");IF($G165="";"Код-тема";"");IF($H165="";"Чтение";"");IF($L165="";"Сон";"");IF($M165="";"Режим";"");IF($N165="";"Продуктивность";"");IF($O165="";"Настроение";"");IF($P165="";"Энергия";"");IF($U165="";"Еда";"")))</f>
        <v/>
      </c>
    </row>
    <row r="166">
      <c r="B166" t="inlineStr"/>
      <c r="C166" t="inlineStr"/>
      <c r="D166" t="inlineStr"/>
      <c r="E166" t="inlineStr"/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  <c r="O166" t="inlineStr"/>
      <c r="P166" t="inlineStr"/>
      <c r="Q166" t="inlineStr"/>
      <c r="R166" t="inlineStr"/>
      <c r="S166" t="inlineStr"/>
      <c r="T166" t="inlineStr"/>
      <c r="U166">
        <f>IF($A166="";"";IF(SUMIF(FoodLog!$A:$A;$A166;FoodLog!$I:$I)=0;"";SUMIF(FoodLog!$A:$A;$A166;FoodLog!$I:$I)))</f>
        <v/>
      </c>
      <c r="V166">
        <f>IF($A166="";"";IF(SUMIF(FoodLog!$A:$A;$A166;FoodLog!$F:$F)=0;"";SUMIF(FoodLog!$A:$A;$A166;FoodLog!$F:$F)))</f>
        <v/>
      </c>
      <c r="W166">
        <f>IF($A166="";"";IF(SUMIF(FoodLog!$A:$A;$A166;FoodLog!$G:$G)=0;"";SUMIF(FoodLog!$A:$A;$A166;FoodLog!$G:$G)))</f>
        <v/>
      </c>
      <c r="X166">
        <f>IF($A166="";"";IF(SUMIF(FoodLog!$A:$A;$A166;FoodLog!$H:$H)=0;"";SUMIF(FoodLog!$A:$A;$A166;FoodLog!$H:$H)))</f>
        <v/>
      </c>
      <c r="Y166">
        <f>IF($A166="";"";IFERROR(ROUND(100*AVERAGE(IF($B166="";"";XLOOKUP($B166;FILTER(Dictionaries!$B:$B;Dictionaries!$A:$A="Тренировка");FILTER(Dictionaries!$C:$C;Dictionaries!$A:$A="Тренировка")));IF($C166="";"";MIN($C166/40;1));IF($D166="";"";XLOOKUP($D166;FILTER(Dictionaries!$B:$B;Dictionaries!$A:$A="Шаги");FILTER(Dictionaries!$C:$C;Dictionaries!$A:$A="Шаги")));IF($E166="";"";MIN($E166/120;1));IF(OR($F166&lt;&gt;"";$G166&lt;&gt;"");1;"");IF($H166="";"";MIN($H166/100;1));IF($L166="";"";XLOOKUP($L166;FILTER(Dictionaries!$B:$B;Dictionaries!$A:$A="Сон_часы");FILTER(Dictionaries!$C:$C;Dictionaries!$A:$A="Сон_часы")));IF($M166="";"";XLOOKUP($M166;FILTER(Dictionaries!$B:$B;Dictionaries!$A:$A="Режим");FILTER(Dictionaries!$C:$C;Dictionaries!$A:$A="Режим")));IF($N166="";"";MIN($N166/100;1));IF($O166="";"";XLOOKUP($O166;FILTER(Dictionaries!$B:$B;Dictionaries!$A:$A="Настроение");FILTER(Dictionaries!$C:$C;Dictionaries!$A:$A="Настроение")));IF($P166="";"";XLOOKUP($P166;FILTER(Dictionaries!$B:$B;Dictionaries!$A:$A="Энергия");FILTER(Dictionaries!$C:$C;Dictionaries!$A:$A="Энергия")));IF($U166="";"";AVERAGE(IF(OR($B166="Ноги";$B166="Верх");IFS(AND($U166&gt;=1900;$U166&lt;=2050);1;AND($U166&gt;=1850;$U166&lt;1900);0,7;AND($U166&gt;2050;$U166&lt;=2100);0,7;TRUE;0,2);IFS(AND($U166&gt;=1700;$U166&lt;=1850);1;AND($U166&gt;=1650;$U166&lt;1700);0,7;AND($U166&gt;1850;$U166&lt;=1900);0,7;TRUE;0,2));IF(OR($B166="Ноги";$B166="Верх");IFS(AND($V166&gt;=125;$V166&lt;=135);1;AND($V166&gt;=115;$V166&lt;125);0,7;AND($V166&gt;135;$V166&lt;=145);0,7;AND($V166&gt;=105;$V166&lt;115);0,4;AND($V166&gt;145;$V166&lt;=155);0,4;TRUE;0,2);IFS(AND($V166&gt;=120;$V166&lt;=130);1;AND($V166&gt;=110;$V166&lt;120);0,7;AND($V166&gt;130;$V166&lt;=140);0,7;AND($V166&gt;=100;$V166&lt;110);0,4;AND($V166&gt;140;$V166&lt;=150);0,4;TRUE;0,2));IFS(AND($W166&gt;=55;$W166&lt;=65);1;AND($W166&gt;=50;$W166&lt;55);0,7;AND($W166&gt;65;$W166&lt;=70);0,7;AND($W166&gt;=45;$W166&lt;50);0,4;AND($W166&gt;70;$W166&lt;=75);0,4;TRUE;0,2);IF(OR($B166="Ноги";$B166="Верх");IFS(AND($X166&gt;=180;$X166&lt;=210);1;AND($X166&gt;=160;$X166&lt;180);0,7;AND($X166&gt;210;$X166&lt;=230);0,7;AND($X166&gt;=140;$X166&lt;160);0,4;AND($X166&gt;230;$X166&lt;=250);0,4;TRUE;0,2);IFS(AND($X166&gt;=140;$X166&lt;=170);1;AND($X166&gt;=120;$X166&lt;140);0,7;AND($X166&gt;170;$X166&lt;=190);0,7;AND($X166&gt;=100;$X166&lt;120);0,4;AND($X166&gt;190;$X166&lt;=210);0,4;TRUE;0,2)))));1);""))</f>
        <v/>
      </c>
      <c r="Z166">
        <f>IF($A166="";"";TEXTJOIN(", ";TRUE;IF($B166="";"Тренировка";"");IF($C166="";"Кардио";"");IF($D166="";"Шаги";"");IF($E166="";"Английский";"");IF($F166="";"Код-режим";"");IF($G166="";"Код-тема";"");IF($H166="";"Чтение";"");IF($L166="";"Сон";"");IF($M166="";"Режим";"");IF($N166="";"Продуктивность";"");IF($O166="";"Настроение";"");IF($P166="";"Энергия";"");IF($U166="";"Еда";"")))</f>
        <v/>
      </c>
    </row>
    <row r="167">
      <c r="B167" t="inlineStr"/>
      <c r="C167" t="inlineStr"/>
      <c r="D167" t="inlineStr"/>
      <c r="E167" t="inlineStr"/>
      <c r="F167" t="inlineStr"/>
      <c r="G167" t="inlineStr"/>
      <c r="H167" t="inlineStr"/>
      <c r="I167" t="inlineStr"/>
      <c r="J167" t="inlineStr"/>
      <c r="K167" t="inlineStr"/>
      <c r="L167" t="inlineStr"/>
      <c r="M167" t="inlineStr"/>
      <c r="N167" t="inlineStr"/>
      <c r="O167" t="inlineStr"/>
      <c r="P167" t="inlineStr"/>
      <c r="Q167" t="inlineStr"/>
      <c r="R167" t="inlineStr"/>
      <c r="S167" t="inlineStr"/>
      <c r="T167" t="inlineStr"/>
      <c r="U167">
        <f>IF($A167="";"";IF(SUMIF(FoodLog!$A:$A;$A167;FoodLog!$I:$I)=0;"";SUMIF(FoodLog!$A:$A;$A167;FoodLog!$I:$I)))</f>
        <v/>
      </c>
      <c r="V167">
        <f>IF($A167="";"";IF(SUMIF(FoodLog!$A:$A;$A167;FoodLog!$F:$F)=0;"";SUMIF(FoodLog!$A:$A;$A167;FoodLog!$F:$F)))</f>
        <v/>
      </c>
      <c r="W167">
        <f>IF($A167="";"";IF(SUMIF(FoodLog!$A:$A;$A167;FoodLog!$G:$G)=0;"";SUMIF(FoodLog!$A:$A;$A167;FoodLog!$G:$G)))</f>
        <v/>
      </c>
      <c r="X167">
        <f>IF($A167="";"";IF(SUMIF(FoodLog!$A:$A;$A167;FoodLog!$H:$H)=0;"";SUMIF(FoodLog!$A:$A;$A167;FoodLog!$H:$H)))</f>
        <v/>
      </c>
      <c r="Y167">
        <f>IF($A167="";"";IFERROR(ROUND(100*AVERAGE(IF($B167="";"";XLOOKUP($B167;FILTER(Dictionaries!$B:$B;Dictionaries!$A:$A="Тренировка");FILTER(Dictionaries!$C:$C;Dictionaries!$A:$A="Тренировка")));IF($C167="";"";MIN($C167/40;1));IF($D167="";"";XLOOKUP($D167;FILTER(Dictionaries!$B:$B;Dictionaries!$A:$A="Шаги");FILTER(Dictionaries!$C:$C;Dictionaries!$A:$A="Шаги")));IF($E167="";"";MIN($E167/120;1));IF(OR($F167&lt;&gt;"";$G167&lt;&gt;"");1;"");IF($H167="";"";MIN($H167/100;1));IF($L167="";"";XLOOKUP($L167;FILTER(Dictionaries!$B:$B;Dictionaries!$A:$A="Сон_часы");FILTER(Dictionaries!$C:$C;Dictionaries!$A:$A="Сон_часы")));IF($M167="";"";XLOOKUP($M167;FILTER(Dictionaries!$B:$B;Dictionaries!$A:$A="Режим");FILTER(Dictionaries!$C:$C;Dictionaries!$A:$A="Режим")));IF($N167="";"";MIN($N167/100;1));IF($O167="";"";XLOOKUP($O167;FILTER(Dictionaries!$B:$B;Dictionaries!$A:$A="Настроение");FILTER(Dictionaries!$C:$C;Dictionaries!$A:$A="Настроение")));IF($P167="";"";XLOOKUP($P167;FILTER(Dictionaries!$B:$B;Dictionaries!$A:$A="Энергия");FILTER(Dictionaries!$C:$C;Dictionaries!$A:$A="Энергия")));IF($U167="";"";AVERAGE(IF(OR($B167="Ноги";$B167="Верх");IFS(AND($U167&gt;=1900;$U167&lt;=2050);1;AND($U167&gt;=1850;$U167&lt;1900);0,7;AND($U167&gt;2050;$U167&lt;=2100);0,7;TRUE;0,2);IFS(AND($U167&gt;=1700;$U167&lt;=1850);1;AND($U167&gt;=1650;$U167&lt;1700);0,7;AND($U167&gt;1850;$U167&lt;=1900);0,7;TRUE;0,2));IF(OR($B167="Ноги";$B167="Верх");IFS(AND($V167&gt;=125;$V167&lt;=135);1;AND($V167&gt;=115;$V167&lt;125);0,7;AND($V167&gt;135;$V167&lt;=145);0,7;AND($V167&gt;=105;$V167&lt;115);0,4;AND($V167&gt;145;$V167&lt;=155);0,4;TRUE;0,2);IFS(AND($V167&gt;=120;$V167&lt;=130);1;AND($V167&gt;=110;$V167&lt;120);0,7;AND($V167&gt;130;$V167&lt;=140);0,7;AND($V167&gt;=100;$V167&lt;110);0,4;AND($V167&gt;140;$V167&lt;=150);0,4;TRUE;0,2));IFS(AND($W167&gt;=55;$W167&lt;=65);1;AND($W167&gt;=50;$W167&lt;55);0,7;AND($W167&gt;65;$W167&lt;=70);0,7;AND($W167&gt;=45;$W167&lt;50);0,4;AND($W167&gt;70;$W167&lt;=75);0,4;TRUE;0,2);IF(OR($B167="Ноги";$B167="Верх");IFS(AND($X167&gt;=180;$X167&lt;=210);1;AND($X167&gt;=160;$X167&lt;180);0,7;AND($X167&gt;210;$X167&lt;=230);0,7;AND($X167&gt;=140;$X167&lt;160);0,4;AND($X167&gt;230;$X167&lt;=250);0,4;TRUE;0,2);IFS(AND($X167&gt;=140;$X167&lt;=170);1;AND($X167&gt;=120;$X167&lt;140);0,7;AND($X167&gt;170;$X167&lt;=190);0,7;AND($X167&gt;=100;$X167&lt;120);0,4;AND($X167&gt;190;$X167&lt;=210);0,4;TRUE;0,2)))));1);""))</f>
        <v/>
      </c>
      <c r="Z167">
        <f>IF($A167="";"";TEXTJOIN(", ";TRUE;IF($B167="";"Тренировка";"");IF($C167="";"Кардио";"");IF($D167="";"Шаги";"");IF($E167="";"Английский";"");IF($F167="";"Код-режим";"");IF($G167="";"Код-тема";"");IF($H167="";"Чтение";"");IF($L167="";"Сон";"");IF($M167="";"Режим";"");IF($N167="";"Продуктивность";"");IF($O167="";"Настроение";"");IF($P167="";"Энергия";"");IF($U167="";"Еда";"")))</f>
        <v/>
      </c>
    </row>
    <row r="168">
      <c r="B168" t="inlineStr"/>
      <c r="C168" t="inlineStr"/>
      <c r="D168" t="inlineStr"/>
      <c r="E168" t="inlineStr"/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  <c r="O168" t="inlineStr"/>
      <c r="P168" t="inlineStr"/>
      <c r="Q168" t="inlineStr"/>
      <c r="R168" t="inlineStr"/>
      <c r="S168" t="inlineStr"/>
      <c r="T168" t="inlineStr"/>
      <c r="U168">
        <f>IF($A168="";"";IF(SUMIF(FoodLog!$A:$A;$A168;FoodLog!$I:$I)=0;"";SUMIF(FoodLog!$A:$A;$A168;FoodLog!$I:$I)))</f>
        <v/>
      </c>
      <c r="V168">
        <f>IF($A168="";"";IF(SUMIF(FoodLog!$A:$A;$A168;FoodLog!$F:$F)=0;"";SUMIF(FoodLog!$A:$A;$A168;FoodLog!$F:$F)))</f>
        <v/>
      </c>
      <c r="W168">
        <f>IF($A168="";"";IF(SUMIF(FoodLog!$A:$A;$A168;FoodLog!$G:$G)=0;"";SUMIF(FoodLog!$A:$A;$A168;FoodLog!$G:$G)))</f>
        <v/>
      </c>
      <c r="X168">
        <f>IF($A168="";"";IF(SUMIF(FoodLog!$A:$A;$A168;FoodLog!$H:$H)=0;"";SUMIF(FoodLog!$A:$A;$A168;FoodLog!$H:$H)))</f>
        <v/>
      </c>
      <c r="Y168">
        <f>IF($A168="";"";IFERROR(ROUND(100*AVERAGE(IF($B168="";"";XLOOKUP($B168;FILTER(Dictionaries!$B:$B;Dictionaries!$A:$A="Тренировка");FILTER(Dictionaries!$C:$C;Dictionaries!$A:$A="Тренировка")));IF($C168="";"";MIN($C168/40;1));IF($D168="";"";XLOOKUP($D168;FILTER(Dictionaries!$B:$B;Dictionaries!$A:$A="Шаги");FILTER(Dictionaries!$C:$C;Dictionaries!$A:$A="Шаги")));IF($E168="";"";MIN($E168/120;1));IF(OR($F168&lt;&gt;"";$G168&lt;&gt;"");1;"");IF($H168="";"";MIN($H168/100;1));IF($L168="";"";XLOOKUP($L168;FILTER(Dictionaries!$B:$B;Dictionaries!$A:$A="Сон_часы");FILTER(Dictionaries!$C:$C;Dictionaries!$A:$A="Сон_часы")));IF($M168="";"";XLOOKUP($M168;FILTER(Dictionaries!$B:$B;Dictionaries!$A:$A="Режим");FILTER(Dictionaries!$C:$C;Dictionaries!$A:$A="Режим")));IF($N168="";"";MIN($N168/100;1));IF($O168="";"";XLOOKUP($O168;FILTER(Dictionaries!$B:$B;Dictionaries!$A:$A="Настроение");FILTER(Dictionaries!$C:$C;Dictionaries!$A:$A="Настроение")));IF($P168="";"";XLOOKUP($P168;FILTER(Dictionaries!$B:$B;Dictionaries!$A:$A="Энергия");FILTER(Dictionaries!$C:$C;Dictionaries!$A:$A="Энергия")));IF($U168="";"";AVERAGE(IF(OR($B168="Ноги";$B168="Верх");IFS(AND($U168&gt;=1900;$U168&lt;=2050);1;AND($U168&gt;=1850;$U168&lt;1900);0,7;AND($U168&gt;2050;$U168&lt;=2100);0,7;TRUE;0,2);IFS(AND($U168&gt;=1700;$U168&lt;=1850);1;AND($U168&gt;=1650;$U168&lt;1700);0,7;AND($U168&gt;1850;$U168&lt;=1900);0,7;TRUE;0,2));IF(OR($B168="Ноги";$B168="Верх");IFS(AND($V168&gt;=125;$V168&lt;=135);1;AND($V168&gt;=115;$V168&lt;125);0,7;AND($V168&gt;135;$V168&lt;=145);0,7;AND($V168&gt;=105;$V168&lt;115);0,4;AND($V168&gt;145;$V168&lt;=155);0,4;TRUE;0,2);IFS(AND($V168&gt;=120;$V168&lt;=130);1;AND($V168&gt;=110;$V168&lt;120);0,7;AND($V168&gt;130;$V168&lt;=140);0,7;AND($V168&gt;=100;$V168&lt;110);0,4;AND($V168&gt;140;$V168&lt;=150);0,4;TRUE;0,2));IFS(AND($W168&gt;=55;$W168&lt;=65);1;AND($W168&gt;=50;$W168&lt;55);0,7;AND($W168&gt;65;$W168&lt;=70);0,7;AND($W168&gt;=45;$W168&lt;50);0,4;AND($W168&gt;70;$W168&lt;=75);0,4;TRUE;0,2);IF(OR($B168="Ноги";$B168="Верх");IFS(AND($X168&gt;=180;$X168&lt;=210);1;AND($X168&gt;=160;$X168&lt;180);0,7;AND($X168&gt;210;$X168&lt;=230);0,7;AND($X168&gt;=140;$X168&lt;160);0,4;AND($X168&gt;230;$X168&lt;=250);0,4;TRUE;0,2);IFS(AND($X168&gt;=140;$X168&lt;=170);1;AND($X168&gt;=120;$X168&lt;140);0,7;AND($X168&gt;170;$X168&lt;=190);0,7;AND($X168&gt;=100;$X168&lt;120);0,4;AND($X168&gt;190;$X168&lt;=210);0,4;TRUE;0,2)))));1);""))</f>
        <v/>
      </c>
      <c r="Z168">
        <f>IF($A168="";"";TEXTJOIN(", ";TRUE;IF($B168="";"Тренировка";"");IF($C168="";"Кардио";"");IF($D168="";"Шаги";"");IF($E168="";"Английский";"");IF($F168="";"Код-режим";"");IF($G168="";"Код-тема";"");IF($H168="";"Чтение";"");IF($L168="";"Сон";"");IF($M168="";"Режим";"");IF($N168="";"Продуктивность";"");IF($O168="";"Настроение";"");IF($P168="";"Энергия";"");IF($U168="";"Еда";"")))</f>
        <v/>
      </c>
    </row>
    <row r="169">
      <c r="B169" t="inlineStr"/>
      <c r="C169" t="inlineStr"/>
      <c r="D169" t="inlineStr"/>
      <c r="E169" t="inlineStr"/>
      <c r="F169" t="inlineStr"/>
      <c r="G169" t="inlineStr"/>
      <c r="H169" t="inlineStr"/>
      <c r="I169" t="inlineStr"/>
      <c r="J169" t="inlineStr"/>
      <c r="K169" t="inlineStr"/>
      <c r="L169" t="inlineStr"/>
      <c r="M169" t="inlineStr"/>
      <c r="N169" t="inlineStr"/>
      <c r="O169" t="inlineStr"/>
      <c r="P169" t="inlineStr"/>
      <c r="Q169" t="inlineStr"/>
      <c r="R169" t="inlineStr"/>
      <c r="S169" t="inlineStr"/>
      <c r="T169" t="inlineStr"/>
      <c r="U169">
        <f>IF($A169="";"";IF(SUMIF(FoodLog!$A:$A;$A169;FoodLog!$I:$I)=0;"";SUMIF(FoodLog!$A:$A;$A169;FoodLog!$I:$I)))</f>
        <v/>
      </c>
      <c r="V169">
        <f>IF($A169="";"";IF(SUMIF(FoodLog!$A:$A;$A169;FoodLog!$F:$F)=0;"";SUMIF(FoodLog!$A:$A;$A169;FoodLog!$F:$F)))</f>
        <v/>
      </c>
      <c r="W169">
        <f>IF($A169="";"";IF(SUMIF(FoodLog!$A:$A;$A169;FoodLog!$G:$G)=0;"";SUMIF(FoodLog!$A:$A;$A169;FoodLog!$G:$G)))</f>
        <v/>
      </c>
      <c r="X169">
        <f>IF($A169="";"";IF(SUMIF(FoodLog!$A:$A;$A169;FoodLog!$H:$H)=0;"";SUMIF(FoodLog!$A:$A;$A169;FoodLog!$H:$H)))</f>
        <v/>
      </c>
      <c r="Y169">
        <f>IF($A169="";"";IFERROR(ROUND(100*AVERAGE(IF($B169="";"";XLOOKUP($B169;FILTER(Dictionaries!$B:$B;Dictionaries!$A:$A="Тренировка");FILTER(Dictionaries!$C:$C;Dictionaries!$A:$A="Тренировка")));IF($C169="";"";MIN($C169/40;1));IF($D169="";"";XLOOKUP($D169;FILTER(Dictionaries!$B:$B;Dictionaries!$A:$A="Шаги");FILTER(Dictionaries!$C:$C;Dictionaries!$A:$A="Шаги")));IF($E169="";"";MIN($E169/120;1));IF(OR($F169&lt;&gt;"";$G169&lt;&gt;"");1;"");IF($H169="";"";MIN($H169/100;1));IF($L169="";"";XLOOKUP($L169;FILTER(Dictionaries!$B:$B;Dictionaries!$A:$A="Сон_часы");FILTER(Dictionaries!$C:$C;Dictionaries!$A:$A="Сон_часы")));IF($M169="";"";XLOOKUP($M169;FILTER(Dictionaries!$B:$B;Dictionaries!$A:$A="Режим");FILTER(Dictionaries!$C:$C;Dictionaries!$A:$A="Режим")));IF($N169="";"";MIN($N169/100;1));IF($O169="";"";XLOOKUP($O169;FILTER(Dictionaries!$B:$B;Dictionaries!$A:$A="Настроение");FILTER(Dictionaries!$C:$C;Dictionaries!$A:$A="Настроение")));IF($P169="";"";XLOOKUP($P169;FILTER(Dictionaries!$B:$B;Dictionaries!$A:$A="Энергия");FILTER(Dictionaries!$C:$C;Dictionaries!$A:$A="Энергия")));IF($U169="";"";AVERAGE(IF(OR($B169="Ноги";$B169="Верх");IFS(AND($U169&gt;=1900;$U169&lt;=2050);1;AND($U169&gt;=1850;$U169&lt;1900);0,7;AND($U169&gt;2050;$U169&lt;=2100);0,7;TRUE;0,2);IFS(AND($U169&gt;=1700;$U169&lt;=1850);1;AND($U169&gt;=1650;$U169&lt;1700);0,7;AND($U169&gt;1850;$U169&lt;=1900);0,7;TRUE;0,2));IF(OR($B169="Ноги";$B169="Верх");IFS(AND($V169&gt;=125;$V169&lt;=135);1;AND($V169&gt;=115;$V169&lt;125);0,7;AND($V169&gt;135;$V169&lt;=145);0,7;AND($V169&gt;=105;$V169&lt;115);0,4;AND($V169&gt;145;$V169&lt;=155);0,4;TRUE;0,2);IFS(AND($V169&gt;=120;$V169&lt;=130);1;AND($V169&gt;=110;$V169&lt;120);0,7;AND($V169&gt;130;$V169&lt;=140);0,7;AND($V169&gt;=100;$V169&lt;110);0,4;AND($V169&gt;140;$V169&lt;=150);0,4;TRUE;0,2));IFS(AND($W169&gt;=55;$W169&lt;=65);1;AND($W169&gt;=50;$W169&lt;55);0,7;AND($W169&gt;65;$W169&lt;=70);0,7;AND($W169&gt;=45;$W169&lt;50);0,4;AND($W169&gt;70;$W169&lt;=75);0,4;TRUE;0,2);IF(OR($B169="Ноги";$B169="Верх");IFS(AND($X169&gt;=180;$X169&lt;=210);1;AND($X169&gt;=160;$X169&lt;180);0,7;AND($X169&gt;210;$X169&lt;=230);0,7;AND($X169&gt;=140;$X169&lt;160);0,4;AND($X169&gt;230;$X169&lt;=250);0,4;TRUE;0,2);IFS(AND($X169&gt;=140;$X169&lt;=170);1;AND($X169&gt;=120;$X169&lt;140);0,7;AND($X169&gt;170;$X169&lt;=190);0,7;AND($X169&gt;=100;$X169&lt;120);0,4;AND($X169&gt;190;$X169&lt;=210);0,4;TRUE;0,2)))));1);""))</f>
        <v/>
      </c>
      <c r="Z169">
        <f>IF($A169="";"";TEXTJOIN(", ";TRUE;IF($B169="";"Тренировка";"");IF($C169="";"Кардио";"");IF($D169="";"Шаги";"");IF($E169="";"Английский";"");IF($F169="";"Код-режим";"");IF($G169="";"Код-тема";"");IF($H169="";"Чтение";"");IF($L169="";"Сон";"");IF($M169="";"Режим";"");IF($N169="";"Продуктивность";"");IF($O169="";"Настроение";"");IF($P169="";"Энергия";"");IF($U169="";"Еда";"")))</f>
        <v/>
      </c>
    </row>
    <row r="170">
      <c r="B170" t="inlineStr"/>
      <c r="C170" t="inlineStr"/>
      <c r="D170" t="inlineStr"/>
      <c r="E170" t="inlineStr"/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  <c r="O170" t="inlineStr"/>
      <c r="P170" t="inlineStr"/>
      <c r="Q170" t="inlineStr"/>
      <c r="R170" t="inlineStr"/>
      <c r="S170" t="inlineStr"/>
      <c r="T170" t="inlineStr"/>
      <c r="U170">
        <f>IF($A170="";"";IF(SUMIF(FoodLog!$A:$A;$A170;FoodLog!$I:$I)=0;"";SUMIF(FoodLog!$A:$A;$A170;FoodLog!$I:$I)))</f>
        <v/>
      </c>
      <c r="V170">
        <f>IF($A170="";"";IF(SUMIF(FoodLog!$A:$A;$A170;FoodLog!$F:$F)=0;"";SUMIF(FoodLog!$A:$A;$A170;FoodLog!$F:$F)))</f>
        <v/>
      </c>
      <c r="W170">
        <f>IF($A170="";"";IF(SUMIF(FoodLog!$A:$A;$A170;FoodLog!$G:$G)=0;"";SUMIF(FoodLog!$A:$A;$A170;FoodLog!$G:$G)))</f>
        <v/>
      </c>
      <c r="X170">
        <f>IF($A170="";"";IF(SUMIF(FoodLog!$A:$A;$A170;FoodLog!$H:$H)=0;"";SUMIF(FoodLog!$A:$A;$A170;FoodLog!$H:$H)))</f>
        <v/>
      </c>
      <c r="Y170">
        <f>IF($A170="";"";IFERROR(ROUND(100*AVERAGE(IF($B170="";"";XLOOKUP($B170;FILTER(Dictionaries!$B:$B;Dictionaries!$A:$A="Тренировка");FILTER(Dictionaries!$C:$C;Dictionaries!$A:$A="Тренировка")));IF($C170="";"";MIN($C170/40;1));IF($D170="";"";XLOOKUP($D170;FILTER(Dictionaries!$B:$B;Dictionaries!$A:$A="Шаги");FILTER(Dictionaries!$C:$C;Dictionaries!$A:$A="Шаги")));IF($E170="";"";MIN($E170/120;1));IF(OR($F170&lt;&gt;"";$G170&lt;&gt;"");1;"");IF($H170="";"";MIN($H170/100;1));IF($L170="";"";XLOOKUP($L170;FILTER(Dictionaries!$B:$B;Dictionaries!$A:$A="Сон_часы");FILTER(Dictionaries!$C:$C;Dictionaries!$A:$A="Сон_часы")));IF($M170="";"";XLOOKUP($M170;FILTER(Dictionaries!$B:$B;Dictionaries!$A:$A="Режим");FILTER(Dictionaries!$C:$C;Dictionaries!$A:$A="Режим")));IF($N170="";"";MIN($N170/100;1));IF($O170="";"";XLOOKUP($O170;FILTER(Dictionaries!$B:$B;Dictionaries!$A:$A="Настроение");FILTER(Dictionaries!$C:$C;Dictionaries!$A:$A="Настроение")));IF($P170="";"";XLOOKUP($P170;FILTER(Dictionaries!$B:$B;Dictionaries!$A:$A="Энергия");FILTER(Dictionaries!$C:$C;Dictionaries!$A:$A="Энергия")));IF($U170="";"";AVERAGE(IF(OR($B170="Ноги";$B170="Верх");IFS(AND($U170&gt;=1900;$U170&lt;=2050);1;AND($U170&gt;=1850;$U170&lt;1900);0,7;AND($U170&gt;2050;$U170&lt;=2100);0,7;TRUE;0,2);IFS(AND($U170&gt;=1700;$U170&lt;=1850);1;AND($U170&gt;=1650;$U170&lt;1700);0,7;AND($U170&gt;1850;$U170&lt;=1900);0,7;TRUE;0,2));IF(OR($B170="Ноги";$B170="Верх");IFS(AND($V170&gt;=125;$V170&lt;=135);1;AND($V170&gt;=115;$V170&lt;125);0,7;AND($V170&gt;135;$V170&lt;=145);0,7;AND($V170&gt;=105;$V170&lt;115);0,4;AND($V170&gt;145;$V170&lt;=155);0,4;TRUE;0,2);IFS(AND($V170&gt;=120;$V170&lt;=130);1;AND($V170&gt;=110;$V170&lt;120);0,7;AND($V170&gt;130;$V170&lt;=140);0,7;AND($V170&gt;=100;$V170&lt;110);0,4;AND($V170&gt;140;$V170&lt;=150);0,4;TRUE;0,2));IFS(AND($W170&gt;=55;$W170&lt;=65);1;AND($W170&gt;=50;$W170&lt;55);0,7;AND($W170&gt;65;$W170&lt;=70);0,7;AND($W170&gt;=45;$W170&lt;50);0,4;AND($W170&gt;70;$W170&lt;=75);0,4;TRUE;0,2);IF(OR($B170="Ноги";$B170="Верх");IFS(AND($X170&gt;=180;$X170&lt;=210);1;AND($X170&gt;=160;$X170&lt;180);0,7;AND($X170&gt;210;$X170&lt;=230);0,7;AND($X170&gt;=140;$X170&lt;160);0,4;AND($X170&gt;230;$X170&lt;=250);0,4;TRUE;0,2);IFS(AND($X170&gt;=140;$X170&lt;=170);1;AND($X170&gt;=120;$X170&lt;140);0,7;AND($X170&gt;170;$X170&lt;=190);0,7;AND($X170&gt;=100;$X170&lt;120);0,4;AND($X170&gt;190;$X170&lt;=210);0,4;TRUE;0,2)))));1);""))</f>
        <v/>
      </c>
      <c r="Z170">
        <f>IF($A170="";"";TEXTJOIN(", ";TRUE;IF($B170="";"Тренировка";"");IF($C170="";"Кардио";"");IF($D170="";"Шаги";"");IF($E170="";"Английский";"");IF($F170="";"Код-режим";"");IF($G170="";"Код-тема";"");IF($H170="";"Чтение";"");IF($L170="";"Сон";"");IF($M170="";"Режим";"");IF($N170="";"Продуктивность";"");IF($O170="";"Настроение";"");IF($P170="";"Энергия";"");IF($U170="";"Еда";"")))</f>
        <v/>
      </c>
    </row>
    <row r="171">
      <c r="B171" t="inlineStr"/>
      <c r="C171" t="inlineStr"/>
      <c r="D171" t="inlineStr"/>
      <c r="E171" t="inlineStr"/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  <c r="O171" t="inlineStr"/>
      <c r="P171" t="inlineStr"/>
      <c r="Q171" t="inlineStr"/>
      <c r="R171" t="inlineStr"/>
      <c r="S171" t="inlineStr"/>
      <c r="T171" t="inlineStr"/>
      <c r="U171">
        <f>IF($A171="";"";IF(SUMIF(FoodLog!$A:$A;$A171;FoodLog!$I:$I)=0;"";SUMIF(FoodLog!$A:$A;$A171;FoodLog!$I:$I)))</f>
        <v/>
      </c>
      <c r="V171">
        <f>IF($A171="";"";IF(SUMIF(FoodLog!$A:$A;$A171;FoodLog!$F:$F)=0;"";SUMIF(FoodLog!$A:$A;$A171;FoodLog!$F:$F)))</f>
        <v/>
      </c>
      <c r="W171">
        <f>IF($A171="";"";IF(SUMIF(FoodLog!$A:$A;$A171;FoodLog!$G:$G)=0;"";SUMIF(FoodLog!$A:$A;$A171;FoodLog!$G:$G)))</f>
        <v/>
      </c>
      <c r="X171">
        <f>IF($A171="";"";IF(SUMIF(FoodLog!$A:$A;$A171;FoodLog!$H:$H)=0;"";SUMIF(FoodLog!$A:$A;$A171;FoodLog!$H:$H)))</f>
        <v/>
      </c>
      <c r="Y171">
        <f>IF($A171="";"";IFERROR(ROUND(100*AVERAGE(IF($B171="";"";XLOOKUP($B171;FILTER(Dictionaries!$B:$B;Dictionaries!$A:$A="Тренировка");FILTER(Dictionaries!$C:$C;Dictionaries!$A:$A="Тренировка")));IF($C171="";"";MIN($C171/40;1));IF($D171="";"";XLOOKUP($D171;FILTER(Dictionaries!$B:$B;Dictionaries!$A:$A="Шаги");FILTER(Dictionaries!$C:$C;Dictionaries!$A:$A="Шаги")));IF($E171="";"";MIN($E171/120;1));IF(OR($F171&lt;&gt;"";$G171&lt;&gt;"");1;"");IF($H171="";"";MIN($H171/100;1));IF($L171="";"";XLOOKUP($L171;FILTER(Dictionaries!$B:$B;Dictionaries!$A:$A="Сон_часы");FILTER(Dictionaries!$C:$C;Dictionaries!$A:$A="Сон_часы")));IF($M171="";"";XLOOKUP($M171;FILTER(Dictionaries!$B:$B;Dictionaries!$A:$A="Режим");FILTER(Dictionaries!$C:$C;Dictionaries!$A:$A="Режим")));IF($N171="";"";MIN($N171/100;1));IF($O171="";"";XLOOKUP($O171;FILTER(Dictionaries!$B:$B;Dictionaries!$A:$A="Настроение");FILTER(Dictionaries!$C:$C;Dictionaries!$A:$A="Настроение")));IF($P171="";"";XLOOKUP($P171;FILTER(Dictionaries!$B:$B;Dictionaries!$A:$A="Энергия");FILTER(Dictionaries!$C:$C;Dictionaries!$A:$A="Энергия")));IF($U171="";"";AVERAGE(IF(OR($B171="Ноги";$B171="Верх");IFS(AND($U171&gt;=1900;$U171&lt;=2050);1;AND($U171&gt;=1850;$U171&lt;1900);0,7;AND($U171&gt;2050;$U171&lt;=2100);0,7;TRUE;0,2);IFS(AND($U171&gt;=1700;$U171&lt;=1850);1;AND($U171&gt;=1650;$U171&lt;1700);0,7;AND($U171&gt;1850;$U171&lt;=1900);0,7;TRUE;0,2));IF(OR($B171="Ноги";$B171="Верх");IFS(AND($V171&gt;=125;$V171&lt;=135);1;AND($V171&gt;=115;$V171&lt;125);0,7;AND($V171&gt;135;$V171&lt;=145);0,7;AND($V171&gt;=105;$V171&lt;115);0,4;AND($V171&gt;145;$V171&lt;=155);0,4;TRUE;0,2);IFS(AND($V171&gt;=120;$V171&lt;=130);1;AND($V171&gt;=110;$V171&lt;120);0,7;AND($V171&gt;130;$V171&lt;=140);0,7;AND($V171&gt;=100;$V171&lt;110);0,4;AND($V171&gt;140;$V171&lt;=150);0,4;TRUE;0,2));IFS(AND($W171&gt;=55;$W171&lt;=65);1;AND($W171&gt;=50;$W171&lt;55);0,7;AND($W171&gt;65;$W171&lt;=70);0,7;AND($W171&gt;=45;$W171&lt;50);0,4;AND($W171&gt;70;$W171&lt;=75);0,4;TRUE;0,2);IF(OR($B171="Ноги";$B171="Верх");IFS(AND($X171&gt;=180;$X171&lt;=210);1;AND($X171&gt;=160;$X171&lt;180);0,7;AND($X171&gt;210;$X171&lt;=230);0,7;AND($X171&gt;=140;$X171&lt;160);0,4;AND($X171&gt;230;$X171&lt;=250);0,4;TRUE;0,2);IFS(AND($X171&gt;=140;$X171&lt;=170);1;AND($X171&gt;=120;$X171&lt;140);0,7;AND($X171&gt;170;$X171&lt;=190);0,7;AND($X171&gt;=100;$X171&lt;120);0,4;AND($X171&gt;190;$X171&lt;=210);0,4;TRUE;0,2)))));1);""))</f>
        <v/>
      </c>
      <c r="Z171">
        <f>IF($A171="";"";TEXTJOIN(", ";TRUE;IF($B171="";"Тренировка";"");IF($C171="";"Кардио";"");IF($D171="";"Шаги";"");IF($E171="";"Английский";"");IF($F171="";"Код-режим";"");IF($G171="";"Код-тема";"");IF($H171="";"Чтение";"");IF($L171="";"Сон";"");IF($M171="";"Режим";"");IF($N171="";"Продуктивность";"");IF($O171="";"Настроение";"");IF($P171="";"Энергия";"");IF($U171="";"Еда";"")))</f>
        <v/>
      </c>
    </row>
    <row r="172">
      <c r="B172" t="inlineStr"/>
      <c r="C172" t="inlineStr"/>
      <c r="D172" t="inlineStr"/>
      <c r="E172" t="inlineStr"/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/>
      <c r="O172" t="inlineStr"/>
      <c r="P172" t="inlineStr"/>
      <c r="Q172" t="inlineStr"/>
      <c r="R172" t="inlineStr"/>
      <c r="S172" t="inlineStr"/>
      <c r="T172" t="inlineStr"/>
      <c r="U172">
        <f>IF($A172="";"";IF(SUMIF(FoodLog!$A:$A;$A172;FoodLog!$I:$I)=0;"";SUMIF(FoodLog!$A:$A;$A172;FoodLog!$I:$I)))</f>
        <v/>
      </c>
      <c r="V172">
        <f>IF($A172="";"";IF(SUMIF(FoodLog!$A:$A;$A172;FoodLog!$F:$F)=0;"";SUMIF(FoodLog!$A:$A;$A172;FoodLog!$F:$F)))</f>
        <v/>
      </c>
      <c r="W172">
        <f>IF($A172="";"";IF(SUMIF(FoodLog!$A:$A;$A172;FoodLog!$G:$G)=0;"";SUMIF(FoodLog!$A:$A;$A172;FoodLog!$G:$G)))</f>
        <v/>
      </c>
      <c r="X172">
        <f>IF($A172="";"";IF(SUMIF(FoodLog!$A:$A;$A172;FoodLog!$H:$H)=0;"";SUMIF(FoodLog!$A:$A;$A172;FoodLog!$H:$H)))</f>
        <v/>
      </c>
      <c r="Y172">
        <f>IF($A172="";"";IFERROR(ROUND(100*AVERAGE(IF($B172="";"";XLOOKUP($B172;FILTER(Dictionaries!$B:$B;Dictionaries!$A:$A="Тренировка");FILTER(Dictionaries!$C:$C;Dictionaries!$A:$A="Тренировка")));IF($C172="";"";MIN($C172/40;1));IF($D172="";"";XLOOKUP($D172;FILTER(Dictionaries!$B:$B;Dictionaries!$A:$A="Шаги");FILTER(Dictionaries!$C:$C;Dictionaries!$A:$A="Шаги")));IF($E172="";"";MIN($E172/120;1));IF(OR($F172&lt;&gt;"";$G172&lt;&gt;"");1;"");IF($H172="";"";MIN($H172/100;1));IF($L172="";"";XLOOKUP($L172;FILTER(Dictionaries!$B:$B;Dictionaries!$A:$A="Сон_часы");FILTER(Dictionaries!$C:$C;Dictionaries!$A:$A="Сон_часы")));IF($M172="";"";XLOOKUP($M172;FILTER(Dictionaries!$B:$B;Dictionaries!$A:$A="Режим");FILTER(Dictionaries!$C:$C;Dictionaries!$A:$A="Режим")));IF($N172="";"";MIN($N172/100;1));IF($O172="";"";XLOOKUP($O172;FILTER(Dictionaries!$B:$B;Dictionaries!$A:$A="Настроение");FILTER(Dictionaries!$C:$C;Dictionaries!$A:$A="Настроение")));IF($P172="";"";XLOOKUP($P172;FILTER(Dictionaries!$B:$B;Dictionaries!$A:$A="Энергия");FILTER(Dictionaries!$C:$C;Dictionaries!$A:$A="Энергия")));IF($U172="";"";AVERAGE(IF(OR($B172="Ноги";$B172="Верх");IFS(AND($U172&gt;=1900;$U172&lt;=2050);1;AND($U172&gt;=1850;$U172&lt;1900);0,7;AND($U172&gt;2050;$U172&lt;=2100);0,7;TRUE;0,2);IFS(AND($U172&gt;=1700;$U172&lt;=1850);1;AND($U172&gt;=1650;$U172&lt;1700);0,7;AND($U172&gt;1850;$U172&lt;=1900);0,7;TRUE;0,2));IF(OR($B172="Ноги";$B172="Верх");IFS(AND($V172&gt;=125;$V172&lt;=135);1;AND($V172&gt;=115;$V172&lt;125);0,7;AND($V172&gt;135;$V172&lt;=145);0,7;AND($V172&gt;=105;$V172&lt;115);0,4;AND($V172&gt;145;$V172&lt;=155);0,4;TRUE;0,2);IFS(AND($V172&gt;=120;$V172&lt;=130);1;AND($V172&gt;=110;$V172&lt;120);0,7;AND($V172&gt;130;$V172&lt;=140);0,7;AND($V172&gt;=100;$V172&lt;110);0,4;AND($V172&gt;140;$V172&lt;=150);0,4;TRUE;0,2));IFS(AND($W172&gt;=55;$W172&lt;=65);1;AND($W172&gt;=50;$W172&lt;55);0,7;AND($W172&gt;65;$W172&lt;=70);0,7;AND($W172&gt;=45;$W172&lt;50);0,4;AND($W172&gt;70;$W172&lt;=75);0,4;TRUE;0,2);IF(OR($B172="Ноги";$B172="Верх");IFS(AND($X172&gt;=180;$X172&lt;=210);1;AND($X172&gt;=160;$X172&lt;180);0,7;AND($X172&gt;210;$X172&lt;=230);0,7;AND($X172&gt;=140;$X172&lt;160);0,4;AND($X172&gt;230;$X172&lt;=250);0,4;TRUE;0,2);IFS(AND($X172&gt;=140;$X172&lt;=170);1;AND($X172&gt;=120;$X172&lt;140);0,7;AND($X172&gt;170;$X172&lt;=190);0,7;AND($X172&gt;=100;$X172&lt;120);0,4;AND($X172&gt;190;$X172&lt;=210);0,4;TRUE;0,2)))));1);""))</f>
        <v/>
      </c>
      <c r="Z172">
        <f>IF($A172="";"";TEXTJOIN(", ";TRUE;IF($B172="";"Тренировка";"");IF($C172="";"Кардио";"");IF($D172="";"Шаги";"");IF($E172="";"Английский";"");IF($F172="";"Код-режим";"");IF($G172="";"Код-тема";"");IF($H172="";"Чтение";"");IF($L172="";"Сон";"");IF($M172="";"Режим";"");IF($N172="";"Продуктивность";"");IF($O172="";"Настроение";"");IF($P172="";"Энергия";"");IF($U172="";"Еда";"")))</f>
        <v/>
      </c>
    </row>
    <row r="173">
      <c r="B173" t="inlineStr"/>
      <c r="C173" t="inlineStr"/>
      <c r="D173" t="inlineStr"/>
      <c r="E173" t="inlineStr"/>
      <c r="F173" t="inlineStr"/>
      <c r="G173" t="inlineStr"/>
      <c r="H173" t="inlineStr"/>
      <c r="I173" t="inlineStr"/>
      <c r="J173" t="inlineStr"/>
      <c r="K173" t="inlineStr"/>
      <c r="L173" t="inlineStr"/>
      <c r="M173" t="inlineStr"/>
      <c r="N173" t="inlineStr"/>
      <c r="O173" t="inlineStr"/>
      <c r="P173" t="inlineStr"/>
      <c r="Q173" t="inlineStr"/>
      <c r="R173" t="inlineStr"/>
      <c r="S173" t="inlineStr"/>
      <c r="T173" t="inlineStr"/>
      <c r="U173">
        <f>IF($A173="";"";IF(SUMIF(FoodLog!$A:$A;$A173;FoodLog!$I:$I)=0;"";SUMIF(FoodLog!$A:$A;$A173;FoodLog!$I:$I)))</f>
        <v/>
      </c>
      <c r="V173">
        <f>IF($A173="";"";IF(SUMIF(FoodLog!$A:$A;$A173;FoodLog!$F:$F)=0;"";SUMIF(FoodLog!$A:$A;$A173;FoodLog!$F:$F)))</f>
        <v/>
      </c>
      <c r="W173">
        <f>IF($A173="";"";IF(SUMIF(FoodLog!$A:$A;$A173;FoodLog!$G:$G)=0;"";SUMIF(FoodLog!$A:$A;$A173;FoodLog!$G:$G)))</f>
        <v/>
      </c>
      <c r="X173">
        <f>IF($A173="";"";IF(SUMIF(FoodLog!$A:$A;$A173;FoodLog!$H:$H)=0;"";SUMIF(FoodLog!$A:$A;$A173;FoodLog!$H:$H)))</f>
        <v/>
      </c>
      <c r="Y173">
        <f>IF($A173="";"";IFERROR(ROUND(100*AVERAGE(IF($B173="";"";XLOOKUP($B173;FILTER(Dictionaries!$B:$B;Dictionaries!$A:$A="Тренировка");FILTER(Dictionaries!$C:$C;Dictionaries!$A:$A="Тренировка")));IF($C173="";"";MIN($C173/40;1));IF($D173="";"";XLOOKUP($D173;FILTER(Dictionaries!$B:$B;Dictionaries!$A:$A="Шаги");FILTER(Dictionaries!$C:$C;Dictionaries!$A:$A="Шаги")));IF($E173="";"";MIN($E173/120;1));IF(OR($F173&lt;&gt;"";$G173&lt;&gt;"");1;"");IF($H173="";"";MIN($H173/100;1));IF($L173="";"";XLOOKUP($L173;FILTER(Dictionaries!$B:$B;Dictionaries!$A:$A="Сон_часы");FILTER(Dictionaries!$C:$C;Dictionaries!$A:$A="Сон_часы")));IF($M173="";"";XLOOKUP($M173;FILTER(Dictionaries!$B:$B;Dictionaries!$A:$A="Режим");FILTER(Dictionaries!$C:$C;Dictionaries!$A:$A="Режим")));IF($N173="";"";MIN($N173/100;1));IF($O173="";"";XLOOKUP($O173;FILTER(Dictionaries!$B:$B;Dictionaries!$A:$A="Настроение");FILTER(Dictionaries!$C:$C;Dictionaries!$A:$A="Настроение")));IF($P173="";"";XLOOKUP($P173;FILTER(Dictionaries!$B:$B;Dictionaries!$A:$A="Энергия");FILTER(Dictionaries!$C:$C;Dictionaries!$A:$A="Энергия")));IF($U173="";"";AVERAGE(IF(OR($B173="Ноги";$B173="Верх");IFS(AND($U173&gt;=1900;$U173&lt;=2050);1;AND($U173&gt;=1850;$U173&lt;1900);0,7;AND($U173&gt;2050;$U173&lt;=2100);0,7;TRUE;0,2);IFS(AND($U173&gt;=1700;$U173&lt;=1850);1;AND($U173&gt;=1650;$U173&lt;1700);0,7;AND($U173&gt;1850;$U173&lt;=1900);0,7;TRUE;0,2));IF(OR($B173="Ноги";$B173="Верх");IFS(AND($V173&gt;=125;$V173&lt;=135);1;AND($V173&gt;=115;$V173&lt;125);0,7;AND($V173&gt;135;$V173&lt;=145);0,7;AND($V173&gt;=105;$V173&lt;115);0,4;AND($V173&gt;145;$V173&lt;=155);0,4;TRUE;0,2);IFS(AND($V173&gt;=120;$V173&lt;=130);1;AND($V173&gt;=110;$V173&lt;120);0,7;AND($V173&gt;130;$V173&lt;=140);0,7;AND($V173&gt;=100;$V173&lt;110);0,4;AND($V173&gt;140;$V173&lt;=150);0,4;TRUE;0,2));IFS(AND($W173&gt;=55;$W173&lt;=65);1;AND($W173&gt;=50;$W173&lt;55);0,7;AND($W173&gt;65;$W173&lt;=70);0,7;AND($W173&gt;=45;$W173&lt;50);0,4;AND($W173&gt;70;$W173&lt;=75);0,4;TRUE;0,2);IF(OR($B173="Ноги";$B173="Верх");IFS(AND($X173&gt;=180;$X173&lt;=210);1;AND($X173&gt;=160;$X173&lt;180);0,7;AND($X173&gt;210;$X173&lt;=230);0,7;AND($X173&gt;=140;$X173&lt;160);0,4;AND($X173&gt;230;$X173&lt;=250);0,4;TRUE;0,2);IFS(AND($X173&gt;=140;$X173&lt;=170);1;AND($X173&gt;=120;$X173&lt;140);0,7;AND($X173&gt;170;$X173&lt;=190);0,7;AND($X173&gt;=100;$X173&lt;120);0,4;AND($X173&gt;190;$X173&lt;=210);0,4;TRUE;0,2)))));1);""))</f>
        <v/>
      </c>
      <c r="Z173">
        <f>IF($A173="";"";TEXTJOIN(", ";TRUE;IF($B173="";"Тренировка";"");IF($C173="";"Кардио";"");IF($D173="";"Шаги";"");IF($E173="";"Английский";"");IF($F173="";"Код-режим";"");IF($G173="";"Код-тема";"");IF($H173="";"Чтение";"");IF($L173="";"Сон";"");IF($M173="";"Режим";"");IF($N173="";"Продуктивность";"");IF($O173="";"Настроение";"");IF($P173="";"Энергия";"");IF($U173="";"Еда";"")))</f>
        <v/>
      </c>
    </row>
    <row r="174">
      <c r="B174" t="inlineStr"/>
      <c r="C174" t="inlineStr"/>
      <c r="D174" t="inlineStr"/>
      <c r="E174" t="inlineStr"/>
      <c r="F174" t="inlineStr"/>
      <c r="G174" t="inlineStr"/>
      <c r="H174" t="inlineStr"/>
      <c r="I174" t="inlineStr"/>
      <c r="J174" t="inlineStr"/>
      <c r="K174" t="inlineStr"/>
      <c r="L174" t="inlineStr"/>
      <c r="M174" t="inlineStr"/>
      <c r="N174" t="inlineStr"/>
      <c r="O174" t="inlineStr"/>
      <c r="P174" t="inlineStr"/>
      <c r="Q174" t="inlineStr"/>
      <c r="R174" t="inlineStr"/>
      <c r="S174" t="inlineStr"/>
      <c r="T174" t="inlineStr"/>
      <c r="U174">
        <f>IF($A174="";"";IF(SUMIF(FoodLog!$A:$A;$A174;FoodLog!$I:$I)=0;"";SUMIF(FoodLog!$A:$A;$A174;FoodLog!$I:$I)))</f>
        <v/>
      </c>
      <c r="V174">
        <f>IF($A174="";"";IF(SUMIF(FoodLog!$A:$A;$A174;FoodLog!$F:$F)=0;"";SUMIF(FoodLog!$A:$A;$A174;FoodLog!$F:$F)))</f>
        <v/>
      </c>
      <c r="W174">
        <f>IF($A174="";"";IF(SUMIF(FoodLog!$A:$A;$A174;FoodLog!$G:$G)=0;"";SUMIF(FoodLog!$A:$A;$A174;FoodLog!$G:$G)))</f>
        <v/>
      </c>
      <c r="X174">
        <f>IF($A174="";"";IF(SUMIF(FoodLog!$A:$A;$A174;FoodLog!$H:$H)=0;"";SUMIF(FoodLog!$A:$A;$A174;FoodLog!$H:$H)))</f>
        <v/>
      </c>
      <c r="Y174">
        <f>IF($A174="";"";IFERROR(ROUND(100*AVERAGE(IF($B174="";"";XLOOKUP($B174;FILTER(Dictionaries!$B:$B;Dictionaries!$A:$A="Тренировка");FILTER(Dictionaries!$C:$C;Dictionaries!$A:$A="Тренировка")));IF($C174="";"";MIN($C174/40;1));IF($D174="";"";XLOOKUP($D174;FILTER(Dictionaries!$B:$B;Dictionaries!$A:$A="Шаги");FILTER(Dictionaries!$C:$C;Dictionaries!$A:$A="Шаги")));IF($E174="";"";MIN($E174/120;1));IF(OR($F174&lt;&gt;"";$G174&lt;&gt;"");1;"");IF($H174="";"";MIN($H174/100;1));IF($L174="";"";XLOOKUP($L174;FILTER(Dictionaries!$B:$B;Dictionaries!$A:$A="Сон_часы");FILTER(Dictionaries!$C:$C;Dictionaries!$A:$A="Сон_часы")));IF($M174="";"";XLOOKUP($M174;FILTER(Dictionaries!$B:$B;Dictionaries!$A:$A="Режим");FILTER(Dictionaries!$C:$C;Dictionaries!$A:$A="Режим")));IF($N174="";"";MIN($N174/100;1));IF($O174="";"";XLOOKUP($O174;FILTER(Dictionaries!$B:$B;Dictionaries!$A:$A="Настроение");FILTER(Dictionaries!$C:$C;Dictionaries!$A:$A="Настроение")));IF($P174="";"";XLOOKUP($P174;FILTER(Dictionaries!$B:$B;Dictionaries!$A:$A="Энергия");FILTER(Dictionaries!$C:$C;Dictionaries!$A:$A="Энергия")));IF($U174="";"";AVERAGE(IF(OR($B174="Ноги";$B174="Верх");IFS(AND($U174&gt;=1900;$U174&lt;=2050);1;AND($U174&gt;=1850;$U174&lt;1900);0,7;AND($U174&gt;2050;$U174&lt;=2100);0,7;TRUE;0,2);IFS(AND($U174&gt;=1700;$U174&lt;=1850);1;AND($U174&gt;=1650;$U174&lt;1700);0,7;AND($U174&gt;1850;$U174&lt;=1900);0,7;TRUE;0,2));IF(OR($B174="Ноги";$B174="Верх");IFS(AND($V174&gt;=125;$V174&lt;=135);1;AND($V174&gt;=115;$V174&lt;125);0,7;AND($V174&gt;135;$V174&lt;=145);0,7;AND($V174&gt;=105;$V174&lt;115);0,4;AND($V174&gt;145;$V174&lt;=155);0,4;TRUE;0,2);IFS(AND($V174&gt;=120;$V174&lt;=130);1;AND($V174&gt;=110;$V174&lt;120);0,7;AND($V174&gt;130;$V174&lt;=140);0,7;AND($V174&gt;=100;$V174&lt;110);0,4;AND($V174&gt;140;$V174&lt;=150);0,4;TRUE;0,2));IFS(AND($W174&gt;=55;$W174&lt;=65);1;AND($W174&gt;=50;$W174&lt;55);0,7;AND($W174&gt;65;$W174&lt;=70);0,7;AND($W174&gt;=45;$W174&lt;50);0,4;AND($W174&gt;70;$W174&lt;=75);0,4;TRUE;0,2);IF(OR($B174="Ноги";$B174="Верх");IFS(AND($X174&gt;=180;$X174&lt;=210);1;AND($X174&gt;=160;$X174&lt;180);0,7;AND($X174&gt;210;$X174&lt;=230);0,7;AND($X174&gt;=140;$X174&lt;160);0,4;AND($X174&gt;230;$X174&lt;=250);0,4;TRUE;0,2);IFS(AND($X174&gt;=140;$X174&lt;=170);1;AND($X174&gt;=120;$X174&lt;140);0,7;AND($X174&gt;170;$X174&lt;=190);0,7;AND($X174&gt;=100;$X174&lt;120);0,4;AND($X174&gt;190;$X174&lt;=210);0,4;TRUE;0,2)))));1);""))</f>
        <v/>
      </c>
      <c r="Z174">
        <f>IF($A174="";"";TEXTJOIN(", ";TRUE;IF($B174="";"Тренировка";"");IF($C174="";"Кардио";"");IF($D174="";"Шаги";"");IF($E174="";"Английский";"");IF($F174="";"Код-режим";"");IF($G174="";"Код-тема";"");IF($H174="";"Чтение";"");IF($L174="";"Сон";"");IF($M174="";"Режим";"");IF($N174="";"Продуктивность";"");IF($O174="";"Настроение";"");IF($P174="";"Энергия";"");IF($U174="";"Еда";"")))</f>
        <v/>
      </c>
    </row>
    <row r="175">
      <c r="B175" t="inlineStr"/>
      <c r="C175" t="inlineStr"/>
      <c r="D175" t="inlineStr"/>
      <c r="E175" t="inlineStr"/>
      <c r="F175" t="inlineStr"/>
      <c r="G175" t="inlineStr"/>
      <c r="H175" t="inlineStr"/>
      <c r="I175" t="inlineStr"/>
      <c r="J175" t="inlineStr"/>
      <c r="K175" t="inlineStr"/>
      <c r="L175" t="inlineStr"/>
      <c r="M175" t="inlineStr"/>
      <c r="N175" t="inlineStr"/>
      <c r="O175" t="inlineStr"/>
      <c r="P175" t="inlineStr"/>
      <c r="Q175" t="inlineStr"/>
      <c r="R175" t="inlineStr"/>
      <c r="S175" t="inlineStr"/>
      <c r="T175" t="inlineStr"/>
      <c r="U175">
        <f>IF($A175="";"";IF(SUMIF(FoodLog!$A:$A;$A175;FoodLog!$I:$I)=0;"";SUMIF(FoodLog!$A:$A;$A175;FoodLog!$I:$I)))</f>
        <v/>
      </c>
      <c r="V175">
        <f>IF($A175="";"";IF(SUMIF(FoodLog!$A:$A;$A175;FoodLog!$F:$F)=0;"";SUMIF(FoodLog!$A:$A;$A175;FoodLog!$F:$F)))</f>
        <v/>
      </c>
      <c r="W175">
        <f>IF($A175="";"";IF(SUMIF(FoodLog!$A:$A;$A175;FoodLog!$G:$G)=0;"";SUMIF(FoodLog!$A:$A;$A175;FoodLog!$G:$G)))</f>
        <v/>
      </c>
      <c r="X175">
        <f>IF($A175="";"";IF(SUMIF(FoodLog!$A:$A;$A175;FoodLog!$H:$H)=0;"";SUMIF(FoodLog!$A:$A;$A175;FoodLog!$H:$H)))</f>
        <v/>
      </c>
      <c r="Y175">
        <f>IF($A175="";"";IFERROR(ROUND(100*AVERAGE(IF($B175="";"";XLOOKUP($B175;FILTER(Dictionaries!$B:$B;Dictionaries!$A:$A="Тренировка");FILTER(Dictionaries!$C:$C;Dictionaries!$A:$A="Тренировка")));IF($C175="";"";MIN($C175/40;1));IF($D175="";"";XLOOKUP($D175;FILTER(Dictionaries!$B:$B;Dictionaries!$A:$A="Шаги");FILTER(Dictionaries!$C:$C;Dictionaries!$A:$A="Шаги")));IF($E175="";"";MIN($E175/120;1));IF(OR($F175&lt;&gt;"";$G175&lt;&gt;"");1;"");IF($H175="";"";MIN($H175/100;1));IF($L175="";"";XLOOKUP($L175;FILTER(Dictionaries!$B:$B;Dictionaries!$A:$A="Сон_часы");FILTER(Dictionaries!$C:$C;Dictionaries!$A:$A="Сон_часы")));IF($M175="";"";XLOOKUP($M175;FILTER(Dictionaries!$B:$B;Dictionaries!$A:$A="Режим");FILTER(Dictionaries!$C:$C;Dictionaries!$A:$A="Режим")));IF($N175="";"";MIN($N175/100;1));IF($O175="";"";XLOOKUP($O175;FILTER(Dictionaries!$B:$B;Dictionaries!$A:$A="Настроение");FILTER(Dictionaries!$C:$C;Dictionaries!$A:$A="Настроение")));IF($P175="";"";XLOOKUP($P175;FILTER(Dictionaries!$B:$B;Dictionaries!$A:$A="Энергия");FILTER(Dictionaries!$C:$C;Dictionaries!$A:$A="Энергия")));IF($U175="";"";AVERAGE(IF(OR($B175="Ноги";$B175="Верх");IFS(AND($U175&gt;=1900;$U175&lt;=2050);1;AND($U175&gt;=1850;$U175&lt;1900);0,7;AND($U175&gt;2050;$U175&lt;=2100);0,7;TRUE;0,2);IFS(AND($U175&gt;=1700;$U175&lt;=1850);1;AND($U175&gt;=1650;$U175&lt;1700);0,7;AND($U175&gt;1850;$U175&lt;=1900);0,7;TRUE;0,2));IF(OR($B175="Ноги";$B175="Верх");IFS(AND($V175&gt;=125;$V175&lt;=135);1;AND($V175&gt;=115;$V175&lt;125);0,7;AND($V175&gt;135;$V175&lt;=145);0,7;AND($V175&gt;=105;$V175&lt;115);0,4;AND($V175&gt;145;$V175&lt;=155);0,4;TRUE;0,2);IFS(AND($V175&gt;=120;$V175&lt;=130);1;AND($V175&gt;=110;$V175&lt;120);0,7;AND($V175&gt;130;$V175&lt;=140);0,7;AND($V175&gt;=100;$V175&lt;110);0,4;AND($V175&gt;140;$V175&lt;=150);0,4;TRUE;0,2));IFS(AND($W175&gt;=55;$W175&lt;=65);1;AND($W175&gt;=50;$W175&lt;55);0,7;AND($W175&gt;65;$W175&lt;=70);0,7;AND($W175&gt;=45;$W175&lt;50);0,4;AND($W175&gt;70;$W175&lt;=75);0,4;TRUE;0,2);IF(OR($B175="Ноги";$B175="Верх");IFS(AND($X175&gt;=180;$X175&lt;=210);1;AND($X175&gt;=160;$X175&lt;180);0,7;AND($X175&gt;210;$X175&lt;=230);0,7;AND($X175&gt;=140;$X175&lt;160);0,4;AND($X175&gt;230;$X175&lt;=250);0,4;TRUE;0,2);IFS(AND($X175&gt;=140;$X175&lt;=170);1;AND($X175&gt;=120;$X175&lt;140);0,7;AND($X175&gt;170;$X175&lt;=190);0,7;AND($X175&gt;=100;$X175&lt;120);0,4;AND($X175&gt;190;$X175&lt;=210);0,4;TRUE;0,2)))));1);""))</f>
        <v/>
      </c>
      <c r="Z175">
        <f>IF($A175="";"";TEXTJOIN(", ";TRUE;IF($B175="";"Тренировка";"");IF($C175="";"Кардио";"");IF($D175="";"Шаги";"");IF($E175="";"Английский";"");IF($F175="";"Код-режим";"");IF($G175="";"Код-тема";"");IF($H175="";"Чтение";"");IF($L175="";"Сон";"");IF($M175="";"Режим";"");IF($N175="";"Продуктивность";"");IF($O175="";"Настроение";"");IF($P175="";"Энергия";"");IF($U175="";"Еда";"")))</f>
        <v/>
      </c>
    </row>
    <row r="176">
      <c r="B176" t="inlineStr"/>
      <c r="C176" t="inlineStr"/>
      <c r="D176" t="inlineStr"/>
      <c r="E176" t="inlineStr"/>
      <c r="F176" t="inlineStr"/>
      <c r="G176" t="inlineStr"/>
      <c r="H176" t="inlineStr"/>
      <c r="I176" t="inlineStr"/>
      <c r="J176" t="inlineStr"/>
      <c r="K176" t="inlineStr"/>
      <c r="L176" t="inlineStr"/>
      <c r="M176" t="inlineStr"/>
      <c r="N176" t="inlineStr"/>
      <c r="O176" t="inlineStr"/>
      <c r="P176" t="inlineStr"/>
      <c r="Q176" t="inlineStr"/>
      <c r="R176" t="inlineStr"/>
      <c r="S176" t="inlineStr"/>
      <c r="T176" t="inlineStr"/>
      <c r="U176">
        <f>IF($A176="";"";IF(SUMIF(FoodLog!$A:$A;$A176;FoodLog!$I:$I)=0;"";SUMIF(FoodLog!$A:$A;$A176;FoodLog!$I:$I)))</f>
        <v/>
      </c>
      <c r="V176">
        <f>IF($A176="";"";IF(SUMIF(FoodLog!$A:$A;$A176;FoodLog!$F:$F)=0;"";SUMIF(FoodLog!$A:$A;$A176;FoodLog!$F:$F)))</f>
        <v/>
      </c>
      <c r="W176">
        <f>IF($A176="";"";IF(SUMIF(FoodLog!$A:$A;$A176;FoodLog!$G:$G)=0;"";SUMIF(FoodLog!$A:$A;$A176;FoodLog!$G:$G)))</f>
        <v/>
      </c>
      <c r="X176">
        <f>IF($A176="";"";IF(SUMIF(FoodLog!$A:$A;$A176;FoodLog!$H:$H)=0;"";SUMIF(FoodLog!$A:$A;$A176;FoodLog!$H:$H)))</f>
        <v/>
      </c>
      <c r="Y176">
        <f>IF($A176="";"";IFERROR(ROUND(100*AVERAGE(IF($B176="";"";XLOOKUP($B176;FILTER(Dictionaries!$B:$B;Dictionaries!$A:$A="Тренировка");FILTER(Dictionaries!$C:$C;Dictionaries!$A:$A="Тренировка")));IF($C176="";"";MIN($C176/40;1));IF($D176="";"";XLOOKUP($D176;FILTER(Dictionaries!$B:$B;Dictionaries!$A:$A="Шаги");FILTER(Dictionaries!$C:$C;Dictionaries!$A:$A="Шаги")));IF($E176="";"";MIN($E176/120;1));IF(OR($F176&lt;&gt;"";$G176&lt;&gt;"");1;"");IF($H176="";"";MIN($H176/100;1));IF($L176="";"";XLOOKUP($L176;FILTER(Dictionaries!$B:$B;Dictionaries!$A:$A="Сон_часы");FILTER(Dictionaries!$C:$C;Dictionaries!$A:$A="Сон_часы")));IF($M176="";"";XLOOKUP($M176;FILTER(Dictionaries!$B:$B;Dictionaries!$A:$A="Режим");FILTER(Dictionaries!$C:$C;Dictionaries!$A:$A="Режим")));IF($N176="";"";MIN($N176/100;1));IF($O176="";"";XLOOKUP($O176;FILTER(Dictionaries!$B:$B;Dictionaries!$A:$A="Настроение");FILTER(Dictionaries!$C:$C;Dictionaries!$A:$A="Настроение")));IF($P176="";"";XLOOKUP($P176;FILTER(Dictionaries!$B:$B;Dictionaries!$A:$A="Энергия");FILTER(Dictionaries!$C:$C;Dictionaries!$A:$A="Энергия")));IF($U176="";"";AVERAGE(IF(OR($B176="Ноги";$B176="Верх");IFS(AND($U176&gt;=1900;$U176&lt;=2050);1;AND($U176&gt;=1850;$U176&lt;1900);0,7;AND($U176&gt;2050;$U176&lt;=2100);0,7;TRUE;0,2);IFS(AND($U176&gt;=1700;$U176&lt;=1850);1;AND($U176&gt;=1650;$U176&lt;1700);0,7;AND($U176&gt;1850;$U176&lt;=1900);0,7;TRUE;0,2));IF(OR($B176="Ноги";$B176="Верх");IFS(AND($V176&gt;=125;$V176&lt;=135);1;AND($V176&gt;=115;$V176&lt;125);0,7;AND($V176&gt;135;$V176&lt;=145);0,7;AND($V176&gt;=105;$V176&lt;115);0,4;AND($V176&gt;145;$V176&lt;=155);0,4;TRUE;0,2);IFS(AND($V176&gt;=120;$V176&lt;=130);1;AND($V176&gt;=110;$V176&lt;120);0,7;AND($V176&gt;130;$V176&lt;=140);0,7;AND($V176&gt;=100;$V176&lt;110);0,4;AND($V176&gt;140;$V176&lt;=150);0,4;TRUE;0,2));IFS(AND($W176&gt;=55;$W176&lt;=65);1;AND($W176&gt;=50;$W176&lt;55);0,7;AND($W176&gt;65;$W176&lt;=70);0,7;AND($W176&gt;=45;$W176&lt;50);0,4;AND($W176&gt;70;$W176&lt;=75);0,4;TRUE;0,2);IF(OR($B176="Ноги";$B176="Верх");IFS(AND($X176&gt;=180;$X176&lt;=210);1;AND($X176&gt;=160;$X176&lt;180);0,7;AND($X176&gt;210;$X176&lt;=230);0,7;AND($X176&gt;=140;$X176&lt;160);0,4;AND($X176&gt;230;$X176&lt;=250);0,4;TRUE;0,2);IFS(AND($X176&gt;=140;$X176&lt;=170);1;AND($X176&gt;=120;$X176&lt;140);0,7;AND($X176&gt;170;$X176&lt;=190);0,7;AND($X176&gt;=100;$X176&lt;120);0,4;AND($X176&gt;190;$X176&lt;=210);0,4;TRUE;0,2)))));1);""))</f>
        <v/>
      </c>
      <c r="Z176">
        <f>IF($A176="";"";TEXTJOIN(", ";TRUE;IF($B176="";"Тренировка";"");IF($C176="";"Кардио";"");IF($D176="";"Шаги";"");IF($E176="";"Английский";"");IF($F176="";"Код-режим";"");IF($G176="";"Код-тема";"");IF($H176="";"Чтение";"");IF($L176="";"Сон";"");IF($M176="";"Режим";"");IF($N176="";"Продуктивность";"");IF($O176="";"Настроение";"");IF($P176="";"Энергия";"");IF($U176="";"Еда";"")))</f>
        <v/>
      </c>
    </row>
    <row r="177">
      <c r="B177" t="inlineStr"/>
      <c r="C177" t="inlineStr"/>
      <c r="D177" t="inlineStr"/>
      <c r="E177" t="inlineStr"/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/>
      <c r="P177" t="inlineStr"/>
      <c r="Q177" t="inlineStr"/>
      <c r="R177" t="inlineStr"/>
      <c r="S177" t="inlineStr"/>
      <c r="T177" t="inlineStr"/>
      <c r="U177">
        <f>IF($A177="";"";IF(SUMIF(FoodLog!$A:$A;$A177;FoodLog!$I:$I)=0;"";SUMIF(FoodLog!$A:$A;$A177;FoodLog!$I:$I)))</f>
        <v/>
      </c>
      <c r="V177">
        <f>IF($A177="";"";IF(SUMIF(FoodLog!$A:$A;$A177;FoodLog!$F:$F)=0;"";SUMIF(FoodLog!$A:$A;$A177;FoodLog!$F:$F)))</f>
        <v/>
      </c>
      <c r="W177">
        <f>IF($A177="";"";IF(SUMIF(FoodLog!$A:$A;$A177;FoodLog!$G:$G)=0;"";SUMIF(FoodLog!$A:$A;$A177;FoodLog!$G:$G)))</f>
        <v/>
      </c>
      <c r="X177">
        <f>IF($A177="";"";IF(SUMIF(FoodLog!$A:$A;$A177;FoodLog!$H:$H)=0;"";SUMIF(FoodLog!$A:$A;$A177;FoodLog!$H:$H)))</f>
        <v/>
      </c>
      <c r="Y177">
        <f>IF($A177="";"";IFERROR(ROUND(100*AVERAGE(IF($B177="";"";XLOOKUP($B177;FILTER(Dictionaries!$B:$B;Dictionaries!$A:$A="Тренировка");FILTER(Dictionaries!$C:$C;Dictionaries!$A:$A="Тренировка")));IF($C177="";"";MIN($C177/40;1));IF($D177="";"";XLOOKUP($D177;FILTER(Dictionaries!$B:$B;Dictionaries!$A:$A="Шаги");FILTER(Dictionaries!$C:$C;Dictionaries!$A:$A="Шаги")));IF($E177="";"";MIN($E177/120;1));IF(OR($F177&lt;&gt;"";$G177&lt;&gt;"");1;"");IF($H177="";"";MIN($H177/100;1));IF($L177="";"";XLOOKUP($L177;FILTER(Dictionaries!$B:$B;Dictionaries!$A:$A="Сон_часы");FILTER(Dictionaries!$C:$C;Dictionaries!$A:$A="Сон_часы")));IF($M177="";"";XLOOKUP($M177;FILTER(Dictionaries!$B:$B;Dictionaries!$A:$A="Режим");FILTER(Dictionaries!$C:$C;Dictionaries!$A:$A="Режим")));IF($N177="";"";MIN($N177/100;1));IF($O177="";"";XLOOKUP($O177;FILTER(Dictionaries!$B:$B;Dictionaries!$A:$A="Настроение");FILTER(Dictionaries!$C:$C;Dictionaries!$A:$A="Настроение")));IF($P177="";"";XLOOKUP($P177;FILTER(Dictionaries!$B:$B;Dictionaries!$A:$A="Энергия");FILTER(Dictionaries!$C:$C;Dictionaries!$A:$A="Энергия")));IF($U177="";"";AVERAGE(IF(OR($B177="Ноги";$B177="Верх");IFS(AND($U177&gt;=1900;$U177&lt;=2050);1;AND($U177&gt;=1850;$U177&lt;1900);0,7;AND($U177&gt;2050;$U177&lt;=2100);0,7;TRUE;0,2);IFS(AND($U177&gt;=1700;$U177&lt;=1850);1;AND($U177&gt;=1650;$U177&lt;1700);0,7;AND($U177&gt;1850;$U177&lt;=1900);0,7;TRUE;0,2));IF(OR($B177="Ноги";$B177="Верх");IFS(AND($V177&gt;=125;$V177&lt;=135);1;AND($V177&gt;=115;$V177&lt;125);0,7;AND($V177&gt;135;$V177&lt;=145);0,7;AND($V177&gt;=105;$V177&lt;115);0,4;AND($V177&gt;145;$V177&lt;=155);0,4;TRUE;0,2);IFS(AND($V177&gt;=120;$V177&lt;=130);1;AND($V177&gt;=110;$V177&lt;120);0,7;AND($V177&gt;130;$V177&lt;=140);0,7;AND($V177&gt;=100;$V177&lt;110);0,4;AND($V177&gt;140;$V177&lt;=150);0,4;TRUE;0,2));IFS(AND($W177&gt;=55;$W177&lt;=65);1;AND($W177&gt;=50;$W177&lt;55);0,7;AND($W177&gt;65;$W177&lt;=70);0,7;AND($W177&gt;=45;$W177&lt;50);0,4;AND($W177&gt;70;$W177&lt;=75);0,4;TRUE;0,2);IF(OR($B177="Ноги";$B177="Верх");IFS(AND($X177&gt;=180;$X177&lt;=210);1;AND($X177&gt;=160;$X177&lt;180);0,7;AND($X177&gt;210;$X177&lt;=230);0,7;AND($X177&gt;=140;$X177&lt;160);0,4;AND($X177&gt;230;$X177&lt;=250);0,4;TRUE;0,2);IFS(AND($X177&gt;=140;$X177&lt;=170);1;AND($X177&gt;=120;$X177&lt;140);0,7;AND($X177&gt;170;$X177&lt;=190);0,7;AND($X177&gt;=100;$X177&lt;120);0,4;AND($X177&gt;190;$X177&lt;=210);0,4;TRUE;0,2)))));1);""))</f>
        <v/>
      </c>
      <c r="Z177">
        <f>IF($A177="";"";TEXTJOIN(", ";TRUE;IF($B177="";"Тренировка";"");IF($C177="";"Кардио";"");IF($D177="";"Шаги";"");IF($E177="";"Английский";"");IF($F177="";"Код-режим";"");IF($G177="";"Код-тема";"");IF($H177="";"Чтение";"");IF($L177="";"Сон";"");IF($M177="";"Режим";"");IF($N177="";"Продуктивность";"");IF($O177="";"Настроение";"");IF($P177="";"Энергия";"");IF($U177="";"Еда";"")))</f>
        <v/>
      </c>
    </row>
    <row r="178">
      <c r="B178" t="inlineStr"/>
      <c r="C178" t="inlineStr"/>
      <c r="D178" t="inlineStr"/>
      <c r="E178" t="inlineStr"/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/>
      <c r="P178" t="inlineStr"/>
      <c r="Q178" t="inlineStr"/>
      <c r="R178" t="inlineStr"/>
      <c r="S178" t="inlineStr"/>
      <c r="T178" t="inlineStr"/>
      <c r="U178">
        <f>IF($A178="";"";IF(SUMIF(FoodLog!$A:$A;$A178;FoodLog!$I:$I)=0;"";SUMIF(FoodLog!$A:$A;$A178;FoodLog!$I:$I)))</f>
        <v/>
      </c>
      <c r="V178">
        <f>IF($A178="";"";IF(SUMIF(FoodLog!$A:$A;$A178;FoodLog!$F:$F)=0;"";SUMIF(FoodLog!$A:$A;$A178;FoodLog!$F:$F)))</f>
        <v/>
      </c>
      <c r="W178">
        <f>IF($A178="";"";IF(SUMIF(FoodLog!$A:$A;$A178;FoodLog!$G:$G)=0;"";SUMIF(FoodLog!$A:$A;$A178;FoodLog!$G:$G)))</f>
        <v/>
      </c>
      <c r="X178">
        <f>IF($A178="";"";IF(SUMIF(FoodLog!$A:$A;$A178;FoodLog!$H:$H)=0;"";SUMIF(FoodLog!$A:$A;$A178;FoodLog!$H:$H)))</f>
        <v/>
      </c>
      <c r="Y178">
        <f>IF($A178="";"";IFERROR(ROUND(100*AVERAGE(IF($B178="";"";XLOOKUP($B178;FILTER(Dictionaries!$B:$B;Dictionaries!$A:$A="Тренировка");FILTER(Dictionaries!$C:$C;Dictionaries!$A:$A="Тренировка")));IF($C178="";"";MIN($C178/40;1));IF($D178="";"";XLOOKUP($D178;FILTER(Dictionaries!$B:$B;Dictionaries!$A:$A="Шаги");FILTER(Dictionaries!$C:$C;Dictionaries!$A:$A="Шаги")));IF($E178="";"";MIN($E178/120;1));IF(OR($F178&lt;&gt;"";$G178&lt;&gt;"");1;"");IF($H178="";"";MIN($H178/100;1));IF($L178="";"";XLOOKUP($L178;FILTER(Dictionaries!$B:$B;Dictionaries!$A:$A="Сон_часы");FILTER(Dictionaries!$C:$C;Dictionaries!$A:$A="Сон_часы")));IF($M178="";"";XLOOKUP($M178;FILTER(Dictionaries!$B:$B;Dictionaries!$A:$A="Режим");FILTER(Dictionaries!$C:$C;Dictionaries!$A:$A="Режим")));IF($N178="";"";MIN($N178/100;1));IF($O178="";"";XLOOKUP($O178;FILTER(Dictionaries!$B:$B;Dictionaries!$A:$A="Настроение");FILTER(Dictionaries!$C:$C;Dictionaries!$A:$A="Настроение")));IF($P178="";"";XLOOKUP($P178;FILTER(Dictionaries!$B:$B;Dictionaries!$A:$A="Энергия");FILTER(Dictionaries!$C:$C;Dictionaries!$A:$A="Энергия")));IF($U178="";"";AVERAGE(IF(OR($B178="Ноги";$B178="Верх");IFS(AND($U178&gt;=1900;$U178&lt;=2050);1;AND($U178&gt;=1850;$U178&lt;1900);0,7;AND($U178&gt;2050;$U178&lt;=2100);0,7;TRUE;0,2);IFS(AND($U178&gt;=1700;$U178&lt;=1850);1;AND($U178&gt;=1650;$U178&lt;1700);0,7;AND($U178&gt;1850;$U178&lt;=1900);0,7;TRUE;0,2));IF(OR($B178="Ноги";$B178="Верх");IFS(AND($V178&gt;=125;$V178&lt;=135);1;AND($V178&gt;=115;$V178&lt;125);0,7;AND($V178&gt;135;$V178&lt;=145);0,7;AND($V178&gt;=105;$V178&lt;115);0,4;AND($V178&gt;145;$V178&lt;=155);0,4;TRUE;0,2);IFS(AND($V178&gt;=120;$V178&lt;=130);1;AND($V178&gt;=110;$V178&lt;120);0,7;AND($V178&gt;130;$V178&lt;=140);0,7;AND($V178&gt;=100;$V178&lt;110);0,4;AND($V178&gt;140;$V178&lt;=150);0,4;TRUE;0,2));IFS(AND($W178&gt;=55;$W178&lt;=65);1;AND($W178&gt;=50;$W178&lt;55);0,7;AND($W178&gt;65;$W178&lt;=70);0,7;AND($W178&gt;=45;$W178&lt;50);0,4;AND($W178&gt;70;$W178&lt;=75);0,4;TRUE;0,2);IF(OR($B178="Ноги";$B178="Верх");IFS(AND($X178&gt;=180;$X178&lt;=210);1;AND($X178&gt;=160;$X178&lt;180);0,7;AND($X178&gt;210;$X178&lt;=230);0,7;AND($X178&gt;=140;$X178&lt;160);0,4;AND($X178&gt;230;$X178&lt;=250);0,4;TRUE;0,2);IFS(AND($X178&gt;=140;$X178&lt;=170);1;AND($X178&gt;=120;$X178&lt;140);0,7;AND($X178&gt;170;$X178&lt;=190);0,7;AND($X178&gt;=100;$X178&lt;120);0,4;AND($X178&gt;190;$X178&lt;=210);0,4;TRUE;0,2)))));1);""))</f>
        <v/>
      </c>
      <c r="Z178">
        <f>IF($A178="";"";TEXTJOIN(", ";TRUE;IF($B178="";"Тренировка";"");IF($C178="";"Кардио";"");IF($D178="";"Шаги";"");IF($E178="";"Английский";"");IF($F178="";"Код-режим";"");IF($G178="";"Код-тема";"");IF($H178="";"Чтение";"");IF($L178="";"Сон";"");IF($M178="";"Режим";"");IF($N178="";"Продуктивность";"");IF($O178="";"Настроение";"");IF($P178="";"Энергия";"");IF($U178="";"Еда";"")))</f>
        <v/>
      </c>
    </row>
    <row r="179">
      <c r="B179" t="inlineStr"/>
      <c r="C179" t="inlineStr"/>
      <c r="D179" t="inlineStr"/>
      <c r="E179" t="inlineStr"/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/>
      <c r="P179" t="inlineStr"/>
      <c r="Q179" t="inlineStr"/>
      <c r="R179" t="inlineStr"/>
      <c r="S179" t="inlineStr"/>
      <c r="T179" t="inlineStr"/>
      <c r="U179">
        <f>IF($A179="";"";IF(SUMIF(FoodLog!$A:$A;$A179;FoodLog!$I:$I)=0;"";SUMIF(FoodLog!$A:$A;$A179;FoodLog!$I:$I)))</f>
        <v/>
      </c>
      <c r="V179">
        <f>IF($A179="";"";IF(SUMIF(FoodLog!$A:$A;$A179;FoodLog!$F:$F)=0;"";SUMIF(FoodLog!$A:$A;$A179;FoodLog!$F:$F)))</f>
        <v/>
      </c>
      <c r="W179">
        <f>IF($A179="";"";IF(SUMIF(FoodLog!$A:$A;$A179;FoodLog!$G:$G)=0;"";SUMIF(FoodLog!$A:$A;$A179;FoodLog!$G:$G)))</f>
        <v/>
      </c>
      <c r="X179">
        <f>IF($A179="";"";IF(SUMIF(FoodLog!$A:$A;$A179;FoodLog!$H:$H)=0;"";SUMIF(FoodLog!$A:$A;$A179;FoodLog!$H:$H)))</f>
        <v/>
      </c>
      <c r="Y179">
        <f>IF($A179="";"";IFERROR(ROUND(100*AVERAGE(IF($B179="";"";XLOOKUP($B179;FILTER(Dictionaries!$B:$B;Dictionaries!$A:$A="Тренировка");FILTER(Dictionaries!$C:$C;Dictionaries!$A:$A="Тренировка")));IF($C179="";"";MIN($C179/40;1));IF($D179="";"";XLOOKUP($D179;FILTER(Dictionaries!$B:$B;Dictionaries!$A:$A="Шаги");FILTER(Dictionaries!$C:$C;Dictionaries!$A:$A="Шаги")));IF($E179="";"";MIN($E179/120;1));IF(OR($F179&lt;&gt;"";$G179&lt;&gt;"");1;"");IF($H179="";"";MIN($H179/100;1));IF($L179="";"";XLOOKUP($L179;FILTER(Dictionaries!$B:$B;Dictionaries!$A:$A="Сон_часы");FILTER(Dictionaries!$C:$C;Dictionaries!$A:$A="Сон_часы")));IF($M179="";"";XLOOKUP($M179;FILTER(Dictionaries!$B:$B;Dictionaries!$A:$A="Режим");FILTER(Dictionaries!$C:$C;Dictionaries!$A:$A="Режим")));IF($N179="";"";MIN($N179/100;1));IF($O179="";"";XLOOKUP($O179;FILTER(Dictionaries!$B:$B;Dictionaries!$A:$A="Настроение");FILTER(Dictionaries!$C:$C;Dictionaries!$A:$A="Настроение")));IF($P179="";"";XLOOKUP($P179;FILTER(Dictionaries!$B:$B;Dictionaries!$A:$A="Энергия");FILTER(Dictionaries!$C:$C;Dictionaries!$A:$A="Энергия")));IF($U179="";"";AVERAGE(IF(OR($B179="Ноги";$B179="Верх");IFS(AND($U179&gt;=1900;$U179&lt;=2050);1;AND($U179&gt;=1850;$U179&lt;1900);0,7;AND($U179&gt;2050;$U179&lt;=2100);0,7;TRUE;0,2);IFS(AND($U179&gt;=1700;$U179&lt;=1850);1;AND($U179&gt;=1650;$U179&lt;1700);0,7;AND($U179&gt;1850;$U179&lt;=1900);0,7;TRUE;0,2));IF(OR($B179="Ноги";$B179="Верх");IFS(AND($V179&gt;=125;$V179&lt;=135);1;AND($V179&gt;=115;$V179&lt;125);0,7;AND($V179&gt;135;$V179&lt;=145);0,7;AND($V179&gt;=105;$V179&lt;115);0,4;AND($V179&gt;145;$V179&lt;=155);0,4;TRUE;0,2);IFS(AND($V179&gt;=120;$V179&lt;=130);1;AND($V179&gt;=110;$V179&lt;120);0,7;AND($V179&gt;130;$V179&lt;=140);0,7;AND($V179&gt;=100;$V179&lt;110);0,4;AND($V179&gt;140;$V179&lt;=150);0,4;TRUE;0,2));IFS(AND($W179&gt;=55;$W179&lt;=65);1;AND($W179&gt;=50;$W179&lt;55);0,7;AND($W179&gt;65;$W179&lt;=70);0,7;AND($W179&gt;=45;$W179&lt;50);0,4;AND($W179&gt;70;$W179&lt;=75);0,4;TRUE;0,2);IF(OR($B179="Ноги";$B179="Верх");IFS(AND($X179&gt;=180;$X179&lt;=210);1;AND($X179&gt;=160;$X179&lt;180);0,7;AND($X179&gt;210;$X179&lt;=230);0,7;AND($X179&gt;=140;$X179&lt;160);0,4;AND($X179&gt;230;$X179&lt;=250);0,4;TRUE;0,2);IFS(AND($X179&gt;=140;$X179&lt;=170);1;AND($X179&gt;=120;$X179&lt;140);0,7;AND($X179&gt;170;$X179&lt;=190);0,7;AND($X179&gt;=100;$X179&lt;120);0,4;AND($X179&gt;190;$X179&lt;=210);0,4;TRUE;0,2)))));1);""))</f>
        <v/>
      </c>
      <c r="Z179">
        <f>IF($A179="";"";TEXTJOIN(", ";TRUE;IF($B179="";"Тренировка";"");IF($C179="";"Кардио";"");IF($D179="";"Шаги";"");IF($E179="";"Английский";"");IF($F179="";"Код-режим";"");IF($G179="";"Код-тема";"");IF($H179="";"Чтение";"");IF($L179="";"Сон";"");IF($M179="";"Режим";"");IF($N179="";"Продуктивность";"");IF($O179="";"Настроение";"");IF($P179="";"Энергия";"");IF($U179="";"Еда";"")))</f>
        <v/>
      </c>
    </row>
    <row r="180">
      <c r="B180" t="inlineStr"/>
      <c r="C180" t="inlineStr"/>
      <c r="D180" t="inlineStr"/>
      <c r="E180" t="inlineStr"/>
      <c r="F180" t="inlineStr"/>
      <c r="G180" t="inlineStr"/>
      <c r="H180" t="inlineStr"/>
      <c r="I180" t="inlineStr"/>
      <c r="J180" t="inlineStr"/>
      <c r="K180" t="inlineStr"/>
      <c r="L180" t="inlineStr"/>
      <c r="M180" t="inlineStr"/>
      <c r="N180" t="inlineStr"/>
      <c r="O180" t="inlineStr"/>
      <c r="P180" t="inlineStr"/>
      <c r="Q180" t="inlineStr"/>
      <c r="R180" t="inlineStr"/>
      <c r="S180" t="inlineStr"/>
      <c r="T180" t="inlineStr"/>
      <c r="U180">
        <f>IF($A180="";"";IF(SUMIF(FoodLog!$A:$A;$A180;FoodLog!$I:$I)=0;"";SUMIF(FoodLog!$A:$A;$A180;FoodLog!$I:$I)))</f>
        <v/>
      </c>
      <c r="V180">
        <f>IF($A180="";"";IF(SUMIF(FoodLog!$A:$A;$A180;FoodLog!$F:$F)=0;"";SUMIF(FoodLog!$A:$A;$A180;FoodLog!$F:$F)))</f>
        <v/>
      </c>
      <c r="W180">
        <f>IF($A180="";"";IF(SUMIF(FoodLog!$A:$A;$A180;FoodLog!$G:$G)=0;"";SUMIF(FoodLog!$A:$A;$A180;FoodLog!$G:$G)))</f>
        <v/>
      </c>
      <c r="X180">
        <f>IF($A180="";"";IF(SUMIF(FoodLog!$A:$A;$A180;FoodLog!$H:$H)=0;"";SUMIF(FoodLog!$A:$A;$A180;FoodLog!$H:$H)))</f>
        <v/>
      </c>
      <c r="Y180">
        <f>IF($A180="";"";IFERROR(ROUND(100*AVERAGE(IF($B180="";"";XLOOKUP($B180;FILTER(Dictionaries!$B:$B;Dictionaries!$A:$A="Тренировка");FILTER(Dictionaries!$C:$C;Dictionaries!$A:$A="Тренировка")));IF($C180="";"";MIN($C180/40;1));IF($D180="";"";XLOOKUP($D180;FILTER(Dictionaries!$B:$B;Dictionaries!$A:$A="Шаги");FILTER(Dictionaries!$C:$C;Dictionaries!$A:$A="Шаги")));IF($E180="";"";MIN($E180/120;1));IF(OR($F180&lt;&gt;"";$G180&lt;&gt;"");1;"");IF($H180="";"";MIN($H180/100;1));IF($L180="";"";XLOOKUP($L180;FILTER(Dictionaries!$B:$B;Dictionaries!$A:$A="Сон_часы");FILTER(Dictionaries!$C:$C;Dictionaries!$A:$A="Сон_часы")));IF($M180="";"";XLOOKUP($M180;FILTER(Dictionaries!$B:$B;Dictionaries!$A:$A="Режим");FILTER(Dictionaries!$C:$C;Dictionaries!$A:$A="Режим")));IF($N180="";"";MIN($N180/100;1));IF($O180="";"";XLOOKUP($O180;FILTER(Dictionaries!$B:$B;Dictionaries!$A:$A="Настроение");FILTER(Dictionaries!$C:$C;Dictionaries!$A:$A="Настроение")));IF($P180="";"";XLOOKUP($P180;FILTER(Dictionaries!$B:$B;Dictionaries!$A:$A="Энергия");FILTER(Dictionaries!$C:$C;Dictionaries!$A:$A="Энергия")));IF($U180="";"";AVERAGE(IF(OR($B180="Ноги";$B180="Верх");IFS(AND($U180&gt;=1900;$U180&lt;=2050);1;AND($U180&gt;=1850;$U180&lt;1900);0,7;AND($U180&gt;2050;$U180&lt;=2100);0,7;TRUE;0,2);IFS(AND($U180&gt;=1700;$U180&lt;=1850);1;AND($U180&gt;=1650;$U180&lt;1700);0,7;AND($U180&gt;1850;$U180&lt;=1900);0,7;TRUE;0,2));IF(OR($B180="Ноги";$B180="Верх");IFS(AND($V180&gt;=125;$V180&lt;=135);1;AND($V180&gt;=115;$V180&lt;125);0,7;AND($V180&gt;135;$V180&lt;=145);0,7;AND($V180&gt;=105;$V180&lt;115);0,4;AND($V180&gt;145;$V180&lt;=155);0,4;TRUE;0,2);IFS(AND($V180&gt;=120;$V180&lt;=130);1;AND($V180&gt;=110;$V180&lt;120);0,7;AND($V180&gt;130;$V180&lt;=140);0,7;AND($V180&gt;=100;$V180&lt;110);0,4;AND($V180&gt;140;$V180&lt;=150);0,4;TRUE;0,2));IFS(AND($W180&gt;=55;$W180&lt;=65);1;AND($W180&gt;=50;$W180&lt;55);0,7;AND($W180&gt;65;$W180&lt;=70);0,7;AND($W180&gt;=45;$W180&lt;50);0,4;AND($W180&gt;70;$W180&lt;=75);0,4;TRUE;0,2);IF(OR($B180="Ноги";$B180="Верх");IFS(AND($X180&gt;=180;$X180&lt;=210);1;AND($X180&gt;=160;$X180&lt;180);0,7;AND($X180&gt;210;$X180&lt;=230);0,7;AND($X180&gt;=140;$X180&lt;160);0,4;AND($X180&gt;230;$X180&lt;=250);0,4;TRUE;0,2);IFS(AND($X180&gt;=140;$X180&lt;=170);1;AND($X180&gt;=120;$X180&lt;140);0,7;AND($X180&gt;170;$X180&lt;=190);0,7;AND($X180&gt;=100;$X180&lt;120);0,4;AND($X180&gt;190;$X180&lt;=210);0,4;TRUE;0,2)))));1);""))</f>
        <v/>
      </c>
      <c r="Z180">
        <f>IF($A180="";"";TEXTJOIN(", ";TRUE;IF($B180="";"Тренировка";"");IF($C180="";"Кардио";"");IF($D180="";"Шаги";"");IF($E180="";"Английский";"");IF($F180="";"Код-режим";"");IF($G180="";"Код-тема";"");IF($H180="";"Чтение";"");IF($L180="";"Сон";"");IF($M180="";"Режим";"");IF($N180="";"Продуктивность";"");IF($O180="";"Настроение";"");IF($P180="";"Энергия";"");IF($U180="";"Еда";"")))</f>
        <v/>
      </c>
    </row>
    <row r="181">
      <c r="B181" t="inlineStr"/>
      <c r="C181" t="inlineStr"/>
      <c r="D181" t="inlineStr"/>
      <c r="E181" t="inlineStr"/>
      <c r="F181" t="inlineStr"/>
      <c r="G181" t="inlineStr"/>
      <c r="H181" t="inlineStr"/>
      <c r="I181" t="inlineStr"/>
      <c r="J181" t="inlineStr"/>
      <c r="K181" t="inlineStr"/>
      <c r="L181" t="inlineStr"/>
      <c r="M181" t="inlineStr"/>
      <c r="N181" t="inlineStr"/>
      <c r="O181" t="inlineStr"/>
      <c r="P181" t="inlineStr"/>
      <c r="Q181" t="inlineStr"/>
      <c r="R181" t="inlineStr"/>
      <c r="S181" t="inlineStr"/>
      <c r="T181" t="inlineStr"/>
      <c r="U181">
        <f>IF($A181="";"";IF(SUMIF(FoodLog!$A:$A;$A181;FoodLog!$I:$I)=0;"";SUMIF(FoodLog!$A:$A;$A181;FoodLog!$I:$I)))</f>
        <v/>
      </c>
      <c r="V181">
        <f>IF($A181="";"";IF(SUMIF(FoodLog!$A:$A;$A181;FoodLog!$F:$F)=0;"";SUMIF(FoodLog!$A:$A;$A181;FoodLog!$F:$F)))</f>
        <v/>
      </c>
      <c r="W181">
        <f>IF($A181="";"";IF(SUMIF(FoodLog!$A:$A;$A181;FoodLog!$G:$G)=0;"";SUMIF(FoodLog!$A:$A;$A181;FoodLog!$G:$G)))</f>
        <v/>
      </c>
      <c r="X181">
        <f>IF($A181="";"";IF(SUMIF(FoodLog!$A:$A;$A181;FoodLog!$H:$H)=0;"";SUMIF(FoodLog!$A:$A;$A181;FoodLog!$H:$H)))</f>
        <v/>
      </c>
      <c r="Y181">
        <f>IF($A181="";"";IFERROR(ROUND(100*AVERAGE(IF($B181="";"";XLOOKUP($B181;FILTER(Dictionaries!$B:$B;Dictionaries!$A:$A="Тренировка");FILTER(Dictionaries!$C:$C;Dictionaries!$A:$A="Тренировка")));IF($C181="";"";MIN($C181/40;1));IF($D181="";"";XLOOKUP($D181;FILTER(Dictionaries!$B:$B;Dictionaries!$A:$A="Шаги");FILTER(Dictionaries!$C:$C;Dictionaries!$A:$A="Шаги")));IF($E181="";"";MIN($E181/120;1));IF(OR($F181&lt;&gt;"";$G181&lt;&gt;"");1;"");IF($H181="";"";MIN($H181/100;1));IF($L181="";"";XLOOKUP($L181;FILTER(Dictionaries!$B:$B;Dictionaries!$A:$A="Сон_часы");FILTER(Dictionaries!$C:$C;Dictionaries!$A:$A="Сон_часы")));IF($M181="";"";XLOOKUP($M181;FILTER(Dictionaries!$B:$B;Dictionaries!$A:$A="Режим");FILTER(Dictionaries!$C:$C;Dictionaries!$A:$A="Режим")));IF($N181="";"";MIN($N181/100;1));IF($O181="";"";XLOOKUP($O181;FILTER(Dictionaries!$B:$B;Dictionaries!$A:$A="Настроение");FILTER(Dictionaries!$C:$C;Dictionaries!$A:$A="Настроение")));IF($P181="";"";XLOOKUP($P181;FILTER(Dictionaries!$B:$B;Dictionaries!$A:$A="Энергия");FILTER(Dictionaries!$C:$C;Dictionaries!$A:$A="Энергия")));IF($U181="";"";AVERAGE(IF(OR($B181="Ноги";$B181="Верх");IFS(AND($U181&gt;=1900;$U181&lt;=2050);1;AND($U181&gt;=1850;$U181&lt;1900);0,7;AND($U181&gt;2050;$U181&lt;=2100);0,7;TRUE;0,2);IFS(AND($U181&gt;=1700;$U181&lt;=1850);1;AND($U181&gt;=1650;$U181&lt;1700);0,7;AND($U181&gt;1850;$U181&lt;=1900);0,7;TRUE;0,2));IF(OR($B181="Ноги";$B181="Верх");IFS(AND($V181&gt;=125;$V181&lt;=135);1;AND($V181&gt;=115;$V181&lt;125);0,7;AND($V181&gt;135;$V181&lt;=145);0,7;AND($V181&gt;=105;$V181&lt;115);0,4;AND($V181&gt;145;$V181&lt;=155);0,4;TRUE;0,2);IFS(AND($V181&gt;=120;$V181&lt;=130);1;AND($V181&gt;=110;$V181&lt;120);0,7;AND($V181&gt;130;$V181&lt;=140);0,7;AND($V181&gt;=100;$V181&lt;110);0,4;AND($V181&gt;140;$V181&lt;=150);0,4;TRUE;0,2));IFS(AND($W181&gt;=55;$W181&lt;=65);1;AND($W181&gt;=50;$W181&lt;55);0,7;AND($W181&gt;65;$W181&lt;=70);0,7;AND($W181&gt;=45;$W181&lt;50);0,4;AND($W181&gt;70;$W181&lt;=75);0,4;TRUE;0,2);IF(OR($B181="Ноги";$B181="Верх");IFS(AND($X181&gt;=180;$X181&lt;=210);1;AND($X181&gt;=160;$X181&lt;180);0,7;AND($X181&gt;210;$X181&lt;=230);0,7;AND($X181&gt;=140;$X181&lt;160);0,4;AND($X181&gt;230;$X181&lt;=250);0,4;TRUE;0,2);IFS(AND($X181&gt;=140;$X181&lt;=170);1;AND($X181&gt;=120;$X181&lt;140);0,7;AND($X181&gt;170;$X181&lt;=190);0,7;AND($X181&gt;=100;$X181&lt;120);0,4;AND($X181&gt;190;$X181&lt;=210);0,4;TRUE;0,2)))));1);""))</f>
        <v/>
      </c>
      <c r="Z181">
        <f>IF($A181="";"";TEXTJOIN(", ";TRUE;IF($B181="";"Тренировка";"");IF($C181="";"Кардио";"");IF($D181="";"Шаги";"");IF($E181="";"Английский";"");IF($F181="";"Код-режим";"");IF($G181="";"Код-тема";"");IF($H181="";"Чтение";"");IF($L181="";"Сон";"");IF($M181="";"Режим";"");IF($N181="";"Продуктивность";"");IF($O181="";"Настроение";"");IF($P181="";"Энергия";"");IF($U181="";"Еда";"")))</f>
        <v/>
      </c>
    </row>
    <row r="182">
      <c r="B182" t="inlineStr"/>
      <c r="C182" t="inlineStr"/>
      <c r="D182" t="inlineStr"/>
      <c r="E182" t="inlineStr"/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/>
      <c r="P182" t="inlineStr"/>
      <c r="Q182" t="inlineStr"/>
      <c r="R182" t="inlineStr"/>
      <c r="S182" t="inlineStr"/>
      <c r="T182" t="inlineStr"/>
      <c r="U182">
        <f>IF($A182="";"";IF(SUMIF(FoodLog!$A:$A;$A182;FoodLog!$I:$I)=0;"";SUMIF(FoodLog!$A:$A;$A182;FoodLog!$I:$I)))</f>
        <v/>
      </c>
      <c r="V182">
        <f>IF($A182="";"";IF(SUMIF(FoodLog!$A:$A;$A182;FoodLog!$F:$F)=0;"";SUMIF(FoodLog!$A:$A;$A182;FoodLog!$F:$F)))</f>
        <v/>
      </c>
      <c r="W182">
        <f>IF($A182="";"";IF(SUMIF(FoodLog!$A:$A;$A182;FoodLog!$G:$G)=0;"";SUMIF(FoodLog!$A:$A;$A182;FoodLog!$G:$G)))</f>
        <v/>
      </c>
      <c r="X182">
        <f>IF($A182="";"";IF(SUMIF(FoodLog!$A:$A;$A182;FoodLog!$H:$H)=0;"";SUMIF(FoodLog!$A:$A;$A182;FoodLog!$H:$H)))</f>
        <v/>
      </c>
      <c r="Y182">
        <f>IF($A182="";"";IFERROR(ROUND(100*AVERAGE(IF($B182="";"";XLOOKUP($B182;FILTER(Dictionaries!$B:$B;Dictionaries!$A:$A="Тренировка");FILTER(Dictionaries!$C:$C;Dictionaries!$A:$A="Тренировка")));IF($C182="";"";MIN($C182/40;1));IF($D182="";"";XLOOKUP($D182;FILTER(Dictionaries!$B:$B;Dictionaries!$A:$A="Шаги");FILTER(Dictionaries!$C:$C;Dictionaries!$A:$A="Шаги")));IF($E182="";"";MIN($E182/120;1));IF(OR($F182&lt;&gt;"";$G182&lt;&gt;"");1;"");IF($H182="";"";MIN($H182/100;1));IF($L182="";"";XLOOKUP($L182;FILTER(Dictionaries!$B:$B;Dictionaries!$A:$A="Сон_часы");FILTER(Dictionaries!$C:$C;Dictionaries!$A:$A="Сон_часы")));IF($M182="";"";XLOOKUP($M182;FILTER(Dictionaries!$B:$B;Dictionaries!$A:$A="Режим");FILTER(Dictionaries!$C:$C;Dictionaries!$A:$A="Режим")));IF($N182="";"";MIN($N182/100;1));IF($O182="";"";XLOOKUP($O182;FILTER(Dictionaries!$B:$B;Dictionaries!$A:$A="Настроение");FILTER(Dictionaries!$C:$C;Dictionaries!$A:$A="Настроение")));IF($P182="";"";XLOOKUP($P182;FILTER(Dictionaries!$B:$B;Dictionaries!$A:$A="Энергия");FILTER(Dictionaries!$C:$C;Dictionaries!$A:$A="Энергия")));IF($U182="";"";AVERAGE(IF(OR($B182="Ноги";$B182="Верх");IFS(AND($U182&gt;=1900;$U182&lt;=2050);1;AND($U182&gt;=1850;$U182&lt;1900);0,7;AND($U182&gt;2050;$U182&lt;=2100);0,7;TRUE;0,2);IFS(AND($U182&gt;=1700;$U182&lt;=1850);1;AND($U182&gt;=1650;$U182&lt;1700);0,7;AND($U182&gt;1850;$U182&lt;=1900);0,7;TRUE;0,2));IF(OR($B182="Ноги";$B182="Верх");IFS(AND($V182&gt;=125;$V182&lt;=135);1;AND($V182&gt;=115;$V182&lt;125);0,7;AND($V182&gt;135;$V182&lt;=145);0,7;AND($V182&gt;=105;$V182&lt;115);0,4;AND($V182&gt;145;$V182&lt;=155);0,4;TRUE;0,2);IFS(AND($V182&gt;=120;$V182&lt;=130);1;AND($V182&gt;=110;$V182&lt;120);0,7;AND($V182&gt;130;$V182&lt;=140);0,7;AND($V182&gt;=100;$V182&lt;110);0,4;AND($V182&gt;140;$V182&lt;=150);0,4;TRUE;0,2));IFS(AND($W182&gt;=55;$W182&lt;=65);1;AND($W182&gt;=50;$W182&lt;55);0,7;AND($W182&gt;65;$W182&lt;=70);0,7;AND($W182&gt;=45;$W182&lt;50);0,4;AND($W182&gt;70;$W182&lt;=75);0,4;TRUE;0,2);IF(OR($B182="Ноги";$B182="Верх");IFS(AND($X182&gt;=180;$X182&lt;=210);1;AND($X182&gt;=160;$X182&lt;180);0,7;AND($X182&gt;210;$X182&lt;=230);0,7;AND($X182&gt;=140;$X182&lt;160);0,4;AND($X182&gt;230;$X182&lt;=250);0,4;TRUE;0,2);IFS(AND($X182&gt;=140;$X182&lt;=170);1;AND($X182&gt;=120;$X182&lt;140);0,7;AND($X182&gt;170;$X182&lt;=190);0,7;AND($X182&gt;=100;$X182&lt;120);0,4;AND($X182&gt;190;$X182&lt;=210);0,4;TRUE;0,2)))));1);""))</f>
        <v/>
      </c>
      <c r="Z182">
        <f>IF($A182="";"";TEXTJOIN(", ";TRUE;IF($B182="";"Тренировка";"");IF($C182="";"Кардио";"");IF($D182="";"Шаги";"");IF($E182="";"Английский";"");IF($F182="";"Код-режим";"");IF($G182="";"Код-тема";"");IF($H182="";"Чтение";"");IF($L182="";"Сон";"");IF($M182="";"Режим";"");IF($N182="";"Продуктивность";"");IF($O182="";"Настроение";"");IF($P182="";"Энергия";"");IF($U182="";"Еда";"")))</f>
        <v/>
      </c>
    </row>
    <row r="183">
      <c r="B183" t="inlineStr"/>
      <c r="C183" t="inlineStr"/>
      <c r="D183" t="inlineStr"/>
      <c r="E183" t="inlineStr"/>
      <c r="F183" t="inlineStr"/>
      <c r="G183" t="inlineStr"/>
      <c r="H183" t="inlineStr"/>
      <c r="I183" t="inlineStr"/>
      <c r="J183" t="inlineStr"/>
      <c r="K183" t="inlineStr"/>
      <c r="L183" t="inlineStr"/>
      <c r="M183" t="inlineStr"/>
      <c r="N183" t="inlineStr"/>
      <c r="O183" t="inlineStr"/>
      <c r="P183" t="inlineStr"/>
      <c r="Q183" t="inlineStr"/>
      <c r="R183" t="inlineStr"/>
      <c r="S183" t="inlineStr"/>
      <c r="T183" t="inlineStr"/>
      <c r="U183">
        <f>IF($A183="";"";IF(SUMIF(FoodLog!$A:$A;$A183;FoodLog!$I:$I)=0;"";SUMIF(FoodLog!$A:$A;$A183;FoodLog!$I:$I)))</f>
        <v/>
      </c>
      <c r="V183">
        <f>IF($A183="";"";IF(SUMIF(FoodLog!$A:$A;$A183;FoodLog!$F:$F)=0;"";SUMIF(FoodLog!$A:$A;$A183;FoodLog!$F:$F)))</f>
        <v/>
      </c>
      <c r="W183">
        <f>IF($A183="";"";IF(SUMIF(FoodLog!$A:$A;$A183;FoodLog!$G:$G)=0;"";SUMIF(FoodLog!$A:$A;$A183;FoodLog!$G:$G)))</f>
        <v/>
      </c>
      <c r="X183">
        <f>IF($A183="";"";IF(SUMIF(FoodLog!$A:$A;$A183;FoodLog!$H:$H)=0;"";SUMIF(FoodLog!$A:$A;$A183;FoodLog!$H:$H)))</f>
        <v/>
      </c>
      <c r="Y183">
        <f>IF($A183="";"";IFERROR(ROUND(100*AVERAGE(IF($B183="";"";XLOOKUP($B183;FILTER(Dictionaries!$B:$B;Dictionaries!$A:$A="Тренировка");FILTER(Dictionaries!$C:$C;Dictionaries!$A:$A="Тренировка")));IF($C183="";"";MIN($C183/40;1));IF($D183="";"";XLOOKUP($D183;FILTER(Dictionaries!$B:$B;Dictionaries!$A:$A="Шаги");FILTER(Dictionaries!$C:$C;Dictionaries!$A:$A="Шаги")));IF($E183="";"";MIN($E183/120;1));IF(OR($F183&lt;&gt;"";$G183&lt;&gt;"");1;"");IF($H183="";"";MIN($H183/100;1));IF($L183="";"";XLOOKUP($L183;FILTER(Dictionaries!$B:$B;Dictionaries!$A:$A="Сон_часы");FILTER(Dictionaries!$C:$C;Dictionaries!$A:$A="Сон_часы")));IF($M183="";"";XLOOKUP($M183;FILTER(Dictionaries!$B:$B;Dictionaries!$A:$A="Режим");FILTER(Dictionaries!$C:$C;Dictionaries!$A:$A="Режим")));IF($N183="";"";MIN($N183/100;1));IF($O183="";"";XLOOKUP($O183;FILTER(Dictionaries!$B:$B;Dictionaries!$A:$A="Настроение");FILTER(Dictionaries!$C:$C;Dictionaries!$A:$A="Настроение")));IF($P183="";"";XLOOKUP($P183;FILTER(Dictionaries!$B:$B;Dictionaries!$A:$A="Энергия");FILTER(Dictionaries!$C:$C;Dictionaries!$A:$A="Энергия")));IF($U183="";"";AVERAGE(IF(OR($B183="Ноги";$B183="Верх");IFS(AND($U183&gt;=1900;$U183&lt;=2050);1;AND($U183&gt;=1850;$U183&lt;1900);0,7;AND($U183&gt;2050;$U183&lt;=2100);0,7;TRUE;0,2);IFS(AND($U183&gt;=1700;$U183&lt;=1850);1;AND($U183&gt;=1650;$U183&lt;1700);0,7;AND($U183&gt;1850;$U183&lt;=1900);0,7;TRUE;0,2));IF(OR($B183="Ноги";$B183="Верх");IFS(AND($V183&gt;=125;$V183&lt;=135);1;AND($V183&gt;=115;$V183&lt;125);0,7;AND($V183&gt;135;$V183&lt;=145);0,7;AND($V183&gt;=105;$V183&lt;115);0,4;AND($V183&gt;145;$V183&lt;=155);0,4;TRUE;0,2);IFS(AND($V183&gt;=120;$V183&lt;=130);1;AND($V183&gt;=110;$V183&lt;120);0,7;AND($V183&gt;130;$V183&lt;=140);0,7;AND($V183&gt;=100;$V183&lt;110);0,4;AND($V183&gt;140;$V183&lt;=150);0,4;TRUE;0,2));IFS(AND($W183&gt;=55;$W183&lt;=65);1;AND($W183&gt;=50;$W183&lt;55);0,7;AND($W183&gt;65;$W183&lt;=70);0,7;AND($W183&gt;=45;$W183&lt;50);0,4;AND($W183&gt;70;$W183&lt;=75);0,4;TRUE;0,2);IF(OR($B183="Ноги";$B183="Верх");IFS(AND($X183&gt;=180;$X183&lt;=210);1;AND($X183&gt;=160;$X183&lt;180);0,7;AND($X183&gt;210;$X183&lt;=230);0,7;AND($X183&gt;=140;$X183&lt;160);0,4;AND($X183&gt;230;$X183&lt;=250);0,4;TRUE;0,2);IFS(AND($X183&gt;=140;$X183&lt;=170);1;AND($X183&gt;=120;$X183&lt;140);0,7;AND($X183&gt;170;$X183&lt;=190);0,7;AND($X183&gt;=100;$X183&lt;120);0,4;AND($X183&gt;190;$X183&lt;=210);0,4;TRUE;0,2)))));1);""))</f>
        <v/>
      </c>
      <c r="Z183">
        <f>IF($A183="";"";TEXTJOIN(", ";TRUE;IF($B183="";"Тренировка";"");IF($C183="";"Кардио";"");IF($D183="";"Шаги";"");IF($E183="";"Английский";"");IF($F183="";"Код-режим";"");IF($G183="";"Код-тема";"");IF($H183="";"Чтение";"");IF($L183="";"Сон";"");IF($M183="";"Режим";"");IF($N183="";"Продуктивность";"");IF($O183="";"Настроение";"");IF($P183="";"Энергия";"");IF($U183="";"Еда";"")))</f>
        <v/>
      </c>
    </row>
    <row r="184">
      <c r="B184" t="inlineStr"/>
      <c r="C184" t="inlineStr"/>
      <c r="D184" t="inlineStr"/>
      <c r="E184" t="inlineStr"/>
      <c r="F184" t="inlineStr"/>
      <c r="G184" t="inlineStr"/>
      <c r="H184" t="inlineStr"/>
      <c r="I184" t="inlineStr"/>
      <c r="J184" t="inlineStr"/>
      <c r="K184" t="inlineStr"/>
      <c r="L184" t="inlineStr"/>
      <c r="M184" t="inlineStr"/>
      <c r="N184" t="inlineStr"/>
      <c r="O184" t="inlineStr"/>
      <c r="P184" t="inlineStr"/>
      <c r="Q184" t="inlineStr"/>
      <c r="R184" t="inlineStr"/>
      <c r="S184" t="inlineStr"/>
      <c r="T184" t="inlineStr"/>
      <c r="U184">
        <f>IF($A184="";"";IF(SUMIF(FoodLog!$A:$A;$A184;FoodLog!$I:$I)=0;"";SUMIF(FoodLog!$A:$A;$A184;FoodLog!$I:$I)))</f>
        <v/>
      </c>
      <c r="V184">
        <f>IF($A184="";"";IF(SUMIF(FoodLog!$A:$A;$A184;FoodLog!$F:$F)=0;"";SUMIF(FoodLog!$A:$A;$A184;FoodLog!$F:$F)))</f>
        <v/>
      </c>
      <c r="W184">
        <f>IF($A184="";"";IF(SUMIF(FoodLog!$A:$A;$A184;FoodLog!$G:$G)=0;"";SUMIF(FoodLog!$A:$A;$A184;FoodLog!$G:$G)))</f>
        <v/>
      </c>
      <c r="X184">
        <f>IF($A184="";"";IF(SUMIF(FoodLog!$A:$A;$A184;FoodLog!$H:$H)=0;"";SUMIF(FoodLog!$A:$A;$A184;FoodLog!$H:$H)))</f>
        <v/>
      </c>
      <c r="Y184">
        <f>IF($A184="";"";IFERROR(ROUND(100*AVERAGE(IF($B184="";"";XLOOKUP($B184;FILTER(Dictionaries!$B:$B;Dictionaries!$A:$A="Тренировка");FILTER(Dictionaries!$C:$C;Dictionaries!$A:$A="Тренировка")));IF($C184="";"";MIN($C184/40;1));IF($D184="";"";XLOOKUP($D184;FILTER(Dictionaries!$B:$B;Dictionaries!$A:$A="Шаги");FILTER(Dictionaries!$C:$C;Dictionaries!$A:$A="Шаги")));IF($E184="";"";MIN($E184/120;1));IF(OR($F184&lt;&gt;"";$G184&lt;&gt;"");1;"");IF($H184="";"";MIN($H184/100;1));IF($L184="";"";XLOOKUP($L184;FILTER(Dictionaries!$B:$B;Dictionaries!$A:$A="Сон_часы");FILTER(Dictionaries!$C:$C;Dictionaries!$A:$A="Сон_часы")));IF($M184="";"";XLOOKUP($M184;FILTER(Dictionaries!$B:$B;Dictionaries!$A:$A="Режим");FILTER(Dictionaries!$C:$C;Dictionaries!$A:$A="Режим")));IF($N184="";"";MIN($N184/100;1));IF($O184="";"";XLOOKUP($O184;FILTER(Dictionaries!$B:$B;Dictionaries!$A:$A="Настроение");FILTER(Dictionaries!$C:$C;Dictionaries!$A:$A="Настроение")));IF($P184="";"";XLOOKUP($P184;FILTER(Dictionaries!$B:$B;Dictionaries!$A:$A="Энергия");FILTER(Dictionaries!$C:$C;Dictionaries!$A:$A="Энергия")));IF($U184="";"";AVERAGE(IF(OR($B184="Ноги";$B184="Верх");IFS(AND($U184&gt;=1900;$U184&lt;=2050);1;AND($U184&gt;=1850;$U184&lt;1900);0,7;AND($U184&gt;2050;$U184&lt;=2100);0,7;TRUE;0,2);IFS(AND($U184&gt;=1700;$U184&lt;=1850);1;AND($U184&gt;=1650;$U184&lt;1700);0,7;AND($U184&gt;1850;$U184&lt;=1900);0,7;TRUE;0,2));IF(OR($B184="Ноги";$B184="Верх");IFS(AND($V184&gt;=125;$V184&lt;=135);1;AND($V184&gt;=115;$V184&lt;125);0,7;AND($V184&gt;135;$V184&lt;=145);0,7;AND($V184&gt;=105;$V184&lt;115);0,4;AND($V184&gt;145;$V184&lt;=155);0,4;TRUE;0,2);IFS(AND($V184&gt;=120;$V184&lt;=130);1;AND($V184&gt;=110;$V184&lt;120);0,7;AND($V184&gt;130;$V184&lt;=140);0,7;AND($V184&gt;=100;$V184&lt;110);0,4;AND($V184&gt;140;$V184&lt;=150);0,4;TRUE;0,2));IFS(AND($W184&gt;=55;$W184&lt;=65);1;AND($W184&gt;=50;$W184&lt;55);0,7;AND($W184&gt;65;$W184&lt;=70);0,7;AND($W184&gt;=45;$W184&lt;50);0,4;AND($W184&gt;70;$W184&lt;=75);0,4;TRUE;0,2);IF(OR($B184="Ноги";$B184="Верх");IFS(AND($X184&gt;=180;$X184&lt;=210);1;AND($X184&gt;=160;$X184&lt;180);0,7;AND($X184&gt;210;$X184&lt;=230);0,7;AND($X184&gt;=140;$X184&lt;160);0,4;AND($X184&gt;230;$X184&lt;=250);0,4;TRUE;0,2);IFS(AND($X184&gt;=140;$X184&lt;=170);1;AND($X184&gt;=120;$X184&lt;140);0,7;AND($X184&gt;170;$X184&lt;=190);0,7;AND($X184&gt;=100;$X184&lt;120);0,4;AND($X184&gt;190;$X184&lt;=210);0,4;TRUE;0,2)))));1);""))</f>
        <v/>
      </c>
      <c r="Z184">
        <f>IF($A184="";"";TEXTJOIN(", ";TRUE;IF($B184="";"Тренировка";"");IF($C184="";"Кардио";"");IF($D184="";"Шаги";"");IF($E184="";"Английский";"");IF($F184="";"Код-режим";"");IF($G184="";"Код-тема";"");IF($H184="";"Чтение";"");IF($L184="";"Сон";"");IF($M184="";"Режим";"");IF($N184="";"Продуктивность";"");IF($O184="";"Настроение";"");IF($P184="";"Энергия";"");IF($U184="";"Еда";"")))</f>
        <v/>
      </c>
    </row>
    <row r="185">
      <c r="B185" t="inlineStr"/>
      <c r="C185" t="inlineStr"/>
      <c r="D185" t="inlineStr"/>
      <c r="E185" t="inlineStr"/>
      <c r="F185" t="inlineStr"/>
      <c r="G185" t="inlineStr"/>
      <c r="H185" t="inlineStr"/>
      <c r="I185" t="inlineStr"/>
      <c r="J185" t="inlineStr"/>
      <c r="K185" t="inlineStr"/>
      <c r="L185" t="inlineStr"/>
      <c r="M185" t="inlineStr"/>
      <c r="N185" t="inlineStr"/>
      <c r="O185" t="inlineStr"/>
      <c r="P185" t="inlineStr"/>
      <c r="Q185" t="inlineStr"/>
      <c r="R185" t="inlineStr"/>
      <c r="S185" t="inlineStr"/>
      <c r="T185" t="inlineStr"/>
      <c r="U185">
        <f>IF($A185="";"";IF(SUMIF(FoodLog!$A:$A;$A185;FoodLog!$I:$I)=0;"";SUMIF(FoodLog!$A:$A;$A185;FoodLog!$I:$I)))</f>
        <v/>
      </c>
      <c r="V185">
        <f>IF($A185="";"";IF(SUMIF(FoodLog!$A:$A;$A185;FoodLog!$F:$F)=0;"";SUMIF(FoodLog!$A:$A;$A185;FoodLog!$F:$F)))</f>
        <v/>
      </c>
      <c r="W185">
        <f>IF($A185="";"";IF(SUMIF(FoodLog!$A:$A;$A185;FoodLog!$G:$G)=0;"";SUMIF(FoodLog!$A:$A;$A185;FoodLog!$G:$G)))</f>
        <v/>
      </c>
      <c r="X185">
        <f>IF($A185="";"";IF(SUMIF(FoodLog!$A:$A;$A185;FoodLog!$H:$H)=0;"";SUMIF(FoodLog!$A:$A;$A185;FoodLog!$H:$H)))</f>
        <v/>
      </c>
      <c r="Y185">
        <f>IF($A185="";"";IFERROR(ROUND(100*AVERAGE(IF($B185="";"";XLOOKUP($B185;FILTER(Dictionaries!$B:$B;Dictionaries!$A:$A="Тренировка");FILTER(Dictionaries!$C:$C;Dictionaries!$A:$A="Тренировка")));IF($C185="";"";MIN($C185/40;1));IF($D185="";"";XLOOKUP($D185;FILTER(Dictionaries!$B:$B;Dictionaries!$A:$A="Шаги");FILTER(Dictionaries!$C:$C;Dictionaries!$A:$A="Шаги")));IF($E185="";"";MIN($E185/120;1));IF(OR($F185&lt;&gt;"";$G185&lt;&gt;"");1;"");IF($H185="";"";MIN($H185/100;1));IF($L185="";"";XLOOKUP($L185;FILTER(Dictionaries!$B:$B;Dictionaries!$A:$A="Сон_часы");FILTER(Dictionaries!$C:$C;Dictionaries!$A:$A="Сон_часы")));IF($M185="";"";XLOOKUP($M185;FILTER(Dictionaries!$B:$B;Dictionaries!$A:$A="Режим");FILTER(Dictionaries!$C:$C;Dictionaries!$A:$A="Режим")));IF($N185="";"";MIN($N185/100;1));IF($O185="";"";XLOOKUP($O185;FILTER(Dictionaries!$B:$B;Dictionaries!$A:$A="Настроение");FILTER(Dictionaries!$C:$C;Dictionaries!$A:$A="Настроение")));IF($P185="";"";XLOOKUP($P185;FILTER(Dictionaries!$B:$B;Dictionaries!$A:$A="Энергия");FILTER(Dictionaries!$C:$C;Dictionaries!$A:$A="Энергия")));IF($U185="";"";AVERAGE(IF(OR($B185="Ноги";$B185="Верх");IFS(AND($U185&gt;=1900;$U185&lt;=2050);1;AND($U185&gt;=1850;$U185&lt;1900);0,7;AND($U185&gt;2050;$U185&lt;=2100);0,7;TRUE;0,2);IFS(AND($U185&gt;=1700;$U185&lt;=1850);1;AND($U185&gt;=1650;$U185&lt;1700);0,7;AND($U185&gt;1850;$U185&lt;=1900);0,7;TRUE;0,2));IF(OR($B185="Ноги";$B185="Верх");IFS(AND($V185&gt;=125;$V185&lt;=135);1;AND($V185&gt;=115;$V185&lt;125);0,7;AND($V185&gt;135;$V185&lt;=145);0,7;AND($V185&gt;=105;$V185&lt;115);0,4;AND($V185&gt;145;$V185&lt;=155);0,4;TRUE;0,2);IFS(AND($V185&gt;=120;$V185&lt;=130);1;AND($V185&gt;=110;$V185&lt;120);0,7;AND($V185&gt;130;$V185&lt;=140);0,7;AND($V185&gt;=100;$V185&lt;110);0,4;AND($V185&gt;140;$V185&lt;=150);0,4;TRUE;0,2));IFS(AND($W185&gt;=55;$W185&lt;=65);1;AND($W185&gt;=50;$W185&lt;55);0,7;AND($W185&gt;65;$W185&lt;=70);0,7;AND($W185&gt;=45;$W185&lt;50);0,4;AND($W185&gt;70;$W185&lt;=75);0,4;TRUE;0,2);IF(OR($B185="Ноги";$B185="Верх");IFS(AND($X185&gt;=180;$X185&lt;=210);1;AND($X185&gt;=160;$X185&lt;180);0,7;AND($X185&gt;210;$X185&lt;=230);0,7;AND($X185&gt;=140;$X185&lt;160);0,4;AND($X185&gt;230;$X185&lt;=250);0,4;TRUE;0,2);IFS(AND($X185&gt;=140;$X185&lt;=170);1;AND($X185&gt;=120;$X185&lt;140);0,7;AND($X185&gt;170;$X185&lt;=190);0,7;AND($X185&gt;=100;$X185&lt;120);0,4;AND($X185&gt;190;$X185&lt;=210);0,4;TRUE;0,2)))));1);""))</f>
        <v/>
      </c>
      <c r="Z185">
        <f>IF($A185="";"";TEXTJOIN(", ";TRUE;IF($B185="";"Тренировка";"");IF($C185="";"Кардио";"");IF($D185="";"Шаги";"");IF($E185="";"Английский";"");IF($F185="";"Код-режим";"");IF($G185="";"Код-тема";"");IF($H185="";"Чтение";"");IF($L185="";"Сон";"");IF($M185="";"Режим";"");IF($N185="";"Продуктивность";"");IF($O185="";"Настроение";"");IF($P185="";"Энергия";"");IF($U185="";"Еда";"")))</f>
        <v/>
      </c>
    </row>
    <row r="186">
      <c r="B186" t="inlineStr"/>
      <c r="C186" t="inlineStr"/>
      <c r="D186" t="inlineStr"/>
      <c r="E186" t="inlineStr"/>
      <c r="F186" t="inlineStr"/>
      <c r="G186" t="inlineStr"/>
      <c r="H186" t="inlineStr"/>
      <c r="I186" t="inlineStr"/>
      <c r="J186" t="inlineStr"/>
      <c r="K186" t="inlineStr"/>
      <c r="L186" t="inlineStr"/>
      <c r="M186" t="inlineStr"/>
      <c r="N186" t="inlineStr"/>
      <c r="O186" t="inlineStr"/>
      <c r="P186" t="inlineStr"/>
      <c r="Q186" t="inlineStr"/>
      <c r="R186" t="inlineStr"/>
      <c r="S186" t="inlineStr"/>
      <c r="T186" t="inlineStr"/>
      <c r="U186">
        <f>IF($A186="";"";IF(SUMIF(FoodLog!$A:$A;$A186;FoodLog!$I:$I)=0;"";SUMIF(FoodLog!$A:$A;$A186;FoodLog!$I:$I)))</f>
        <v/>
      </c>
      <c r="V186">
        <f>IF($A186="";"";IF(SUMIF(FoodLog!$A:$A;$A186;FoodLog!$F:$F)=0;"";SUMIF(FoodLog!$A:$A;$A186;FoodLog!$F:$F)))</f>
        <v/>
      </c>
      <c r="W186">
        <f>IF($A186="";"";IF(SUMIF(FoodLog!$A:$A;$A186;FoodLog!$G:$G)=0;"";SUMIF(FoodLog!$A:$A;$A186;FoodLog!$G:$G)))</f>
        <v/>
      </c>
      <c r="X186">
        <f>IF($A186="";"";IF(SUMIF(FoodLog!$A:$A;$A186;FoodLog!$H:$H)=0;"";SUMIF(FoodLog!$A:$A;$A186;FoodLog!$H:$H)))</f>
        <v/>
      </c>
      <c r="Y186">
        <f>IF($A186="";"";IFERROR(ROUND(100*AVERAGE(IF($B186="";"";XLOOKUP($B186;FILTER(Dictionaries!$B:$B;Dictionaries!$A:$A="Тренировка");FILTER(Dictionaries!$C:$C;Dictionaries!$A:$A="Тренировка")));IF($C186="";"";MIN($C186/40;1));IF($D186="";"";XLOOKUP($D186;FILTER(Dictionaries!$B:$B;Dictionaries!$A:$A="Шаги");FILTER(Dictionaries!$C:$C;Dictionaries!$A:$A="Шаги")));IF($E186="";"";MIN($E186/120;1));IF(OR($F186&lt;&gt;"";$G186&lt;&gt;"");1;"");IF($H186="";"";MIN($H186/100;1));IF($L186="";"";XLOOKUP($L186;FILTER(Dictionaries!$B:$B;Dictionaries!$A:$A="Сон_часы");FILTER(Dictionaries!$C:$C;Dictionaries!$A:$A="Сон_часы")));IF($M186="";"";XLOOKUP($M186;FILTER(Dictionaries!$B:$B;Dictionaries!$A:$A="Режим");FILTER(Dictionaries!$C:$C;Dictionaries!$A:$A="Режим")));IF($N186="";"";MIN($N186/100;1));IF($O186="";"";XLOOKUP($O186;FILTER(Dictionaries!$B:$B;Dictionaries!$A:$A="Настроение");FILTER(Dictionaries!$C:$C;Dictionaries!$A:$A="Настроение")));IF($P186="";"";XLOOKUP($P186;FILTER(Dictionaries!$B:$B;Dictionaries!$A:$A="Энергия");FILTER(Dictionaries!$C:$C;Dictionaries!$A:$A="Энергия")));IF($U186="";"";AVERAGE(IF(OR($B186="Ноги";$B186="Верх");IFS(AND($U186&gt;=1900;$U186&lt;=2050);1;AND($U186&gt;=1850;$U186&lt;1900);0,7;AND($U186&gt;2050;$U186&lt;=2100);0,7;TRUE;0,2);IFS(AND($U186&gt;=1700;$U186&lt;=1850);1;AND($U186&gt;=1650;$U186&lt;1700);0,7;AND($U186&gt;1850;$U186&lt;=1900);0,7;TRUE;0,2));IF(OR($B186="Ноги";$B186="Верх");IFS(AND($V186&gt;=125;$V186&lt;=135);1;AND($V186&gt;=115;$V186&lt;125);0,7;AND($V186&gt;135;$V186&lt;=145);0,7;AND($V186&gt;=105;$V186&lt;115);0,4;AND($V186&gt;145;$V186&lt;=155);0,4;TRUE;0,2);IFS(AND($V186&gt;=120;$V186&lt;=130);1;AND($V186&gt;=110;$V186&lt;120);0,7;AND($V186&gt;130;$V186&lt;=140);0,7;AND($V186&gt;=100;$V186&lt;110);0,4;AND($V186&gt;140;$V186&lt;=150);0,4;TRUE;0,2));IFS(AND($W186&gt;=55;$W186&lt;=65);1;AND($W186&gt;=50;$W186&lt;55);0,7;AND($W186&gt;65;$W186&lt;=70);0,7;AND($W186&gt;=45;$W186&lt;50);0,4;AND($W186&gt;70;$W186&lt;=75);0,4;TRUE;0,2);IF(OR($B186="Ноги";$B186="Верх");IFS(AND($X186&gt;=180;$X186&lt;=210);1;AND($X186&gt;=160;$X186&lt;180);0,7;AND($X186&gt;210;$X186&lt;=230);0,7;AND($X186&gt;=140;$X186&lt;160);0,4;AND($X186&gt;230;$X186&lt;=250);0,4;TRUE;0,2);IFS(AND($X186&gt;=140;$X186&lt;=170);1;AND($X186&gt;=120;$X186&lt;140);0,7;AND($X186&gt;170;$X186&lt;=190);0,7;AND($X186&gt;=100;$X186&lt;120);0,4;AND($X186&gt;190;$X186&lt;=210);0,4;TRUE;0,2)))));1);""))</f>
        <v/>
      </c>
      <c r="Z186">
        <f>IF($A186="";"";TEXTJOIN(", ";TRUE;IF($B186="";"Тренировка";"");IF($C186="";"Кардио";"");IF($D186="";"Шаги";"");IF($E186="";"Английский";"");IF($F186="";"Код-режим";"");IF($G186="";"Код-тема";"");IF($H186="";"Чтение";"");IF($L186="";"Сон";"");IF($M186="";"Режим";"");IF($N186="";"Продуктивность";"");IF($O186="";"Настроение";"");IF($P186="";"Энергия";"");IF($U186="";"Еда";"")))</f>
        <v/>
      </c>
    </row>
    <row r="187">
      <c r="B187" t="inlineStr"/>
      <c r="C187" t="inlineStr"/>
      <c r="D187" t="inlineStr"/>
      <c r="E187" t="inlineStr"/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/>
      <c r="P187" t="inlineStr"/>
      <c r="Q187" t="inlineStr"/>
      <c r="R187" t="inlineStr"/>
      <c r="S187" t="inlineStr"/>
      <c r="T187" t="inlineStr"/>
      <c r="U187">
        <f>IF($A187="";"";IF(SUMIF(FoodLog!$A:$A;$A187;FoodLog!$I:$I)=0;"";SUMIF(FoodLog!$A:$A;$A187;FoodLog!$I:$I)))</f>
        <v/>
      </c>
      <c r="V187">
        <f>IF($A187="";"";IF(SUMIF(FoodLog!$A:$A;$A187;FoodLog!$F:$F)=0;"";SUMIF(FoodLog!$A:$A;$A187;FoodLog!$F:$F)))</f>
        <v/>
      </c>
      <c r="W187">
        <f>IF($A187="";"";IF(SUMIF(FoodLog!$A:$A;$A187;FoodLog!$G:$G)=0;"";SUMIF(FoodLog!$A:$A;$A187;FoodLog!$G:$G)))</f>
        <v/>
      </c>
      <c r="X187">
        <f>IF($A187="";"";IF(SUMIF(FoodLog!$A:$A;$A187;FoodLog!$H:$H)=0;"";SUMIF(FoodLog!$A:$A;$A187;FoodLog!$H:$H)))</f>
        <v/>
      </c>
      <c r="Y187">
        <f>IF($A187="";"";IFERROR(ROUND(100*AVERAGE(IF($B187="";"";XLOOKUP($B187;FILTER(Dictionaries!$B:$B;Dictionaries!$A:$A="Тренировка");FILTER(Dictionaries!$C:$C;Dictionaries!$A:$A="Тренировка")));IF($C187="";"";MIN($C187/40;1));IF($D187="";"";XLOOKUP($D187;FILTER(Dictionaries!$B:$B;Dictionaries!$A:$A="Шаги");FILTER(Dictionaries!$C:$C;Dictionaries!$A:$A="Шаги")));IF($E187="";"";MIN($E187/120;1));IF(OR($F187&lt;&gt;"";$G187&lt;&gt;"");1;"");IF($H187="";"";MIN($H187/100;1));IF($L187="";"";XLOOKUP($L187;FILTER(Dictionaries!$B:$B;Dictionaries!$A:$A="Сон_часы");FILTER(Dictionaries!$C:$C;Dictionaries!$A:$A="Сон_часы")));IF($M187="";"";XLOOKUP($M187;FILTER(Dictionaries!$B:$B;Dictionaries!$A:$A="Режим");FILTER(Dictionaries!$C:$C;Dictionaries!$A:$A="Режим")));IF($N187="";"";MIN($N187/100;1));IF($O187="";"";XLOOKUP($O187;FILTER(Dictionaries!$B:$B;Dictionaries!$A:$A="Настроение");FILTER(Dictionaries!$C:$C;Dictionaries!$A:$A="Настроение")));IF($P187="";"";XLOOKUP($P187;FILTER(Dictionaries!$B:$B;Dictionaries!$A:$A="Энергия");FILTER(Dictionaries!$C:$C;Dictionaries!$A:$A="Энергия")));IF($U187="";"";AVERAGE(IF(OR($B187="Ноги";$B187="Верх");IFS(AND($U187&gt;=1900;$U187&lt;=2050);1;AND($U187&gt;=1850;$U187&lt;1900);0,7;AND($U187&gt;2050;$U187&lt;=2100);0,7;TRUE;0,2);IFS(AND($U187&gt;=1700;$U187&lt;=1850);1;AND($U187&gt;=1650;$U187&lt;1700);0,7;AND($U187&gt;1850;$U187&lt;=1900);0,7;TRUE;0,2));IF(OR($B187="Ноги";$B187="Верх");IFS(AND($V187&gt;=125;$V187&lt;=135);1;AND($V187&gt;=115;$V187&lt;125);0,7;AND($V187&gt;135;$V187&lt;=145);0,7;AND($V187&gt;=105;$V187&lt;115);0,4;AND($V187&gt;145;$V187&lt;=155);0,4;TRUE;0,2);IFS(AND($V187&gt;=120;$V187&lt;=130);1;AND($V187&gt;=110;$V187&lt;120);0,7;AND($V187&gt;130;$V187&lt;=140);0,7;AND($V187&gt;=100;$V187&lt;110);0,4;AND($V187&gt;140;$V187&lt;=150);0,4;TRUE;0,2));IFS(AND($W187&gt;=55;$W187&lt;=65);1;AND($W187&gt;=50;$W187&lt;55);0,7;AND($W187&gt;65;$W187&lt;=70);0,7;AND($W187&gt;=45;$W187&lt;50);0,4;AND($W187&gt;70;$W187&lt;=75);0,4;TRUE;0,2);IF(OR($B187="Ноги";$B187="Верх");IFS(AND($X187&gt;=180;$X187&lt;=210);1;AND($X187&gt;=160;$X187&lt;180);0,7;AND($X187&gt;210;$X187&lt;=230);0,7;AND($X187&gt;=140;$X187&lt;160);0,4;AND($X187&gt;230;$X187&lt;=250);0,4;TRUE;0,2);IFS(AND($X187&gt;=140;$X187&lt;=170);1;AND($X187&gt;=120;$X187&lt;140);0,7;AND($X187&gt;170;$X187&lt;=190);0,7;AND($X187&gt;=100;$X187&lt;120);0,4;AND($X187&gt;190;$X187&lt;=210);0,4;TRUE;0,2)))));1);""))</f>
        <v/>
      </c>
      <c r="Z187">
        <f>IF($A187="";"";TEXTJOIN(", ";TRUE;IF($B187="";"Тренировка";"");IF($C187="";"Кардио";"");IF($D187="";"Шаги";"");IF($E187="";"Английский";"");IF($F187="";"Код-режим";"");IF($G187="";"Код-тема";"");IF($H187="";"Чтение";"");IF($L187="";"Сон";"");IF($M187="";"Режим";"");IF($N187="";"Продуктивность";"");IF($O187="";"Настроение";"");IF($P187="";"Энергия";"");IF($U187="";"Еда";"")))</f>
        <v/>
      </c>
    </row>
    <row r="188">
      <c r="B188" t="inlineStr"/>
      <c r="C188" t="inlineStr"/>
      <c r="D188" t="inlineStr"/>
      <c r="E188" t="inlineStr"/>
      <c r="F188" t="inlineStr"/>
      <c r="G188" t="inlineStr"/>
      <c r="H188" t="inlineStr"/>
      <c r="I188" t="inlineStr"/>
      <c r="J188" t="inlineStr"/>
      <c r="K188" t="inlineStr"/>
      <c r="L188" t="inlineStr"/>
      <c r="M188" t="inlineStr"/>
      <c r="N188" t="inlineStr"/>
      <c r="O188" t="inlineStr"/>
      <c r="P188" t="inlineStr"/>
      <c r="Q188" t="inlineStr"/>
      <c r="R188" t="inlineStr"/>
      <c r="S188" t="inlineStr"/>
      <c r="T188" t="inlineStr"/>
      <c r="U188">
        <f>IF($A188="";"";IF(SUMIF(FoodLog!$A:$A;$A188;FoodLog!$I:$I)=0;"";SUMIF(FoodLog!$A:$A;$A188;FoodLog!$I:$I)))</f>
        <v/>
      </c>
      <c r="V188">
        <f>IF($A188="";"";IF(SUMIF(FoodLog!$A:$A;$A188;FoodLog!$F:$F)=0;"";SUMIF(FoodLog!$A:$A;$A188;FoodLog!$F:$F)))</f>
        <v/>
      </c>
      <c r="W188">
        <f>IF($A188="";"";IF(SUMIF(FoodLog!$A:$A;$A188;FoodLog!$G:$G)=0;"";SUMIF(FoodLog!$A:$A;$A188;FoodLog!$G:$G)))</f>
        <v/>
      </c>
      <c r="X188">
        <f>IF($A188="";"";IF(SUMIF(FoodLog!$A:$A;$A188;FoodLog!$H:$H)=0;"";SUMIF(FoodLog!$A:$A;$A188;FoodLog!$H:$H)))</f>
        <v/>
      </c>
      <c r="Y188">
        <f>IF($A188="";"";IFERROR(ROUND(100*AVERAGE(IF($B188="";"";XLOOKUP($B188;FILTER(Dictionaries!$B:$B;Dictionaries!$A:$A="Тренировка");FILTER(Dictionaries!$C:$C;Dictionaries!$A:$A="Тренировка")));IF($C188="";"";MIN($C188/40;1));IF($D188="";"";XLOOKUP($D188;FILTER(Dictionaries!$B:$B;Dictionaries!$A:$A="Шаги");FILTER(Dictionaries!$C:$C;Dictionaries!$A:$A="Шаги")));IF($E188="";"";MIN($E188/120;1));IF(OR($F188&lt;&gt;"";$G188&lt;&gt;"");1;"");IF($H188="";"";MIN($H188/100;1));IF($L188="";"";XLOOKUP($L188;FILTER(Dictionaries!$B:$B;Dictionaries!$A:$A="Сон_часы");FILTER(Dictionaries!$C:$C;Dictionaries!$A:$A="Сон_часы")));IF($M188="";"";XLOOKUP($M188;FILTER(Dictionaries!$B:$B;Dictionaries!$A:$A="Режим");FILTER(Dictionaries!$C:$C;Dictionaries!$A:$A="Режим")));IF($N188="";"";MIN($N188/100;1));IF($O188="";"";XLOOKUP($O188;FILTER(Dictionaries!$B:$B;Dictionaries!$A:$A="Настроение");FILTER(Dictionaries!$C:$C;Dictionaries!$A:$A="Настроение")));IF($P188="";"";XLOOKUP($P188;FILTER(Dictionaries!$B:$B;Dictionaries!$A:$A="Энергия");FILTER(Dictionaries!$C:$C;Dictionaries!$A:$A="Энергия")));IF($U188="";"";AVERAGE(IF(OR($B188="Ноги";$B188="Верх");IFS(AND($U188&gt;=1900;$U188&lt;=2050);1;AND($U188&gt;=1850;$U188&lt;1900);0,7;AND($U188&gt;2050;$U188&lt;=2100);0,7;TRUE;0,2);IFS(AND($U188&gt;=1700;$U188&lt;=1850);1;AND($U188&gt;=1650;$U188&lt;1700);0,7;AND($U188&gt;1850;$U188&lt;=1900);0,7;TRUE;0,2));IF(OR($B188="Ноги";$B188="Верх");IFS(AND($V188&gt;=125;$V188&lt;=135);1;AND($V188&gt;=115;$V188&lt;125);0,7;AND($V188&gt;135;$V188&lt;=145);0,7;AND($V188&gt;=105;$V188&lt;115);0,4;AND($V188&gt;145;$V188&lt;=155);0,4;TRUE;0,2);IFS(AND($V188&gt;=120;$V188&lt;=130);1;AND($V188&gt;=110;$V188&lt;120);0,7;AND($V188&gt;130;$V188&lt;=140);0,7;AND($V188&gt;=100;$V188&lt;110);0,4;AND($V188&gt;140;$V188&lt;=150);0,4;TRUE;0,2));IFS(AND($W188&gt;=55;$W188&lt;=65);1;AND($W188&gt;=50;$W188&lt;55);0,7;AND($W188&gt;65;$W188&lt;=70);0,7;AND($W188&gt;=45;$W188&lt;50);0,4;AND($W188&gt;70;$W188&lt;=75);0,4;TRUE;0,2);IF(OR($B188="Ноги";$B188="Верх");IFS(AND($X188&gt;=180;$X188&lt;=210);1;AND($X188&gt;=160;$X188&lt;180);0,7;AND($X188&gt;210;$X188&lt;=230);0,7;AND($X188&gt;=140;$X188&lt;160);0,4;AND($X188&gt;230;$X188&lt;=250);0,4;TRUE;0,2);IFS(AND($X188&gt;=140;$X188&lt;=170);1;AND($X188&gt;=120;$X188&lt;140);0,7;AND($X188&gt;170;$X188&lt;=190);0,7;AND($X188&gt;=100;$X188&lt;120);0,4;AND($X188&gt;190;$X188&lt;=210);0,4;TRUE;0,2)))));1);""))</f>
        <v/>
      </c>
      <c r="Z188">
        <f>IF($A188="";"";TEXTJOIN(", ";TRUE;IF($B188="";"Тренировка";"");IF($C188="";"Кардио";"");IF($D188="";"Шаги";"");IF($E188="";"Английский";"");IF($F188="";"Код-режим";"");IF($G188="";"Код-тема";"");IF($H188="";"Чтение";"");IF($L188="";"Сон";"");IF($M188="";"Режим";"");IF($N188="";"Продуктивность";"");IF($O188="";"Настроение";"");IF($P188="";"Энергия";"");IF($U188="";"Еда";"")))</f>
        <v/>
      </c>
    </row>
    <row r="189">
      <c r="B189" t="inlineStr"/>
      <c r="C189" t="inlineStr"/>
      <c r="D189" t="inlineStr"/>
      <c r="E189" t="inlineStr"/>
      <c r="F189" t="inlineStr"/>
      <c r="G189" t="inlineStr"/>
      <c r="H189" t="inlineStr"/>
      <c r="I189" t="inlineStr"/>
      <c r="J189" t="inlineStr"/>
      <c r="K189" t="inlineStr"/>
      <c r="L189" t="inlineStr"/>
      <c r="M189" t="inlineStr"/>
      <c r="N189" t="inlineStr"/>
      <c r="O189" t="inlineStr"/>
      <c r="P189" t="inlineStr"/>
      <c r="Q189" t="inlineStr"/>
      <c r="R189" t="inlineStr"/>
      <c r="S189" t="inlineStr"/>
      <c r="T189" t="inlineStr"/>
      <c r="U189">
        <f>IF($A189="";"";IF(SUMIF(FoodLog!$A:$A;$A189;FoodLog!$I:$I)=0;"";SUMIF(FoodLog!$A:$A;$A189;FoodLog!$I:$I)))</f>
        <v/>
      </c>
      <c r="V189">
        <f>IF($A189="";"";IF(SUMIF(FoodLog!$A:$A;$A189;FoodLog!$F:$F)=0;"";SUMIF(FoodLog!$A:$A;$A189;FoodLog!$F:$F)))</f>
        <v/>
      </c>
      <c r="W189">
        <f>IF($A189="";"";IF(SUMIF(FoodLog!$A:$A;$A189;FoodLog!$G:$G)=0;"";SUMIF(FoodLog!$A:$A;$A189;FoodLog!$G:$G)))</f>
        <v/>
      </c>
      <c r="X189">
        <f>IF($A189="";"";IF(SUMIF(FoodLog!$A:$A;$A189;FoodLog!$H:$H)=0;"";SUMIF(FoodLog!$A:$A;$A189;FoodLog!$H:$H)))</f>
        <v/>
      </c>
      <c r="Y189">
        <f>IF($A189="";"";IFERROR(ROUND(100*AVERAGE(IF($B189="";"";XLOOKUP($B189;FILTER(Dictionaries!$B:$B;Dictionaries!$A:$A="Тренировка");FILTER(Dictionaries!$C:$C;Dictionaries!$A:$A="Тренировка")));IF($C189="";"";MIN($C189/40;1));IF($D189="";"";XLOOKUP($D189;FILTER(Dictionaries!$B:$B;Dictionaries!$A:$A="Шаги");FILTER(Dictionaries!$C:$C;Dictionaries!$A:$A="Шаги")));IF($E189="";"";MIN($E189/120;1));IF(OR($F189&lt;&gt;"";$G189&lt;&gt;"");1;"");IF($H189="";"";MIN($H189/100;1));IF($L189="";"";XLOOKUP($L189;FILTER(Dictionaries!$B:$B;Dictionaries!$A:$A="Сон_часы");FILTER(Dictionaries!$C:$C;Dictionaries!$A:$A="Сон_часы")));IF($M189="";"";XLOOKUP($M189;FILTER(Dictionaries!$B:$B;Dictionaries!$A:$A="Режим");FILTER(Dictionaries!$C:$C;Dictionaries!$A:$A="Режим")));IF($N189="";"";MIN($N189/100;1));IF($O189="";"";XLOOKUP($O189;FILTER(Dictionaries!$B:$B;Dictionaries!$A:$A="Настроение");FILTER(Dictionaries!$C:$C;Dictionaries!$A:$A="Настроение")));IF($P189="";"";XLOOKUP($P189;FILTER(Dictionaries!$B:$B;Dictionaries!$A:$A="Энергия");FILTER(Dictionaries!$C:$C;Dictionaries!$A:$A="Энергия")));IF($U189="";"";AVERAGE(IF(OR($B189="Ноги";$B189="Верх");IFS(AND($U189&gt;=1900;$U189&lt;=2050);1;AND($U189&gt;=1850;$U189&lt;1900);0,7;AND($U189&gt;2050;$U189&lt;=2100);0,7;TRUE;0,2);IFS(AND($U189&gt;=1700;$U189&lt;=1850);1;AND($U189&gt;=1650;$U189&lt;1700);0,7;AND($U189&gt;1850;$U189&lt;=1900);0,7;TRUE;0,2));IF(OR($B189="Ноги";$B189="Верх");IFS(AND($V189&gt;=125;$V189&lt;=135);1;AND($V189&gt;=115;$V189&lt;125);0,7;AND($V189&gt;135;$V189&lt;=145);0,7;AND($V189&gt;=105;$V189&lt;115);0,4;AND($V189&gt;145;$V189&lt;=155);0,4;TRUE;0,2);IFS(AND($V189&gt;=120;$V189&lt;=130);1;AND($V189&gt;=110;$V189&lt;120);0,7;AND($V189&gt;130;$V189&lt;=140);0,7;AND($V189&gt;=100;$V189&lt;110);0,4;AND($V189&gt;140;$V189&lt;=150);0,4;TRUE;0,2));IFS(AND($W189&gt;=55;$W189&lt;=65);1;AND($W189&gt;=50;$W189&lt;55);0,7;AND($W189&gt;65;$W189&lt;=70);0,7;AND($W189&gt;=45;$W189&lt;50);0,4;AND($W189&gt;70;$W189&lt;=75);0,4;TRUE;0,2);IF(OR($B189="Ноги";$B189="Верх");IFS(AND($X189&gt;=180;$X189&lt;=210);1;AND($X189&gt;=160;$X189&lt;180);0,7;AND($X189&gt;210;$X189&lt;=230);0,7;AND($X189&gt;=140;$X189&lt;160);0,4;AND($X189&gt;230;$X189&lt;=250);0,4;TRUE;0,2);IFS(AND($X189&gt;=140;$X189&lt;=170);1;AND($X189&gt;=120;$X189&lt;140);0,7;AND($X189&gt;170;$X189&lt;=190);0,7;AND($X189&gt;=100;$X189&lt;120);0,4;AND($X189&gt;190;$X189&lt;=210);0,4;TRUE;0,2)))));1);""))</f>
        <v/>
      </c>
      <c r="Z189">
        <f>IF($A189="";"";TEXTJOIN(", ";TRUE;IF($B189="";"Тренировка";"");IF($C189="";"Кардио";"");IF($D189="";"Шаги";"");IF($E189="";"Английский";"");IF($F189="";"Код-режим";"");IF($G189="";"Код-тема";"");IF($H189="";"Чтение";"");IF($L189="";"Сон";"");IF($M189="";"Режим";"");IF($N189="";"Продуктивность";"");IF($O189="";"Настроение";"");IF($P189="";"Энергия";"");IF($U189="";"Еда";"")))</f>
        <v/>
      </c>
    </row>
    <row r="190">
      <c r="B190" t="inlineStr"/>
      <c r="C190" t="inlineStr"/>
      <c r="D190" t="inlineStr"/>
      <c r="E190" t="inlineStr"/>
      <c r="F190" t="inlineStr"/>
      <c r="G190" t="inlineStr"/>
      <c r="H190" t="inlineStr"/>
      <c r="I190" t="inlineStr"/>
      <c r="J190" t="inlineStr"/>
      <c r="K190" t="inlineStr"/>
      <c r="L190" t="inlineStr"/>
      <c r="M190" t="inlineStr"/>
      <c r="N190" t="inlineStr"/>
      <c r="O190" t="inlineStr"/>
      <c r="P190" t="inlineStr"/>
      <c r="Q190" t="inlineStr"/>
      <c r="R190" t="inlineStr"/>
      <c r="S190" t="inlineStr"/>
      <c r="T190" t="inlineStr"/>
      <c r="U190">
        <f>IF($A190="";"";IF(SUMIF(FoodLog!$A:$A;$A190;FoodLog!$I:$I)=0;"";SUMIF(FoodLog!$A:$A;$A190;FoodLog!$I:$I)))</f>
        <v/>
      </c>
      <c r="V190">
        <f>IF($A190="";"";IF(SUMIF(FoodLog!$A:$A;$A190;FoodLog!$F:$F)=0;"";SUMIF(FoodLog!$A:$A;$A190;FoodLog!$F:$F)))</f>
        <v/>
      </c>
      <c r="W190">
        <f>IF($A190="";"";IF(SUMIF(FoodLog!$A:$A;$A190;FoodLog!$G:$G)=0;"";SUMIF(FoodLog!$A:$A;$A190;FoodLog!$G:$G)))</f>
        <v/>
      </c>
      <c r="X190">
        <f>IF($A190="";"";IF(SUMIF(FoodLog!$A:$A;$A190;FoodLog!$H:$H)=0;"";SUMIF(FoodLog!$A:$A;$A190;FoodLog!$H:$H)))</f>
        <v/>
      </c>
      <c r="Y190">
        <f>IF($A190="";"";IFERROR(ROUND(100*AVERAGE(IF($B190="";"";XLOOKUP($B190;FILTER(Dictionaries!$B:$B;Dictionaries!$A:$A="Тренировка");FILTER(Dictionaries!$C:$C;Dictionaries!$A:$A="Тренировка")));IF($C190="";"";MIN($C190/40;1));IF($D190="";"";XLOOKUP($D190;FILTER(Dictionaries!$B:$B;Dictionaries!$A:$A="Шаги");FILTER(Dictionaries!$C:$C;Dictionaries!$A:$A="Шаги")));IF($E190="";"";MIN($E190/120;1));IF(OR($F190&lt;&gt;"";$G190&lt;&gt;"");1;"");IF($H190="";"";MIN($H190/100;1));IF($L190="";"";XLOOKUP($L190;FILTER(Dictionaries!$B:$B;Dictionaries!$A:$A="Сон_часы");FILTER(Dictionaries!$C:$C;Dictionaries!$A:$A="Сон_часы")));IF($M190="";"";XLOOKUP($M190;FILTER(Dictionaries!$B:$B;Dictionaries!$A:$A="Режим");FILTER(Dictionaries!$C:$C;Dictionaries!$A:$A="Режим")));IF($N190="";"";MIN($N190/100;1));IF($O190="";"";XLOOKUP($O190;FILTER(Dictionaries!$B:$B;Dictionaries!$A:$A="Настроение");FILTER(Dictionaries!$C:$C;Dictionaries!$A:$A="Настроение")));IF($P190="";"";XLOOKUP($P190;FILTER(Dictionaries!$B:$B;Dictionaries!$A:$A="Энергия");FILTER(Dictionaries!$C:$C;Dictionaries!$A:$A="Энергия")));IF($U190="";"";AVERAGE(IF(OR($B190="Ноги";$B190="Верх");IFS(AND($U190&gt;=1900;$U190&lt;=2050);1;AND($U190&gt;=1850;$U190&lt;1900);0,7;AND($U190&gt;2050;$U190&lt;=2100);0,7;TRUE;0,2);IFS(AND($U190&gt;=1700;$U190&lt;=1850);1;AND($U190&gt;=1650;$U190&lt;1700);0,7;AND($U190&gt;1850;$U190&lt;=1900);0,7;TRUE;0,2));IF(OR($B190="Ноги";$B190="Верх");IFS(AND($V190&gt;=125;$V190&lt;=135);1;AND($V190&gt;=115;$V190&lt;125);0,7;AND($V190&gt;135;$V190&lt;=145);0,7;AND($V190&gt;=105;$V190&lt;115);0,4;AND($V190&gt;145;$V190&lt;=155);0,4;TRUE;0,2);IFS(AND($V190&gt;=120;$V190&lt;=130);1;AND($V190&gt;=110;$V190&lt;120);0,7;AND($V190&gt;130;$V190&lt;=140);0,7;AND($V190&gt;=100;$V190&lt;110);0,4;AND($V190&gt;140;$V190&lt;=150);0,4;TRUE;0,2));IFS(AND($W190&gt;=55;$W190&lt;=65);1;AND($W190&gt;=50;$W190&lt;55);0,7;AND($W190&gt;65;$W190&lt;=70);0,7;AND($W190&gt;=45;$W190&lt;50);0,4;AND($W190&gt;70;$W190&lt;=75);0,4;TRUE;0,2);IF(OR($B190="Ноги";$B190="Верх");IFS(AND($X190&gt;=180;$X190&lt;=210);1;AND($X190&gt;=160;$X190&lt;180);0,7;AND($X190&gt;210;$X190&lt;=230);0,7;AND($X190&gt;=140;$X190&lt;160);0,4;AND($X190&gt;230;$X190&lt;=250);0,4;TRUE;0,2);IFS(AND($X190&gt;=140;$X190&lt;=170);1;AND($X190&gt;=120;$X190&lt;140);0,7;AND($X190&gt;170;$X190&lt;=190);0,7;AND($X190&gt;=100;$X190&lt;120);0,4;AND($X190&gt;190;$X190&lt;=210);0,4;TRUE;0,2)))));1);""))</f>
        <v/>
      </c>
      <c r="Z190">
        <f>IF($A190="";"";TEXTJOIN(", ";TRUE;IF($B190="";"Тренировка";"");IF($C190="";"Кардио";"");IF($D190="";"Шаги";"");IF($E190="";"Английский";"");IF($F190="";"Код-режим";"");IF($G190="";"Код-тема";"");IF($H190="";"Чтение";"");IF($L190="";"Сон";"");IF($M190="";"Режим";"");IF($N190="";"Продуктивность";"");IF($O190="";"Настроение";"");IF($P190="";"Энергия";"");IF($U190="";"Еда";"")))</f>
        <v/>
      </c>
    </row>
    <row r="191">
      <c r="B191" t="inlineStr"/>
      <c r="C191" t="inlineStr"/>
      <c r="D191" t="inlineStr"/>
      <c r="E191" t="inlineStr"/>
      <c r="F191" t="inlineStr"/>
      <c r="G191" t="inlineStr"/>
      <c r="H191" t="inlineStr"/>
      <c r="I191" t="inlineStr"/>
      <c r="J191" t="inlineStr"/>
      <c r="K191" t="inlineStr"/>
      <c r="L191" t="inlineStr"/>
      <c r="M191" t="inlineStr"/>
      <c r="N191" t="inlineStr"/>
      <c r="O191" t="inlineStr"/>
      <c r="P191" t="inlineStr"/>
      <c r="Q191" t="inlineStr"/>
      <c r="R191" t="inlineStr"/>
      <c r="S191" t="inlineStr"/>
      <c r="T191" t="inlineStr"/>
      <c r="U191">
        <f>IF($A191="";"";IF(SUMIF(FoodLog!$A:$A;$A191;FoodLog!$I:$I)=0;"";SUMIF(FoodLog!$A:$A;$A191;FoodLog!$I:$I)))</f>
        <v/>
      </c>
      <c r="V191">
        <f>IF($A191="";"";IF(SUMIF(FoodLog!$A:$A;$A191;FoodLog!$F:$F)=0;"";SUMIF(FoodLog!$A:$A;$A191;FoodLog!$F:$F)))</f>
        <v/>
      </c>
      <c r="W191">
        <f>IF($A191="";"";IF(SUMIF(FoodLog!$A:$A;$A191;FoodLog!$G:$G)=0;"";SUMIF(FoodLog!$A:$A;$A191;FoodLog!$G:$G)))</f>
        <v/>
      </c>
      <c r="X191">
        <f>IF($A191="";"";IF(SUMIF(FoodLog!$A:$A;$A191;FoodLog!$H:$H)=0;"";SUMIF(FoodLog!$A:$A;$A191;FoodLog!$H:$H)))</f>
        <v/>
      </c>
      <c r="Y191">
        <f>IF($A191="";"";IFERROR(ROUND(100*AVERAGE(IF($B191="";"";XLOOKUP($B191;FILTER(Dictionaries!$B:$B;Dictionaries!$A:$A="Тренировка");FILTER(Dictionaries!$C:$C;Dictionaries!$A:$A="Тренировка")));IF($C191="";"";MIN($C191/40;1));IF($D191="";"";XLOOKUP($D191;FILTER(Dictionaries!$B:$B;Dictionaries!$A:$A="Шаги");FILTER(Dictionaries!$C:$C;Dictionaries!$A:$A="Шаги")));IF($E191="";"";MIN($E191/120;1));IF(OR($F191&lt;&gt;"";$G191&lt;&gt;"");1;"");IF($H191="";"";MIN($H191/100;1));IF($L191="";"";XLOOKUP($L191;FILTER(Dictionaries!$B:$B;Dictionaries!$A:$A="Сон_часы");FILTER(Dictionaries!$C:$C;Dictionaries!$A:$A="Сон_часы")));IF($M191="";"";XLOOKUP($M191;FILTER(Dictionaries!$B:$B;Dictionaries!$A:$A="Режим");FILTER(Dictionaries!$C:$C;Dictionaries!$A:$A="Режим")));IF($N191="";"";MIN($N191/100;1));IF($O191="";"";XLOOKUP($O191;FILTER(Dictionaries!$B:$B;Dictionaries!$A:$A="Настроение");FILTER(Dictionaries!$C:$C;Dictionaries!$A:$A="Настроение")));IF($P191="";"";XLOOKUP($P191;FILTER(Dictionaries!$B:$B;Dictionaries!$A:$A="Энергия");FILTER(Dictionaries!$C:$C;Dictionaries!$A:$A="Энергия")));IF($U191="";"";AVERAGE(IF(OR($B191="Ноги";$B191="Верх");IFS(AND($U191&gt;=1900;$U191&lt;=2050);1;AND($U191&gt;=1850;$U191&lt;1900);0,7;AND($U191&gt;2050;$U191&lt;=2100);0,7;TRUE;0,2);IFS(AND($U191&gt;=1700;$U191&lt;=1850);1;AND($U191&gt;=1650;$U191&lt;1700);0,7;AND($U191&gt;1850;$U191&lt;=1900);0,7;TRUE;0,2));IF(OR($B191="Ноги";$B191="Верх");IFS(AND($V191&gt;=125;$V191&lt;=135);1;AND($V191&gt;=115;$V191&lt;125);0,7;AND($V191&gt;135;$V191&lt;=145);0,7;AND($V191&gt;=105;$V191&lt;115);0,4;AND($V191&gt;145;$V191&lt;=155);0,4;TRUE;0,2);IFS(AND($V191&gt;=120;$V191&lt;=130);1;AND($V191&gt;=110;$V191&lt;120);0,7;AND($V191&gt;130;$V191&lt;=140);0,7;AND($V191&gt;=100;$V191&lt;110);0,4;AND($V191&gt;140;$V191&lt;=150);0,4;TRUE;0,2));IFS(AND($W191&gt;=55;$W191&lt;=65);1;AND($W191&gt;=50;$W191&lt;55);0,7;AND($W191&gt;65;$W191&lt;=70);0,7;AND($W191&gt;=45;$W191&lt;50);0,4;AND($W191&gt;70;$W191&lt;=75);0,4;TRUE;0,2);IF(OR($B191="Ноги";$B191="Верх");IFS(AND($X191&gt;=180;$X191&lt;=210);1;AND($X191&gt;=160;$X191&lt;180);0,7;AND($X191&gt;210;$X191&lt;=230);0,7;AND($X191&gt;=140;$X191&lt;160);0,4;AND($X191&gt;230;$X191&lt;=250);0,4;TRUE;0,2);IFS(AND($X191&gt;=140;$X191&lt;=170);1;AND($X191&gt;=120;$X191&lt;140);0,7;AND($X191&gt;170;$X191&lt;=190);0,7;AND($X191&gt;=100;$X191&lt;120);0,4;AND($X191&gt;190;$X191&lt;=210);0,4;TRUE;0,2)))));1);""))</f>
        <v/>
      </c>
      <c r="Z191">
        <f>IF($A191="";"";TEXTJOIN(", ";TRUE;IF($B191="";"Тренировка";"");IF($C191="";"Кардио";"");IF($D191="";"Шаги";"");IF($E191="";"Английский";"");IF($F191="";"Код-режим";"");IF($G191="";"Код-тема";"");IF($H191="";"Чтение";"");IF($L191="";"Сон";"");IF($M191="";"Режим";"");IF($N191="";"Продуктивность";"");IF($O191="";"Настроение";"");IF($P191="";"Энергия";"");IF($U191="";"Еда";"")))</f>
        <v/>
      </c>
    </row>
    <row r="192">
      <c r="B192" t="inlineStr"/>
      <c r="C192" t="inlineStr"/>
      <c r="D192" t="inlineStr"/>
      <c r="E192" t="inlineStr"/>
      <c r="F192" t="inlineStr"/>
      <c r="G192" t="inlineStr"/>
      <c r="H192" t="inlineStr"/>
      <c r="I192" t="inlineStr"/>
      <c r="J192" t="inlineStr"/>
      <c r="K192" t="inlineStr"/>
      <c r="L192" t="inlineStr"/>
      <c r="M192" t="inlineStr"/>
      <c r="N192" t="inlineStr"/>
      <c r="O192" t="inlineStr"/>
      <c r="P192" t="inlineStr"/>
      <c r="Q192" t="inlineStr"/>
      <c r="R192" t="inlineStr"/>
      <c r="S192" t="inlineStr"/>
      <c r="T192" t="inlineStr"/>
      <c r="U192">
        <f>IF($A192="";"";IF(SUMIF(FoodLog!$A:$A;$A192;FoodLog!$I:$I)=0;"";SUMIF(FoodLog!$A:$A;$A192;FoodLog!$I:$I)))</f>
        <v/>
      </c>
      <c r="V192">
        <f>IF($A192="";"";IF(SUMIF(FoodLog!$A:$A;$A192;FoodLog!$F:$F)=0;"";SUMIF(FoodLog!$A:$A;$A192;FoodLog!$F:$F)))</f>
        <v/>
      </c>
      <c r="W192">
        <f>IF($A192="";"";IF(SUMIF(FoodLog!$A:$A;$A192;FoodLog!$G:$G)=0;"";SUMIF(FoodLog!$A:$A;$A192;FoodLog!$G:$G)))</f>
        <v/>
      </c>
      <c r="X192">
        <f>IF($A192="";"";IF(SUMIF(FoodLog!$A:$A;$A192;FoodLog!$H:$H)=0;"";SUMIF(FoodLog!$A:$A;$A192;FoodLog!$H:$H)))</f>
        <v/>
      </c>
      <c r="Y192">
        <f>IF($A192="";"";IFERROR(ROUND(100*AVERAGE(IF($B192="";"";XLOOKUP($B192;FILTER(Dictionaries!$B:$B;Dictionaries!$A:$A="Тренировка");FILTER(Dictionaries!$C:$C;Dictionaries!$A:$A="Тренировка")));IF($C192="";"";MIN($C192/40;1));IF($D192="";"";XLOOKUP($D192;FILTER(Dictionaries!$B:$B;Dictionaries!$A:$A="Шаги");FILTER(Dictionaries!$C:$C;Dictionaries!$A:$A="Шаги")));IF($E192="";"";MIN($E192/120;1));IF(OR($F192&lt;&gt;"";$G192&lt;&gt;"");1;"");IF($H192="";"";MIN($H192/100;1));IF($L192="";"";XLOOKUP($L192;FILTER(Dictionaries!$B:$B;Dictionaries!$A:$A="Сон_часы");FILTER(Dictionaries!$C:$C;Dictionaries!$A:$A="Сон_часы")));IF($M192="";"";XLOOKUP($M192;FILTER(Dictionaries!$B:$B;Dictionaries!$A:$A="Режим");FILTER(Dictionaries!$C:$C;Dictionaries!$A:$A="Режим")));IF($N192="";"";MIN($N192/100;1));IF($O192="";"";XLOOKUP($O192;FILTER(Dictionaries!$B:$B;Dictionaries!$A:$A="Настроение");FILTER(Dictionaries!$C:$C;Dictionaries!$A:$A="Настроение")));IF($P192="";"";XLOOKUP($P192;FILTER(Dictionaries!$B:$B;Dictionaries!$A:$A="Энергия");FILTER(Dictionaries!$C:$C;Dictionaries!$A:$A="Энергия")));IF($U192="";"";AVERAGE(IF(OR($B192="Ноги";$B192="Верх");IFS(AND($U192&gt;=1900;$U192&lt;=2050);1;AND($U192&gt;=1850;$U192&lt;1900);0,7;AND($U192&gt;2050;$U192&lt;=2100);0,7;TRUE;0,2);IFS(AND($U192&gt;=1700;$U192&lt;=1850);1;AND($U192&gt;=1650;$U192&lt;1700);0,7;AND($U192&gt;1850;$U192&lt;=1900);0,7;TRUE;0,2));IF(OR($B192="Ноги";$B192="Верх");IFS(AND($V192&gt;=125;$V192&lt;=135);1;AND($V192&gt;=115;$V192&lt;125);0,7;AND($V192&gt;135;$V192&lt;=145);0,7;AND($V192&gt;=105;$V192&lt;115);0,4;AND($V192&gt;145;$V192&lt;=155);0,4;TRUE;0,2);IFS(AND($V192&gt;=120;$V192&lt;=130);1;AND($V192&gt;=110;$V192&lt;120);0,7;AND($V192&gt;130;$V192&lt;=140);0,7;AND($V192&gt;=100;$V192&lt;110);0,4;AND($V192&gt;140;$V192&lt;=150);0,4;TRUE;0,2));IFS(AND($W192&gt;=55;$W192&lt;=65);1;AND($W192&gt;=50;$W192&lt;55);0,7;AND($W192&gt;65;$W192&lt;=70);0,7;AND($W192&gt;=45;$W192&lt;50);0,4;AND($W192&gt;70;$W192&lt;=75);0,4;TRUE;0,2);IF(OR($B192="Ноги";$B192="Верх");IFS(AND($X192&gt;=180;$X192&lt;=210);1;AND($X192&gt;=160;$X192&lt;180);0,7;AND($X192&gt;210;$X192&lt;=230);0,7;AND($X192&gt;=140;$X192&lt;160);0,4;AND($X192&gt;230;$X192&lt;=250);0,4;TRUE;0,2);IFS(AND($X192&gt;=140;$X192&lt;=170);1;AND($X192&gt;=120;$X192&lt;140);0,7;AND($X192&gt;170;$X192&lt;=190);0,7;AND($X192&gt;=100;$X192&lt;120);0,4;AND($X192&gt;190;$X192&lt;=210);0,4;TRUE;0,2)))));1);""))</f>
        <v/>
      </c>
      <c r="Z192">
        <f>IF($A192="";"";TEXTJOIN(", ";TRUE;IF($B192="";"Тренировка";"");IF($C192="";"Кардио";"");IF($D192="";"Шаги";"");IF($E192="";"Английский";"");IF($F192="";"Код-режим";"");IF($G192="";"Код-тема";"");IF($H192="";"Чтение";"");IF($L192="";"Сон";"");IF($M192="";"Режим";"");IF($N192="";"Продуктивность";"");IF($O192="";"Настроение";"");IF($P192="";"Энергия";"");IF($U192="";"Еда";"")))</f>
        <v/>
      </c>
    </row>
    <row r="193">
      <c r="B193" t="inlineStr"/>
      <c r="C193" t="inlineStr"/>
      <c r="D193" t="inlineStr"/>
      <c r="E193" t="inlineStr"/>
      <c r="F193" t="inlineStr"/>
      <c r="G193" t="inlineStr"/>
      <c r="H193" t="inlineStr"/>
      <c r="I193" t="inlineStr"/>
      <c r="J193" t="inlineStr"/>
      <c r="K193" t="inlineStr"/>
      <c r="L193" t="inlineStr"/>
      <c r="M193" t="inlineStr"/>
      <c r="N193" t="inlineStr"/>
      <c r="O193" t="inlineStr"/>
      <c r="P193" t="inlineStr"/>
      <c r="Q193" t="inlineStr"/>
      <c r="R193" t="inlineStr"/>
      <c r="S193" t="inlineStr"/>
      <c r="T193" t="inlineStr"/>
      <c r="U193">
        <f>IF($A193="";"";IF(SUMIF(FoodLog!$A:$A;$A193;FoodLog!$I:$I)=0;"";SUMIF(FoodLog!$A:$A;$A193;FoodLog!$I:$I)))</f>
        <v/>
      </c>
      <c r="V193">
        <f>IF($A193="";"";IF(SUMIF(FoodLog!$A:$A;$A193;FoodLog!$F:$F)=0;"";SUMIF(FoodLog!$A:$A;$A193;FoodLog!$F:$F)))</f>
        <v/>
      </c>
      <c r="W193">
        <f>IF($A193="";"";IF(SUMIF(FoodLog!$A:$A;$A193;FoodLog!$G:$G)=0;"";SUMIF(FoodLog!$A:$A;$A193;FoodLog!$G:$G)))</f>
        <v/>
      </c>
      <c r="X193">
        <f>IF($A193="";"";IF(SUMIF(FoodLog!$A:$A;$A193;FoodLog!$H:$H)=0;"";SUMIF(FoodLog!$A:$A;$A193;FoodLog!$H:$H)))</f>
        <v/>
      </c>
      <c r="Y193">
        <f>IF($A193="";"";IFERROR(ROUND(100*AVERAGE(IF($B193="";"";XLOOKUP($B193;FILTER(Dictionaries!$B:$B;Dictionaries!$A:$A="Тренировка");FILTER(Dictionaries!$C:$C;Dictionaries!$A:$A="Тренировка")));IF($C193="";"";MIN($C193/40;1));IF($D193="";"";XLOOKUP($D193;FILTER(Dictionaries!$B:$B;Dictionaries!$A:$A="Шаги");FILTER(Dictionaries!$C:$C;Dictionaries!$A:$A="Шаги")));IF($E193="";"";MIN($E193/120;1));IF(OR($F193&lt;&gt;"";$G193&lt;&gt;"");1;"");IF($H193="";"";MIN($H193/100;1));IF($L193="";"";XLOOKUP($L193;FILTER(Dictionaries!$B:$B;Dictionaries!$A:$A="Сон_часы");FILTER(Dictionaries!$C:$C;Dictionaries!$A:$A="Сон_часы")));IF($M193="";"";XLOOKUP($M193;FILTER(Dictionaries!$B:$B;Dictionaries!$A:$A="Режим");FILTER(Dictionaries!$C:$C;Dictionaries!$A:$A="Режим")));IF($N193="";"";MIN($N193/100;1));IF($O193="";"";XLOOKUP($O193;FILTER(Dictionaries!$B:$B;Dictionaries!$A:$A="Настроение");FILTER(Dictionaries!$C:$C;Dictionaries!$A:$A="Настроение")));IF($P193="";"";XLOOKUP($P193;FILTER(Dictionaries!$B:$B;Dictionaries!$A:$A="Энергия");FILTER(Dictionaries!$C:$C;Dictionaries!$A:$A="Энергия")));IF($U193="";"";AVERAGE(IF(OR($B193="Ноги";$B193="Верх");IFS(AND($U193&gt;=1900;$U193&lt;=2050);1;AND($U193&gt;=1850;$U193&lt;1900);0,7;AND($U193&gt;2050;$U193&lt;=2100);0,7;TRUE;0,2);IFS(AND($U193&gt;=1700;$U193&lt;=1850);1;AND($U193&gt;=1650;$U193&lt;1700);0,7;AND($U193&gt;1850;$U193&lt;=1900);0,7;TRUE;0,2));IF(OR($B193="Ноги";$B193="Верх");IFS(AND($V193&gt;=125;$V193&lt;=135);1;AND($V193&gt;=115;$V193&lt;125);0,7;AND($V193&gt;135;$V193&lt;=145);0,7;AND($V193&gt;=105;$V193&lt;115);0,4;AND($V193&gt;145;$V193&lt;=155);0,4;TRUE;0,2);IFS(AND($V193&gt;=120;$V193&lt;=130);1;AND($V193&gt;=110;$V193&lt;120);0,7;AND($V193&gt;130;$V193&lt;=140);0,7;AND($V193&gt;=100;$V193&lt;110);0,4;AND($V193&gt;140;$V193&lt;=150);0,4;TRUE;0,2));IFS(AND($W193&gt;=55;$W193&lt;=65);1;AND($W193&gt;=50;$W193&lt;55);0,7;AND($W193&gt;65;$W193&lt;=70);0,7;AND($W193&gt;=45;$W193&lt;50);0,4;AND($W193&gt;70;$W193&lt;=75);0,4;TRUE;0,2);IF(OR($B193="Ноги";$B193="Верх");IFS(AND($X193&gt;=180;$X193&lt;=210);1;AND($X193&gt;=160;$X193&lt;180);0,7;AND($X193&gt;210;$X193&lt;=230);0,7;AND($X193&gt;=140;$X193&lt;160);0,4;AND($X193&gt;230;$X193&lt;=250);0,4;TRUE;0,2);IFS(AND($X193&gt;=140;$X193&lt;=170);1;AND($X193&gt;=120;$X193&lt;140);0,7;AND($X193&gt;170;$X193&lt;=190);0,7;AND($X193&gt;=100;$X193&lt;120);0,4;AND($X193&gt;190;$X193&lt;=210);0,4;TRUE;0,2)))));1);""))</f>
        <v/>
      </c>
      <c r="Z193">
        <f>IF($A193="";"";TEXTJOIN(", ";TRUE;IF($B193="";"Тренировка";"");IF($C193="";"Кардио";"");IF($D193="";"Шаги";"");IF($E193="";"Английский";"");IF($F193="";"Код-режим";"");IF($G193="";"Код-тема";"");IF($H193="";"Чтение";"");IF($L193="";"Сон";"");IF($M193="";"Режим";"");IF($N193="";"Продуктивность";"");IF($O193="";"Настроение";"");IF($P193="";"Энергия";"");IF($U193="";"Еда";"")))</f>
        <v/>
      </c>
    </row>
    <row r="194">
      <c r="B194" t="inlineStr"/>
      <c r="C194" t="inlineStr"/>
      <c r="D194" t="inlineStr"/>
      <c r="E194" t="inlineStr"/>
      <c r="F194" t="inlineStr"/>
      <c r="G194" t="inlineStr"/>
      <c r="H194" t="inlineStr"/>
      <c r="I194" t="inlineStr"/>
      <c r="J194" t="inlineStr"/>
      <c r="K194" t="inlineStr"/>
      <c r="L194" t="inlineStr"/>
      <c r="M194" t="inlineStr"/>
      <c r="N194" t="inlineStr"/>
      <c r="O194" t="inlineStr"/>
      <c r="P194" t="inlineStr"/>
      <c r="Q194" t="inlineStr"/>
      <c r="R194" t="inlineStr"/>
      <c r="S194" t="inlineStr"/>
      <c r="T194" t="inlineStr"/>
      <c r="U194">
        <f>IF($A194="";"";IF(SUMIF(FoodLog!$A:$A;$A194;FoodLog!$I:$I)=0;"";SUMIF(FoodLog!$A:$A;$A194;FoodLog!$I:$I)))</f>
        <v/>
      </c>
      <c r="V194">
        <f>IF($A194="";"";IF(SUMIF(FoodLog!$A:$A;$A194;FoodLog!$F:$F)=0;"";SUMIF(FoodLog!$A:$A;$A194;FoodLog!$F:$F)))</f>
        <v/>
      </c>
      <c r="W194">
        <f>IF($A194="";"";IF(SUMIF(FoodLog!$A:$A;$A194;FoodLog!$G:$G)=0;"";SUMIF(FoodLog!$A:$A;$A194;FoodLog!$G:$G)))</f>
        <v/>
      </c>
      <c r="X194">
        <f>IF($A194="";"";IF(SUMIF(FoodLog!$A:$A;$A194;FoodLog!$H:$H)=0;"";SUMIF(FoodLog!$A:$A;$A194;FoodLog!$H:$H)))</f>
        <v/>
      </c>
      <c r="Y194">
        <f>IF($A194="";"";IFERROR(ROUND(100*AVERAGE(IF($B194="";"";XLOOKUP($B194;FILTER(Dictionaries!$B:$B;Dictionaries!$A:$A="Тренировка");FILTER(Dictionaries!$C:$C;Dictionaries!$A:$A="Тренировка")));IF($C194="";"";MIN($C194/40;1));IF($D194="";"";XLOOKUP($D194;FILTER(Dictionaries!$B:$B;Dictionaries!$A:$A="Шаги");FILTER(Dictionaries!$C:$C;Dictionaries!$A:$A="Шаги")));IF($E194="";"";MIN($E194/120;1));IF(OR($F194&lt;&gt;"";$G194&lt;&gt;"");1;"");IF($H194="";"";MIN($H194/100;1));IF($L194="";"";XLOOKUP($L194;FILTER(Dictionaries!$B:$B;Dictionaries!$A:$A="Сон_часы");FILTER(Dictionaries!$C:$C;Dictionaries!$A:$A="Сон_часы")));IF($M194="";"";XLOOKUP($M194;FILTER(Dictionaries!$B:$B;Dictionaries!$A:$A="Режим");FILTER(Dictionaries!$C:$C;Dictionaries!$A:$A="Режим")));IF($N194="";"";MIN($N194/100;1));IF($O194="";"";XLOOKUP($O194;FILTER(Dictionaries!$B:$B;Dictionaries!$A:$A="Настроение");FILTER(Dictionaries!$C:$C;Dictionaries!$A:$A="Настроение")));IF($P194="";"";XLOOKUP($P194;FILTER(Dictionaries!$B:$B;Dictionaries!$A:$A="Энергия");FILTER(Dictionaries!$C:$C;Dictionaries!$A:$A="Энергия")));IF($U194="";"";AVERAGE(IF(OR($B194="Ноги";$B194="Верх");IFS(AND($U194&gt;=1900;$U194&lt;=2050);1;AND($U194&gt;=1850;$U194&lt;1900);0,7;AND($U194&gt;2050;$U194&lt;=2100);0,7;TRUE;0,2);IFS(AND($U194&gt;=1700;$U194&lt;=1850);1;AND($U194&gt;=1650;$U194&lt;1700);0,7;AND($U194&gt;1850;$U194&lt;=1900);0,7;TRUE;0,2));IF(OR($B194="Ноги";$B194="Верх");IFS(AND($V194&gt;=125;$V194&lt;=135);1;AND($V194&gt;=115;$V194&lt;125);0,7;AND($V194&gt;135;$V194&lt;=145);0,7;AND($V194&gt;=105;$V194&lt;115);0,4;AND($V194&gt;145;$V194&lt;=155);0,4;TRUE;0,2);IFS(AND($V194&gt;=120;$V194&lt;=130);1;AND($V194&gt;=110;$V194&lt;120);0,7;AND($V194&gt;130;$V194&lt;=140);0,7;AND($V194&gt;=100;$V194&lt;110);0,4;AND($V194&gt;140;$V194&lt;=150);0,4;TRUE;0,2));IFS(AND($W194&gt;=55;$W194&lt;=65);1;AND($W194&gt;=50;$W194&lt;55);0,7;AND($W194&gt;65;$W194&lt;=70);0,7;AND($W194&gt;=45;$W194&lt;50);0,4;AND($W194&gt;70;$W194&lt;=75);0,4;TRUE;0,2);IF(OR($B194="Ноги";$B194="Верх");IFS(AND($X194&gt;=180;$X194&lt;=210);1;AND($X194&gt;=160;$X194&lt;180);0,7;AND($X194&gt;210;$X194&lt;=230);0,7;AND($X194&gt;=140;$X194&lt;160);0,4;AND($X194&gt;230;$X194&lt;=250);0,4;TRUE;0,2);IFS(AND($X194&gt;=140;$X194&lt;=170);1;AND($X194&gt;=120;$X194&lt;140);0,7;AND($X194&gt;170;$X194&lt;=190);0,7;AND($X194&gt;=100;$X194&lt;120);0,4;AND($X194&gt;190;$X194&lt;=210);0,4;TRUE;0,2)))));1);""))</f>
        <v/>
      </c>
      <c r="Z194">
        <f>IF($A194="";"";TEXTJOIN(", ";TRUE;IF($B194="";"Тренировка";"");IF($C194="";"Кардио";"");IF($D194="";"Шаги";"");IF($E194="";"Английский";"");IF($F194="";"Код-режим";"");IF($G194="";"Код-тема";"");IF($H194="";"Чтение";"");IF($L194="";"Сон";"");IF($M194="";"Режим";"");IF($N194="";"Продуктивность";"");IF($O194="";"Настроение";"");IF($P194="";"Энергия";"");IF($U194="";"Еда";"")))</f>
        <v/>
      </c>
    </row>
    <row r="195">
      <c r="B195" t="inlineStr"/>
      <c r="C195" t="inlineStr"/>
      <c r="D195" t="inlineStr"/>
      <c r="E195" t="inlineStr"/>
      <c r="F195" t="inlineStr"/>
      <c r="G195" t="inlineStr"/>
      <c r="H195" t="inlineStr"/>
      <c r="I195" t="inlineStr"/>
      <c r="J195" t="inlineStr"/>
      <c r="K195" t="inlineStr"/>
      <c r="L195" t="inlineStr"/>
      <c r="M195" t="inlineStr"/>
      <c r="N195" t="inlineStr"/>
      <c r="O195" t="inlineStr"/>
      <c r="P195" t="inlineStr"/>
      <c r="Q195" t="inlineStr"/>
      <c r="R195" t="inlineStr"/>
      <c r="S195" t="inlineStr"/>
      <c r="T195" t="inlineStr"/>
      <c r="U195">
        <f>IF($A195="";"";IF(SUMIF(FoodLog!$A:$A;$A195;FoodLog!$I:$I)=0;"";SUMIF(FoodLog!$A:$A;$A195;FoodLog!$I:$I)))</f>
        <v/>
      </c>
      <c r="V195">
        <f>IF($A195="";"";IF(SUMIF(FoodLog!$A:$A;$A195;FoodLog!$F:$F)=0;"";SUMIF(FoodLog!$A:$A;$A195;FoodLog!$F:$F)))</f>
        <v/>
      </c>
      <c r="W195">
        <f>IF($A195="";"";IF(SUMIF(FoodLog!$A:$A;$A195;FoodLog!$G:$G)=0;"";SUMIF(FoodLog!$A:$A;$A195;FoodLog!$G:$G)))</f>
        <v/>
      </c>
      <c r="X195">
        <f>IF($A195="";"";IF(SUMIF(FoodLog!$A:$A;$A195;FoodLog!$H:$H)=0;"";SUMIF(FoodLog!$A:$A;$A195;FoodLog!$H:$H)))</f>
        <v/>
      </c>
      <c r="Y195">
        <f>IF($A195="";"";IFERROR(ROUND(100*AVERAGE(IF($B195="";"";XLOOKUP($B195;FILTER(Dictionaries!$B:$B;Dictionaries!$A:$A="Тренировка");FILTER(Dictionaries!$C:$C;Dictionaries!$A:$A="Тренировка")));IF($C195="";"";MIN($C195/40;1));IF($D195="";"";XLOOKUP($D195;FILTER(Dictionaries!$B:$B;Dictionaries!$A:$A="Шаги");FILTER(Dictionaries!$C:$C;Dictionaries!$A:$A="Шаги")));IF($E195="";"";MIN($E195/120;1));IF(OR($F195&lt;&gt;"";$G195&lt;&gt;"");1;"");IF($H195="";"";MIN($H195/100;1));IF($L195="";"";XLOOKUP($L195;FILTER(Dictionaries!$B:$B;Dictionaries!$A:$A="Сон_часы");FILTER(Dictionaries!$C:$C;Dictionaries!$A:$A="Сон_часы")));IF($M195="";"";XLOOKUP($M195;FILTER(Dictionaries!$B:$B;Dictionaries!$A:$A="Режим");FILTER(Dictionaries!$C:$C;Dictionaries!$A:$A="Режим")));IF($N195="";"";MIN($N195/100;1));IF($O195="";"";XLOOKUP($O195;FILTER(Dictionaries!$B:$B;Dictionaries!$A:$A="Настроение");FILTER(Dictionaries!$C:$C;Dictionaries!$A:$A="Настроение")));IF($P195="";"";XLOOKUP($P195;FILTER(Dictionaries!$B:$B;Dictionaries!$A:$A="Энергия");FILTER(Dictionaries!$C:$C;Dictionaries!$A:$A="Энергия")));IF($U195="";"";AVERAGE(IF(OR($B195="Ноги";$B195="Верх");IFS(AND($U195&gt;=1900;$U195&lt;=2050);1;AND($U195&gt;=1850;$U195&lt;1900);0,7;AND($U195&gt;2050;$U195&lt;=2100);0,7;TRUE;0,2);IFS(AND($U195&gt;=1700;$U195&lt;=1850);1;AND($U195&gt;=1650;$U195&lt;1700);0,7;AND($U195&gt;1850;$U195&lt;=1900);0,7;TRUE;0,2));IF(OR($B195="Ноги";$B195="Верх");IFS(AND($V195&gt;=125;$V195&lt;=135);1;AND($V195&gt;=115;$V195&lt;125);0,7;AND($V195&gt;135;$V195&lt;=145);0,7;AND($V195&gt;=105;$V195&lt;115);0,4;AND($V195&gt;145;$V195&lt;=155);0,4;TRUE;0,2);IFS(AND($V195&gt;=120;$V195&lt;=130);1;AND($V195&gt;=110;$V195&lt;120);0,7;AND($V195&gt;130;$V195&lt;=140);0,7;AND($V195&gt;=100;$V195&lt;110);0,4;AND($V195&gt;140;$V195&lt;=150);0,4;TRUE;0,2));IFS(AND($W195&gt;=55;$W195&lt;=65);1;AND($W195&gt;=50;$W195&lt;55);0,7;AND($W195&gt;65;$W195&lt;=70);0,7;AND($W195&gt;=45;$W195&lt;50);0,4;AND($W195&gt;70;$W195&lt;=75);0,4;TRUE;0,2);IF(OR($B195="Ноги";$B195="Верх");IFS(AND($X195&gt;=180;$X195&lt;=210);1;AND($X195&gt;=160;$X195&lt;180);0,7;AND($X195&gt;210;$X195&lt;=230);0,7;AND($X195&gt;=140;$X195&lt;160);0,4;AND($X195&gt;230;$X195&lt;=250);0,4;TRUE;0,2);IFS(AND($X195&gt;=140;$X195&lt;=170);1;AND($X195&gt;=120;$X195&lt;140);0,7;AND($X195&gt;170;$X195&lt;=190);0,7;AND($X195&gt;=100;$X195&lt;120);0,4;AND($X195&gt;190;$X195&lt;=210);0,4;TRUE;0,2)))));1);""))</f>
        <v/>
      </c>
      <c r="Z195">
        <f>IF($A195="";"";TEXTJOIN(", ";TRUE;IF($B195="";"Тренировка";"");IF($C195="";"Кардио";"");IF($D195="";"Шаги";"");IF($E195="";"Английский";"");IF($F195="";"Код-режим";"");IF($G195="";"Код-тема";"");IF($H195="";"Чтение";"");IF($L195="";"Сон";"");IF($M195="";"Режим";"");IF($N195="";"Продуктивность";"");IF($O195="";"Настроение";"");IF($P195="";"Энергия";"");IF($U195="";"Еда";"")))</f>
        <v/>
      </c>
    </row>
    <row r="196">
      <c r="B196" t="inlineStr"/>
      <c r="C196" t="inlineStr"/>
      <c r="D196" t="inlineStr"/>
      <c r="E196" t="inlineStr"/>
      <c r="F196" t="inlineStr"/>
      <c r="G196" t="inlineStr"/>
      <c r="H196" t="inlineStr"/>
      <c r="I196" t="inlineStr"/>
      <c r="J196" t="inlineStr"/>
      <c r="K196" t="inlineStr"/>
      <c r="L196" t="inlineStr"/>
      <c r="M196" t="inlineStr"/>
      <c r="N196" t="inlineStr"/>
      <c r="O196" t="inlineStr"/>
      <c r="P196" t="inlineStr"/>
      <c r="Q196" t="inlineStr"/>
      <c r="R196" t="inlineStr"/>
      <c r="S196" t="inlineStr"/>
      <c r="T196" t="inlineStr"/>
      <c r="U196">
        <f>IF($A196="";"";IF(SUMIF(FoodLog!$A:$A;$A196;FoodLog!$I:$I)=0;"";SUMIF(FoodLog!$A:$A;$A196;FoodLog!$I:$I)))</f>
        <v/>
      </c>
      <c r="V196">
        <f>IF($A196="";"";IF(SUMIF(FoodLog!$A:$A;$A196;FoodLog!$F:$F)=0;"";SUMIF(FoodLog!$A:$A;$A196;FoodLog!$F:$F)))</f>
        <v/>
      </c>
      <c r="W196">
        <f>IF($A196="";"";IF(SUMIF(FoodLog!$A:$A;$A196;FoodLog!$G:$G)=0;"";SUMIF(FoodLog!$A:$A;$A196;FoodLog!$G:$G)))</f>
        <v/>
      </c>
      <c r="X196">
        <f>IF($A196="";"";IF(SUMIF(FoodLog!$A:$A;$A196;FoodLog!$H:$H)=0;"";SUMIF(FoodLog!$A:$A;$A196;FoodLog!$H:$H)))</f>
        <v/>
      </c>
      <c r="Y196">
        <f>IF($A196="";"";IFERROR(ROUND(100*AVERAGE(IF($B196="";"";XLOOKUP($B196;FILTER(Dictionaries!$B:$B;Dictionaries!$A:$A="Тренировка");FILTER(Dictionaries!$C:$C;Dictionaries!$A:$A="Тренировка")));IF($C196="";"";MIN($C196/40;1));IF($D196="";"";XLOOKUP($D196;FILTER(Dictionaries!$B:$B;Dictionaries!$A:$A="Шаги");FILTER(Dictionaries!$C:$C;Dictionaries!$A:$A="Шаги")));IF($E196="";"";MIN($E196/120;1));IF(OR($F196&lt;&gt;"";$G196&lt;&gt;"");1;"");IF($H196="";"";MIN($H196/100;1));IF($L196="";"";XLOOKUP($L196;FILTER(Dictionaries!$B:$B;Dictionaries!$A:$A="Сон_часы");FILTER(Dictionaries!$C:$C;Dictionaries!$A:$A="Сон_часы")));IF($M196="";"";XLOOKUP($M196;FILTER(Dictionaries!$B:$B;Dictionaries!$A:$A="Режим");FILTER(Dictionaries!$C:$C;Dictionaries!$A:$A="Режим")));IF($N196="";"";MIN($N196/100;1));IF($O196="";"";XLOOKUP($O196;FILTER(Dictionaries!$B:$B;Dictionaries!$A:$A="Настроение");FILTER(Dictionaries!$C:$C;Dictionaries!$A:$A="Настроение")));IF($P196="";"";XLOOKUP($P196;FILTER(Dictionaries!$B:$B;Dictionaries!$A:$A="Энергия");FILTER(Dictionaries!$C:$C;Dictionaries!$A:$A="Энергия")));IF($U196="";"";AVERAGE(IF(OR($B196="Ноги";$B196="Верх");IFS(AND($U196&gt;=1900;$U196&lt;=2050);1;AND($U196&gt;=1850;$U196&lt;1900);0,7;AND($U196&gt;2050;$U196&lt;=2100);0,7;TRUE;0,2);IFS(AND($U196&gt;=1700;$U196&lt;=1850);1;AND($U196&gt;=1650;$U196&lt;1700);0,7;AND($U196&gt;1850;$U196&lt;=1900);0,7;TRUE;0,2));IF(OR($B196="Ноги";$B196="Верх");IFS(AND($V196&gt;=125;$V196&lt;=135);1;AND($V196&gt;=115;$V196&lt;125);0,7;AND($V196&gt;135;$V196&lt;=145);0,7;AND($V196&gt;=105;$V196&lt;115);0,4;AND($V196&gt;145;$V196&lt;=155);0,4;TRUE;0,2);IFS(AND($V196&gt;=120;$V196&lt;=130);1;AND($V196&gt;=110;$V196&lt;120);0,7;AND($V196&gt;130;$V196&lt;=140);0,7;AND($V196&gt;=100;$V196&lt;110);0,4;AND($V196&gt;140;$V196&lt;=150);0,4;TRUE;0,2));IFS(AND($W196&gt;=55;$W196&lt;=65);1;AND($W196&gt;=50;$W196&lt;55);0,7;AND($W196&gt;65;$W196&lt;=70);0,7;AND($W196&gt;=45;$W196&lt;50);0,4;AND($W196&gt;70;$W196&lt;=75);0,4;TRUE;0,2);IF(OR($B196="Ноги";$B196="Верх");IFS(AND($X196&gt;=180;$X196&lt;=210);1;AND($X196&gt;=160;$X196&lt;180);0,7;AND($X196&gt;210;$X196&lt;=230);0,7;AND($X196&gt;=140;$X196&lt;160);0,4;AND($X196&gt;230;$X196&lt;=250);0,4;TRUE;0,2);IFS(AND($X196&gt;=140;$X196&lt;=170);1;AND($X196&gt;=120;$X196&lt;140);0,7;AND($X196&gt;170;$X196&lt;=190);0,7;AND($X196&gt;=100;$X196&lt;120);0,4;AND($X196&gt;190;$X196&lt;=210);0,4;TRUE;0,2)))));1);""))</f>
        <v/>
      </c>
      <c r="Z196">
        <f>IF($A196="";"";TEXTJOIN(", ";TRUE;IF($B196="";"Тренировка";"");IF($C196="";"Кардио";"");IF($D196="";"Шаги";"");IF($E196="";"Английский";"");IF($F196="";"Код-режим";"");IF($G196="";"Код-тема";"");IF($H196="";"Чтение";"");IF($L196="";"Сон";"");IF($M196="";"Режим";"");IF($N196="";"Продуктивность";"");IF($O196="";"Настроение";"");IF($P196="";"Энергия";"");IF($U196="";"Еда";"")))</f>
        <v/>
      </c>
    </row>
    <row r="197">
      <c r="B197" t="inlineStr"/>
      <c r="C197" t="inlineStr"/>
      <c r="D197" t="inlineStr"/>
      <c r="E197" t="inlineStr"/>
      <c r="F197" t="inlineStr"/>
      <c r="G197" t="inlineStr"/>
      <c r="H197" t="inlineStr"/>
      <c r="I197" t="inlineStr"/>
      <c r="J197" t="inlineStr"/>
      <c r="K197" t="inlineStr"/>
      <c r="L197" t="inlineStr"/>
      <c r="M197" t="inlineStr"/>
      <c r="N197" t="inlineStr"/>
      <c r="O197" t="inlineStr"/>
      <c r="P197" t="inlineStr"/>
      <c r="Q197" t="inlineStr"/>
      <c r="R197" t="inlineStr"/>
      <c r="S197" t="inlineStr"/>
      <c r="T197" t="inlineStr"/>
      <c r="U197">
        <f>IF($A197="";"";IF(SUMIF(FoodLog!$A:$A;$A197;FoodLog!$I:$I)=0;"";SUMIF(FoodLog!$A:$A;$A197;FoodLog!$I:$I)))</f>
        <v/>
      </c>
      <c r="V197">
        <f>IF($A197="";"";IF(SUMIF(FoodLog!$A:$A;$A197;FoodLog!$F:$F)=0;"";SUMIF(FoodLog!$A:$A;$A197;FoodLog!$F:$F)))</f>
        <v/>
      </c>
      <c r="W197">
        <f>IF($A197="";"";IF(SUMIF(FoodLog!$A:$A;$A197;FoodLog!$G:$G)=0;"";SUMIF(FoodLog!$A:$A;$A197;FoodLog!$G:$G)))</f>
        <v/>
      </c>
      <c r="X197">
        <f>IF($A197="";"";IF(SUMIF(FoodLog!$A:$A;$A197;FoodLog!$H:$H)=0;"";SUMIF(FoodLog!$A:$A;$A197;FoodLog!$H:$H)))</f>
        <v/>
      </c>
      <c r="Y197">
        <f>IF($A197="";"";IFERROR(ROUND(100*AVERAGE(IF($B197="";"";XLOOKUP($B197;FILTER(Dictionaries!$B:$B;Dictionaries!$A:$A="Тренировка");FILTER(Dictionaries!$C:$C;Dictionaries!$A:$A="Тренировка")));IF($C197="";"";MIN($C197/40;1));IF($D197="";"";XLOOKUP($D197;FILTER(Dictionaries!$B:$B;Dictionaries!$A:$A="Шаги");FILTER(Dictionaries!$C:$C;Dictionaries!$A:$A="Шаги")));IF($E197="";"";MIN($E197/120;1));IF(OR($F197&lt;&gt;"";$G197&lt;&gt;"");1;"");IF($H197="";"";MIN($H197/100;1));IF($L197="";"";XLOOKUP($L197;FILTER(Dictionaries!$B:$B;Dictionaries!$A:$A="Сон_часы");FILTER(Dictionaries!$C:$C;Dictionaries!$A:$A="Сон_часы")));IF($M197="";"";XLOOKUP($M197;FILTER(Dictionaries!$B:$B;Dictionaries!$A:$A="Режим");FILTER(Dictionaries!$C:$C;Dictionaries!$A:$A="Режим")));IF($N197="";"";MIN($N197/100;1));IF($O197="";"";XLOOKUP($O197;FILTER(Dictionaries!$B:$B;Dictionaries!$A:$A="Настроение");FILTER(Dictionaries!$C:$C;Dictionaries!$A:$A="Настроение")));IF($P197="";"";XLOOKUP($P197;FILTER(Dictionaries!$B:$B;Dictionaries!$A:$A="Энергия");FILTER(Dictionaries!$C:$C;Dictionaries!$A:$A="Энергия")));IF($U197="";"";AVERAGE(IF(OR($B197="Ноги";$B197="Верх");IFS(AND($U197&gt;=1900;$U197&lt;=2050);1;AND($U197&gt;=1850;$U197&lt;1900);0,7;AND($U197&gt;2050;$U197&lt;=2100);0,7;TRUE;0,2);IFS(AND($U197&gt;=1700;$U197&lt;=1850);1;AND($U197&gt;=1650;$U197&lt;1700);0,7;AND($U197&gt;1850;$U197&lt;=1900);0,7;TRUE;0,2));IF(OR($B197="Ноги";$B197="Верх");IFS(AND($V197&gt;=125;$V197&lt;=135);1;AND($V197&gt;=115;$V197&lt;125);0,7;AND($V197&gt;135;$V197&lt;=145);0,7;AND($V197&gt;=105;$V197&lt;115);0,4;AND($V197&gt;145;$V197&lt;=155);0,4;TRUE;0,2);IFS(AND($V197&gt;=120;$V197&lt;=130);1;AND($V197&gt;=110;$V197&lt;120);0,7;AND($V197&gt;130;$V197&lt;=140);0,7;AND($V197&gt;=100;$V197&lt;110);0,4;AND($V197&gt;140;$V197&lt;=150);0,4;TRUE;0,2));IFS(AND($W197&gt;=55;$W197&lt;=65);1;AND($W197&gt;=50;$W197&lt;55);0,7;AND($W197&gt;65;$W197&lt;=70);0,7;AND($W197&gt;=45;$W197&lt;50);0,4;AND($W197&gt;70;$W197&lt;=75);0,4;TRUE;0,2);IF(OR($B197="Ноги";$B197="Верх");IFS(AND($X197&gt;=180;$X197&lt;=210);1;AND($X197&gt;=160;$X197&lt;180);0,7;AND($X197&gt;210;$X197&lt;=230);0,7;AND($X197&gt;=140;$X197&lt;160);0,4;AND($X197&gt;230;$X197&lt;=250);0,4;TRUE;0,2);IFS(AND($X197&gt;=140;$X197&lt;=170);1;AND($X197&gt;=120;$X197&lt;140);0,7;AND($X197&gt;170;$X197&lt;=190);0,7;AND($X197&gt;=100;$X197&lt;120);0,4;AND($X197&gt;190;$X197&lt;=210);0,4;TRUE;0,2)))));1);""))</f>
        <v/>
      </c>
      <c r="Z197">
        <f>IF($A197="";"";TEXTJOIN(", ";TRUE;IF($B197="";"Тренировка";"");IF($C197="";"Кардио";"");IF($D197="";"Шаги";"");IF($E197="";"Английский";"");IF($F197="";"Код-режим";"");IF($G197="";"Код-тема";"");IF($H197="";"Чтение";"");IF($L197="";"Сон";"");IF($M197="";"Режим";"");IF($N197="";"Продуктивность";"");IF($O197="";"Настроение";"");IF($P197="";"Энергия";"");IF($U197="";"Еда";"")))</f>
        <v/>
      </c>
    </row>
    <row r="198">
      <c r="B198" t="inlineStr"/>
      <c r="C198" t="inlineStr"/>
      <c r="D198" t="inlineStr"/>
      <c r="E198" t="inlineStr"/>
      <c r="F198" t="inlineStr"/>
      <c r="G198" t="inlineStr"/>
      <c r="H198" t="inlineStr"/>
      <c r="I198" t="inlineStr"/>
      <c r="J198" t="inlineStr"/>
      <c r="K198" t="inlineStr"/>
      <c r="L198" t="inlineStr"/>
      <c r="M198" t="inlineStr"/>
      <c r="N198" t="inlineStr"/>
      <c r="O198" t="inlineStr"/>
      <c r="P198" t="inlineStr"/>
      <c r="Q198" t="inlineStr"/>
      <c r="R198" t="inlineStr"/>
      <c r="S198" t="inlineStr"/>
      <c r="T198" t="inlineStr"/>
      <c r="U198">
        <f>IF($A198="";"";IF(SUMIF(FoodLog!$A:$A;$A198;FoodLog!$I:$I)=0;"";SUMIF(FoodLog!$A:$A;$A198;FoodLog!$I:$I)))</f>
        <v/>
      </c>
      <c r="V198">
        <f>IF($A198="";"";IF(SUMIF(FoodLog!$A:$A;$A198;FoodLog!$F:$F)=0;"";SUMIF(FoodLog!$A:$A;$A198;FoodLog!$F:$F)))</f>
        <v/>
      </c>
      <c r="W198">
        <f>IF($A198="";"";IF(SUMIF(FoodLog!$A:$A;$A198;FoodLog!$G:$G)=0;"";SUMIF(FoodLog!$A:$A;$A198;FoodLog!$G:$G)))</f>
        <v/>
      </c>
      <c r="X198">
        <f>IF($A198="";"";IF(SUMIF(FoodLog!$A:$A;$A198;FoodLog!$H:$H)=0;"";SUMIF(FoodLog!$A:$A;$A198;FoodLog!$H:$H)))</f>
        <v/>
      </c>
      <c r="Y198">
        <f>IF($A198="";"";IFERROR(ROUND(100*AVERAGE(IF($B198="";"";XLOOKUP($B198;FILTER(Dictionaries!$B:$B;Dictionaries!$A:$A="Тренировка");FILTER(Dictionaries!$C:$C;Dictionaries!$A:$A="Тренировка")));IF($C198="";"";MIN($C198/40;1));IF($D198="";"";XLOOKUP($D198;FILTER(Dictionaries!$B:$B;Dictionaries!$A:$A="Шаги");FILTER(Dictionaries!$C:$C;Dictionaries!$A:$A="Шаги")));IF($E198="";"";MIN($E198/120;1));IF(OR($F198&lt;&gt;"";$G198&lt;&gt;"");1;"");IF($H198="";"";MIN($H198/100;1));IF($L198="";"";XLOOKUP($L198;FILTER(Dictionaries!$B:$B;Dictionaries!$A:$A="Сон_часы");FILTER(Dictionaries!$C:$C;Dictionaries!$A:$A="Сон_часы")));IF($M198="";"";XLOOKUP($M198;FILTER(Dictionaries!$B:$B;Dictionaries!$A:$A="Режим");FILTER(Dictionaries!$C:$C;Dictionaries!$A:$A="Режим")));IF($N198="";"";MIN($N198/100;1));IF($O198="";"";XLOOKUP($O198;FILTER(Dictionaries!$B:$B;Dictionaries!$A:$A="Настроение");FILTER(Dictionaries!$C:$C;Dictionaries!$A:$A="Настроение")));IF($P198="";"";XLOOKUP($P198;FILTER(Dictionaries!$B:$B;Dictionaries!$A:$A="Энергия");FILTER(Dictionaries!$C:$C;Dictionaries!$A:$A="Энергия")));IF($U198="";"";AVERAGE(IF(OR($B198="Ноги";$B198="Верх");IFS(AND($U198&gt;=1900;$U198&lt;=2050);1;AND($U198&gt;=1850;$U198&lt;1900);0,7;AND($U198&gt;2050;$U198&lt;=2100);0,7;TRUE;0,2);IFS(AND($U198&gt;=1700;$U198&lt;=1850);1;AND($U198&gt;=1650;$U198&lt;1700);0,7;AND($U198&gt;1850;$U198&lt;=1900);0,7;TRUE;0,2));IF(OR($B198="Ноги";$B198="Верх");IFS(AND($V198&gt;=125;$V198&lt;=135);1;AND($V198&gt;=115;$V198&lt;125);0,7;AND($V198&gt;135;$V198&lt;=145);0,7;AND($V198&gt;=105;$V198&lt;115);0,4;AND($V198&gt;145;$V198&lt;=155);0,4;TRUE;0,2);IFS(AND($V198&gt;=120;$V198&lt;=130);1;AND($V198&gt;=110;$V198&lt;120);0,7;AND($V198&gt;130;$V198&lt;=140);0,7;AND($V198&gt;=100;$V198&lt;110);0,4;AND($V198&gt;140;$V198&lt;=150);0,4;TRUE;0,2));IFS(AND($W198&gt;=55;$W198&lt;=65);1;AND($W198&gt;=50;$W198&lt;55);0,7;AND($W198&gt;65;$W198&lt;=70);0,7;AND($W198&gt;=45;$W198&lt;50);0,4;AND($W198&gt;70;$W198&lt;=75);0,4;TRUE;0,2);IF(OR($B198="Ноги";$B198="Верх");IFS(AND($X198&gt;=180;$X198&lt;=210);1;AND($X198&gt;=160;$X198&lt;180);0,7;AND($X198&gt;210;$X198&lt;=230);0,7;AND($X198&gt;=140;$X198&lt;160);0,4;AND($X198&gt;230;$X198&lt;=250);0,4;TRUE;0,2);IFS(AND($X198&gt;=140;$X198&lt;=170);1;AND($X198&gt;=120;$X198&lt;140);0,7;AND($X198&gt;170;$X198&lt;=190);0,7;AND($X198&gt;=100;$X198&lt;120);0,4;AND($X198&gt;190;$X198&lt;=210);0,4;TRUE;0,2)))));1);""))</f>
        <v/>
      </c>
      <c r="Z198">
        <f>IF($A198="";"";TEXTJOIN(", ";TRUE;IF($B198="";"Тренировка";"");IF($C198="";"Кардио";"");IF($D198="";"Шаги";"");IF($E198="";"Английский";"");IF($F198="";"Код-режим";"");IF($G198="";"Код-тема";"");IF($H198="";"Чтение";"");IF($L198="";"Сон";"");IF($M198="";"Режим";"");IF($N198="";"Продуктивность";"");IF($O198="";"Настроение";"");IF($P198="";"Энергия";"");IF($U198="";"Еда";"")))</f>
        <v/>
      </c>
    </row>
    <row r="199">
      <c r="B199" t="inlineStr"/>
      <c r="C199" t="inlineStr"/>
      <c r="D199" t="inlineStr"/>
      <c r="E199" t="inlineStr"/>
      <c r="F199" t="inlineStr"/>
      <c r="G199" t="inlineStr"/>
      <c r="H199" t="inlineStr"/>
      <c r="I199" t="inlineStr"/>
      <c r="J199" t="inlineStr"/>
      <c r="K199" t="inlineStr"/>
      <c r="L199" t="inlineStr"/>
      <c r="M199" t="inlineStr"/>
      <c r="N199" t="inlineStr"/>
      <c r="O199" t="inlineStr"/>
      <c r="P199" t="inlineStr"/>
      <c r="Q199" t="inlineStr"/>
      <c r="R199" t="inlineStr"/>
      <c r="S199" t="inlineStr"/>
      <c r="T199" t="inlineStr"/>
      <c r="U199">
        <f>IF($A199="";"";IF(SUMIF(FoodLog!$A:$A;$A199;FoodLog!$I:$I)=0;"";SUMIF(FoodLog!$A:$A;$A199;FoodLog!$I:$I)))</f>
        <v/>
      </c>
      <c r="V199">
        <f>IF($A199="";"";IF(SUMIF(FoodLog!$A:$A;$A199;FoodLog!$F:$F)=0;"";SUMIF(FoodLog!$A:$A;$A199;FoodLog!$F:$F)))</f>
        <v/>
      </c>
      <c r="W199">
        <f>IF($A199="";"";IF(SUMIF(FoodLog!$A:$A;$A199;FoodLog!$G:$G)=0;"";SUMIF(FoodLog!$A:$A;$A199;FoodLog!$G:$G)))</f>
        <v/>
      </c>
      <c r="X199">
        <f>IF($A199="";"";IF(SUMIF(FoodLog!$A:$A;$A199;FoodLog!$H:$H)=0;"";SUMIF(FoodLog!$A:$A;$A199;FoodLog!$H:$H)))</f>
        <v/>
      </c>
      <c r="Y199">
        <f>IF($A199="";"";IFERROR(ROUND(100*AVERAGE(IF($B199="";"";XLOOKUP($B199;FILTER(Dictionaries!$B:$B;Dictionaries!$A:$A="Тренировка");FILTER(Dictionaries!$C:$C;Dictionaries!$A:$A="Тренировка")));IF($C199="";"";MIN($C199/40;1));IF($D199="";"";XLOOKUP($D199;FILTER(Dictionaries!$B:$B;Dictionaries!$A:$A="Шаги");FILTER(Dictionaries!$C:$C;Dictionaries!$A:$A="Шаги")));IF($E199="";"";MIN($E199/120;1));IF(OR($F199&lt;&gt;"";$G199&lt;&gt;"");1;"");IF($H199="";"";MIN($H199/100;1));IF($L199="";"";XLOOKUP($L199;FILTER(Dictionaries!$B:$B;Dictionaries!$A:$A="Сон_часы");FILTER(Dictionaries!$C:$C;Dictionaries!$A:$A="Сон_часы")));IF($M199="";"";XLOOKUP($M199;FILTER(Dictionaries!$B:$B;Dictionaries!$A:$A="Режим");FILTER(Dictionaries!$C:$C;Dictionaries!$A:$A="Режим")));IF($N199="";"";MIN($N199/100;1));IF($O199="";"";XLOOKUP($O199;FILTER(Dictionaries!$B:$B;Dictionaries!$A:$A="Настроение");FILTER(Dictionaries!$C:$C;Dictionaries!$A:$A="Настроение")));IF($P199="";"";XLOOKUP($P199;FILTER(Dictionaries!$B:$B;Dictionaries!$A:$A="Энергия");FILTER(Dictionaries!$C:$C;Dictionaries!$A:$A="Энергия")));IF($U199="";"";AVERAGE(IF(OR($B199="Ноги";$B199="Верх");IFS(AND($U199&gt;=1900;$U199&lt;=2050);1;AND($U199&gt;=1850;$U199&lt;1900);0,7;AND($U199&gt;2050;$U199&lt;=2100);0,7;TRUE;0,2);IFS(AND($U199&gt;=1700;$U199&lt;=1850);1;AND($U199&gt;=1650;$U199&lt;1700);0,7;AND($U199&gt;1850;$U199&lt;=1900);0,7;TRUE;0,2));IF(OR($B199="Ноги";$B199="Верх");IFS(AND($V199&gt;=125;$V199&lt;=135);1;AND($V199&gt;=115;$V199&lt;125);0,7;AND($V199&gt;135;$V199&lt;=145);0,7;AND($V199&gt;=105;$V199&lt;115);0,4;AND($V199&gt;145;$V199&lt;=155);0,4;TRUE;0,2);IFS(AND($V199&gt;=120;$V199&lt;=130);1;AND($V199&gt;=110;$V199&lt;120);0,7;AND($V199&gt;130;$V199&lt;=140);0,7;AND($V199&gt;=100;$V199&lt;110);0,4;AND($V199&gt;140;$V199&lt;=150);0,4;TRUE;0,2));IFS(AND($W199&gt;=55;$W199&lt;=65);1;AND($W199&gt;=50;$W199&lt;55);0,7;AND($W199&gt;65;$W199&lt;=70);0,7;AND($W199&gt;=45;$W199&lt;50);0,4;AND($W199&gt;70;$W199&lt;=75);0,4;TRUE;0,2);IF(OR($B199="Ноги";$B199="Верх");IFS(AND($X199&gt;=180;$X199&lt;=210);1;AND($X199&gt;=160;$X199&lt;180);0,7;AND($X199&gt;210;$X199&lt;=230);0,7;AND($X199&gt;=140;$X199&lt;160);0,4;AND($X199&gt;230;$X199&lt;=250);0,4;TRUE;0,2);IFS(AND($X199&gt;=140;$X199&lt;=170);1;AND($X199&gt;=120;$X199&lt;140);0,7;AND($X199&gt;170;$X199&lt;=190);0,7;AND($X199&gt;=100;$X199&lt;120);0,4;AND($X199&gt;190;$X199&lt;=210);0,4;TRUE;0,2)))));1);""))</f>
        <v/>
      </c>
      <c r="Z199">
        <f>IF($A199="";"";TEXTJOIN(", ";TRUE;IF($B199="";"Тренировка";"");IF($C199="";"Кардио";"");IF($D199="";"Шаги";"");IF($E199="";"Английский";"");IF($F199="";"Код-режим";"");IF($G199="";"Код-тема";"");IF($H199="";"Чтение";"");IF($L199="";"Сон";"");IF($M199="";"Режим";"");IF($N199="";"Продуктивность";"");IF($O199="";"Настроение";"");IF($P199="";"Энергия";"");IF($U199="";"Еда";"")))</f>
        <v/>
      </c>
    </row>
    <row r="200">
      <c r="B200" t="inlineStr"/>
      <c r="C200" t="inlineStr"/>
      <c r="D200" t="inlineStr"/>
      <c r="E200" t="inlineStr"/>
      <c r="F200" t="inlineStr"/>
      <c r="G200" t="inlineStr"/>
      <c r="H200" t="inlineStr"/>
      <c r="I200" t="inlineStr"/>
      <c r="J200" t="inlineStr"/>
      <c r="K200" t="inlineStr"/>
      <c r="L200" t="inlineStr"/>
      <c r="M200" t="inlineStr"/>
      <c r="N200" t="inlineStr"/>
      <c r="O200" t="inlineStr"/>
      <c r="P200" t="inlineStr"/>
      <c r="Q200" t="inlineStr"/>
      <c r="R200" t="inlineStr"/>
      <c r="S200" t="inlineStr"/>
      <c r="T200" t="inlineStr"/>
      <c r="U200">
        <f>IF($A200="";"";IF(SUMIF(FoodLog!$A:$A;$A200;FoodLog!$I:$I)=0;"";SUMIF(FoodLog!$A:$A;$A200;FoodLog!$I:$I)))</f>
        <v/>
      </c>
      <c r="V200">
        <f>IF($A200="";"";IF(SUMIF(FoodLog!$A:$A;$A200;FoodLog!$F:$F)=0;"";SUMIF(FoodLog!$A:$A;$A200;FoodLog!$F:$F)))</f>
        <v/>
      </c>
      <c r="W200">
        <f>IF($A200="";"";IF(SUMIF(FoodLog!$A:$A;$A200;FoodLog!$G:$G)=0;"";SUMIF(FoodLog!$A:$A;$A200;FoodLog!$G:$G)))</f>
        <v/>
      </c>
      <c r="X200">
        <f>IF($A200="";"";IF(SUMIF(FoodLog!$A:$A;$A200;FoodLog!$H:$H)=0;"";SUMIF(FoodLog!$A:$A;$A200;FoodLog!$H:$H)))</f>
        <v/>
      </c>
      <c r="Y200">
        <f>IF($A200="";"";IFERROR(ROUND(100*AVERAGE(IF($B200="";"";XLOOKUP($B200;FILTER(Dictionaries!$B:$B;Dictionaries!$A:$A="Тренировка");FILTER(Dictionaries!$C:$C;Dictionaries!$A:$A="Тренировка")));IF($C200="";"";MIN($C200/40;1));IF($D200="";"";XLOOKUP($D200;FILTER(Dictionaries!$B:$B;Dictionaries!$A:$A="Шаги");FILTER(Dictionaries!$C:$C;Dictionaries!$A:$A="Шаги")));IF($E200="";"";MIN($E200/120;1));IF(OR($F200&lt;&gt;"";$G200&lt;&gt;"");1;"");IF($H200="";"";MIN($H200/100;1));IF($L200="";"";XLOOKUP($L200;FILTER(Dictionaries!$B:$B;Dictionaries!$A:$A="Сон_часы");FILTER(Dictionaries!$C:$C;Dictionaries!$A:$A="Сон_часы")));IF($M200="";"";XLOOKUP($M200;FILTER(Dictionaries!$B:$B;Dictionaries!$A:$A="Режим");FILTER(Dictionaries!$C:$C;Dictionaries!$A:$A="Режим")));IF($N200="";"";MIN($N200/100;1));IF($O200="";"";XLOOKUP($O200;FILTER(Dictionaries!$B:$B;Dictionaries!$A:$A="Настроение");FILTER(Dictionaries!$C:$C;Dictionaries!$A:$A="Настроение")));IF($P200="";"";XLOOKUP($P200;FILTER(Dictionaries!$B:$B;Dictionaries!$A:$A="Энергия");FILTER(Dictionaries!$C:$C;Dictionaries!$A:$A="Энергия")));IF($U200="";"";AVERAGE(IF(OR($B200="Ноги";$B200="Верх");IFS(AND($U200&gt;=1900;$U200&lt;=2050);1;AND($U200&gt;=1850;$U200&lt;1900);0,7;AND($U200&gt;2050;$U200&lt;=2100);0,7;TRUE;0,2);IFS(AND($U200&gt;=1700;$U200&lt;=1850);1;AND($U200&gt;=1650;$U200&lt;1700);0,7;AND($U200&gt;1850;$U200&lt;=1900);0,7;TRUE;0,2));IF(OR($B200="Ноги";$B200="Верх");IFS(AND($V200&gt;=125;$V200&lt;=135);1;AND($V200&gt;=115;$V200&lt;125);0,7;AND($V200&gt;135;$V200&lt;=145);0,7;AND($V200&gt;=105;$V200&lt;115);0,4;AND($V200&gt;145;$V200&lt;=155);0,4;TRUE;0,2);IFS(AND($V200&gt;=120;$V200&lt;=130);1;AND($V200&gt;=110;$V200&lt;120);0,7;AND($V200&gt;130;$V200&lt;=140);0,7;AND($V200&gt;=100;$V200&lt;110);0,4;AND($V200&gt;140;$V200&lt;=150);0,4;TRUE;0,2));IFS(AND($W200&gt;=55;$W200&lt;=65);1;AND($W200&gt;=50;$W200&lt;55);0,7;AND($W200&gt;65;$W200&lt;=70);0,7;AND($W200&gt;=45;$W200&lt;50);0,4;AND($W200&gt;70;$W200&lt;=75);0,4;TRUE;0,2);IF(OR($B200="Ноги";$B200="Верх");IFS(AND($X200&gt;=180;$X200&lt;=210);1;AND($X200&gt;=160;$X200&lt;180);0,7;AND($X200&gt;210;$X200&lt;=230);0,7;AND($X200&gt;=140;$X200&lt;160);0,4;AND($X200&gt;230;$X200&lt;=250);0,4;TRUE;0,2);IFS(AND($X200&gt;=140;$X200&lt;=170);1;AND($X200&gt;=120;$X200&lt;140);0,7;AND($X200&gt;170;$X200&lt;=190);0,7;AND($X200&gt;=100;$X200&lt;120);0,4;AND($X200&gt;190;$X200&lt;=210);0,4;TRUE;0,2)))));1);""))</f>
        <v/>
      </c>
      <c r="Z200">
        <f>IF($A200="";"";TEXTJOIN(", ";TRUE;IF($B200="";"Тренировка";"");IF($C200="";"Кардио";"");IF($D200="";"Шаги";"");IF($E200="";"Английский";"");IF($F200="";"Код-режим";"");IF($G200="";"Код-тема";"");IF($H200="";"Чтение";"");IF($L200="";"Сон";"");IF($M200="";"Режим";"");IF($N200="";"Продуктивность";"");IF($O200="";"Настроение";"");IF($P200="";"Энергия";"");IF($U200="";"Еда";"")))</f>
        <v/>
      </c>
    </row>
    <row r="201">
      <c r="B201" t="inlineStr"/>
      <c r="C201" t="inlineStr"/>
      <c r="D201" t="inlineStr"/>
      <c r="E201" t="inlineStr"/>
      <c r="F201" t="inlineStr"/>
      <c r="G201" t="inlineStr"/>
      <c r="H201" t="inlineStr"/>
      <c r="I201" t="inlineStr"/>
      <c r="J201" t="inlineStr"/>
      <c r="K201" t="inlineStr"/>
      <c r="L201" t="inlineStr"/>
      <c r="M201" t="inlineStr"/>
      <c r="N201" t="inlineStr"/>
      <c r="O201" t="inlineStr"/>
      <c r="P201" t="inlineStr"/>
      <c r="Q201" t="inlineStr"/>
      <c r="R201" t="inlineStr"/>
      <c r="S201" t="inlineStr"/>
      <c r="T201" t="inlineStr"/>
      <c r="U201">
        <f>IF($A201="";"";IF(SUMIF(FoodLog!$A:$A;$A201;FoodLog!$I:$I)=0;"";SUMIF(FoodLog!$A:$A;$A201;FoodLog!$I:$I)))</f>
        <v/>
      </c>
      <c r="V201">
        <f>IF($A201="";"";IF(SUMIF(FoodLog!$A:$A;$A201;FoodLog!$F:$F)=0;"";SUMIF(FoodLog!$A:$A;$A201;FoodLog!$F:$F)))</f>
        <v/>
      </c>
      <c r="W201">
        <f>IF($A201="";"";IF(SUMIF(FoodLog!$A:$A;$A201;FoodLog!$G:$G)=0;"";SUMIF(FoodLog!$A:$A;$A201;FoodLog!$G:$G)))</f>
        <v/>
      </c>
      <c r="X201">
        <f>IF($A201="";"";IF(SUMIF(FoodLog!$A:$A;$A201;FoodLog!$H:$H)=0;"";SUMIF(FoodLog!$A:$A;$A201;FoodLog!$H:$H)))</f>
        <v/>
      </c>
      <c r="Y201">
        <f>IF($A201="";"";IFERROR(ROUND(100*AVERAGE(IF($B201="";"";XLOOKUP($B201;FILTER(Dictionaries!$B:$B;Dictionaries!$A:$A="Тренировка");FILTER(Dictionaries!$C:$C;Dictionaries!$A:$A="Тренировка")));IF($C201="";"";MIN($C201/40;1));IF($D201="";"";XLOOKUP($D201;FILTER(Dictionaries!$B:$B;Dictionaries!$A:$A="Шаги");FILTER(Dictionaries!$C:$C;Dictionaries!$A:$A="Шаги")));IF($E201="";"";MIN($E201/120;1));IF(OR($F201&lt;&gt;"";$G201&lt;&gt;"");1;"");IF($H201="";"";MIN($H201/100;1));IF($L201="";"";XLOOKUP($L201;FILTER(Dictionaries!$B:$B;Dictionaries!$A:$A="Сон_часы");FILTER(Dictionaries!$C:$C;Dictionaries!$A:$A="Сон_часы")));IF($M201="";"";XLOOKUP($M201;FILTER(Dictionaries!$B:$B;Dictionaries!$A:$A="Режим");FILTER(Dictionaries!$C:$C;Dictionaries!$A:$A="Режим")));IF($N201="";"";MIN($N201/100;1));IF($O201="";"";XLOOKUP($O201;FILTER(Dictionaries!$B:$B;Dictionaries!$A:$A="Настроение");FILTER(Dictionaries!$C:$C;Dictionaries!$A:$A="Настроение")));IF($P201="";"";XLOOKUP($P201;FILTER(Dictionaries!$B:$B;Dictionaries!$A:$A="Энергия");FILTER(Dictionaries!$C:$C;Dictionaries!$A:$A="Энергия")));IF($U201="";"";AVERAGE(IF(OR($B201="Ноги";$B201="Верх");IFS(AND($U201&gt;=1900;$U201&lt;=2050);1;AND($U201&gt;=1850;$U201&lt;1900);0,7;AND($U201&gt;2050;$U201&lt;=2100);0,7;TRUE;0,2);IFS(AND($U201&gt;=1700;$U201&lt;=1850);1;AND($U201&gt;=1650;$U201&lt;1700);0,7;AND($U201&gt;1850;$U201&lt;=1900);0,7;TRUE;0,2));IF(OR($B201="Ноги";$B201="Верх");IFS(AND($V201&gt;=125;$V201&lt;=135);1;AND($V201&gt;=115;$V201&lt;125);0,7;AND($V201&gt;135;$V201&lt;=145);0,7;AND($V201&gt;=105;$V201&lt;115);0,4;AND($V201&gt;145;$V201&lt;=155);0,4;TRUE;0,2);IFS(AND($V201&gt;=120;$V201&lt;=130);1;AND($V201&gt;=110;$V201&lt;120);0,7;AND($V201&gt;130;$V201&lt;=140);0,7;AND($V201&gt;=100;$V201&lt;110);0,4;AND($V201&gt;140;$V201&lt;=150);0,4;TRUE;0,2));IFS(AND($W201&gt;=55;$W201&lt;=65);1;AND($W201&gt;=50;$W201&lt;55);0,7;AND($W201&gt;65;$W201&lt;=70);0,7;AND($W201&gt;=45;$W201&lt;50);0,4;AND($W201&gt;70;$W201&lt;=75);0,4;TRUE;0,2);IF(OR($B201="Ноги";$B201="Верх");IFS(AND($X201&gt;=180;$X201&lt;=210);1;AND($X201&gt;=160;$X201&lt;180);0,7;AND($X201&gt;210;$X201&lt;=230);0,7;AND($X201&gt;=140;$X201&lt;160);0,4;AND($X201&gt;230;$X201&lt;=250);0,4;TRUE;0,2);IFS(AND($X201&gt;=140;$X201&lt;=170);1;AND($X201&gt;=120;$X201&lt;140);0,7;AND($X201&gt;170;$X201&lt;=190);0,7;AND($X201&gt;=100;$X201&lt;120);0,4;AND($X201&gt;190;$X201&lt;=210);0,4;TRUE;0,2)))));1);""))</f>
        <v/>
      </c>
      <c r="Z201">
        <f>IF($A201="";"";TEXTJOIN(", ";TRUE;IF($B201="";"Тренировка";"");IF($C201="";"Кардио";"");IF($D201="";"Шаги";"");IF($E201="";"Английский";"");IF($F201="";"Код-режим";"");IF($G201="";"Код-тема";"");IF($H201="";"Чтение";"");IF($L201="";"Сон";"");IF($M201="";"Режим";"");IF($N201="";"Продуктивность";"");IF($O201="";"Настроение";"");IF($P201="";"Энергия";"");IF($U201="";"Еда";"")))</f>
        <v/>
      </c>
    </row>
    <row r="202">
      <c r="B202" t="inlineStr"/>
      <c r="C202" t="inlineStr"/>
      <c r="D202" t="inlineStr"/>
      <c r="E202" t="inlineStr"/>
      <c r="F202" t="inlineStr"/>
      <c r="G202" t="inlineStr"/>
      <c r="H202" t="inlineStr"/>
      <c r="I202" t="inlineStr"/>
      <c r="J202" t="inlineStr"/>
      <c r="K202" t="inlineStr"/>
      <c r="L202" t="inlineStr"/>
      <c r="M202" t="inlineStr"/>
      <c r="N202" t="inlineStr"/>
      <c r="O202" t="inlineStr"/>
      <c r="P202" t="inlineStr"/>
      <c r="Q202" t="inlineStr"/>
      <c r="R202" t="inlineStr"/>
      <c r="S202" t="inlineStr"/>
      <c r="T202" t="inlineStr"/>
      <c r="U202">
        <f>IF($A202="";"";IF(SUMIF(FoodLog!$A:$A;$A202;FoodLog!$I:$I)=0;"";SUMIF(FoodLog!$A:$A;$A202;FoodLog!$I:$I)))</f>
        <v/>
      </c>
      <c r="V202">
        <f>IF($A202="";"";IF(SUMIF(FoodLog!$A:$A;$A202;FoodLog!$F:$F)=0;"";SUMIF(FoodLog!$A:$A;$A202;FoodLog!$F:$F)))</f>
        <v/>
      </c>
      <c r="W202">
        <f>IF($A202="";"";IF(SUMIF(FoodLog!$A:$A;$A202;FoodLog!$G:$G)=0;"";SUMIF(FoodLog!$A:$A;$A202;FoodLog!$G:$G)))</f>
        <v/>
      </c>
      <c r="X202">
        <f>IF($A202="";"";IF(SUMIF(FoodLog!$A:$A;$A202;FoodLog!$H:$H)=0;"";SUMIF(FoodLog!$A:$A;$A202;FoodLog!$H:$H)))</f>
        <v/>
      </c>
      <c r="Y202">
        <f>IF($A202="";"";IFERROR(ROUND(100*AVERAGE(IF($B202="";"";XLOOKUP($B202;FILTER(Dictionaries!$B:$B;Dictionaries!$A:$A="Тренировка");FILTER(Dictionaries!$C:$C;Dictionaries!$A:$A="Тренировка")));IF($C202="";"";MIN($C202/40;1));IF($D202="";"";XLOOKUP($D202;FILTER(Dictionaries!$B:$B;Dictionaries!$A:$A="Шаги");FILTER(Dictionaries!$C:$C;Dictionaries!$A:$A="Шаги")));IF($E202="";"";MIN($E202/120;1));IF(OR($F202&lt;&gt;"";$G202&lt;&gt;"");1;"");IF($H202="";"";MIN($H202/100;1));IF($L202="";"";XLOOKUP($L202;FILTER(Dictionaries!$B:$B;Dictionaries!$A:$A="Сон_часы");FILTER(Dictionaries!$C:$C;Dictionaries!$A:$A="Сон_часы")));IF($M202="";"";XLOOKUP($M202;FILTER(Dictionaries!$B:$B;Dictionaries!$A:$A="Режим");FILTER(Dictionaries!$C:$C;Dictionaries!$A:$A="Режим")));IF($N202="";"";MIN($N202/100;1));IF($O202="";"";XLOOKUP($O202;FILTER(Dictionaries!$B:$B;Dictionaries!$A:$A="Настроение");FILTER(Dictionaries!$C:$C;Dictionaries!$A:$A="Настроение")));IF($P202="";"";XLOOKUP($P202;FILTER(Dictionaries!$B:$B;Dictionaries!$A:$A="Энергия");FILTER(Dictionaries!$C:$C;Dictionaries!$A:$A="Энергия")));IF($U202="";"";AVERAGE(IF(OR($B202="Ноги";$B202="Верх");IFS(AND($U202&gt;=1900;$U202&lt;=2050);1;AND($U202&gt;=1850;$U202&lt;1900);0,7;AND($U202&gt;2050;$U202&lt;=2100);0,7;TRUE;0,2);IFS(AND($U202&gt;=1700;$U202&lt;=1850);1;AND($U202&gt;=1650;$U202&lt;1700);0,7;AND($U202&gt;1850;$U202&lt;=1900);0,7;TRUE;0,2));IF(OR($B202="Ноги";$B202="Верх");IFS(AND($V202&gt;=125;$V202&lt;=135);1;AND($V202&gt;=115;$V202&lt;125);0,7;AND($V202&gt;135;$V202&lt;=145);0,7;AND($V202&gt;=105;$V202&lt;115);0,4;AND($V202&gt;145;$V202&lt;=155);0,4;TRUE;0,2);IFS(AND($V202&gt;=120;$V202&lt;=130);1;AND($V202&gt;=110;$V202&lt;120);0,7;AND($V202&gt;130;$V202&lt;=140);0,7;AND($V202&gt;=100;$V202&lt;110);0,4;AND($V202&gt;140;$V202&lt;=150);0,4;TRUE;0,2));IFS(AND($W202&gt;=55;$W202&lt;=65);1;AND($W202&gt;=50;$W202&lt;55);0,7;AND($W202&gt;65;$W202&lt;=70);0,7;AND($W202&gt;=45;$W202&lt;50);0,4;AND($W202&gt;70;$W202&lt;=75);0,4;TRUE;0,2);IF(OR($B202="Ноги";$B202="Верх");IFS(AND($X202&gt;=180;$X202&lt;=210);1;AND($X202&gt;=160;$X202&lt;180);0,7;AND($X202&gt;210;$X202&lt;=230);0,7;AND($X202&gt;=140;$X202&lt;160);0,4;AND($X202&gt;230;$X202&lt;=250);0,4;TRUE;0,2);IFS(AND($X202&gt;=140;$X202&lt;=170);1;AND($X202&gt;=120;$X202&lt;140);0,7;AND($X202&gt;170;$X202&lt;=190);0,7;AND($X202&gt;=100;$X202&lt;120);0,4;AND($X202&gt;190;$X202&lt;=210);0,4;TRUE;0,2)))));1);""))</f>
        <v/>
      </c>
      <c r="Z202">
        <f>IF($A202="";"";TEXTJOIN(", ";TRUE;IF($B202="";"Тренировка";"");IF($C202="";"Кардио";"");IF($D202="";"Шаги";"");IF($E202="";"Английский";"");IF($F202="";"Код-режим";"");IF($G202="";"Код-тема";"");IF($H202="";"Чтение";"");IF($L202="";"Сон";"");IF($M202="";"Режим";"");IF($N202="";"Продуктивность";"");IF($O202="";"Настроение";"");IF($P202="";"Энергия";"");IF($U202="";"Еда";"")))</f>
        <v/>
      </c>
    </row>
    <row r="203">
      <c r="B203" t="inlineStr"/>
      <c r="C203" t="inlineStr"/>
      <c r="D203" t="inlineStr"/>
      <c r="E203" t="inlineStr"/>
      <c r="F203" t="inlineStr"/>
      <c r="G203" t="inlineStr"/>
      <c r="H203" t="inlineStr"/>
      <c r="I203" t="inlineStr"/>
      <c r="J203" t="inlineStr"/>
      <c r="K203" t="inlineStr"/>
      <c r="L203" t="inlineStr"/>
      <c r="M203" t="inlineStr"/>
      <c r="N203" t="inlineStr"/>
      <c r="O203" t="inlineStr"/>
      <c r="P203" t="inlineStr"/>
      <c r="Q203" t="inlineStr"/>
      <c r="R203" t="inlineStr"/>
      <c r="S203" t="inlineStr"/>
      <c r="T203" t="inlineStr"/>
      <c r="U203">
        <f>IF($A203="";"";IF(SUMIF(FoodLog!$A:$A;$A203;FoodLog!$I:$I)=0;"";SUMIF(FoodLog!$A:$A;$A203;FoodLog!$I:$I)))</f>
        <v/>
      </c>
      <c r="V203">
        <f>IF($A203="";"";IF(SUMIF(FoodLog!$A:$A;$A203;FoodLog!$F:$F)=0;"";SUMIF(FoodLog!$A:$A;$A203;FoodLog!$F:$F)))</f>
        <v/>
      </c>
      <c r="W203">
        <f>IF($A203="";"";IF(SUMIF(FoodLog!$A:$A;$A203;FoodLog!$G:$G)=0;"";SUMIF(FoodLog!$A:$A;$A203;FoodLog!$G:$G)))</f>
        <v/>
      </c>
      <c r="X203">
        <f>IF($A203="";"";IF(SUMIF(FoodLog!$A:$A;$A203;FoodLog!$H:$H)=0;"";SUMIF(FoodLog!$A:$A;$A203;FoodLog!$H:$H)))</f>
        <v/>
      </c>
      <c r="Y203">
        <f>IF($A203="";"";IFERROR(ROUND(100*AVERAGE(IF($B203="";"";XLOOKUP($B203;FILTER(Dictionaries!$B:$B;Dictionaries!$A:$A="Тренировка");FILTER(Dictionaries!$C:$C;Dictionaries!$A:$A="Тренировка")));IF($C203="";"";MIN($C203/40;1));IF($D203="";"";XLOOKUP($D203;FILTER(Dictionaries!$B:$B;Dictionaries!$A:$A="Шаги");FILTER(Dictionaries!$C:$C;Dictionaries!$A:$A="Шаги")));IF($E203="";"";MIN($E203/120;1));IF(OR($F203&lt;&gt;"";$G203&lt;&gt;"");1;"");IF($H203="";"";MIN($H203/100;1));IF($L203="";"";XLOOKUP($L203;FILTER(Dictionaries!$B:$B;Dictionaries!$A:$A="Сон_часы");FILTER(Dictionaries!$C:$C;Dictionaries!$A:$A="Сон_часы")));IF($M203="";"";XLOOKUP($M203;FILTER(Dictionaries!$B:$B;Dictionaries!$A:$A="Режим");FILTER(Dictionaries!$C:$C;Dictionaries!$A:$A="Режим")));IF($N203="";"";MIN($N203/100;1));IF($O203="";"";XLOOKUP($O203;FILTER(Dictionaries!$B:$B;Dictionaries!$A:$A="Настроение");FILTER(Dictionaries!$C:$C;Dictionaries!$A:$A="Настроение")));IF($P203="";"";XLOOKUP($P203;FILTER(Dictionaries!$B:$B;Dictionaries!$A:$A="Энергия");FILTER(Dictionaries!$C:$C;Dictionaries!$A:$A="Энергия")));IF($U203="";"";AVERAGE(IF(OR($B203="Ноги";$B203="Верх");IFS(AND($U203&gt;=1900;$U203&lt;=2050);1;AND($U203&gt;=1850;$U203&lt;1900);0,7;AND($U203&gt;2050;$U203&lt;=2100);0,7;TRUE;0,2);IFS(AND($U203&gt;=1700;$U203&lt;=1850);1;AND($U203&gt;=1650;$U203&lt;1700);0,7;AND($U203&gt;1850;$U203&lt;=1900);0,7;TRUE;0,2));IF(OR($B203="Ноги";$B203="Верх");IFS(AND($V203&gt;=125;$V203&lt;=135);1;AND($V203&gt;=115;$V203&lt;125);0,7;AND($V203&gt;135;$V203&lt;=145);0,7;AND($V203&gt;=105;$V203&lt;115);0,4;AND($V203&gt;145;$V203&lt;=155);0,4;TRUE;0,2);IFS(AND($V203&gt;=120;$V203&lt;=130);1;AND($V203&gt;=110;$V203&lt;120);0,7;AND($V203&gt;130;$V203&lt;=140);0,7;AND($V203&gt;=100;$V203&lt;110);0,4;AND($V203&gt;140;$V203&lt;=150);0,4;TRUE;0,2));IFS(AND($W203&gt;=55;$W203&lt;=65);1;AND($W203&gt;=50;$W203&lt;55);0,7;AND($W203&gt;65;$W203&lt;=70);0,7;AND($W203&gt;=45;$W203&lt;50);0,4;AND($W203&gt;70;$W203&lt;=75);0,4;TRUE;0,2);IF(OR($B203="Ноги";$B203="Верх");IFS(AND($X203&gt;=180;$X203&lt;=210);1;AND($X203&gt;=160;$X203&lt;180);0,7;AND($X203&gt;210;$X203&lt;=230);0,7;AND($X203&gt;=140;$X203&lt;160);0,4;AND($X203&gt;230;$X203&lt;=250);0,4;TRUE;0,2);IFS(AND($X203&gt;=140;$X203&lt;=170);1;AND($X203&gt;=120;$X203&lt;140);0,7;AND($X203&gt;170;$X203&lt;=190);0,7;AND($X203&gt;=100;$X203&lt;120);0,4;AND($X203&gt;190;$X203&lt;=210);0,4;TRUE;0,2)))));1);""))</f>
        <v/>
      </c>
      <c r="Z203">
        <f>IF($A203="";"";TEXTJOIN(", ";TRUE;IF($B203="";"Тренировка";"");IF($C203="";"Кардио";"");IF($D203="";"Шаги";"");IF($E203="";"Английский";"");IF($F203="";"Код-режим";"");IF($G203="";"Код-тема";"");IF($H203="";"Чтение";"");IF($L203="";"Сон";"");IF($M203="";"Режим";"");IF($N203="";"Продуктивность";"");IF($O203="";"Настроение";"");IF($P203="";"Энергия";"");IF($U203="";"Еда";"")))</f>
        <v/>
      </c>
    </row>
    <row r="204">
      <c r="B204" t="inlineStr"/>
      <c r="C204" t="inlineStr"/>
      <c r="D204" t="inlineStr"/>
      <c r="E204" t="inlineStr"/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/>
      <c r="P204" t="inlineStr"/>
      <c r="Q204" t="inlineStr"/>
      <c r="R204" t="inlineStr"/>
      <c r="S204" t="inlineStr"/>
      <c r="T204" t="inlineStr"/>
      <c r="U204">
        <f>IF($A204="";"";IF(SUMIF(FoodLog!$A:$A;$A204;FoodLog!$I:$I)=0;"";SUMIF(FoodLog!$A:$A;$A204;FoodLog!$I:$I)))</f>
        <v/>
      </c>
      <c r="V204">
        <f>IF($A204="";"";IF(SUMIF(FoodLog!$A:$A;$A204;FoodLog!$F:$F)=0;"";SUMIF(FoodLog!$A:$A;$A204;FoodLog!$F:$F)))</f>
        <v/>
      </c>
      <c r="W204">
        <f>IF($A204="";"";IF(SUMIF(FoodLog!$A:$A;$A204;FoodLog!$G:$G)=0;"";SUMIF(FoodLog!$A:$A;$A204;FoodLog!$G:$G)))</f>
        <v/>
      </c>
      <c r="X204">
        <f>IF($A204="";"";IF(SUMIF(FoodLog!$A:$A;$A204;FoodLog!$H:$H)=0;"";SUMIF(FoodLog!$A:$A;$A204;FoodLog!$H:$H)))</f>
        <v/>
      </c>
      <c r="Y204">
        <f>IF($A204="";"";IFERROR(ROUND(100*AVERAGE(IF($B204="";"";XLOOKUP($B204;FILTER(Dictionaries!$B:$B;Dictionaries!$A:$A="Тренировка");FILTER(Dictionaries!$C:$C;Dictionaries!$A:$A="Тренировка")));IF($C204="";"";MIN($C204/40;1));IF($D204="";"";XLOOKUP($D204;FILTER(Dictionaries!$B:$B;Dictionaries!$A:$A="Шаги");FILTER(Dictionaries!$C:$C;Dictionaries!$A:$A="Шаги")));IF($E204="";"";MIN($E204/120;1));IF(OR($F204&lt;&gt;"";$G204&lt;&gt;"");1;"");IF($H204="";"";MIN($H204/100;1));IF($L204="";"";XLOOKUP($L204;FILTER(Dictionaries!$B:$B;Dictionaries!$A:$A="Сон_часы");FILTER(Dictionaries!$C:$C;Dictionaries!$A:$A="Сон_часы")));IF($M204="";"";XLOOKUP($M204;FILTER(Dictionaries!$B:$B;Dictionaries!$A:$A="Режим");FILTER(Dictionaries!$C:$C;Dictionaries!$A:$A="Режим")));IF($N204="";"";MIN($N204/100;1));IF($O204="";"";XLOOKUP($O204;FILTER(Dictionaries!$B:$B;Dictionaries!$A:$A="Настроение");FILTER(Dictionaries!$C:$C;Dictionaries!$A:$A="Настроение")));IF($P204="";"";XLOOKUP($P204;FILTER(Dictionaries!$B:$B;Dictionaries!$A:$A="Энергия");FILTER(Dictionaries!$C:$C;Dictionaries!$A:$A="Энергия")));IF($U204="";"";AVERAGE(IF(OR($B204="Ноги";$B204="Верх");IFS(AND($U204&gt;=1900;$U204&lt;=2050);1;AND($U204&gt;=1850;$U204&lt;1900);0,7;AND($U204&gt;2050;$U204&lt;=2100);0,7;TRUE;0,2);IFS(AND($U204&gt;=1700;$U204&lt;=1850);1;AND($U204&gt;=1650;$U204&lt;1700);0,7;AND($U204&gt;1850;$U204&lt;=1900);0,7;TRUE;0,2));IF(OR($B204="Ноги";$B204="Верх");IFS(AND($V204&gt;=125;$V204&lt;=135);1;AND($V204&gt;=115;$V204&lt;125);0,7;AND($V204&gt;135;$V204&lt;=145);0,7;AND($V204&gt;=105;$V204&lt;115);0,4;AND($V204&gt;145;$V204&lt;=155);0,4;TRUE;0,2);IFS(AND($V204&gt;=120;$V204&lt;=130);1;AND($V204&gt;=110;$V204&lt;120);0,7;AND($V204&gt;130;$V204&lt;=140);0,7;AND($V204&gt;=100;$V204&lt;110);0,4;AND($V204&gt;140;$V204&lt;=150);0,4;TRUE;0,2));IFS(AND($W204&gt;=55;$W204&lt;=65);1;AND($W204&gt;=50;$W204&lt;55);0,7;AND($W204&gt;65;$W204&lt;=70);0,7;AND($W204&gt;=45;$W204&lt;50);0,4;AND($W204&gt;70;$W204&lt;=75);0,4;TRUE;0,2);IF(OR($B204="Ноги";$B204="Верх");IFS(AND($X204&gt;=180;$X204&lt;=210);1;AND($X204&gt;=160;$X204&lt;180);0,7;AND($X204&gt;210;$X204&lt;=230);0,7;AND($X204&gt;=140;$X204&lt;160);0,4;AND($X204&gt;230;$X204&lt;=250);0,4;TRUE;0,2);IFS(AND($X204&gt;=140;$X204&lt;=170);1;AND($X204&gt;=120;$X204&lt;140);0,7;AND($X204&gt;170;$X204&lt;=190);0,7;AND($X204&gt;=100;$X204&lt;120);0,4;AND($X204&gt;190;$X204&lt;=210);0,4;TRUE;0,2)))));1);""))</f>
        <v/>
      </c>
      <c r="Z204">
        <f>IF($A204="";"";TEXTJOIN(", ";TRUE;IF($B204="";"Тренировка";"");IF($C204="";"Кардио";"");IF($D204="";"Шаги";"");IF($E204="";"Английский";"");IF($F204="";"Код-режим";"");IF($G204="";"Код-тема";"");IF($H204="";"Чтение";"");IF($L204="";"Сон";"");IF($M204="";"Режим";"");IF($N204="";"Продуктивность";"");IF($O204="";"Настроение";"");IF($P204="";"Энергия";"");IF($U204="";"Еда";"")))</f>
        <v/>
      </c>
    </row>
    <row r="205">
      <c r="B205" t="inlineStr"/>
      <c r="C205" t="inlineStr"/>
      <c r="D205" t="inlineStr"/>
      <c r="E205" t="inlineStr"/>
      <c r="F205" t="inlineStr"/>
      <c r="G205" t="inlineStr"/>
      <c r="H205" t="inlineStr"/>
      <c r="I205" t="inlineStr"/>
      <c r="J205" t="inlineStr"/>
      <c r="K205" t="inlineStr"/>
      <c r="L205" t="inlineStr"/>
      <c r="M205" t="inlineStr"/>
      <c r="N205" t="inlineStr"/>
      <c r="O205" t="inlineStr"/>
      <c r="P205" t="inlineStr"/>
      <c r="Q205" t="inlineStr"/>
      <c r="R205" t="inlineStr"/>
      <c r="S205" t="inlineStr"/>
      <c r="T205" t="inlineStr"/>
      <c r="U205">
        <f>IF($A205="";"";IF(SUMIF(FoodLog!$A:$A;$A205;FoodLog!$I:$I)=0;"";SUMIF(FoodLog!$A:$A;$A205;FoodLog!$I:$I)))</f>
        <v/>
      </c>
      <c r="V205">
        <f>IF($A205="";"";IF(SUMIF(FoodLog!$A:$A;$A205;FoodLog!$F:$F)=0;"";SUMIF(FoodLog!$A:$A;$A205;FoodLog!$F:$F)))</f>
        <v/>
      </c>
      <c r="W205">
        <f>IF($A205="";"";IF(SUMIF(FoodLog!$A:$A;$A205;FoodLog!$G:$G)=0;"";SUMIF(FoodLog!$A:$A;$A205;FoodLog!$G:$G)))</f>
        <v/>
      </c>
      <c r="X205">
        <f>IF($A205="";"";IF(SUMIF(FoodLog!$A:$A;$A205;FoodLog!$H:$H)=0;"";SUMIF(FoodLog!$A:$A;$A205;FoodLog!$H:$H)))</f>
        <v/>
      </c>
      <c r="Y205">
        <f>IF($A205="";"";IFERROR(ROUND(100*AVERAGE(IF($B205="";"";XLOOKUP($B205;FILTER(Dictionaries!$B:$B;Dictionaries!$A:$A="Тренировка");FILTER(Dictionaries!$C:$C;Dictionaries!$A:$A="Тренировка")));IF($C205="";"";MIN($C205/40;1));IF($D205="";"";XLOOKUP($D205;FILTER(Dictionaries!$B:$B;Dictionaries!$A:$A="Шаги");FILTER(Dictionaries!$C:$C;Dictionaries!$A:$A="Шаги")));IF($E205="";"";MIN($E205/120;1));IF(OR($F205&lt;&gt;"";$G205&lt;&gt;"");1;"");IF($H205="";"";MIN($H205/100;1));IF($L205="";"";XLOOKUP($L205;FILTER(Dictionaries!$B:$B;Dictionaries!$A:$A="Сон_часы");FILTER(Dictionaries!$C:$C;Dictionaries!$A:$A="Сон_часы")));IF($M205="";"";XLOOKUP($M205;FILTER(Dictionaries!$B:$B;Dictionaries!$A:$A="Режим");FILTER(Dictionaries!$C:$C;Dictionaries!$A:$A="Режим")));IF($N205="";"";MIN($N205/100;1));IF($O205="";"";XLOOKUP($O205;FILTER(Dictionaries!$B:$B;Dictionaries!$A:$A="Настроение");FILTER(Dictionaries!$C:$C;Dictionaries!$A:$A="Настроение")));IF($P205="";"";XLOOKUP($P205;FILTER(Dictionaries!$B:$B;Dictionaries!$A:$A="Энергия");FILTER(Dictionaries!$C:$C;Dictionaries!$A:$A="Энергия")));IF($U205="";"";AVERAGE(IF(OR($B205="Ноги";$B205="Верх");IFS(AND($U205&gt;=1900;$U205&lt;=2050);1;AND($U205&gt;=1850;$U205&lt;1900);0,7;AND($U205&gt;2050;$U205&lt;=2100);0,7;TRUE;0,2);IFS(AND($U205&gt;=1700;$U205&lt;=1850);1;AND($U205&gt;=1650;$U205&lt;1700);0,7;AND($U205&gt;1850;$U205&lt;=1900);0,7;TRUE;0,2));IF(OR($B205="Ноги";$B205="Верх");IFS(AND($V205&gt;=125;$V205&lt;=135);1;AND($V205&gt;=115;$V205&lt;125);0,7;AND($V205&gt;135;$V205&lt;=145);0,7;AND($V205&gt;=105;$V205&lt;115);0,4;AND($V205&gt;145;$V205&lt;=155);0,4;TRUE;0,2);IFS(AND($V205&gt;=120;$V205&lt;=130);1;AND($V205&gt;=110;$V205&lt;120);0,7;AND($V205&gt;130;$V205&lt;=140);0,7;AND($V205&gt;=100;$V205&lt;110);0,4;AND($V205&gt;140;$V205&lt;=150);0,4;TRUE;0,2));IFS(AND($W205&gt;=55;$W205&lt;=65);1;AND($W205&gt;=50;$W205&lt;55);0,7;AND($W205&gt;65;$W205&lt;=70);0,7;AND($W205&gt;=45;$W205&lt;50);0,4;AND($W205&gt;70;$W205&lt;=75);0,4;TRUE;0,2);IF(OR($B205="Ноги";$B205="Верх");IFS(AND($X205&gt;=180;$X205&lt;=210);1;AND($X205&gt;=160;$X205&lt;180);0,7;AND($X205&gt;210;$X205&lt;=230);0,7;AND($X205&gt;=140;$X205&lt;160);0,4;AND($X205&gt;230;$X205&lt;=250);0,4;TRUE;0,2);IFS(AND($X205&gt;=140;$X205&lt;=170);1;AND($X205&gt;=120;$X205&lt;140);0,7;AND($X205&gt;170;$X205&lt;=190);0,7;AND($X205&gt;=100;$X205&lt;120);0,4;AND($X205&gt;190;$X205&lt;=210);0,4;TRUE;0,2)))));1);""))</f>
        <v/>
      </c>
      <c r="Z205">
        <f>IF($A205="";"";TEXTJOIN(", ";TRUE;IF($B205="";"Тренировка";"");IF($C205="";"Кардио";"");IF($D205="";"Шаги";"");IF($E205="";"Английский";"");IF($F205="";"Код-режим";"");IF($G205="";"Код-тема";"");IF($H205="";"Чтение";"");IF($L205="";"Сон";"");IF($M205="";"Режим";"");IF($N205="";"Продуктивность";"");IF($O205="";"Настроение";"");IF($P205="";"Энергия";"");IF($U205="";"Еда";"")))</f>
        <v/>
      </c>
    </row>
    <row r="206">
      <c r="B206" t="inlineStr"/>
      <c r="C206" t="inlineStr"/>
      <c r="D206" t="inlineStr"/>
      <c r="E206" t="inlineStr"/>
      <c r="F206" t="inlineStr"/>
      <c r="G206" t="inlineStr"/>
      <c r="H206" t="inlineStr"/>
      <c r="I206" t="inlineStr"/>
      <c r="J206" t="inlineStr"/>
      <c r="K206" t="inlineStr"/>
      <c r="L206" t="inlineStr"/>
      <c r="M206" t="inlineStr"/>
      <c r="N206" t="inlineStr"/>
      <c r="O206" t="inlineStr"/>
      <c r="P206" t="inlineStr"/>
      <c r="Q206" t="inlineStr"/>
      <c r="R206" t="inlineStr"/>
      <c r="S206" t="inlineStr"/>
      <c r="T206" t="inlineStr"/>
      <c r="U206">
        <f>IF($A206="";"";IF(SUMIF(FoodLog!$A:$A;$A206;FoodLog!$I:$I)=0;"";SUMIF(FoodLog!$A:$A;$A206;FoodLog!$I:$I)))</f>
        <v/>
      </c>
      <c r="V206">
        <f>IF($A206="";"";IF(SUMIF(FoodLog!$A:$A;$A206;FoodLog!$F:$F)=0;"";SUMIF(FoodLog!$A:$A;$A206;FoodLog!$F:$F)))</f>
        <v/>
      </c>
      <c r="W206">
        <f>IF($A206="";"";IF(SUMIF(FoodLog!$A:$A;$A206;FoodLog!$G:$G)=0;"";SUMIF(FoodLog!$A:$A;$A206;FoodLog!$G:$G)))</f>
        <v/>
      </c>
      <c r="X206">
        <f>IF($A206="";"";IF(SUMIF(FoodLog!$A:$A;$A206;FoodLog!$H:$H)=0;"";SUMIF(FoodLog!$A:$A;$A206;FoodLog!$H:$H)))</f>
        <v/>
      </c>
      <c r="Y206">
        <f>IF($A206="";"";IFERROR(ROUND(100*AVERAGE(IF($B206="";"";XLOOKUP($B206;FILTER(Dictionaries!$B:$B;Dictionaries!$A:$A="Тренировка");FILTER(Dictionaries!$C:$C;Dictionaries!$A:$A="Тренировка")));IF($C206="";"";MIN($C206/40;1));IF($D206="";"";XLOOKUP($D206;FILTER(Dictionaries!$B:$B;Dictionaries!$A:$A="Шаги");FILTER(Dictionaries!$C:$C;Dictionaries!$A:$A="Шаги")));IF($E206="";"";MIN($E206/120;1));IF(OR($F206&lt;&gt;"";$G206&lt;&gt;"");1;"");IF($H206="";"";MIN($H206/100;1));IF($L206="";"";XLOOKUP($L206;FILTER(Dictionaries!$B:$B;Dictionaries!$A:$A="Сон_часы");FILTER(Dictionaries!$C:$C;Dictionaries!$A:$A="Сон_часы")));IF($M206="";"";XLOOKUP($M206;FILTER(Dictionaries!$B:$B;Dictionaries!$A:$A="Режим");FILTER(Dictionaries!$C:$C;Dictionaries!$A:$A="Режим")));IF($N206="";"";MIN($N206/100;1));IF($O206="";"";XLOOKUP($O206;FILTER(Dictionaries!$B:$B;Dictionaries!$A:$A="Настроение");FILTER(Dictionaries!$C:$C;Dictionaries!$A:$A="Настроение")));IF($P206="";"";XLOOKUP($P206;FILTER(Dictionaries!$B:$B;Dictionaries!$A:$A="Энергия");FILTER(Dictionaries!$C:$C;Dictionaries!$A:$A="Энергия")));IF($U206="";"";AVERAGE(IF(OR($B206="Ноги";$B206="Верх");IFS(AND($U206&gt;=1900;$U206&lt;=2050);1;AND($U206&gt;=1850;$U206&lt;1900);0,7;AND($U206&gt;2050;$U206&lt;=2100);0,7;TRUE;0,2);IFS(AND($U206&gt;=1700;$U206&lt;=1850);1;AND($U206&gt;=1650;$U206&lt;1700);0,7;AND($U206&gt;1850;$U206&lt;=1900);0,7;TRUE;0,2));IF(OR($B206="Ноги";$B206="Верх");IFS(AND($V206&gt;=125;$V206&lt;=135);1;AND($V206&gt;=115;$V206&lt;125);0,7;AND($V206&gt;135;$V206&lt;=145);0,7;AND($V206&gt;=105;$V206&lt;115);0,4;AND($V206&gt;145;$V206&lt;=155);0,4;TRUE;0,2);IFS(AND($V206&gt;=120;$V206&lt;=130);1;AND($V206&gt;=110;$V206&lt;120);0,7;AND($V206&gt;130;$V206&lt;=140);0,7;AND($V206&gt;=100;$V206&lt;110);0,4;AND($V206&gt;140;$V206&lt;=150);0,4;TRUE;0,2));IFS(AND($W206&gt;=55;$W206&lt;=65);1;AND($W206&gt;=50;$W206&lt;55);0,7;AND($W206&gt;65;$W206&lt;=70);0,7;AND($W206&gt;=45;$W206&lt;50);0,4;AND($W206&gt;70;$W206&lt;=75);0,4;TRUE;0,2);IF(OR($B206="Ноги";$B206="Верх");IFS(AND($X206&gt;=180;$X206&lt;=210);1;AND($X206&gt;=160;$X206&lt;180);0,7;AND($X206&gt;210;$X206&lt;=230);0,7;AND($X206&gt;=140;$X206&lt;160);0,4;AND($X206&gt;230;$X206&lt;=250);0,4;TRUE;0,2);IFS(AND($X206&gt;=140;$X206&lt;=170);1;AND($X206&gt;=120;$X206&lt;140);0,7;AND($X206&gt;170;$X206&lt;=190);0,7;AND($X206&gt;=100;$X206&lt;120);0,4;AND($X206&gt;190;$X206&lt;=210);0,4;TRUE;0,2)))));1);""))</f>
        <v/>
      </c>
      <c r="Z206">
        <f>IF($A206="";"";TEXTJOIN(", ";TRUE;IF($B206="";"Тренировка";"");IF($C206="";"Кардио";"");IF($D206="";"Шаги";"");IF($E206="";"Английский";"");IF($F206="";"Код-режим";"");IF($G206="";"Код-тема";"");IF($H206="";"Чтение";"");IF($L206="";"Сон";"");IF($M206="";"Режим";"");IF($N206="";"Продуктивность";"");IF($O206="";"Настроение";"");IF($P206="";"Энергия";"");IF($U206="";"Еда";"")))</f>
        <v/>
      </c>
    </row>
    <row r="207">
      <c r="B207" t="inlineStr"/>
      <c r="C207" t="inlineStr"/>
      <c r="D207" t="inlineStr"/>
      <c r="E207" t="inlineStr"/>
      <c r="F207" t="inlineStr"/>
      <c r="G207" t="inlineStr"/>
      <c r="H207" t="inlineStr"/>
      <c r="I207" t="inlineStr"/>
      <c r="J207" t="inlineStr"/>
      <c r="K207" t="inlineStr"/>
      <c r="L207" t="inlineStr"/>
      <c r="M207" t="inlineStr"/>
      <c r="N207" t="inlineStr"/>
      <c r="O207" t="inlineStr"/>
      <c r="P207" t="inlineStr"/>
      <c r="Q207" t="inlineStr"/>
      <c r="R207" t="inlineStr"/>
      <c r="S207" t="inlineStr"/>
      <c r="T207" t="inlineStr"/>
      <c r="U207">
        <f>IF($A207="";"";IF(SUMIF(FoodLog!$A:$A;$A207;FoodLog!$I:$I)=0;"";SUMIF(FoodLog!$A:$A;$A207;FoodLog!$I:$I)))</f>
        <v/>
      </c>
      <c r="V207">
        <f>IF($A207="";"";IF(SUMIF(FoodLog!$A:$A;$A207;FoodLog!$F:$F)=0;"";SUMIF(FoodLog!$A:$A;$A207;FoodLog!$F:$F)))</f>
        <v/>
      </c>
      <c r="W207">
        <f>IF($A207="";"";IF(SUMIF(FoodLog!$A:$A;$A207;FoodLog!$G:$G)=0;"";SUMIF(FoodLog!$A:$A;$A207;FoodLog!$G:$G)))</f>
        <v/>
      </c>
      <c r="X207">
        <f>IF($A207="";"";IF(SUMIF(FoodLog!$A:$A;$A207;FoodLog!$H:$H)=0;"";SUMIF(FoodLog!$A:$A;$A207;FoodLog!$H:$H)))</f>
        <v/>
      </c>
      <c r="Y207">
        <f>IF($A207="";"";IFERROR(ROUND(100*AVERAGE(IF($B207="";"";XLOOKUP($B207;FILTER(Dictionaries!$B:$B;Dictionaries!$A:$A="Тренировка");FILTER(Dictionaries!$C:$C;Dictionaries!$A:$A="Тренировка")));IF($C207="";"";MIN($C207/40;1));IF($D207="";"";XLOOKUP($D207;FILTER(Dictionaries!$B:$B;Dictionaries!$A:$A="Шаги");FILTER(Dictionaries!$C:$C;Dictionaries!$A:$A="Шаги")));IF($E207="";"";MIN($E207/120;1));IF(OR($F207&lt;&gt;"";$G207&lt;&gt;"");1;"");IF($H207="";"";MIN($H207/100;1));IF($L207="";"";XLOOKUP($L207;FILTER(Dictionaries!$B:$B;Dictionaries!$A:$A="Сон_часы");FILTER(Dictionaries!$C:$C;Dictionaries!$A:$A="Сон_часы")));IF($M207="";"";XLOOKUP($M207;FILTER(Dictionaries!$B:$B;Dictionaries!$A:$A="Режим");FILTER(Dictionaries!$C:$C;Dictionaries!$A:$A="Режим")));IF($N207="";"";MIN($N207/100;1));IF($O207="";"";XLOOKUP($O207;FILTER(Dictionaries!$B:$B;Dictionaries!$A:$A="Настроение");FILTER(Dictionaries!$C:$C;Dictionaries!$A:$A="Настроение")));IF($P207="";"";XLOOKUP($P207;FILTER(Dictionaries!$B:$B;Dictionaries!$A:$A="Энергия");FILTER(Dictionaries!$C:$C;Dictionaries!$A:$A="Энергия")));IF($U207="";"";AVERAGE(IF(OR($B207="Ноги";$B207="Верх");IFS(AND($U207&gt;=1900;$U207&lt;=2050);1;AND($U207&gt;=1850;$U207&lt;1900);0,7;AND($U207&gt;2050;$U207&lt;=2100);0,7;TRUE;0,2);IFS(AND($U207&gt;=1700;$U207&lt;=1850);1;AND($U207&gt;=1650;$U207&lt;1700);0,7;AND($U207&gt;1850;$U207&lt;=1900);0,7;TRUE;0,2));IF(OR($B207="Ноги";$B207="Верх");IFS(AND($V207&gt;=125;$V207&lt;=135);1;AND($V207&gt;=115;$V207&lt;125);0,7;AND($V207&gt;135;$V207&lt;=145);0,7;AND($V207&gt;=105;$V207&lt;115);0,4;AND($V207&gt;145;$V207&lt;=155);0,4;TRUE;0,2);IFS(AND($V207&gt;=120;$V207&lt;=130);1;AND($V207&gt;=110;$V207&lt;120);0,7;AND($V207&gt;130;$V207&lt;=140);0,7;AND($V207&gt;=100;$V207&lt;110);0,4;AND($V207&gt;140;$V207&lt;=150);0,4;TRUE;0,2));IFS(AND($W207&gt;=55;$W207&lt;=65);1;AND($W207&gt;=50;$W207&lt;55);0,7;AND($W207&gt;65;$W207&lt;=70);0,7;AND($W207&gt;=45;$W207&lt;50);0,4;AND($W207&gt;70;$W207&lt;=75);0,4;TRUE;0,2);IF(OR($B207="Ноги";$B207="Верх");IFS(AND($X207&gt;=180;$X207&lt;=210);1;AND($X207&gt;=160;$X207&lt;180);0,7;AND($X207&gt;210;$X207&lt;=230);0,7;AND($X207&gt;=140;$X207&lt;160);0,4;AND($X207&gt;230;$X207&lt;=250);0,4;TRUE;0,2);IFS(AND($X207&gt;=140;$X207&lt;=170);1;AND($X207&gt;=120;$X207&lt;140);0,7;AND($X207&gt;170;$X207&lt;=190);0,7;AND($X207&gt;=100;$X207&lt;120);0,4;AND($X207&gt;190;$X207&lt;=210);0,4;TRUE;0,2)))));1);""))</f>
        <v/>
      </c>
      <c r="Z207">
        <f>IF($A207="";"";TEXTJOIN(", ";TRUE;IF($B207="";"Тренировка";"");IF($C207="";"Кардио";"");IF($D207="";"Шаги";"");IF($E207="";"Английский";"");IF($F207="";"Код-режим";"");IF($G207="";"Код-тема";"");IF($H207="";"Чтение";"");IF($L207="";"Сон";"");IF($M207="";"Режим";"");IF($N207="";"Продуктивность";"");IF($O207="";"Настроение";"");IF($P207="";"Энергия";"");IF($U207="";"Еда";"")))</f>
        <v/>
      </c>
    </row>
    <row r="208">
      <c r="B208" t="inlineStr"/>
      <c r="C208" t="inlineStr"/>
      <c r="D208" t="inlineStr"/>
      <c r="E208" t="inlineStr"/>
      <c r="F208" t="inlineStr"/>
      <c r="G208" t="inlineStr"/>
      <c r="H208" t="inlineStr"/>
      <c r="I208" t="inlineStr"/>
      <c r="J208" t="inlineStr"/>
      <c r="K208" t="inlineStr"/>
      <c r="L208" t="inlineStr"/>
      <c r="M208" t="inlineStr"/>
      <c r="N208" t="inlineStr"/>
      <c r="O208" t="inlineStr"/>
      <c r="P208" t="inlineStr"/>
      <c r="Q208" t="inlineStr"/>
      <c r="R208" t="inlineStr"/>
      <c r="S208" t="inlineStr"/>
      <c r="T208" t="inlineStr"/>
      <c r="U208">
        <f>IF($A208="";"";IF(SUMIF(FoodLog!$A:$A;$A208;FoodLog!$I:$I)=0;"";SUMIF(FoodLog!$A:$A;$A208;FoodLog!$I:$I)))</f>
        <v/>
      </c>
      <c r="V208">
        <f>IF($A208="";"";IF(SUMIF(FoodLog!$A:$A;$A208;FoodLog!$F:$F)=0;"";SUMIF(FoodLog!$A:$A;$A208;FoodLog!$F:$F)))</f>
        <v/>
      </c>
      <c r="W208">
        <f>IF($A208="";"";IF(SUMIF(FoodLog!$A:$A;$A208;FoodLog!$G:$G)=0;"";SUMIF(FoodLog!$A:$A;$A208;FoodLog!$G:$G)))</f>
        <v/>
      </c>
      <c r="X208">
        <f>IF($A208="";"";IF(SUMIF(FoodLog!$A:$A;$A208;FoodLog!$H:$H)=0;"";SUMIF(FoodLog!$A:$A;$A208;FoodLog!$H:$H)))</f>
        <v/>
      </c>
      <c r="Y208">
        <f>IF($A208="";"";IFERROR(ROUND(100*AVERAGE(IF($B208="";"";XLOOKUP($B208;FILTER(Dictionaries!$B:$B;Dictionaries!$A:$A="Тренировка");FILTER(Dictionaries!$C:$C;Dictionaries!$A:$A="Тренировка")));IF($C208="";"";MIN($C208/40;1));IF($D208="";"";XLOOKUP($D208;FILTER(Dictionaries!$B:$B;Dictionaries!$A:$A="Шаги");FILTER(Dictionaries!$C:$C;Dictionaries!$A:$A="Шаги")));IF($E208="";"";MIN($E208/120;1));IF(OR($F208&lt;&gt;"";$G208&lt;&gt;"");1;"");IF($H208="";"";MIN($H208/100;1));IF($L208="";"";XLOOKUP($L208;FILTER(Dictionaries!$B:$B;Dictionaries!$A:$A="Сон_часы");FILTER(Dictionaries!$C:$C;Dictionaries!$A:$A="Сон_часы")));IF($M208="";"";XLOOKUP($M208;FILTER(Dictionaries!$B:$B;Dictionaries!$A:$A="Режим");FILTER(Dictionaries!$C:$C;Dictionaries!$A:$A="Режим")));IF($N208="";"";MIN($N208/100;1));IF($O208="";"";XLOOKUP($O208;FILTER(Dictionaries!$B:$B;Dictionaries!$A:$A="Настроение");FILTER(Dictionaries!$C:$C;Dictionaries!$A:$A="Настроение")));IF($P208="";"";XLOOKUP($P208;FILTER(Dictionaries!$B:$B;Dictionaries!$A:$A="Энергия");FILTER(Dictionaries!$C:$C;Dictionaries!$A:$A="Энергия")));IF($U208="";"";AVERAGE(IF(OR($B208="Ноги";$B208="Верх");IFS(AND($U208&gt;=1900;$U208&lt;=2050);1;AND($U208&gt;=1850;$U208&lt;1900);0,7;AND($U208&gt;2050;$U208&lt;=2100);0,7;TRUE;0,2);IFS(AND($U208&gt;=1700;$U208&lt;=1850);1;AND($U208&gt;=1650;$U208&lt;1700);0,7;AND($U208&gt;1850;$U208&lt;=1900);0,7;TRUE;0,2));IF(OR($B208="Ноги";$B208="Верх");IFS(AND($V208&gt;=125;$V208&lt;=135);1;AND($V208&gt;=115;$V208&lt;125);0,7;AND($V208&gt;135;$V208&lt;=145);0,7;AND($V208&gt;=105;$V208&lt;115);0,4;AND($V208&gt;145;$V208&lt;=155);0,4;TRUE;0,2);IFS(AND($V208&gt;=120;$V208&lt;=130);1;AND($V208&gt;=110;$V208&lt;120);0,7;AND($V208&gt;130;$V208&lt;=140);0,7;AND($V208&gt;=100;$V208&lt;110);0,4;AND($V208&gt;140;$V208&lt;=150);0,4;TRUE;0,2));IFS(AND($W208&gt;=55;$W208&lt;=65);1;AND($W208&gt;=50;$W208&lt;55);0,7;AND($W208&gt;65;$W208&lt;=70);0,7;AND($W208&gt;=45;$W208&lt;50);0,4;AND($W208&gt;70;$W208&lt;=75);0,4;TRUE;0,2);IF(OR($B208="Ноги";$B208="Верх");IFS(AND($X208&gt;=180;$X208&lt;=210);1;AND($X208&gt;=160;$X208&lt;180);0,7;AND($X208&gt;210;$X208&lt;=230);0,7;AND($X208&gt;=140;$X208&lt;160);0,4;AND($X208&gt;230;$X208&lt;=250);0,4;TRUE;0,2);IFS(AND($X208&gt;=140;$X208&lt;=170);1;AND($X208&gt;=120;$X208&lt;140);0,7;AND($X208&gt;170;$X208&lt;=190);0,7;AND($X208&gt;=100;$X208&lt;120);0,4;AND($X208&gt;190;$X208&lt;=210);0,4;TRUE;0,2)))));1);""))</f>
        <v/>
      </c>
      <c r="Z208">
        <f>IF($A208="";"";TEXTJOIN(", ";TRUE;IF($B208="";"Тренировка";"");IF($C208="";"Кардио";"");IF($D208="";"Шаги";"");IF($E208="";"Английский";"");IF($F208="";"Код-режим";"");IF($G208="";"Код-тема";"");IF($H208="";"Чтение";"");IF($L208="";"Сон";"");IF($M208="";"Режим";"");IF($N208="";"Продуктивность";"");IF($O208="";"Настроение";"");IF($P208="";"Энергия";"");IF($U208="";"Еда";"")))</f>
        <v/>
      </c>
    </row>
    <row r="209">
      <c r="B209" t="inlineStr"/>
      <c r="C209" t="inlineStr"/>
      <c r="D209" t="inlineStr"/>
      <c r="E209" t="inlineStr"/>
      <c r="F209" t="inlineStr"/>
      <c r="G209" t="inlineStr"/>
      <c r="H209" t="inlineStr"/>
      <c r="I209" t="inlineStr"/>
      <c r="J209" t="inlineStr"/>
      <c r="K209" t="inlineStr"/>
      <c r="L209" t="inlineStr"/>
      <c r="M209" t="inlineStr"/>
      <c r="N209" t="inlineStr"/>
      <c r="O209" t="inlineStr"/>
      <c r="P209" t="inlineStr"/>
      <c r="Q209" t="inlineStr"/>
      <c r="R209" t="inlineStr"/>
      <c r="S209" t="inlineStr"/>
      <c r="T209" t="inlineStr"/>
      <c r="U209">
        <f>IF($A209="";"";IF(SUMIF(FoodLog!$A:$A;$A209;FoodLog!$I:$I)=0;"";SUMIF(FoodLog!$A:$A;$A209;FoodLog!$I:$I)))</f>
        <v/>
      </c>
      <c r="V209">
        <f>IF($A209="";"";IF(SUMIF(FoodLog!$A:$A;$A209;FoodLog!$F:$F)=0;"";SUMIF(FoodLog!$A:$A;$A209;FoodLog!$F:$F)))</f>
        <v/>
      </c>
      <c r="W209">
        <f>IF($A209="";"";IF(SUMIF(FoodLog!$A:$A;$A209;FoodLog!$G:$G)=0;"";SUMIF(FoodLog!$A:$A;$A209;FoodLog!$G:$G)))</f>
        <v/>
      </c>
      <c r="X209">
        <f>IF($A209="";"";IF(SUMIF(FoodLog!$A:$A;$A209;FoodLog!$H:$H)=0;"";SUMIF(FoodLog!$A:$A;$A209;FoodLog!$H:$H)))</f>
        <v/>
      </c>
      <c r="Y209">
        <f>IF($A209="";"";IFERROR(ROUND(100*AVERAGE(IF($B209="";"";XLOOKUP($B209;FILTER(Dictionaries!$B:$B;Dictionaries!$A:$A="Тренировка");FILTER(Dictionaries!$C:$C;Dictionaries!$A:$A="Тренировка")));IF($C209="";"";MIN($C209/40;1));IF($D209="";"";XLOOKUP($D209;FILTER(Dictionaries!$B:$B;Dictionaries!$A:$A="Шаги");FILTER(Dictionaries!$C:$C;Dictionaries!$A:$A="Шаги")));IF($E209="";"";MIN($E209/120;1));IF(OR($F209&lt;&gt;"";$G209&lt;&gt;"");1;"");IF($H209="";"";MIN($H209/100;1));IF($L209="";"";XLOOKUP($L209;FILTER(Dictionaries!$B:$B;Dictionaries!$A:$A="Сон_часы");FILTER(Dictionaries!$C:$C;Dictionaries!$A:$A="Сон_часы")));IF($M209="";"";XLOOKUP($M209;FILTER(Dictionaries!$B:$B;Dictionaries!$A:$A="Режим");FILTER(Dictionaries!$C:$C;Dictionaries!$A:$A="Режим")));IF($N209="";"";MIN($N209/100;1));IF($O209="";"";XLOOKUP($O209;FILTER(Dictionaries!$B:$B;Dictionaries!$A:$A="Настроение");FILTER(Dictionaries!$C:$C;Dictionaries!$A:$A="Настроение")));IF($P209="";"";XLOOKUP($P209;FILTER(Dictionaries!$B:$B;Dictionaries!$A:$A="Энергия");FILTER(Dictionaries!$C:$C;Dictionaries!$A:$A="Энергия")));IF($U209="";"";AVERAGE(IF(OR($B209="Ноги";$B209="Верх");IFS(AND($U209&gt;=1900;$U209&lt;=2050);1;AND($U209&gt;=1850;$U209&lt;1900);0,7;AND($U209&gt;2050;$U209&lt;=2100);0,7;TRUE;0,2);IFS(AND($U209&gt;=1700;$U209&lt;=1850);1;AND($U209&gt;=1650;$U209&lt;1700);0,7;AND($U209&gt;1850;$U209&lt;=1900);0,7;TRUE;0,2));IF(OR($B209="Ноги";$B209="Верх");IFS(AND($V209&gt;=125;$V209&lt;=135);1;AND($V209&gt;=115;$V209&lt;125);0,7;AND($V209&gt;135;$V209&lt;=145);0,7;AND($V209&gt;=105;$V209&lt;115);0,4;AND($V209&gt;145;$V209&lt;=155);0,4;TRUE;0,2);IFS(AND($V209&gt;=120;$V209&lt;=130);1;AND($V209&gt;=110;$V209&lt;120);0,7;AND($V209&gt;130;$V209&lt;=140);0,7;AND($V209&gt;=100;$V209&lt;110);0,4;AND($V209&gt;140;$V209&lt;=150);0,4;TRUE;0,2));IFS(AND($W209&gt;=55;$W209&lt;=65);1;AND($W209&gt;=50;$W209&lt;55);0,7;AND($W209&gt;65;$W209&lt;=70);0,7;AND($W209&gt;=45;$W209&lt;50);0,4;AND($W209&gt;70;$W209&lt;=75);0,4;TRUE;0,2);IF(OR($B209="Ноги";$B209="Верх");IFS(AND($X209&gt;=180;$X209&lt;=210);1;AND($X209&gt;=160;$X209&lt;180);0,7;AND($X209&gt;210;$X209&lt;=230);0,7;AND($X209&gt;=140;$X209&lt;160);0,4;AND($X209&gt;230;$X209&lt;=250);0,4;TRUE;0,2);IFS(AND($X209&gt;=140;$X209&lt;=170);1;AND($X209&gt;=120;$X209&lt;140);0,7;AND($X209&gt;170;$X209&lt;=190);0,7;AND($X209&gt;=100;$X209&lt;120);0,4;AND($X209&gt;190;$X209&lt;=210);0,4;TRUE;0,2)))));1);""))</f>
        <v/>
      </c>
      <c r="Z209">
        <f>IF($A209="";"";TEXTJOIN(", ";TRUE;IF($B209="";"Тренировка";"");IF($C209="";"Кардио";"");IF($D209="";"Шаги";"");IF($E209="";"Английский";"");IF($F209="";"Код-режим";"");IF($G209="";"Код-тема";"");IF($H209="";"Чтение";"");IF($L209="";"Сон";"");IF($M209="";"Режим";"");IF($N209="";"Продуктивность";"");IF($O209="";"Настроение";"");IF($P209="";"Энергия";"");IF($U209="";"Еда";"")))</f>
        <v/>
      </c>
    </row>
    <row r="210">
      <c r="B210" t="inlineStr"/>
      <c r="C210" t="inlineStr"/>
      <c r="D210" t="inlineStr"/>
      <c r="E210" t="inlineStr"/>
      <c r="F210" t="inlineStr"/>
      <c r="G210" t="inlineStr"/>
      <c r="H210" t="inlineStr"/>
      <c r="I210" t="inlineStr"/>
      <c r="J210" t="inlineStr"/>
      <c r="K210" t="inlineStr"/>
      <c r="L210" t="inlineStr"/>
      <c r="M210" t="inlineStr"/>
      <c r="N210" t="inlineStr"/>
      <c r="O210" t="inlineStr"/>
      <c r="P210" t="inlineStr"/>
      <c r="Q210" t="inlineStr"/>
      <c r="R210" t="inlineStr"/>
      <c r="S210" t="inlineStr"/>
      <c r="T210" t="inlineStr"/>
      <c r="U210">
        <f>IF($A210="";"";IF(SUMIF(FoodLog!$A:$A;$A210;FoodLog!$I:$I)=0;"";SUMIF(FoodLog!$A:$A;$A210;FoodLog!$I:$I)))</f>
        <v/>
      </c>
      <c r="V210">
        <f>IF($A210="";"";IF(SUMIF(FoodLog!$A:$A;$A210;FoodLog!$F:$F)=0;"";SUMIF(FoodLog!$A:$A;$A210;FoodLog!$F:$F)))</f>
        <v/>
      </c>
      <c r="W210">
        <f>IF($A210="";"";IF(SUMIF(FoodLog!$A:$A;$A210;FoodLog!$G:$G)=0;"";SUMIF(FoodLog!$A:$A;$A210;FoodLog!$G:$G)))</f>
        <v/>
      </c>
      <c r="X210">
        <f>IF($A210="";"";IF(SUMIF(FoodLog!$A:$A;$A210;FoodLog!$H:$H)=0;"";SUMIF(FoodLog!$A:$A;$A210;FoodLog!$H:$H)))</f>
        <v/>
      </c>
      <c r="Y210">
        <f>IF($A210="";"";IFERROR(ROUND(100*AVERAGE(IF($B210="";"";XLOOKUP($B210;FILTER(Dictionaries!$B:$B;Dictionaries!$A:$A="Тренировка");FILTER(Dictionaries!$C:$C;Dictionaries!$A:$A="Тренировка")));IF($C210="";"";MIN($C210/40;1));IF($D210="";"";XLOOKUP($D210;FILTER(Dictionaries!$B:$B;Dictionaries!$A:$A="Шаги");FILTER(Dictionaries!$C:$C;Dictionaries!$A:$A="Шаги")));IF($E210="";"";MIN($E210/120;1));IF(OR($F210&lt;&gt;"";$G210&lt;&gt;"");1;"");IF($H210="";"";MIN($H210/100;1));IF($L210="";"";XLOOKUP($L210;FILTER(Dictionaries!$B:$B;Dictionaries!$A:$A="Сон_часы");FILTER(Dictionaries!$C:$C;Dictionaries!$A:$A="Сон_часы")));IF($M210="";"";XLOOKUP($M210;FILTER(Dictionaries!$B:$B;Dictionaries!$A:$A="Режим");FILTER(Dictionaries!$C:$C;Dictionaries!$A:$A="Режим")));IF($N210="";"";MIN($N210/100;1));IF($O210="";"";XLOOKUP($O210;FILTER(Dictionaries!$B:$B;Dictionaries!$A:$A="Настроение");FILTER(Dictionaries!$C:$C;Dictionaries!$A:$A="Настроение")));IF($P210="";"";XLOOKUP($P210;FILTER(Dictionaries!$B:$B;Dictionaries!$A:$A="Энергия");FILTER(Dictionaries!$C:$C;Dictionaries!$A:$A="Энергия")));IF($U210="";"";AVERAGE(IF(OR($B210="Ноги";$B210="Верх");IFS(AND($U210&gt;=1900;$U210&lt;=2050);1;AND($U210&gt;=1850;$U210&lt;1900);0,7;AND($U210&gt;2050;$U210&lt;=2100);0,7;TRUE;0,2);IFS(AND($U210&gt;=1700;$U210&lt;=1850);1;AND($U210&gt;=1650;$U210&lt;1700);0,7;AND($U210&gt;1850;$U210&lt;=1900);0,7;TRUE;0,2));IF(OR($B210="Ноги";$B210="Верх");IFS(AND($V210&gt;=125;$V210&lt;=135);1;AND($V210&gt;=115;$V210&lt;125);0,7;AND($V210&gt;135;$V210&lt;=145);0,7;AND($V210&gt;=105;$V210&lt;115);0,4;AND($V210&gt;145;$V210&lt;=155);0,4;TRUE;0,2);IFS(AND($V210&gt;=120;$V210&lt;=130);1;AND($V210&gt;=110;$V210&lt;120);0,7;AND($V210&gt;130;$V210&lt;=140);0,7;AND($V210&gt;=100;$V210&lt;110);0,4;AND($V210&gt;140;$V210&lt;=150);0,4;TRUE;0,2));IFS(AND($W210&gt;=55;$W210&lt;=65);1;AND($W210&gt;=50;$W210&lt;55);0,7;AND($W210&gt;65;$W210&lt;=70);0,7;AND($W210&gt;=45;$W210&lt;50);0,4;AND($W210&gt;70;$W210&lt;=75);0,4;TRUE;0,2);IF(OR($B210="Ноги";$B210="Верх");IFS(AND($X210&gt;=180;$X210&lt;=210);1;AND($X210&gt;=160;$X210&lt;180);0,7;AND($X210&gt;210;$X210&lt;=230);0,7;AND($X210&gt;=140;$X210&lt;160);0,4;AND($X210&gt;230;$X210&lt;=250);0,4;TRUE;0,2);IFS(AND($X210&gt;=140;$X210&lt;=170);1;AND($X210&gt;=120;$X210&lt;140);0,7;AND($X210&gt;170;$X210&lt;=190);0,7;AND($X210&gt;=100;$X210&lt;120);0,4;AND($X210&gt;190;$X210&lt;=210);0,4;TRUE;0,2)))));1);""))</f>
        <v/>
      </c>
      <c r="Z210">
        <f>IF($A210="";"";TEXTJOIN(", ";TRUE;IF($B210="";"Тренировка";"");IF($C210="";"Кардио";"");IF($D210="";"Шаги";"");IF($E210="";"Английский";"");IF($F210="";"Код-режим";"");IF($G210="";"Код-тема";"");IF($H210="";"Чтение";"");IF($L210="";"Сон";"");IF($M210="";"Режим";"");IF($N210="";"Продуктивность";"");IF($O210="";"Настроение";"");IF($P210="";"Энергия";"");IF($U210="";"Еда";"")))</f>
        <v/>
      </c>
    </row>
    <row r="211">
      <c r="B211" t="inlineStr"/>
      <c r="C211" t="inlineStr"/>
      <c r="D211" t="inlineStr"/>
      <c r="E211" t="inlineStr"/>
      <c r="F211" t="inlineStr"/>
      <c r="G211" t="inlineStr"/>
      <c r="H211" t="inlineStr"/>
      <c r="I211" t="inlineStr"/>
      <c r="J211" t="inlineStr"/>
      <c r="K211" t="inlineStr"/>
      <c r="L211" t="inlineStr"/>
      <c r="M211" t="inlineStr"/>
      <c r="N211" t="inlineStr"/>
      <c r="O211" t="inlineStr"/>
      <c r="P211" t="inlineStr"/>
      <c r="Q211" t="inlineStr"/>
      <c r="R211" t="inlineStr"/>
      <c r="S211" t="inlineStr"/>
      <c r="T211" t="inlineStr"/>
      <c r="U211">
        <f>IF($A211="";"";IF(SUMIF(FoodLog!$A:$A;$A211;FoodLog!$I:$I)=0;"";SUMIF(FoodLog!$A:$A;$A211;FoodLog!$I:$I)))</f>
        <v/>
      </c>
      <c r="V211">
        <f>IF($A211="";"";IF(SUMIF(FoodLog!$A:$A;$A211;FoodLog!$F:$F)=0;"";SUMIF(FoodLog!$A:$A;$A211;FoodLog!$F:$F)))</f>
        <v/>
      </c>
      <c r="W211">
        <f>IF($A211="";"";IF(SUMIF(FoodLog!$A:$A;$A211;FoodLog!$G:$G)=0;"";SUMIF(FoodLog!$A:$A;$A211;FoodLog!$G:$G)))</f>
        <v/>
      </c>
      <c r="X211">
        <f>IF($A211="";"";IF(SUMIF(FoodLog!$A:$A;$A211;FoodLog!$H:$H)=0;"";SUMIF(FoodLog!$A:$A;$A211;FoodLog!$H:$H)))</f>
        <v/>
      </c>
      <c r="Y211">
        <f>IF($A211="";"";IFERROR(ROUND(100*AVERAGE(IF($B211="";"";XLOOKUP($B211;FILTER(Dictionaries!$B:$B;Dictionaries!$A:$A="Тренировка");FILTER(Dictionaries!$C:$C;Dictionaries!$A:$A="Тренировка")));IF($C211="";"";MIN($C211/40;1));IF($D211="";"";XLOOKUP($D211;FILTER(Dictionaries!$B:$B;Dictionaries!$A:$A="Шаги");FILTER(Dictionaries!$C:$C;Dictionaries!$A:$A="Шаги")));IF($E211="";"";MIN($E211/120;1));IF(OR($F211&lt;&gt;"";$G211&lt;&gt;"");1;"");IF($H211="";"";MIN($H211/100;1));IF($L211="";"";XLOOKUP($L211;FILTER(Dictionaries!$B:$B;Dictionaries!$A:$A="Сон_часы");FILTER(Dictionaries!$C:$C;Dictionaries!$A:$A="Сон_часы")));IF($M211="";"";XLOOKUP($M211;FILTER(Dictionaries!$B:$B;Dictionaries!$A:$A="Режим");FILTER(Dictionaries!$C:$C;Dictionaries!$A:$A="Режим")));IF($N211="";"";MIN($N211/100;1));IF($O211="";"";XLOOKUP($O211;FILTER(Dictionaries!$B:$B;Dictionaries!$A:$A="Настроение");FILTER(Dictionaries!$C:$C;Dictionaries!$A:$A="Настроение")));IF($P211="";"";XLOOKUP($P211;FILTER(Dictionaries!$B:$B;Dictionaries!$A:$A="Энергия");FILTER(Dictionaries!$C:$C;Dictionaries!$A:$A="Энергия")));IF($U211="";"";AVERAGE(IF(OR($B211="Ноги";$B211="Верх");IFS(AND($U211&gt;=1900;$U211&lt;=2050);1;AND($U211&gt;=1850;$U211&lt;1900);0,7;AND($U211&gt;2050;$U211&lt;=2100);0,7;TRUE;0,2);IFS(AND($U211&gt;=1700;$U211&lt;=1850);1;AND($U211&gt;=1650;$U211&lt;1700);0,7;AND($U211&gt;1850;$U211&lt;=1900);0,7;TRUE;0,2));IF(OR($B211="Ноги";$B211="Верх");IFS(AND($V211&gt;=125;$V211&lt;=135);1;AND($V211&gt;=115;$V211&lt;125);0,7;AND($V211&gt;135;$V211&lt;=145);0,7;AND($V211&gt;=105;$V211&lt;115);0,4;AND($V211&gt;145;$V211&lt;=155);0,4;TRUE;0,2);IFS(AND($V211&gt;=120;$V211&lt;=130);1;AND($V211&gt;=110;$V211&lt;120);0,7;AND($V211&gt;130;$V211&lt;=140);0,7;AND($V211&gt;=100;$V211&lt;110);0,4;AND($V211&gt;140;$V211&lt;=150);0,4;TRUE;0,2));IFS(AND($W211&gt;=55;$W211&lt;=65);1;AND($W211&gt;=50;$W211&lt;55);0,7;AND($W211&gt;65;$W211&lt;=70);0,7;AND($W211&gt;=45;$W211&lt;50);0,4;AND($W211&gt;70;$W211&lt;=75);0,4;TRUE;0,2);IF(OR($B211="Ноги";$B211="Верх");IFS(AND($X211&gt;=180;$X211&lt;=210);1;AND($X211&gt;=160;$X211&lt;180);0,7;AND($X211&gt;210;$X211&lt;=230);0,7;AND($X211&gt;=140;$X211&lt;160);0,4;AND($X211&gt;230;$X211&lt;=250);0,4;TRUE;0,2);IFS(AND($X211&gt;=140;$X211&lt;=170);1;AND($X211&gt;=120;$X211&lt;140);0,7;AND($X211&gt;170;$X211&lt;=190);0,7;AND($X211&gt;=100;$X211&lt;120);0,4;AND($X211&gt;190;$X211&lt;=210);0,4;TRUE;0,2)))));1);""))</f>
        <v/>
      </c>
      <c r="Z211">
        <f>IF($A211="";"";TEXTJOIN(", ";TRUE;IF($B211="";"Тренировка";"");IF($C211="";"Кардио";"");IF($D211="";"Шаги";"");IF($E211="";"Английский";"");IF($F211="";"Код-режим";"");IF($G211="";"Код-тема";"");IF($H211="";"Чтение";"");IF($L211="";"Сон";"");IF($M211="";"Режим";"");IF($N211="";"Продуктивность";"");IF($O211="";"Настроение";"");IF($P211="";"Энергия";"");IF($U211="";"Еда";"")))</f>
        <v/>
      </c>
    </row>
    <row r="212">
      <c r="B212" t="inlineStr"/>
      <c r="C212" t="inlineStr"/>
      <c r="D212" t="inlineStr"/>
      <c r="E212" t="inlineStr"/>
      <c r="F212" t="inlineStr"/>
      <c r="G212" t="inlineStr"/>
      <c r="H212" t="inlineStr"/>
      <c r="I212" t="inlineStr"/>
      <c r="J212" t="inlineStr"/>
      <c r="K212" t="inlineStr"/>
      <c r="L212" t="inlineStr"/>
      <c r="M212" t="inlineStr"/>
      <c r="N212" t="inlineStr"/>
      <c r="O212" t="inlineStr"/>
      <c r="P212" t="inlineStr"/>
      <c r="Q212" t="inlineStr"/>
      <c r="R212" t="inlineStr"/>
      <c r="S212" t="inlineStr"/>
      <c r="T212" t="inlineStr"/>
      <c r="U212">
        <f>IF($A212="";"";IF(SUMIF(FoodLog!$A:$A;$A212;FoodLog!$I:$I)=0;"";SUMIF(FoodLog!$A:$A;$A212;FoodLog!$I:$I)))</f>
        <v/>
      </c>
      <c r="V212">
        <f>IF($A212="";"";IF(SUMIF(FoodLog!$A:$A;$A212;FoodLog!$F:$F)=0;"";SUMIF(FoodLog!$A:$A;$A212;FoodLog!$F:$F)))</f>
        <v/>
      </c>
      <c r="W212">
        <f>IF($A212="";"";IF(SUMIF(FoodLog!$A:$A;$A212;FoodLog!$G:$G)=0;"";SUMIF(FoodLog!$A:$A;$A212;FoodLog!$G:$G)))</f>
        <v/>
      </c>
      <c r="X212">
        <f>IF($A212="";"";IF(SUMIF(FoodLog!$A:$A;$A212;FoodLog!$H:$H)=0;"";SUMIF(FoodLog!$A:$A;$A212;FoodLog!$H:$H)))</f>
        <v/>
      </c>
      <c r="Y212">
        <f>IF($A212="";"";IFERROR(ROUND(100*AVERAGE(IF($B212="";"";XLOOKUP($B212;FILTER(Dictionaries!$B:$B;Dictionaries!$A:$A="Тренировка");FILTER(Dictionaries!$C:$C;Dictionaries!$A:$A="Тренировка")));IF($C212="";"";MIN($C212/40;1));IF($D212="";"";XLOOKUP($D212;FILTER(Dictionaries!$B:$B;Dictionaries!$A:$A="Шаги");FILTER(Dictionaries!$C:$C;Dictionaries!$A:$A="Шаги")));IF($E212="";"";MIN($E212/120;1));IF(OR($F212&lt;&gt;"";$G212&lt;&gt;"");1;"");IF($H212="";"";MIN($H212/100;1));IF($L212="";"";XLOOKUP($L212;FILTER(Dictionaries!$B:$B;Dictionaries!$A:$A="Сон_часы");FILTER(Dictionaries!$C:$C;Dictionaries!$A:$A="Сон_часы")));IF($M212="";"";XLOOKUP($M212;FILTER(Dictionaries!$B:$B;Dictionaries!$A:$A="Режим");FILTER(Dictionaries!$C:$C;Dictionaries!$A:$A="Режим")));IF($N212="";"";MIN($N212/100;1));IF($O212="";"";XLOOKUP($O212;FILTER(Dictionaries!$B:$B;Dictionaries!$A:$A="Настроение");FILTER(Dictionaries!$C:$C;Dictionaries!$A:$A="Настроение")));IF($P212="";"";XLOOKUP($P212;FILTER(Dictionaries!$B:$B;Dictionaries!$A:$A="Энергия");FILTER(Dictionaries!$C:$C;Dictionaries!$A:$A="Энергия")));IF($U212="";"";AVERAGE(IF(OR($B212="Ноги";$B212="Верх");IFS(AND($U212&gt;=1900;$U212&lt;=2050);1;AND($U212&gt;=1850;$U212&lt;1900);0,7;AND($U212&gt;2050;$U212&lt;=2100);0,7;TRUE;0,2);IFS(AND($U212&gt;=1700;$U212&lt;=1850);1;AND($U212&gt;=1650;$U212&lt;1700);0,7;AND($U212&gt;1850;$U212&lt;=1900);0,7;TRUE;0,2));IF(OR($B212="Ноги";$B212="Верх");IFS(AND($V212&gt;=125;$V212&lt;=135);1;AND($V212&gt;=115;$V212&lt;125);0,7;AND($V212&gt;135;$V212&lt;=145);0,7;AND($V212&gt;=105;$V212&lt;115);0,4;AND($V212&gt;145;$V212&lt;=155);0,4;TRUE;0,2);IFS(AND($V212&gt;=120;$V212&lt;=130);1;AND($V212&gt;=110;$V212&lt;120);0,7;AND($V212&gt;130;$V212&lt;=140);0,7;AND($V212&gt;=100;$V212&lt;110);0,4;AND($V212&gt;140;$V212&lt;=150);0,4;TRUE;0,2));IFS(AND($W212&gt;=55;$W212&lt;=65);1;AND($W212&gt;=50;$W212&lt;55);0,7;AND($W212&gt;65;$W212&lt;=70);0,7;AND($W212&gt;=45;$W212&lt;50);0,4;AND($W212&gt;70;$W212&lt;=75);0,4;TRUE;0,2);IF(OR($B212="Ноги";$B212="Верх");IFS(AND($X212&gt;=180;$X212&lt;=210);1;AND($X212&gt;=160;$X212&lt;180);0,7;AND($X212&gt;210;$X212&lt;=230);0,7;AND($X212&gt;=140;$X212&lt;160);0,4;AND($X212&gt;230;$X212&lt;=250);0,4;TRUE;0,2);IFS(AND($X212&gt;=140;$X212&lt;=170);1;AND($X212&gt;=120;$X212&lt;140);0,7;AND($X212&gt;170;$X212&lt;=190);0,7;AND($X212&gt;=100;$X212&lt;120);0,4;AND($X212&gt;190;$X212&lt;=210);0,4;TRUE;0,2)))));1);""))</f>
        <v/>
      </c>
      <c r="Z212">
        <f>IF($A212="";"";TEXTJOIN(", ";TRUE;IF($B212="";"Тренировка";"");IF($C212="";"Кардио";"");IF($D212="";"Шаги";"");IF($E212="";"Английский";"");IF($F212="";"Код-режим";"");IF($G212="";"Код-тема";"");IF($H212="";"Чтение";"");IF($L212="";"Сон";"");IF($M212="";"Режим";"");IF($N212="";"Продуктивность";"");IF($O212="";"Настроение";"");IF($P212="";"Энергия";"");IF($U212="";"Еда";"")))</f>
        <v/>
      </c>
    </row>
    <row r="213">
      <c r="B213" t="inlineStr"/>
      <c r="C213" t="inlineStr"/>
      <c r="D213" t="inlineStr"/>
      <c r="E213" t="inlineStr"/>
      <c r="F213" t="inlineStr"/>
      <c r="G213" t="inlineStr"/>
      <c r="H213" t="inlineStr"/>
      <c r="I213" t="inlineStr"/>
      <c r="J213" t="inlineStr"/>
      <c r="K213" t="inlineStr"/>
      <c r="L213" t="inlineStr"/>
      <c r="M213" t="inlineStr"/>
      <c r="N213" t="inlineStr"/>
      <c r="O213" t="inlineStr"/>
      <c r="P213" t="inlineStr"/>
      <c r="Q213" t="inlineStr"/>
      <c r="R213" t="inlineStr"/>
      <c r="S213" t="inlineStr"/>
      <c r="T213" t="inlineStr"/>
      <c r="U213">
        <f>IF($A213="";"";IF(SUMIF(FoodLog!$A:$A;$A213;FoodLog!$I:$I)=0;"";SUMIF(FoodLog!$A:$A;$A213;FoodLog!$I:$I)))</f>
        <v/>
      </c>
      <c r="V213">
        <f>IF($A213="";"";IF(SUMIF(FoodLog!$A:$A;$A213;FoodLog!$F:$F)=0;"";SUMIF(FoodLog!$A:$A;$A213;FoodLog!$F:$F)))</f>
        <v/>
      </c>
      <c r="W213">
        <f>IF($A213="";"";IF(SUMIF(FoodLog!$A:$A;$A213;FoodLog!$G:$G)=0;"";SUMIF(FoodLog!$A:$A;$A213;FoodLog!$G:$G)))</f>
        <v/>
      </c>
      <c r="X213">
        <f>IF($A213="";"";IF(SUMIF(FoodLog!$A:$A;$A213;FoodLog!$H:$H)=0;"";SUMIF(FoodLog!$A:$A;$A213;FoodLog!$H:$H)))</f>
        <v/>
      </c>
      <c r="Y213">
        <f>IF($A213="";"";IFERROR(ROUND(100*AVERAGE(IF($B213="";"";XLOOKUP($B213;FILTER(Dictionaries!$B:$B;Dictionaries!$A:$A="Тренировка");FILTER(Dictionaries!$C:$C;Dictionaries!$A:$A="Тренировка")));IF($C213="";"";MIN($C213/40;1));IF($D213="";"";XLOOKUP($D213;FILTER(Dictionaries!$B:$B;Dictionaries!$A:$A="Шаги");FILTER(Dictionaries!$C:$C;Dictionaries!$A:$A="Шаги")));IF($E213="";"";MIN($E213/120;1));IF(OR($F213&lt;&gt;"";$G213&lt;&gt;"");1;"");IF($H213="";"";MIN($H213/100;1));IF($L213="";"";XLOOKUP($L213;FILTER(Dictionaries!$B:$B;Dictionaries!$A:$A="Сон_часы");FILTER(Dictionaries!$C:$C;Dictionaries!$A:$A="Сон_часы")));IF($M213="";"";XLOOKUP($M213;FILTER(Dictionaries!$B:$B;Dictionaries!$A:$A="Режим");FILTER(Dictionaries!$C:$C;Dictionaries!$A:$A="Режим")));IF($N213="";"";MIN($N213/100;1));IF($O213="";"";XLOOKUP($O213;FILTER(Dictionaries!$B:$B;Dictionaries!$A:$A="Настроение");FILTER(Dictionaries!$C:$C;Dictionaries!$A:$A="Настроение")));IF($P213="";"";XLOOKUP($P213;FILTER(Dictionaries!$B:$B;Dictionaries!$A:$A="Энергия");FILTER(Dictionaries!$C:$C;Dictionaries!$A:$A="Энергия")));IF($U213="";"";AVERAGE(IF(OR($B213="Ноги";$B213="Верх");IFS(AND($U213&gt;=1900;$U213&lt;=2050);1;AND($U213&gt;=1850;$U213&lt;1900);0,7;AND($U213&gt;2050;$U213&lt;=2100);0,7;TRUE;0,2);IFS(AND($U213&gt;=1700;$U213&lt;=1850);1;AND($U213&gt;=1650;$U213&lt;1700);0,7;AND($U213&gt;1850;$U213&lt;=1900);0,7;TRUE;0,2));IF(OR($B213="Ноги";$B213="Верх");IFS(AND($V213&gt;=125;$V213&lt;=135);1;AND($V213&gt;=115;$V213&lt;125);0,7;AND($V213&gt;135;$V213&lt;=145);0,7;AND($V213&gt;=105;$V213&lt;115);0,4;AND($V213&gt;145;$V213&lt;=155);0,4;TRUE;0,2);IFS(AND($V213&gt;=120;$V213&lt;=130);1;AND($V213&gt;=110;$V213&lt;120);0,7;AND($V213&gt;130;$V213&lt;=140);0,7;AND($V213&gt;=100;$V213&lt;110);0,4;AND($V213&gt;140;$V213&lt;=150);0,4;TRUE;0,2));IFS(AND($W213&gt;=55;$W213&lt;=65);1;AND($W213&gt;=50;$W213&lt;55);0,7;AND($W213&gt;65;$W213&lt;=70);0,7;AND($W213&gt;=45;$W213&lt;50);0,4;AND($W213&gt;70;$W213&lt;=75);0,4;TRUE;0,2);IF(OR($B213="Ноги";$B213="Верх");IFS(AND($X213&gt;=180;$X213&lt;=210);1;AND($X213&gt;=160;$X213&lt;180);0,7;AND($X213&gt;210;$X213&lt;=230);0,7;AND($X213&gt;=140;$X213&lt;160);0,4;AND($X213&gt;230;$X213&lt;=250);0,4;TRUE;0,2);IFS(AND($X213&gt;=140;$X213&lt;=170);1;AND($X213&gt;=120;$X213&lt;140);0,7;AND($X213&gt;170;$X213&lt;=190);0,7;AND($X213&gt;=100;$X213&lt;120);0,4;AND($X213&gt;190;$X213&lt;=210);0,4;TRUE;0,2)))));1);""))</f>
        <v/>
      </c>
      <c r="Z213">
        <f>IF($A213="";"";TEXTJOIN(", ";TRUE;IF($B213="";"Тренировка";"");IF($C213="";"Кардио";"");IF($D213="";"Шаги";"");IF($E213="";"Английский";"");IF($F213="";"Код-режим";"");IF($G213="";"Код-тема";"");IF($H213="";"Чтение";"");IF($L213="";"Сон";"");IF($M213="";"Режим";"");IF($N213="";"Продуктивность";"");IF($O213="";"Настроение";"");IF($P213="";"Энергия";"");IF($U213="";"Еда";"")))</f>
        <v/>
      </c>
    </row>
    <row r="214">
      <c r="B214" t="inlineStr"/>
      <c r="C214" t="inlineStr"/>
      <c r="D214" t="inlineStr"/>
      <c r="E214" t="inlineStr"/>
      <c r="F214" t="inlineStr"/>
      <c r="G214" t="inlineStr"/>
      <c r="H214" t="inlineStr"/>
      <c r="I214" t="inlineStr"/>
      <c r="J214" t="inlineStr"/>
      <c r="K214" t="inlineStr"/>
      <c r="L214" t="inlineStr"/>
      <c r="M214" t="inlineStr"/>
      <c r="N214" t="inlineStr"/>
      <c r="O214" t="inlineStr"/>
      <c r="P214" t="inlineStr"/>
      <c r="Q214" t="inlineStr"/>
      <c r="R214" t="inlineStr"/>
      <c r="S214" t="inlineStr"/>
      <c r="T214" t="inlineStr"/>
      <c r="U214">
        <f>IF($A214="";"";IF(SUMIF(FoodLog!$A:$A;$A214;FoodLog!$I:$I)=0;"";SUMIF(FoodLog!$A:$A;$A214;FoodLog!$I:$I)))</f>
        <v/>
      </c>
      <c r="V214">
        <f>IF($A214="";"";IF(SUMIF(FoodLog!$A:$A;$A214;FoodLog!$F:$F)=0;"";SUMIF(FoodLog!$A:$A;$A214;FoodLog!$F:$F)))</f>
        <v/>
      </c>
      <c r="W214">
        <f>IF($A214="";"";IF(SUMIF(FoodLog!$A:$A;$A214;FoodLog!$G:$G)=0;"";SUMIF(FoodLog!$A:$A;$A214;FoodLog!$G:$G)))</f>
        <v/>
      </c>
      <c r="X214">
        <f>IF($A214="";"";IF(SUMIF(FoodLog!$A:$A;$A214;FoodLog!$H:$H)=0;"";SUMIF(FoodLog!$A:$A;$A214;FoodLog!$H:$H)))</f>
        <v/>
      </c>
      <c r="Y214">
        <f>IF($A214="";"";IFERROR(ROUND(100*AVERAGE(IF($B214="";"";XLOOKUP($B214;FILTER(Dictionaries!$B:$B;Dictionaries!$A:$A="Тренировка");FILTER(Dictionaries!$C:$C;Dictionaries!$A:$A="Тренировка")));IF($C214="";"";MIN($C214/40;1));IF($D214="";"";XLOOKUP($D214;FILTER(Dictionaries!$B:$B;Dictionaries!$A:$A="Шаги");FILTER(Dictionaries!$C:$C;Dictionaries!$A:$A="Шаги")));IF($E214="";"";MIN($E214/120;1));IF(OR($F214&lt;&gt;"";$G214&lt;&gt;"");1;"");IF($H214="";"";MIN($H214/100;1));IF($L214="";"";XLOOKUP($L214;FILTER(Dictionaries!$B:$B;Dictionaries!$A:$A="Сон_часы");FILTER(Dictionaries!$C:$C;Dictionaries!$A:$A="Сон_часы")));IF($M214="";"";XLOOKUP($M214;FILTER(Dictionaries!$B:$B;Dictionaries!$A:$A="Режим");FILTER(Dictionaries!$C:$C;Dictionaries!$A:$A="Режим")));IF($N214="";"";MIN($N214/100;1));IF($O214="";"";XLOOKUP($O214;FILTER(Dictionaries!$B:$B;Dictionaries!$A:$A="Настроение");FILTER(Dictionaries!$C:$C;Dictionaries!$A:$A="Настроение")));IF($P214="";"";XLOOKUP($P214;FILTER(Dictionaries!$B:$B;Dictionaries!$A:$A="Энергия");FILTER(Dictionaries!$C:$C;Dictionaries!$A:$A="Энергия")));IF($U214="";"";AVERAGE(IF(OR($B214="Ноги";$B214="Верх");IFS(AND($U214&gt;=1900;$U214&lt;=2050);1;AND($U214&gt;=1850;$U214&lt;1900);0,7;AND($U214&gt;2050;$U214&lt;=2100);0,7;TRUE;0,2);IFS(AND($U214&gt;=1700;$U214&lt;=1850);1;AND($U214&gt;=1650;$U214&lt;1700);0,7;AND($U214&gt;1850;$U214&lt;=1900);0,7;TRUE;0,2));IF(OR($B214="Ноги";$B214="Верх");IFS(AND($V214&gt;=125;$V214&lt;=135);1;AND($V214&gt;=115;$V214&lt;125);0,7;AND($V214&gt;135;$V214&lt;=145);0,7;AND($V214&gt;=105;$V214&lt;115);0,4;AND($V214&gt;145;$V214&lt;=155);0,4;TRUE;0,2);IFS(AND($V214&gt;=120;$V214&lt;=130);1;AND($V214&gt;=110;$V214&lt;120);0,7;AND($V214&gt;130;$V214&lt;=140);0,7;AND($V214&gt;=100;$V214&lt;110);0,4;AND($V214&gt;140;$V214&lt;=150);0,4;TRUE;0,2));IFS(AND($W214&gt;=55;$W214&lt;=65);1;AND($W214&gt;=50;$W214&lt;55);0,7;AND($W214&gt;65;$W214&lt;=70);0,7;AND($W214&gt;=45;$W214&lt;50);0,4;AND($W214&gt;70;$W214&lt;=75);0,4;TRUE;0,2);IF(OR($B214="Ноги";$B214="Верх");IFS(AND($X214&gt;=180;$X214&lt;=210);1;AND($X214&gt;=160;$X214&lt;180);0,7;AND($X214&gt;210;$X214&lt;=230);0,7;AND($X214&gt;=140;$X214&lt;160);0,4;AND($X214&gt;230;$X214&lt;=250);0,4;TRUE;0,2);IFS(AND($X214&gt;=140;$X214&lt;=170);1;AND($X214&gt;=120;$X214&lt;140);0,7;AND($X214&gt;170;$X214&lt;=190);0,7;AND($X214&gt;=100;$X214&lt;120);0,4;AND($X214&gt;190;$X214&lt;=210);0,4;TRUE;0,2)))));1);""))</f>
        <v/>
      </c>
      <c r="Z214">
        <f>IF($A214="";"";TEXTJOIN(", ";TRUE;IF($B214="";"Тренировка";"");IF($C214="";"Кардио";"");IF($D214="";"Шаги";"");IF($E214="";"Английский";"");IF($F214="";"Код-режим";"");IF($G214="";"Код-тема";"");IF($H214="";"Чтение";"");IF($L214="";"Сон";"");IF($M214="";"Режим";"");IF($N214="";"Продуктивность";"");IF($O214="";"Настроение";"");IF($P214="";"Энергия";"");IF($U214="";"Еда";"")))</f>
        <v/>
      </c>
    </row>
    <row r="215">
      <c r="B215" t="inlineStr"/>
      <c r="C215" t="inlineStr"/>
      <c r="D215" t="inlineStr"/>
      <c r="E215" t="inlineStr"/>
      <c r="F215" t="inlineStr"/>
      <c r="G215" t="inlineStr"/>
      <c r="H215" t="inlineStr"/>
      <c r="I215" t="inlineStr"/>
      <c r="J215" t="inlineStr"/>
      <c r="K215" t="inlineStr"/>
      <c r="L215" t="inlineStr"/>
      <c r="M215" t="inlineStr"/>
      <c r="N215" t="inlineStr"/>
      <c r="O215" t="inlineStr"/>
      <c r="P215" t="inlineStr"/>
      <c r="Q215" t="inlineStr"/>
      <c r="R215" t="inlineStr"/>
      <c r="S215" t="inlineStr"/>
      <c r="T215" t="inlineStr"/>
      <c r="U215">
        <f>IF($A215="";"";IF(SUMIF(FoodLog!$A:$A;$A215;FoodLog!$I:$I)=0;"";SUMIF(FoodLog!$A:$A;$A215;FoodLog!$I:$I)))</f>
        <v/>
      </c>
      <c r="V215">
        <f>IF($A215="";"";IF(SUMIF(FoodLog!$A:$A;$A215;FoodLog!$F:$F)=0;"";SUMIF(FoodLog!$A:$A;$A215;FoodLog!$F:$F)))</f>
        <v/>
      </c>
      <c r="W215">
        <f>IF($A215="";"";IF(SUMIF(FoodLog!$A:$A;$A215;FoodLog!$G:$G)=0;"";SUMIF(FoodLog!$A:$A;$A215;FoodLog!$G:$G)))</f>
        <v/>
      </c>
      <c r="X215">
        <f>IF($A215="";"";IF(SUMIF(FoodLog!$A:$A;$A215;FoodLog!$H:$H)=0;"";SUMIF(FoodLog!$A:$A;$A215;FoodLog!$H:$H)))</f>
        <v/>
      </c>
      <c r="Y215">
        <f>IF($A215="";"";IFERROR(ROUND(100*AVERAGE(IF($B215="";"";XLOOKUP($B215;FILTER(Dictionaries!$B:$B;Dictionaries!$A:$A="Тренировка");FILTER(Dictionaries!$C:$C;Dictionaries!$A:$A="Тренировка")));IF($C215="";"";MIN($C215/40;1));IF($D215="";"";XLOOKUP($D215;FILTER(Dictionaries!$B:$B;Dictionaries!$A:$A="Шаги");FILTER(Dictionaries!$C:$C;Dictionaries!$A:$A="Шаги")));IF($E215="";"";MIN($E215/120;1));IF(OR($F215&lt;&gt;"";$G215&lt;&gt;"");1;"");IF($H215="";"";MIN($H215/100;1));IF($L215="";"";XLOOKUP($L215;FILTER(Dictionaries!$B:$B;Dictionaries!$A:$A="Сон_часы");FILTER(Dictionaries!$C:$C;Dictionaries!$A:$A="Сон_часы")));IF($M215="";"";XLOOKUP($M215;FILTER(Dictionaries!$B:$B;Dictionaries!$A:$A="Режим");FILTER(Dictionaries!$C:$C;Dictionaries!$A:$A="Режим")));IF($N215="";"";MIN($N215/100;1));IF($O215="";"";XLOOKUP($O215;FILTER(Dictionaries!$B:$B;Dictionaries!$A:$A="Настроение");FILTER(Dictionaries!$C:$C;Dictionaries!$A:$A="Настроение")));IF($P215="";"";XLOOKUP($P215;FILTER(Dictionaries!$B:$B;Dictionaries!$A:$A="Энергия");FILTER(Dictionaries!$C:$C;Dictionaries!$A:$A="Энергия")));IF($U215="";"";AVERAGE(IF(OR($B215="Ноги";$B215="Верх");IFS(AND($U215&gt;=1900;$U215&lt;=2050);1;AND($U215&gt;=1850;$U215&lt;1900);0,7;AND($U215&gt;2050;$U215&lt;=2100);0,7;TRUE;0,2);IFS(AND($U215&gt;=1700;$U215&lt;=1850);1;AND($U215&gt;=1650;$U215&lt;1700);0,7;AND($U215&gt;1850;$U215&lt;=1900);0,7;TRUE;0,2));IF(OR($B215="Ноги";$B215="Верх");IFS(AND($V215&gt;=125;$V215&lt;=135);1;AND($V215&gt;=115;$V215&lt;125);0,7;AND($V215&gt;135;$V215&lt;=145);0,7;AND($V215&gt;=105;$V215&lt;115);0,4;AND($V215&gt;145;$V215&lt;=155);0,4;TRUE;0,2);IFS(AND($V215&gt;=120;$V215&lt;=130);1;AND($V215&gt;=110;$V215&lt;120);0,7;AND($V215&gt;130;$V215&lt;=140);0,7;AND($V215&gt;=100;$V215&lt;110);0,4;AND($V215&gt;140;$V215&lt;=150);0,4;TRUE;0,2));IFS(AND($W215&gt;=55;$W215&lt;=65);1;AND($W215&gt;=50;$W215&lt;55);0,7;AND($W215&gt;65;$W215&lt;=70);0,7;AND($W215&gt;=45;$W215&lt;50);0,4;AND($W215&gt;70;$W215&lt;=75);0,4;TRUE;0,2);IF(OR($B215="Ноги";$B215="Верх");IFS(AND($X215&gt;=180;$X215&lt;=210);1;AND($X215&gt;=160;$X215&lt;180);0,7;AND($X215&gt;210;$X215&lt;=230);0,7;AND($X215&gt;=140;$X215&lt;160);0,4;AND($X215&gt;230;$X215&lt;=250);0,4;TRUE;0,2);IFS(AND($X215&gt;=140;$X215&lt;=170);1;AND($X215&gt;=120;$X215&lt;140);0,7;AND($X215&gt;170;$X215&lt;=190);0,7;AND($X215&gt;=100;$X215&lt;120);0,4;AND($X215&gt;190;$X215&lt;=210);0,4;TRUE;0,2)))));1);""))</f>
        <v/>
      </c>
      <c r="Z215">
        <f>IF($A215="";"";TEXTJOIN(", ";TRUE;IF($B215="";"Тренировка";"");IF($C215="";"Кардио";"");IF($D215="";"Шаги";"");IF($E215="";"Английский";"");IF($F215="";"Код-режим";"");IF($G215="";"Код-тема";"");IF($H215="";"Чтение";"");IF($L215="";"Сон";"");IF($M215="";"Режим";"");IF($N215="";"Продуктивность";"");IF($O215="";"Настроение";"");IF($P215="";"Энергия";"");IF($U215="";"Еда";"")))</f>
        <v/>
      </c>
    </row>
    <row r="216">
      <c r="B216" t="inlineStr"/>
      <c r="C216" t="inlineStr"/>
      <c r="D216" t="inlineStr"/>
      <c r="E216" t="inlineStr"/>
      <c r="F216" t="inlineStr"/>
      <c r="G216" t="inlineStr"/>
      <c r="H216" t="inlineStr"/>
      <c r="I216" t="inlineStr"/>
      <c r="J216" t="inlineStr"/>
      <c r="K216" t="inlineStr"/>
      <c r="L216" t="inlineStr"/>
      <c r="M216" t="inlineStr"/>
      <c r="N216" t="inlineStr"/>
      <c r="O216" t="inlineStr"/>
      <c r="P216" t="inlineStr"/>
      <c r="Q216" t="inlineStr"/>
      <c r="R216" t="inlineStr"/>
      <c r="S216" t="inlineStr"/>
      <c r="T216" t="inlineStr"/>
      <c r="U216">
        <f>IF($A216="";"";IF(SUMIF(FoodLog!$A:$A;$A216;FoodLog!$I:$I)=0;"";SUMIF(FoodLog!$A:$A;$A216;FoodLog!$I:$I)))</f>
        <v/>
      </c>
      <c r="V216">
        <f>IF($A216="";"";IF(SUMIF(FoodLog!$A:$A;$A216;FoodLog!$F:$F)=0;"";SUMIF(FoodLog!$A:$A;$A216;FoodLog!$F:$F)))</f>
        <v/>
      </c>
      <c r="W216">
        <f>IF($A216="";"";IF(SUMIF(FoodLog!$A:$A;$A216;FoodLog!$G:$G)=0;"";SUMIF(FoodLog!$A:$A;$A216;FoodLog!$G:$G)))</f>
        <v/>
      </c>
      <c r="X216">
        <f>IF($A216="";"";IF(SUMIF(FoodLog!$A:$A;$A216;FoodLog!$H:$H)=0;"";SUMIF(FoodLog!$A:$A;$A216;FoodLog!$H:$H)))</f>
        <v/>
      </c>
      <c r="Y216">
        <f>IF($A216="";"";IFERROR(ROUND(100*AVERAGE(IF($B216="";"";XLOOKUP($B216;FILTER(Dictionaries!$B:$B;Dictionaries!$A:$A="Тренировка");FILTER(Dictionaries!$C:$C;Dictionaries!$A:$A="Тренировка")));IF($C216="";"";MIN($C216/40;1));IF($D216="";"";XLOOKUP($D216;FILTER(Dictionaries!$B:$B;Dictionaries!$A:$A="Шаги");FILTER(Dictionaries!$C:$C;Dictionaries!$A:$A="Шаги")));IF($E216="";"";MIN($E216/120;1));IF(OR($F216&lt;&gt;"";$G216&lt;&gt;"");1;"");IF($H216="";"";MIN($H216/100;1));IF($L216="";"";XLOOKUP($L216;FILTER(Dictionaries!$B:$B;Dictionaries!$A:$A="Сон_часы");FILTER(Dictionaries!$C:$C;Dictionaries!$A:$A="Сон_часы")));IF($M216="";"";XLOOKUP($M216;FILTER(Dictionaries!$B:$B;Dictionaries!$A:$A="Режим");FILTER(Dictionaries!$C:$C;Dictionaries!$A:$A="Режим")));IF($N216="";"";MIN($N216/100;1));IF($O216="";"";XLOOKUP($O216;FILTER(Dictionaries!$B:$B;Dictionaries!$A:$A="Настроение");FILTER(Dictionaries!$C:$C;Dictionaries!$A:$A="Настроение")));IF($P216="";"";XLOOKUP($P216;FILTER(Dictionaries!$B:$B;Dictionaries!$A:$A="Энергия");FILTER(Dictionaries!$C:$C;Dictionaries!$A:$A="Энергия")));IF($U216="";"";AVERAGE(IF(OR($B216="Ноги";$B216="Верх");IFS(AND($U216&gt;=1900;$U216&lt;=2050);1;AND($U216&gt;=1850;$U216&lt;1900);0,7;AND($U216&gt;2050;$U216&lt;=2100);0,7;TRUE;0,2);IFS(AND($U216&gt;=1700;$U216&lt;=1850);1;AND($U216&gt;=1650;$U216&lt;1700);0,7;AND($U216&gt;1850;$U216&lt;=1900);0,7;TRUE;0,2));IF(OR($B216="Ноги";$B216="Верх");IFS(AND($V216&gt;=125;$V216&lt;=135);1;AND($V216&gt;=115;$V216&lt;125);0,7;AND($V216&gt;135;$V216&lt;=145);0,7;AND($V216&gt;=105;$V216&lt;115);0,4;AND($V216&gt;145;$V216&lt;=155);0,4;TRUE;0,2);IFS(AND($V216&gt;=120;$V216&lt;=130);1;AND($V216&gt;=110;$V216&lt;120);0,7;AND($V216&gt;130;$V216&lt;=140);0,7;AND($V216&gt;=100;$V216&lt;110);0,4;AND($V216&gt;140;$V216&lt;=150);0,4;TRUE;0,2));IFS(AND($W216&gt;=55;$W216&lt;=65);1;AND($W216&gt;=50;$W216&lt;55);0,7;AND($W216&gt;65;$W216&lt;=70);0,7;AND($W216&gt;=45;$W216&lt;50);0,4;AND($W216&gt;70;$W216&lt;=75);0,4;TRUE;0,2);IF(OR($B216="Ноги";$B216="Верх");IFS(AND($X216&gt;=180;$X216&lt;=210);1;AND($X216&gt;=160;$X216&lt;180);0,7;AND($X216&gt;210;$X216&lt;=230);0,7;AND($X216&gt;=140;$X216&lt;160);0,4;AND($X216&gt;230;$X216&lt;=250);0,4;TRUE;0,2);IFS(AND($X216&gt;=140;$X216&lt;=170);1;AND($X216&gt;=120;$X216&lt;140);0,7;AND($X216&gt;170;$X216&lt;=190);0,7;AND($X216&gt;=100;$X216&lt;120);0,4;AND($X216&gt;190;$X216&lt;=210);0,4;TRUE;0,2)))));1);""))</f>
        <v/>
      </c>
      <c r="Z216">
        <f>IF($A216="";"";TEXTJOIN(", ";TRUE;IF($B216="";"Тренировка";"");IF($C216="";"Кардио";"");IF($D216="";"Шаги";"");IF($E216="";"Английский";"");IF($F216="";"Код-режим";"");IF($G216="";"Код-тема";"");IF($H216="";"Чтение";"");IF($L216="";"Сон";"");IF($M216="";"Режим";"");IF($N216="";"Продуктивность";"");IF($O216="";"Настроение";"");IF($P216="";"Энергия";"");IF($U216="";"Еда";"")))</f>
        <v/>
      </c>
    </row>
    <row r="217">
      <c r="B217" t="inlineStr"/>
      <c r="C217" t="inlineStr"/>
      <c r="D217" t="inlineStr"/>
      <c r="E217" t="inlineStr"/>
      <c r="F217" t="inlineStr"/>
      <c r="G217" t="inlineStr"/>
      <c r="H217" t="inlineStr"/>
      <c r="I217" t="inlineStr"/>
      <c r="J217" t="inlineStr"/>
      <c r="K217" t="inlineStr"/>
      <c r="L217" t="inlineStr"/>
      <c r="M217" t="inlineStr"/>
      <c r="N217" t="inlineStr"/>
      <c r="O217" t="inlineStr"/>
      <c r="P217" t="inlineStr"/>
      <c r="Q217" t="inlineStr"/>
      <c r="R217" t="inlineStr"/>
      <c r="S217" t="inlineStr"/>
      <c r="T217" t="inlineStr"/>
      <c r="U217">
        <f>IF($A217="";"";IF(SUMIF(FoodLog!$A:$A;$A217;FoodLog!$I:$I)=0;"";SUMIF(FoodLog!$A:$A;$A217;FoodLog!$I:$I)))</f>
        <v/>
      </c>
      <c r="V217">
        <f>IF($A217="";"";IF(SUMIF(FoodLog!$A:$A;$A217;FoodLog!$F:$F)=0;"";SUMIF(FoodLog!$A:$A;$A217;FoodLog!$F:$F)))</f>
        <v/>
      </c>
      <c r="W217">
        <f>IF($A217="";"";IF(SUMIF(FoodLog!$A:$A;$A217;FoodLog!$G:$G)=0;"";SUMIF(FoodLog!$A:$A;$A217;FoodLog!$G:$G)))</f>
        <v/>
      </c>
      <c r="X217">
        <f>IF($A217="";"";IF(SUMIF(FoodLog!$A:$A;$A217;FoodLog!$H:$H)=0;"";SUMIF(FoodLog!$A:$A;$A217;FoodLog!$H:$H)))</f>
        <v/>
      </c>
      <c r="Y217">
        <f>IF($A217="";"";IFERROR(ROUND(100*AVERAGE(IF($B217="";"";XLOOKUP($B217;FILTER(Dictionaries!$B:$B;Dictionaries!$A:$A="Тренировка");FILTER(Dictionaries!$C:$C;Dictionaries!$A:$A="Тренировка")));IF($C217="";"";MIN($C217/40;1));IF($D217="";"";XLOOKUP($D217;FILTER(Dictionaries!$B:$B;Dictionaries!$A:$A="Шаги");FILTER(Dictionaries!$C:$C;Dictionaries!$A:$A="Шаги")));IF($E217="";"";MIN($E217/120;1));IF(OR($F217&lt;&gt;"";$G217&lt;&gt;"");1;"");IF($H217="";"";MIN($H217/100;1));IF($L217="";"";XLOOKUP($L217;FILTER(Dictionaries!$B:$B;Dictionaries!$A:$A="Сон_часы");FILTER(Dictionaries!$C:$C;Dictionaries!$A:$A="Сон_часы")));IF($M217="";"";XLOOKUP($M217;FILTER(Dictionaries!$B:$B;Dictionaries!$A:$A="Режим");FILTER(Dictionaries!$C:$C;Dictionaries!$A:$A="Режим")));IF($N217="";"";MIN($N217/100;1));IF($O217="";"";XLOOKUP($O217;FILTER(Dictionaries!$B:$B;Dictionaries!$A:$A="Настроение");FILTER(Dictionaries!$C:$C;Dictionaries!$A:$A="Настроение")));IF($P217="";"";XLOOKUP($P217;FILTER(Dictionaries!$B:$B;Dictionaries!$A:$A="Энергия");FILTER(Dictionaries!$C:$C;Dictionaries!$A:$A="Энергия")));IF($U217="";"";AVERAGE(IF(OR($B217="Ноги";$B217="Верх");IFS(AND($U217&gt;=1900;$U217&lt;=2050);1;AND($U217&gt;=1850;$U217&lt;1900);0,7;AND($U217&gt;2050;$U217&lt;=2100);0,7;TRUE;0,2);IFS(AND($U217&gt;=1700;$U217&lt;=1850);1;AND($U217&gt;=1650;$U217&lt;1700);0,7;AND($U217&gt;1850;$U217&lt;=1900);0,7;TRUE;0,2));IF(OR($B217="Ноги";$B217="Верх");IFS(AND($V217&gt;=125;$V217&lt;=135);1;AND($V217&gt;=115;$V217&lt;125);0,7;AND($V217&gt;135;$V217&lt;=145);0,7;AND($V217&gt;=105;$V217&lt;115);0,4;AND($V217&gt;145;$V217&lt;=155);0,4;TRUE;0,2);IFS(AND($V217&gt;=120;$V217&lt;=130);1;AND($V217&gt;=110;$V217&lt;120);0,7;AND($V217&gt;130;$V217&lt;=140);0,7;AND($V217&gt;=100;$V217&lt;110);0,4;AND($V217&gt;140;$V217&lt;=150);0,4;TRUE;0,2));IFS(AND($W217&gt;=55;$W217&lt;=65);1;AND($W217&gt;=50;$W217&lt;55);0,7;AND($W217&gt;65;$W217&lt;=70);0,7;AND($W217&gt;=45;$W217&lt;50);0,4;AND($W217&gt;70;$W217&lt;=75);0,4;TRUE;0,2);IF(OR($B217="Ноги";$B217="Верх");IFS(AND($X217&gt;=180;$X217&lt;=210);1;AND($X217&gt;=160;$X217&lt;180);0,7;AND($X217&gt;210;$X217&lt;=230);0,7;AND($X217&gt;=140;$X217&lt;160);0,4;AND($X217&gt;230;$X217&lt;=250);0,4;TRUE;0,2);IFS(AND($X217&gt;=140;$X217&lt;=170);1;AND($X217&gt;=120;$X217&lt;140);0,7;AND($X217&gt;170;$X217&lt;=190);0,7;AND($X217&gt;=100;$X217&lt;120);0,4;AND($X217&gt;190;$X217&lt;=210);0,4;TRUE;0,2)))));1);""))</f>
        <v/>
      </c>
      <c r="Z217">
        <f>IF($A217="";"";TEXTJOIN(", ";TRUE;IF($B217="";"Тренировка";"");IF($C217="";"Кардио";"");IF($D217="";"Шаги";"");IF($E217="";"Английский";"");IF($F217="";"Код-режим";"");IF($G217="";"Код-тема";"");IF($H217="";"Чтение";"");IF($L217="";"Сон";"");IF($M217="";"Режим";"");IF($N217="";"Продуктивность";"");IF($O217="";"Настроение";"");IF($P217="";"Энергия";"");IF($U217="";"Еда";"")))</f>
        <v/>
      </c>
    </row>
    <row r="218">
      <c r="B218" t="inlineStr"/>
      <c r="C218" t="inlineStr"/>
      <c r="D218" t="inlineStr"/>
      <c r="E218" t="inlineStr"/>
      <c r="F218" t="inlineStr"/>
      <c r="G218" t="inlineStr"/>
      <c r="H218" t="inlineStr"/>
      <c r="I218" t="inlineStr"/>
      <c r="J218" t="inlineStr"/>
      <c r="K218" t="inlineStr"/>
      <c r="L218" t="inlineStr"/>
      <c r="M218" t="inlineStr"/>
      <c r="N218" t="inlineStr"/>
      <c r="O218" t="inlineStr"/>
      <c r="P218" t="inlineStr"/>
      <c r="Q218" t="inlineStr"/>
      <c r="R218" t="inlineStr"/>
      <c r="S218" t="inlineStr"/>
      <c r="T218" t="inlineStr"/>
      <c r="U218">
        <f>IF($A218="";"";IF(SUMIF(FoodLog!$A:$A;$A218;FoodLog!$I:$I)=0;"";SUMIF(FoodLog!$A:$A;$A218;FoodLog!$I:$I)))</f>
        <v/>
      </c>
      <c r="V218">
        <f>IF($A218="";"";IF(SUMIF(FoodLog!$A:$A;$A218;FoodLog!$F:$F)=0;"";SUMIF(FoodLog!$A:$A;$A218;FoodLog!$F:$F)))</f>
        <v/>
      </c>
      <c r="W218">
        <f>IF($A218="";"";IF(SUMIF(FoodLog!$A:$A;$A218;FoodLog!$G:$G)=0;"";SUMIF(FoodLog!$A:$A;$A218;FoodLog!$G:$G)))</f>
        <v/>
      </c>
      <c r="X218">
        <f>IF($A218="";"";IF(SUMIF(FoodLog!$A:$A;$A218;FoodLog!$H:$H)=0;"";SUMIF(FoodLog!$A:$A;$A218;FoodLog!$H:$H)))</f>
        <v/>
      </c>
      <c r="Y218">
        <f>IF($A218="";"";IFERROR(ROUND(100*AVERAGE(IF($B218="";"";XLOOKUP($B218;FILTER(Dictionaries!$B:$B;Dictionaries!$A:$A="Тренировка");FILTER(Dictionaries!$C:$C;Dictionaries!$A:$A="Тренировка")));IF($C218="";"";MIN($C218/40;1));IF($D218="";"";XLOOKUP($D218;FILTER(Dictionaries!$B:$B;Dictionaries!$A:$A="Шаги");FILTER(Dictionaries!$C:$C;Dictionaries!$A:$A="Шаги")));IF($E218="";"";MIN($E218/120;1));IF(OR($F218&lt;&gt;"";$G218&lt;&gt;"");1;"");IF($H218="";"";MIN($H218/100;1));IF($L218="";"";XLOOKUP($L218;FILTER(Dictionaries!$B:$B;Dictionaries!$A:$A="Сон_часы");FILTER(Dictionaries!$C:$C;Dictionaries!$A:$A="Сон_часы")));IF($M218="";"";XLOOKUP($M218;FILTER(Dictionaries!$B:$B;Dictionaries!$A:$A="Режим");FILTER(Dictionaries!$C:$C;Dictionaries!$A:$A="Режим")));IF($N218="";"";MIN($N218/100;1));IF($O218="";"";XLOOKUP($O218;FILTER(Dictionaries!$B:$B;Dictionaries!$A:$A="Настроение");FILTER(Dictionaries!$C:$C;Dictionaries!$A:$A="Настроение")));IF($P218="";"";XLOOKUP($P218;FILTER(Dictionaries!$B:$B;Dictionaries!$A:$A="Энергия");FILTER(Dictionaries!$C:$C;Dictionaries!$A:$A="Энергия")));IF($U218="";"";AVERAGE(IF(OR($B218="Ноги";$B218="Верх");IFS(AND($U218&gt;=1900;$U218&lt;=2050);1;AND($U218&gt;=1850;$U218&lt;1900);0,7;AND($U218&gt;2050;$U218&lt;=2100);0,7;TRUE;0,2);IFS(AND($U218&gt;=1700;$U218&lt;=1850);1;AND($U218&gt;=1650;$U218&lt;1700);0,7;AND($U218&gt;1850;$U218&lt;=1900);0,7;TRUE;0,2));IF(OR($B218="Ноги";$B218="Верх");IFS(AND($V218&gt;=125;$V218&lt;=135);1;AND($V218&gt;=115;$V218&lt;125);0,7;AND($V218&gt;135;$V218&lt;=145);0,7;AND($V218&gt;=105;$V218&lt;115);0,4;AND($V218&gt;145;$V218&lt;=155);0,4;TRUE;0,2);IFS(AND($V218&gt;=120;$V218&lt;=130);1;AND($V218&gt;=110;$V218&lt;120);0,7;AND($V218&gt;130;$V218&lt;=140);0,7;AND($V218&gt;=100;$V218&lt;110);0,4;AND($V218&gt;140;$V218&lt;=150);0,4;TRUE;0,2));IFS(AND($W218&gt;=55;$W218&lt;=65);1;AND($W218&gt;=50;$W218&lt;55);0,7;AND($W218&gt;65;$W218&lt;=70);0,7;AND($W218&gt;=45;$W218&lt;50);0,4;AND($W218&gt;70;$W218&lt;=75);0,4;TRUE;0,2);IF(OR($B218="Ноги";$B218="Верх");IFS(AND($X218&gt;=180;$X218&lt;=210);1;AND($X218&gt;=160;$X218&lt;180);0,7;AND($X218&gt;210;$X218&lt;=230);0,7;AND($X218&gt;=140;$X218&lt;160);0,4;AND($X218&gt;230;$X218&lt;=250);0,4;TRUE;0,2);IFS(AND($X218&gt;=140;$X218&lt;=170);1;AND($X218&gt;=120;$X218&lt;140);0,7;AND($X218&gt;170;$X218&lt;=190);0,7;AND($X218&gt;=100;$X218&lt;120);0,4;AND($X218&gt;190;$X218&lt;=210);0,4;TRUE;0,2)))));1);""))</f>
        <v/>
      </c>
      <c r="Z218">
        <f>IF($A218="";"";TEXTJOIN(", ";TRUE;IF($B218="";"Тренировка";"");IF($C218="";"Кардио";"");IF($D218="";"Шаги";"");IF($E218="";"Английский";"");IF($F218="";"Код-режим";"");IF($G218="";"Код-тема";"");IF($H218="";"Чтение";"");IF($L218="";"Сон";"");IF($M218="";"Режим";"");IF($N218="";"Продуктивность";"");IF($O218="";"Настроение";"");IF($P218="";"Энергия";"");IF($U218="";"Еда";"")))</f>
        <v/>
      </c>
    </row>
    <row r="219">
      <c r="B219" t="inlineStr"/>
      <c r="C219" t="inlineStr"/>
      <c r="D219" t="inlineStr"/>
      <c r="E219" t="inlineStr"/>
      <c r="F219" t="inlineStr"/>
      <c r="G219" t="inlineStr"/>
      <c r="H219" t="inlineStr"/>
      <c r="I219" t="inlineStr"/>
      <c r="J219" t="inlineStr"/>
      <c r="K219" t="inlineStr"/>
      <c r="L219" t="inlineStr"/>
      <c r="M219" t="inlineStr"/>
      <c r="N219" t="inlineStr"/>
      <c r="O219" t="inlineStr"/>
      <c r="P219" t="inlineStr"/>
      <c r="Q219" t="inlineStr"/>
      <c r="R219" t="inlineStr"/>
      <c r="S219" t="inlineStr"/>
      <c r="T219" t="inlineStr"/>
      <c r="U219">
        <f>IF($A219="";"";IF(SUMIF(FoodLog!$A:$A;$A219;FoodLog!$I:$I)=0;"";SUMIF(FoodLog!$A:$A;$A219;FoodLog!$I:$I)))</f>
        <v/>
      </c>
      <c r="V219">
        <f>IF($A219="";"";IF(SUMIF(FoodLog!$A:$A;$A219;FoodLog!$F:$F)=0;"";SUMIF(FoodLog!$A:$A;$A219;FoodLog!$F:$F)))</f>
        <v/>
      </c>
      <c r="W219">
        <f>IF($A219="";"";IF(SUMIF(FoodLog!$A:$A;$A219;FoodLog!$G:$G)=0;"";SUMIF(FoodLog!$A:$A;$A219;FoodLog!$G:$G)))</f>
        <v/>
      </c>
      <c r="X219">
        <f>IF($A219="";"";IF(SUMIF(FoodLog!$A:$A;$A219;FoodLog!$H:$H)=0;"";SUMIF(FoodLog!$A:$A;$A219;FoodLog!$H:$H)))</f>
        <v/>
      </c>
      <c r="Y219">
        <f>IF($A219="";"";IFERROR(ROUND(100*AVERAGE(IF($B219="";"";XLOOKUP($B219;FILTER(Dictionaries!$B:$B;Dictionaries!$A:$A="Тренировка");FILTER(Dictionaries!$C:$C;Dictionaries!$A:$A="Тренировка")));IF($C219="";"";MIN($C219/40;1));IF($D219="";"";XLOOKUP($D219;FILTER(Dictionaries!$B:$B;Dictionaries!$A:$A="Шаги");FILTER(Dictionaries!$C:$C;Dictionaries!$A:$A="Шаги")));IF($E219="";"";MIN($E219/120;1));IF(OR($F219&lt;&gt;"";$G219&lt;&gt;"");1;"");IF($H219="";"";MIN($H219/100;1));IF($L219="";"";XLOOKUP($L219;FILTER(Dictionaries!$B:$B;Dictionaries!$A:$A="Сон_часы");FILTER(Dictionaries!$C:$C;Dictionaries!$A:$A="Сон_часы")));IF($M219="";"";XLOOKUP($M219;FILTER(Dictionaries!$B:$B;Dictionaries!$A:$A="Режим");FILTER(Dictionaries!$C:$C;Dictionaries!$A:$A="Режим")));IF($N219="";"";MIN($N219/100;1));IF($O219="";"";XLOOKUP($O219;FILTER(Dictionaries!$B:$B;Dictionaries!$A:$A="Настроение");FILTER(Dictionaries!$C:$C;Dictionaries!$A:$A="Настроение")));IF($P219="";"";XLOOKUP($P219;FILTER(Dictionaries!$B:$B;Dictionaries!$A:$A="Энергия");FILTER(Dictionaries!$C:$C;Dictionaries!$A:$A="Энергия")));IF($U219="";"";AVERAGE(IF(OR($B219="Ноги";$B219="Верх");IFS(AND($U219&gt;=1900;$U219&lt;=2050);1;AND($U219&gt;=1850;$U219&lt;1900);0,7;AND($U219&gt;2050;$U219&lt;=2100);0,7;TRUE;0,2);IFS(AND($U219&gt;=1700;$U219&lt;=1850);1;AND($U219&gt;=1650;$U219&lt;1700);0,7;AND($U219&gt;1850;$U219&lt;=1900);0,7;TRUE;0,2));IF(OR($B219="Ноги";$B219="Верх");IFS(AND($V219&gt;=125;$V219&lt;=135);1;AND($V219&gt;=115;$V219&lt;125);0,7;AND($V219&gt;135;$V219&lt;=145);0,7;AND($V219&gt;=105;$V219&lt;115);0,4;AND($V219&gt;145;$V219&lt;=155);0,4;TRUE;0,2);IFS(AND($V219&gt;=120;$V219&lt;=130);1;AND($V219&gt;=110;$V219&lt;120);0,7;AND($V219&gt;130;$V219&lt;=140);0,7;AND($V219&gt;=100;$V219&lt;110);0,4;AND($V219&gt;140;$V219&lt;=150);0,4;TRUE;0,2));IFS(AND($W219&gt;=55;$W219&lt;=65);1;AND($W219&gt;=50;$W219&lt;55);0,7;AND($W219&gt;65;$W219&lt;=70);0,7;AND($W219&gt;=45;$W219&lt;50);0,4;AND($W219&gt;70;$W219&lt;=75);0,4;TRUE;0,2);IF(OR($B219="Ноги";$B219="Верх");IFS(AND($X219&gt;=180;$X219&lt;=210);1;AND($X219&gt;=160;$X219&lt;180);0,7;AND($X219&gt;210;$X219&lt;=230);0,7;AND($X219&gt;=140;$X219&lt;160);0,4;AND($X219&gt;230;$X219&lt;=250);0,4;TRUE;0,2);IFS(AND($X219&gt;=140;$X219&lt;=170);1;AND($X219&gt;=120;$X219&lt;140);0,7;AND($X219&gt;170;$X219&lt;=190);0,7;AND($X219&gt;=100;$X219&lt;120);0,4;AND($X219&gt;190;$X219&lt;=210);0,4;TRUE;0,2)))));1);""))</f>
        <v/>
      </c>
      <c r="Z219">
        <f>IF($A219="";"";TEXTJOIN(", ";TRUE;IF($B219="";"Тренировка";"");IF($C219="";"Кардио";"");IF($D219="";"Шаги";"");IF($E219="";"Английский";"");IF($F219="";"Код-режим";"");IF($G219="";"Код-тема";"");IF($H219="";"Чтение";"");IF($L219="";"Сон";"");IF($M219="";"Режим";"");IF($N219="";"Продуктивность";"");IF($O219="";"Настроение";"");IF($P219="";"Энергия";"");IF($U219="";"Еда";"")))</f>
        <v/>
      </c>
    </row>
    <row r="220">
      <c r="B220" t="inlineStr"/>
      <c r="C220" t="inlineStr"/>
      <c r="D220" t="inlineStr"/>
      <c r="E220" t="inlineStr"/>
      <c r="F220" t="inlineStr"/>
      <c r="G220" t="inlineStr"/>
      <c r="H220" t="inlineStr"/>
      <c r="I220" t="inlineStr"/>
      <c r="J220" t="inlineStr"/>
      <c r="K220" t="inlineStr"/>
      <c r="L220" t="inlineStr"/>
      <c r="M220" t="inlineStr"/>
      <c r="N220" t="inlineStr"/>
      <c r="O220" t="inlineStr"/>
      <c r="P220" t="inlineStr"/>
      <c r="Q220" t="inlineStr"/>
      <c r="R220" t="inlineStr"/>
      <c r="S220" t="inlineStr"/>
      <c r="T220" t="inlineStr"/>
      <c r="U220">
        <f>IF($A220="";"";IF(SUMIF(FoodLog!$A:$A;$A220;FoodLog!$I:$I)=0;"";SUMIF(FoodLog!$A:$A;$A220;FoodLog!$I:$I)))</f>
        <v/>
      </c>
      <c r="V220">
        <f>IF($A220="";"";IF(SUMIF(FoodLog!$A:$A;$A220;FoodLog!$F:$F)=0;"";SUMIF(FoodLog!$A:$A;$A220;FoodLog!$F:$F)))</f>
        <v/>
      </c>
      <c r="W220">
        <f>IF($A220="";"";IF(SUMIF(FoodLog!$A:$A;$A220;FoodLog!$G:$G)=0;"";SUMIF(FoodLog!$A:$A;$A220;FoodLog!$G:$G)))</f>
        <v/>
      </c>
      <c r="X220">
        <f>IF($A220="";"";IF(SUMIF(FoodLog!$A:$A;$A220;FoodLog!$H:$H)=0;"";SUMIF(FoodLog!$A:$A;$A220;FoodLog!$H:$H)))</f>
        <v/>
      </c>
      <c r="Y220">
        <f>IF($A220="";"";IFERROR(ROUND(100*AVERAGE(IF($B220="";"";XLOOKUP($B220;FILTER(Dictionaries!$B:$B;Dictionaries!$A:$A="Тренировка");FILTER(Dictionaries!$C:$C;Dictionaries!$A:$A="Тренировка")));IF($C220="";"";MIN($C220/40;1));IF($D220="";"";XLOOKUP($D220;FILTER(Dictionaries!$B:$B;Dictionaries!$A:$A="Шаги");FILTER(Dictionaries!$C:$C;Dictionaries!$A:$A="Шаги")));IF($E220="";"";MIN($E220/120;1));IF(OR($F220&lt;&gt;"";$G220&lt;&gt;"");1;"");IF($H220="";"";MIN($H220/100;1));IF($L220="";"";XLOOKUP($L220;FILTER(Dictionaries!$B:$B;Dictionaries!$A:$A="Сон_часы");FILTER(Dictionaries!$C:$C;Dictionaries!$A:$A="Сон_часы")));IF($M220="";"";XLOOKUP($M220;FILTER(Dictionaries!$B:$B;Dictionaries!$A:$A="Режим");FILTER(Dictionaries!$C:$C;Dictionaries!$A:$A="Режим")));IF($N220="";"";MIN($N220/100;1));IF($O220="";"";XLOOKUP($O220;FILTER(Dictionaries!$B:$B;Dictionaries!$A:$A="Настроение");FILTER(Dictionaries!$C:$C;Dictionaries!$A:$A="Настроение")));IF($P220="";"";XLOOKUP($P220;FILTER(Dictionaries!$B:$B;Dictionaries!$A:$A="Энергия");FILTER(Dictionaries!$C:$C;Dictionaries!$A:$A="Энергия")));IF($U220="";"";AVERAGE(IF(OR($B220="Ноги";$B220="Верх");IFS(AND($U220&gt;=1900;$U220&lt;=2050);1;AND($U220&gt;=1850;$U220&lt;1900);0,7;AND($U220&gt;2050;$U220&lt;=2100);0,7;TRUE;0,2);IFS(AND($U220&gt;=1700;$U220&lt;=1850);1;AND($U220&gt;=1650;$U220&lt;1700);0,7;AND($U220&gt;1850;$U220&lt;=1900);0,7;TRUE;0,2));IF(OR($B220="Ноги";$B220="Верх");IFS(AND($V220&gt;=125;$V220&lt;=135);1;AND($V220&gt;=115;$V220&lt;125);0,7;AND($V220&gt;135;$V220&lt;=145);0,7;AND($V220&gt;=105;$V220&lt;115);0,4;AND($V220&gt;145;$V220&lt;=155);0,4;TRUE;0,2);IFS(AND($V220&gt;=120;$V220&lt;=130);1;AND($V220&gt;=110;$V220&lt;120);0,7;AND($V220&gt;130;$V220&lt;=140);0,7;AND($V220&gt;=100;$V220&lt;110);0,4;AND($V220&gt;140;$V220&lt;=150);0,4;TRUE;0,2));IFS(AND($W220&gt;=55;$W220&lt;=65);1;AND($W220&gt;=50;$W220&lt;55);0,7;AND($W220&gt;65;$W220&lt;=70);0,7;AND($W220&gt;=45;$W220&lt;50);0,4;AND($W220&gt;70;$W220&lt;=75);0,4;TRUE;0,2);IF(OR($B220="Ноги";$B220="Верх");IFS(AND($X220&gt;=180;$X220&lt;=210);1;AND($X220&gt;=160;$X220&lt;180);0,7;AND($X220&gt;210;$X220&lt;=230);0,7;AND($X220&gt;=140;$X220&lt;160);0,4;AND($X220&gt;230;$X220&lt;=250);0,4;TRUE;0,2);IFS(AND($X220&gt;=140;$X220&lt;=170);1;AND($X220&gt;=120;$X220&lt;140);0,7;AND($X220&gt;170;$X220&lt;=190);0,7;AND($X220&gt;=100;$X220&lt;120);0,4;AND($X220&gt;190;$X220&lt;=210);0,4;TRUE;0,2)))));1);""))</f>
        <v/>
      </c>
      <c r="Z220">
        <f>IF($A220="";"";TEXTJOIN(", ";TRUE;IF($B220="";"Тренировка";"");IF($C220="";"Кардио";"");IF($D220="";"Шаги";"");IF($E220="";"Английский";"");IF($F220="";"Код-режим";"");IF($G220="";"Код-тема";"");IF($H220="";"Чтение";"");IF($L220="";"Сон";"");IF($M220="";"Режим";"");IF($N220="";"Продуктивность";"");IF($O220="";"Настроение";"");IF($P220="";"Энергия";"");IF($U220="";"Еда";"")))</f>
        <v/>
      </c>
    </row>
    <row r="221">
      <c r="B221" t="inlineStr"/>
      <c r="C221" t="inlineStr"/>
      <c r="D221" t="inlineStr"/>
      <c r="E221" t="inlineStr"/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/>
      <c r="P221" t="inlineStr"/>
      <c r="Q221" t="inlineStr"/>
      <c r="R221" t="inlineStr"/>
      <c r="S221" t="inlineStr"/>
      <c r="T221" t="inlineStr"/>
      <c r="U221">
        <f>IF($A221="";"";IF(SUMIF(FoodLog!$A:$A;$A221;FoodLog!$I:$I)=0;"";SUMIF(FoodLog!$A:$A;$A221;FoodLog!$I:$I)))</f>
        <v/>
      </c>
      <c r="V221">
        <f>IF($A221="";"";IF(SUMIF(FoodLog!$A:$A;$A221;FoodLog!$F:$F)=0;"";SUMIF(FoodLog!$A:$A;$A221;FoodLog!$F:$F)))</f>
        <v/>
      </c>
      <c r="W221">
        <f>IF($A221="";"";IF(SUMIF(FoodLog!$A:$A;$A221;FoodLog!$G:$G)=0;"";SUMIF(FoodLog!$A:$A;$A221;FoodLog!$G:$G)))</f>
        <v/>
      </c>
      <c r="X221">
        <f>IF($A221="";"";IF(SUMIF(FoodLog!$A:$A;$A221;FoodLog!$H:$H)=0;"";SUMIF(FoodLog!$A:$A;$A221;FoodLog!$H:$H)))</f>
        <v/>
      </c>
      <c r="Y221">
        <f>IF($A221="";"";IFERROR(ROUND(100*AVERAGE(IF($B221="";"";XLOOKUP($B221;FILTER(Dictionaries!$B:$B;Dictionaries!$A:$A="Тренировка");FILTER(Dictionaries!$C:$C;Dictionaries!$A:$A="Тренировка")));IF($C221="";"";MIN($C221/40;1));IF($D221="";"";XLOOKUP($D221;FILTER(Dictionaries!$B:$B;Dictionaries!$A:$A="Шаги");FILTER(Dictionaries!$C:$C;Dictionaries!$A:$A="Шаги")));IF($E221="";"";MIN($E221/120;1));IF(OR($F221&lt;&gt;"";$G221&lt;&gt;"");1;"");IF($H221="";"";MIN($H221/100;1));IF($L221="";"";XLOOKUP($L221;FILTER(Dictionaries!$B:$B;Dictionaries!$A:$A="Сон_часы");FILTER(Dictionaries!$C:$C;Dictionaries!$A:$A="Сон_часы")));IF($M221="";"";XLOOKUP($M221;FILTER(Dictionaries!$B:$B;Dictionaries!$A:$A="Режим");FILTER(Dictionaries!$C:$C;Dictionaries!$A:$A="Режим")));IF($N221="";"";MIN($N221/100;1));IF($O221="";"";XLOOKUP($O221;FILTER(Dictionaries!$B:$B;Dictionaries!$A:$A="Настроение");FILTER(Dictionaries!$C:$C;Dictionaries!$A:$A="Настроение")));IF($P221="";"";XLOOKUP($P221;FILTER(Dictionaries!$B:$B;Dictionaries!$A:$A="Энергия");FILTER(Dictionaries!$C:$C;Dictionaries!$A:$A="Энергия")));IF($U221="";"";AVERAGE(IF(OR($B221="Ноги";$B221="Верх");IFS(AND($U221&gt;=1900;$U221&lt;=2050);1;AND($U221&gt;=1850;$U221&lt;1900);0,7;AND($U221&gt;2050;$U221&lt;=2100);0,7;TRUE;0,2);IFS(AND($U221&gt;=1700;$U221&lt;=1850);1;AND($U221&gt;=1650;$U221&lt;1700);0,7;AND($U221&gt;1850;$U221&lt;=1900);0,7;TRUE;0,2));IF(OR($B221="Ноги";$B221="Верх");IFS(AND($V221&gt;=125;$V221&lt;=135);1;AND($V221&gt;=115;$V221&lt;125);0,7;AND($V221&gt;135;$V221&lt;=145);0,7;AND($V221&gt;=105;$V221&lt;115);0,4;AND($V221&gt;145;$V221&lt;=155);0,4;TRUE;0,2);IFS(AND($V221&gt;=120;$V221&lt;=130);1;AND($V221&gt;=110;$V221&lt;120);0,7;AND($V221&gt;130;$V221&lt;=140);0,7;AND($V221&gt;=100;$V221&lt;110);0,4;AND($V221&gt;140;$V221&lt;=150);0,4;TRUE;0,2));IFS(AND($W221&gt;=55;$W221&lt;=65);1;AND($W221&gt;=50;$W221&lt;55);0,7;AND($W221&gt;65;$W221&lt;=70);0,7;AND($W221&gt;=45;$W221&lt;50);0,4;AND($W221&gt;70;$W221&lt;=75);0,4;TRUE;0,2);IF(OR($B221="Ноги";$B221="Верх");IFS(AND($X221&gt;=180;$X221&lt;=210);1;AND($X221&gt;=160;$X221&lt;180);0,7;AND($X221&gt;210;$X221&lt;=230);0,7;AND($X221&gt;=140;$X221&lt;160);0,4;AND($X221&gt;230;$X221&lt;=250);0,4;TRUE;0,2);IFS(AND($X221&gt;=140;$X221&lt;=170);1;AND($X221&gt;=120;$X221&lt;140);0,7;AND($X221&gt;170;$X221&lt;=190);0,7;AND($X221&gt;=100;$X221&lt;120);0,4;AND($X221&gt;190;$X221&lt;=210);0,4;TRUE;0,2)))));1);""))</f>
        <v/>
      </c>
      <c r="Z221">
        <f>IF($A221="";"";TEXTJOIN(", ";TRUE;IF($B221="";"Тренировка";"");IF($C221="";"Кардио";"");IF($D221="";"Шаги";"");IF($E221="";"Английский";"");IF($F221="";"Код-режим";"");IF($G221="";"Код-тема";"");IF($H221="";"Чтение";"");IF($L221="";"Сон";"");IF($M221="";"Режим";"");IF($N221="";"Продуктивность";"");IF($O221="";"Настроение";"");IF($P221="";"Энергия";"");IF($U221="";"Еда";"")))</f>
        <v/>
      </c>
    </row>
    <row r="222">
      <c r="B222" t="inlineStr"/>
      <c r="C222" t="inlineStr"/>
      <c r="D222" t="inlineStr"/>
      <c r="E222" t="inlineStr"/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/>
      <c r="P222" t="inlineStr"/>
      <c r="Q222" t="inlineStr"/>
      <c r="R222" t="inlineStr"/>
      <c r="S222" t="inlineStr"/>
      <c r="T222" t="inlineStr"/>
      <c r="U222">
        <f>IF($A222="";"";IF(SUMIF(FoodLog!$A:$A;$A222;FoodLog!$I:$I)=0;"";SUMIF(FoodLog!$A:$A;$A222;FoodLog!$I:$I)))</f>
        <v/>
      </c>
      <c r="V222">
        <f>IF($A222="";"";IF(SUMIF(FoodLog!$A:$A;$A222;FoodLog!$F:$F)=0;"";SUMIF(FoodLog!$A:$A;$A222;FoodLog!$F:$F)))</f>
        <v/>
      </c>
      <c r="W222">
        <f>IF($A222="";"";IF(SUMIF(FoodLog!$A:$A;$A222;FoodLog!$G:$G)=0;"";SUMIF(FoodLog!$A:$A;$A222;FoodLog!$G:$G)))</f>
        <v/>
      </c>
      <c r="X222">
        <f>IF($A222="";"";IF(SUMIF(FoodLog!$A:$A;$A222;FoodLog!$H:$H)=0;"";SUMIF(FoodLog!$A:$A;$A222;FoodLog!$H:$H)))</f>
        <v/>
      </c>
      <c r="Y222">
        <f>IF($A222="";"";IFERROR(ROUND(100*AVERAGE(IF($B222="";"";XLOOKUP($B222;FILTER(Dictionaries!$B:$B;Dictionaries!$A:$A="Тренировка");FILTER(Dictionaries!$C:$C;Dictionaries!$A:$A="Тренировка")));IF($C222="";"";MIN($C222/40;1));IF($D222="";"";XLOOKUP($D222;FILTER(Dictionaries!$B:$B;Dictionaries!$A:$A="Шаги");FILTER(Dictionaries!$C:$C;Dictionaries!$A:$A="Шаги")));IF($E222="";"";MIN($E222/120;1));IF(OR($F222&lt;&gt;"";$G222&lt;&gt;"");1;"");IF($H222="";"";MIN($H222/100;1));IF($L222="";"";XLOOKUP($L222;FILTER(Dictionaries!$B:$B;Dictionaries!$A:$A="Сон_часы");FILTER(Dictionaries!$C:$C;Dictionaries!$A:$A="Сон_часы")));IF($M222="";"";XLOOKUP($M222;FILTER(Dictionaries!$B:$B;Dictionaries!$A:$A="Режим");FILTER(Dictionaries!$C:$C;Dictionaries!$A:$A="Режим")));IF($N222="";"";MIN($N222/100;1));IF($O222="";"";XLOOKUP($O222;FILTER(Dictionaries!$B:$B;Dictionaries!$A:$A="Настроение");FILTER(Dictionaries!$C:$C;Dictionaries!$A:$A="Настроение")));IF($P222="";"";XLOOKUP($P222;FILTER(Dictionaries!$B:$B;Dictionaries!$A:$A="Энергия");FILTER(Dictionaries!$C:$C;Dictionaries!$A:$A="Энергия")));IF($U222="";"";AVERAGE(IF(OR($B222="Ноги";$B222="Верх");IFS(AND($U222&gt;=1900;$U222&lt;=2050);1;AND($U222&gt;=1850;$U222&lt;1900);0,7;AND($U222&gt;2050;$U222&lt;=2100);0,7;TRUE;0,2);IFS(AND($U222&gt;=1700;$U222&lt;=1850);1;AND($U222&gt;=1650;$U222&lt;1700);0,7;AND($U222&gt;1850;$U222&lt;=1900);0,7;TRUE;0,2));IF(OR($B222="Ноги";$B222="Верх");IFS(AND($V222&gt;=125;$V222&lt;=135);1;AND($V222&gt;=115;$V222&lt;125);0,7;AND($V222&gt;135;$V222&lt;=145);0,7;AND($V222&gt;=105;$V222&lt;115);0,4;AND($V222&gt;145;$V222&lt;=155);0,4;TRUE;0,2);IFS(AND($V222&gt;=120;$V222&lt;=130);1;AND($V222&gt;=110;$V222&lt;120);0,7;AND($V222&gt;130;$V222&lt;=140);0,7;AND($V222&gt;=100;$V222&lt;110);0,4;AND($V222&gt;140;$V222&lt;=150);0,4;TRUE;0,2));IFS(AND($W222&gt;=55;$W222&lt;=65);1;AND($W222&gt;=50;$W222&lt;55);0,7;AND($W222&gt;65;$W222&lt;=70);0,7;AND($W222&gt;=45;$W222&lt;50);0,4;AND($W222&gt;70;$W222&lt;=75);0,4;TRUE;0,2);IF(OR($B222="Ноги";$B222="Верх");IFS(AND($X222&gt;=180;$X222&lt;=210);1;AND($X222&gt;=160;$X222&lt;180);0,7;AND($X222&gt;210;$X222&lt;=230);0,7;AND($X222&gt;=140;$X222&lt;160);0,4;AND($X222&gt;230;$X222&lt;=250);0,4;TRUE;0,2);IFS(AND($X222&gt;=140;$X222&lt;=170);1;AND($X222&gt;=120;$X222&lt;140);0,7;AND($X222&gt;170;$X222&lt;=190);0,7;AND($X222&gt;=100;$X222&lt;120);0,4;AND($X222&gt;190;$X222&lt;=210);0,4;TRUE;0,2)))));1);""))</f>
        <v/>
      </c>
      <c r="Z222">
        <f>IF($A222="";"";TEXTJOIN(", ";TRUE;IF($B222="";"Тренировка";"");IF($C222="";"Кардио";"");IF($D222="";"Шаги";"");IF($E222="";"Английский";"");IF($F222="";"Код-режим";"");IF($G222="";"Код-тема";"");IF($H222="";"Чтение";"");IF($L222="";"Сон";"");IF($M222="";"Режим";"");IF($N222="";"Продуктивность";"");IF($O222="";"Настроение";"");IF($P222="";"Энергия";"");IF($U222="";"Еда";"")))</f>
        <v/>
      </c>
    </row>
    <row r="223">
      <c r="B223" t="inlineStr"/>
      <c r="C223" t="inlineStr"/>
      <c r="D223" t="inlineStr"/>
      <c r="E223" t="inlineStr"/>
      <c r="F223" t="inlineStr"/>
      <c r="G223" t="inlineStr"/>
      <c r="H223" t="inlineStr"/>
      <c r="I223" t="inlineStr"/>
      <c r="J223" t="inlineStr"/>
      <c r="K223" t="inlineStr"/>
      <c r="L223" t="inlineStr"/>
      <c r="M223" t="inlineStr"/>
      <c r="N223" t="inlineStr"/>
      <c r="O223" t="inlineStr"/>
      <c r="P223" t="inlineStr"/>
      <c r="Q223" t="inlineStr"/>
      <c r="R223" t="inlineStr"/>
      <c r="S223" t="inlineStr"/>
      <c r="T223" t="inlineStr"/>
      <c r="U223">
        <f>IF($A223="";"";IF(SUMIF(FoodLog!$A:$A;$A223;FoodLog!$I:$I)=0;"";SUMIF(FoodLog!$A:$A;$A223;FoodLog!$I:$I)))</f>
        <v/>
      </c>
      <c r="V223">
        <f>IF($A223="";"";IF(SUMIF(FoodLog!$A:$A;$A223;FoodLog!$F:$F)=0;"";SUMIF(FoodLog!$A:$A;$A223;FoodLog!$F:$F)))</f>
        <v/>
      </c>
      <c r="W223">
        <f>IF($A223="";"";IF(SUMIF(FoodLog!$A:$A;$A223;FoodLog!$G:$G)=0;"";SUMIF(FoodLog!$A:$A;$A223;FoodLog!$G:$G)))</f>
        <v/>
      </c>
      <c r="X223">
        <f>IF($A223="";"";IF(SUMIF(FoodLog!$A:$A;$A223;FoodLog!$H:$H)=0;"";SUMIF(FoodLog!$A:$A;$A223;FoodLog!$H:$H)))</f>
        <v/>
      </c>
      <c r="Y223">
        <f>IF($A223="";"";IFERROR(ROUND(100*AVERAGE(IF($B223="";"";XLOOKUP($B223;FILTER(Dictionaries!$B:$B;Dictionaries!$A:$A="Тренировка");FILTER(Dictionaries!$C:$C;Dictionaries!$A:$A="Тренировка")));IF($C223="";"";MIN($C223/40;1));IF($D223="";"";XLOOKUP($D223;FILTER(Dictionaries!$B:$B;Dictionaries!$A:$A="Шаги");FILTER(Dictionaries!$C:$C;Dictionaries!$A:$A="Шаги")));IF($E223="";"";MIN($E223/120;1));IF(OR($F223&lt;&gt;"";$G223&lt;&gt;"");1;"");IF($H223="";"";MIN($H223/100;1));IF($L223="";"";XLOOKUP($L223;FILTER(Dictionaries!$B:$B;Dictionaries!$A:$A="Сон_часы");FILTER(Dictionaries!$C:$C;Dictionaries!$A:$A="Сон_часы")));IF($M223="";"";XLOOKUP($M223;FILTER(Dictionaries!$B:$B;Dictionaries!$A:$A="Режим");FILTER(Dictionaries!$C:$C;Dictionaries!$A:$A="Режим")));IF($N223="";"";MIN($N223/100;1));IF($O223="";"";XLOOKUP($O223;FILTER(Dictionaries!$B:$B;Dictionaries!$A:$A="Настроение");FILTER(Dictionaries!$C:$C;Dictionaries!$A:$A="Настроение")));IF($P223="";"";XLOOKUP($P223;FILTER(Dictionaries!$B:$B;Dictionaries!$A:$A="Энергия");FILTER(Dictionaries!$C:$C;Dictionaries!$A:$A="Энергия")));IF($U223="";"";AVERAGE(IF(OR($B223="Ноги";$B223="Верх");IFS(AND($U223&gt;=1900;$U223&lt;=2050);1;AND($U223&gt;=1850;$U223&lt;1900);0,7;AND($U223&gt;2050;$U223&lt;=2100);0,7;TRUE;0,2);IFS(AND($U223&gt;=1700;$U223&lt;=1850);1;AND($U223&gt;=1650;$U223&lt;1700);0,7;AND($U223&gt;1850;$U223&lt;=1900);0,7;TRUE;0,2));IF(OR($B223="Ноги";$B223="Верх");IFS(AND($V223&gt;=125;$V223&lt;=135);1;AND($V223&gt;=115;$V223&lt;125);0,7;AND($V223&gt;135;$V223&lt;=145);0,7;AND($V223&gt;=105;$V223&lt;115);0,4;AND($V223&gt;145;$V223&lt;=155);0,4;TRUE;0,2);IFS(AND($V223&gt;=120;$V223&lt;=130);1;AND($V223&gt;=110;$V223&lt;120);0,7;AND($V223&gt;130;$V223&lt;=140);0,7;AND($V223&gt;=100;$V223&lt;110);0,4;AND($V223&gt;140;$V223&lt;=150);0,4;TRUE;0,2));IFS(AND($W223&gt;=55;$W223&lt;=65);1;AND($W223&gt;=50;$W223&lt;55);0,7;AND($W223&gt;65;$W223&lt;=70);0,7;AND($W223&gt;=45;$W223&lt;50);0,4;AND($W223&gt;70;$W223&lt;=75);0,4;TRUE;0,2);IF(OR($B223="Ноги";$B223="Верх");IFS(AND($X223&gt;=180;$X223&lt;=210);1;AND($X223&gt;=160;$X223&lt;180);0,7;AND($X223&gt;210;$X223&lt;=230);0,7;AND($X223&gt;=140;$X223&lt;160);0,4;AND($X223&gt;230;$X223&lt;=250);0,4;TRUE;0,2);IFS(AND($X223&gt;=140;$X223&lt;=170);1;AND($X223&gt;=120;$X223&lt;140);0,7;AND($X223&gt;170;$X223&lt;=190);0,7;AND($X223&gt;=100;$X223&lt;120);0,4;AND($X223&gt;190;$X223&lt;=210);0,4;TRUE;0,2)))));1);""))</f>
        <v/>
      </c>
      <c r="Z223">
        <f>IF($A223="";"";TEXTJOIN(", ";TRUE;IF($B223="";"Тренировка";"");IF($C223="";"Кардио";"");IF($D223="";"Шаги";"");IF($E223="";"Английский";"");IF($F223="";"Код-режим";"");IF($G223="";"Код-тема";"");IF($H223="";"Чтение";"");IF($L223="";"Сон";"");IF($M223="";"Режим";"");IF($N223="";"Продуктивность";"");IF($O223="";"Настроение";"");IF($P223="";"Энергия";"");IF($U223="";"Еда";"")))</f>
        <v/>
      </c>
    </row>
    <row r="224">
      <c r="B224" t="inlineStr"/>
      <c r="C224" t="inlineStr"/>
      <c r="D224" t="inlineStr"/>
      <c r="E224" t="inlineStr"/>
      <c r="F224" t="inlineStr"/>
      <c r="G224" t="inlineStr"/>
      <c r="H224" t="inlineStr"/>
      <c r="I224" t="inlineStr"/>
      <c r="J224" t="inlineStr"/>
      <c r="K224" t="inlineStr"/>
      <c r="L224" t="inlineStr"/>
      <c r="M224" t="inlineStr"/>
      <c r="N224" t="inlineStr"/>
      <c r="O224" t="inlineStr"/>
      <c r="P224" t="inlineStr"/>
      <c r="Q224" t="inlineStr"/>
      <c r="R224" t="inlineStr"/>
      <c r="S224" t="inlineStr"/>
      <c r="T224" t="inlineStr"/>
      <c r="U224">
        <f>IF($A224="";"";IF(SUMIF(FoodLog!$A:$A;$A224;FoodLog!$I:$I)=0;"";SUMIF(FoodLog!$A:$A;$A224;FoodLog!$I:$I)))</f>
        <v/>
      </c>
      <c r="V224">
        <f>IF($A224="";"";IF(SUMIF(FoodLog!$A:$A;$A224;FoodLog!$F:$F)=0;"";SUMIF(FoodLog!$A:$A;$A224;FoodLog!$F:$F)))</f>
        <v/>
      </c>
      <c r="W224">
        <f>IF($A224="";"";IF(SUMIF(FoodLog!$A:$A;$A224;FoodLog!$G:$G)=0;"";SUMIF(FoodLog!$A:$A;$A224;FoodLog!$G:$G)))</f>
        <v/>
      </c>
      <c r="X224">
        <f>IF($A224="";"";IF(SUMIF(FoodLog!$A:$A;$A224;FoodLog!$H:$H)=0;"";SUMIF(FoodLog!$A:$A;$A224;FoodLog!$H:$H)))</f>
        <v/>
      </c>
      <c r="Y224">
        <f>IF($A224="";"";IFERROR(ROUND(100*AVERAGE(IF($B224="";"";XLOOKUP($B224;FILTER(Dictionaries!$B:$B;Dictionaries!$A:$A="Тренировка");FILTER(Dictionaries!$C:$C;Dictionaries!$A:$A="Тренировка")));IF($C224="";"";MIN($C224/40;1));IF($D224="";"";XLOOKUP($D224;FILTER(Dictionaries!$B:$B;Dictionaries!$A:$A="Шаги");FILTER(Dictionaries!$C:$C;Dictionaries!$A:$A="Шаги")));IF($E224="";"";MIN($E224/120;1));IF(OR($F224&lt;&gt;"";$G224&lt;&gt;"");1;"");IF($H224="";"";MIN($H224/100;1));IF($L224="";"";XLOOKUP($L224;FILTER(Dictionaries!$B:$B;Dictionaries!$A:$A="Сон_часы");FILTER(Dictionaries!$C:$C;Dictionaries!$A:$A="Сон_часы")));IF($M224="";"";XLOOKUP($M224;FILTER(Dictionaries!$B:$B;Dictionaries!$A:$A="Режим");FILTER(Dictionaries!$C:$C;Dictionaries!$A:$A="Режим")));IF($N224="";"";MIN($N224/100;1));IF($O224="";"";XLOOKUP($O224;FILTER(Dictionaries!$B:$B;Dictionaries!$A:$A="Настроение");FILTER(Dictionaries!$C:$C;Dictionaries!$A:$A="Настроение")));IF($P224="";"";XLOOKUP($P224;FILTER(Dictionaries!$B:$B;Dictionaries!$A:$A="Энергия");FILTER(Dictionaries!$C:$C;Dictionaries!$A:$A="Энергия")));IF($U224="";"";AVERAGE(IF(OR($B224="Ноги";$B224="Верх");IFS(AND($U224&gt;=1900;$U224&lt;=2050);1;AND($U224&gt;=1850;$U224&lt;1900);0,7;AND($U224&gt;2050;$U224&lt;=2100);0,7;TRUE;0,2);IFS(AND($U224&gt;=1700;$U224&lt;=1850);1;AND($U224&gt;=1650;$U224&lt;1700);0,7;AND($U224&gt;1850;$U224&lt;=1900);0,7;TRUE;0,2));IF(OR($B224="Ноги";$B224="Верх");IFS(AND($V224&gt;=125;$V224&lt;=135);1;AND($V224&gt;=115;$V224&lt;125);0,7;AND($V224&gt;135;$V224&lt;=145);0,7;AND($V224&gt;=105;$V224&lt;115);0,4;AND($V224&gt;145;$V224&lt;=155);0,4;TRUE;0,2);IFS(AND($V224&gt;=120;$V224&lt;=130);1;AND($V224&gt;=110;$V224&lt;120);0,7;AND($V224&gt;130;$V224&lt;=140);0,7;AND($V224&gt;=100;$V224&lt;110);0,4;AND($V224&gt;140;$V224&lt;=150);0,4;TRUE;0,2));IFS(AND($W224&gt;=55;$W224&lt;=65);1;AND($W224&gt;=50;$W224&lt;55);0,7;AND($W224&gt;65;$W224&lt;=70);0,7;AND($W224&gt;=45;$W224&lt;50);0,4;AND($W224&gt;70;$W224&lt;=75);0,4;TRUE;0,2);IF(OR($B224="Ноги";$B224="Верх");IFS(AND($X224&gt;=180;$X224&lt;=210);1;AND($X224&gt;=160;$X224&lt;180);0,7;AND($X224&gt;210;$X224&lt;=230);0,7;AND($X224&gt;=140;$X224&lt;160);0,4;AND($X224&gt;230;$X224&lt;=250);0,4;TRUE;0,2);IFS(AND($X224&gt;=140;$X224&lt;=170);1;AND($X224&gt;=120;$X224&lt;140);0,7;AND($X224&gt;170;$X224&lt;=190);0,7;AND($X224&gt;=100;$X224&lt;120);0,4;AND($X224&gt;190;$X224&lt;=210);0,4;TRUE;0,2)))));1);""))</f>
        <v/>
      </c>
      <c r="Z224">
        <f>IF($A224="";"";TEXTJOIN(", ";TRUE;IF($B224="";"Тренировка";"");IF($C224="";"Кардио";"");IF($D224="";"Шаги";"");IF($E224="";"Английский";"");IF($F224="";"Код-режим";"");IF($G224="";"Код-тема";"");IF($H224="";"Чтение";"");IF($L224="";"Сон";"");IF($M224="";"Режим";"");IF($N224="";"Продуктивность";"");IF($O224="";"Настроение";"");IF($P224="";"Энергия";"");IF($U224="";"Еда";"")))</f>
        <v/>
      </c>
    </row>
    <row r="225">
      <c r="B225" t="inlineStr"/>
      <c r="C225" t="inlineStr"/>
      <c r="D225" t="inlineStr"/>
      <c r="E225" t="inlineStr"/>
      <c r="F225" t="inlineStr"/>
      <c r="G225" t="inlineStr"/>
      <c r="H225" t="inlineStr"/>
      <c r="I225" t="inlineStr"/>
      <c r="J225" t="inlineStr"/>
      <c r="K225" t="inlineStr"/>
      <c r="L225" t="inlineStr"/>
      <c r="M225" t="inlineStr"/>
      <c r="N225" t="inlineStr"/>
      <c r="O225" t="inlineStr"/>
      <c r="P225" t="inlineStr"/>
      <c r="Q225" t="inlineStr"/>
      <c r="R225" t="inlineStr"/>
      <c r="S225" t="inlineStr"/>
      <c r="T225" t="inlineStr"/>
      <c r="U225">
        <f>IF($A225="";"";IF(SUMIF(FoodLog!$A:$A;$A225;FoodLog!$I:$I)=0;"";SUMIF(FoodLog!$A:$A;$A225;FoodLog!$I:$I)))</f>
        <v/>
      </c>
      <c r="V225">
        <f>IF($A225="";"";IF(SUMIF(FoodLog!$A:$A;$A225;FoodLog!$F:$F)=0;"";SUMIF(FoodLog!$A:$A;$A225;FoodLog!$F:$F)))</f>
        <v/>
      </c>
      <c r="W225">
        <f>IF($A225="";"";IF(SUMIF(FoodLog!$A:$A;$A225;FoodLog!$G:$G)=0;"";SUMIF(FoodLog!$A:$A;$A225;FoodLog!$G:$G)))</f>
        <v/>
      </c>
      <c r="X225">
        <f>IF($A225="";"";IF(SUMIF(FoodLog!$A:$A;$A225;FoodLog!$H:$H)=0;"";SUMIF(FoodLog!$A:$A;$A225;FoodLog!$H:$H)))</f>
        <v/>
      </c>
      <c r="Y225">
        <f>IF($A225="";"";IFERROR(ROUND(100*AVERAGE(IF($B225="";"";XLOOKUP($B225;FILTER(Dictionaries!$B:$B;Dictionaries!$A:$A="Тренировка");FILTER(Dictionaries!$C:$C;Dictionaries!$A:$A="Тренировка")));IF($C225="";"";MIN($C225/40;1));IF($D225="";"";XLOOKUP($D225;FILTER(Dictionaries!$B:$B;Dictionaries!$A:$A="Шаги");FILTER(Dictionaries!$C:$C;Dictionaries!$A:$A="Шаги")));IF($E225="";"";MIN($E225/120;1));IF(OR($F225&lt;&gt;"";$G225&lt;&gt;"");1;"");IF($H225="";"";MIN($H225/100;1));IF($L225="";"";XLOOKUP($L225;FILTER(Dictionaries!$B:$B;Dictionaries!$A:$A="Сон_часы");FILTER(Dictionaries!$C:$C;Dictionaries!$A:$A="Сон_часы")));IF($M225="";"";XLOOKUP($M225;FILTER(Dictionaries!$B:$B;Dictionaries!$A:$A="Режим");FILTER(Dictionaries!$C:$C;Dictionaries!$A:$A="Режим")));IF($N225="";"";MIN($N225/100;1));IF($O225="";"";XLOOKUP($O225;FILTER(Dictionaries!$B:$B;Dictionaries!$A:$A="Настроение");FILTER(Dictionaries!$C:$C;Dictionaries!$A:$A="Настроение")));IF($P225="";"";XLOOKUP($P225;FILTER(Dictionaries!$B:$B;Dictionaries!$A:$A="Энергия");FILTER(Dictionaries!$C:$C;Dictionaries!$A:$A="Энергия")));IF($U225="";"";AVERAGE(IF(OR($B225="Ноги";$B225="Верх");IFS(AND($U225&gt;=1900;$U225&lt;=2050);1;AND($U225&gt;=1850;$U225&lt;1900);0,7;AND($U225&gt;2050;$U225&lt;=2100);0,7;TRUE;0,2);IFS(AND($U225&gt;=1700;$U225&lt;=1850);1;AND($U225&gt;=1650;$U225&lt;1700);0,7;AND($U225&gt;1850;$U225&lt;=1900);0,7;TRUE;0,2));IF(OR($B225="Ноги";$B225="Верх");IFS(AND($V225&gt;=125;$V225&lt;=135);1;AND($V225&gt;=115;$V225&lt;125);0,7;AND($V225&gt;135;$V225&lt;=145);0,7;AND($V225&gt;=105;$V225&lt;115);0,4;AND($V225&gt;145;$V225&lt;=155);0,4;TRUE;0,2);IFS(AND($V225&gt;=120;$V225&lt;=130);1;AND($V225&gt;=110;$V225&lt;120);0,7;AND($V225&gt;130;$V225&lt;=140);0,7;AND($V225&gt;=100;$V225&lt;110);0,4;AND($V225&gt;140;$V225&lt;=150);0,4;TRUE;0,2));IFS(AND($W225&gt;=55;$W225&lt;=65);1;AND($W225&gt;=50;$W225&lt;55);0,7;AND($W225&gt;65;$W225&lt;=70);0,7;AND($W225&gt;=45;$W225&lt;50);0,4;AND($W225&gt;70;$W225&lt;=75);0,4;TRUE;0,2);IF(OR($B225="Ноги";$B225="Верх");IFS(AND($X225&gt;=180;$X225&lt;=210);1;AND($X225&gt;=160;$X225&lt;180);0,7;AND($X225&gt;210;$X225&lt;=230);0,7;AND($X225&gt;=140;$X225&lt;160);0,4;AND($X225&gt;230;$X225&lt;=250);0,4;TRUE;0,2);IFS(AND($X225&gt;=140;$X225&lt;=170);1;AND($X225&gt;=120;$X225&lt;140);0,7;AND($X225&gt;170;$X225&lt;=190);0,7;AND($X225&gt;=100;$X225&lt;120);0,4;AND($X225&gt;190;$X225&lt;=210);0,4;TRUE;0,2)))));1);""))</f>
        <v/>
      </c>
      <c r="Z225">
        <f>IF($A225="";"";TEXTJOIN(", ";TRUE;IF($B225="";"Тренировка";"");IF($C225="";"Кардио";"");IF($D225="";"Шаги";"");IF($E225="";"Английский";"");IF($F225="";"Код-режим";"");IF($G225="";"Код-тема";"");IF($H225="";"Чтение";"");IF($L225="";"Сон";"");IF($M225="";"Режим";"");IF($N225="";"Продуктивность";"");IF($O225="";"Настроение";"");IF($P225="";"Энергия";"");IF($U225="";"Еда";"")))</f>
        <v/>
      </c>
    </row>
    <row r="226">
      <c r="B226" t="inlineStr"/>
      <c r="C226" t="inlineStr"/>
      <c r="D226" t="inlineStr"/>
      <c r="E226" t="inlineStr"/>
      <c r="F226" t="inlineStr"/>
      <c r="G226" t="inlineStr"/>
      <c r="H226" t="inlineStr"/>
      <c r="I226" t="inlineStr"/>
      <c r="J226" t="inlineStr"/>
      <c r="K226" t="inlineStr"/>
      <c r="L226" t="inlineStr"/>
      <c r="M226" t="inlineStr"/>
      <c r="N226" t="inlineStr"/>
      <c r="O226" t="inlineStr"/>
      <c r="P226" t="inlineStr"/>
      <c r="Q226" t="inlineStr"/>
      <c r="R226" t="inlineStr"/>
      <c r="S226" t="inlineStr"/>
      <c r="T226" t="inlineStr"/>
      <c r="U226">
        <f>IF($A226="";"";IF(SUMIF(FoodLog!$A:$A;$A226;FoodLog!$I:$I)=0;"";SUMIF(FoodLog!$A:$A;$A226;FoodLog!$I:$I)))</f>
        <v/>
      </c>
      <c r="V226">
        <f>IF($A226="";"";IF(SUMIF(FoodLog!$A:$A;$A226;FoodLog!$F:$F)=0;"";SUMIF(FoodLog!$A:$A;$A226;FoodLog!$F:$F)))</f>
        <v/>
      </c>
      <c r="W226">
        <f>IF($A226="";"";IF(SUMIF(FoodLog!$A:$A;$A226;FoodLog!$G:$G)=0;"";SUMIF(FoodLog!$A:$A;$A226;FoodLog!$G:$G)))</f>
        <v/>
      </c>
      <c r="X226">
        <f>IF($A226="";"";IF(SUMIF(FoodLog!$A:$A;$A226;FoodLog!$H:$H)=0;"";SUMIF(FoodLog!$A:$A;$A226;FoodLog!$H:$H)))</f>
        <v/>
      </c>
      <c r="Y226">
        <f>IF($A226="";"";IFERROR(ROUND(100*AVERAGE(IF($B226="";"";XLOOKUP($B226;FILTER(Dictionaries!$B:$B;Dictionaries!$A:$A="Тренировка");FILTER(Dictionaries!$C:$C;Dictionaries!$A:$A="Тренировка")));IF($C226="";"";MIN($C226/40;1));IF($D226="";"";XLOOKUP($D226;FILTER(Dictionaries!$B:$B;Dictionaries!$A:$A="Шаги");FILTER(Dictionaries!$C:$C;Dictionaries!$A:$A="Шаги")));IF($E226="";"";MIN($E226/120;1));IF(OR($F226&lt;&gt;"";$G226&lt;&gt;"");1;"");IF($H226="";"";MIN($H226/100;1));IF($L226="";"";XLOOKUP($L226;FILTER(Dictionaries!$B:$B;Dictionaries!$A:$A="Сон_часы");FILTER(Dictionaries!$C:$C;Dictionaries!$A:$A="Сон_часы")));IF($M226="";"";XLOOKUP($M226;FILTER(Dictionaries!$B:$B;Dictionaries!$A:$A="Режим");FILTER(Dictionaries!$C:$C;Dictionaries!$A:$A="Режим")));IF($N226="";"";MIN($N226/100;1));IF($O226="";"";XLOOKUP($O226;FILTER(Dictionaries!$B:$B;Dictionaries!$A:$A="Настроение");FILTER(Dictionaries!$C:$C;Dictionaries!$A:$A="Настроение")));IF($P226="";"";XLOOKUP($P226;FILTER(Dictionaries!$B:$B;Dictionaries!$A:$A="Энергия");FILTER(Dictionaries!$C:$C;Dictionaries!$A:$A="Энергия")));IF($U226="";"";AVERAGE(IF(OR($B226="Ноги";$B226="Верх");IFS(AND($U226&gt;=1900;$U226&lt;=2050);1;AND($U226&gt;=1850;$U226&lt;1900);0,7;AND($U226&gt;2050;$U226&lt;=2100);0,7;TRUE;0,2);IFS(AND($U226&gt;=1700;$U226&lt;=1850);1;AND($U226&gt;=1650;$U226&lt;1700);0,7;AND($U226&gt;1850;$U226&lt;=1900);0,7;TRUE;0,2));IF(OR($B226="Ноги";$B226="Верх");IFS(AND($V226&gt;=125;$V226&lt;=135);1;AND($V226&gt;=115;$V226&lt;125);0,7;AND($V226&gt;135;$V226&lt;=145);0,7;AND($V226&gt;=105;$V226&lt;115);0,4;AND($V226&gt;145;$V226&lt;=155);0,4;TRUE;0,2);IFS(AND($V226&gt;=120;$V226&lt;=130);1;AND($V226&gt;=110;$V226&lt;120);0,7;AND($V226&gt;130;$V226&lt;=140);0,7;AND($V226&gt;=100;$V226&lt;110);0,4;AND($V226&gt;140;$V226&lt;=150);0,4;TRUE;0,2));IFS(AND($W226&gt;=55;$W226&lt;=65);1;AND($W226&gt;=50;$W226&lt;55);0,7;AND($W226&gt;65;$W226&lt;=70);0,7;AND($W226&gt;=45;$W226&lt;50);0,4;AND($W226&gt;70;$W226&lt;=75);0,4;TRUE;0,2);IF(OR($B226="Ноги";$B226="Верх");IFS(AND($X226&gt;=180;$X226&lt;=210);1;AND($X226&gt;=160;$X226&lt;180);0,7;AND($X226&gt;210;$X226&lt;=230);0,7;AND($X226&gt;=140;$X226&lt;160);0,4;AND($X226&gt;230;$X226&lt;=250);0,4;TRUE;0,2);IFS(AND($X226&gt;=140;$X226&lt;=170);1;AND($X226&gt;=120;$X226&lt;140);0,7;AND($X226&gt;170;$X226&lt;=190);0,7;AND($X226&gt;=100;$X226&lt;120);0,4;AND($X226&gt;190;$X226&lt;=210);0,4;TRUE;0,2)))));1);""))</f>
        <v/>
      </c>
      <c r="Z226">
        <f>IF($A226="";"";TEXTJOIN(", ";TRUE;IF($B226="";"Тренировка";"");IF($C226="";"Кардио";"");IF($D226="";"Шаги";"");IF($E226="";"Английский";"");IF($F226="";"Код-режим";"");IF($G226="";"Код-тема";"");IF($H226="";"Чтение";"");IF($L226="";"Сон";"");IF($M226="";"Режим";"");IF($N226="";"Продуктивность";"");IF($O226="";"Настроение";"");IF($P226="";"Энергия";"");IF($U226="";"Еда";"")))</f>
        <v/>
      </c>
    </row>
    <row r="227">
      <c r="B227" t="inlineStr"/>
      <c r="C227" t="inlineStr"/>
      <c r="D227" t="inlineStr"/>
      <c r="E227" t="inlineStr"/>
      <c r="F227" t="inlineStr"/>
      <c r="G227" t="inlineStr"/>
      <c r="H227" t="inlineStr"/>
      <c r="I227" t="inlineStr"/>
      <c r="J227" t="inlineStr"/>
      <c r="K227" t="inlineStr"/>
      <c r="L227" t="inlineStr"/>
      <c r="M227" t="inlineStr"/>
      <c r="N227" t="inlineStr"/>
      <c r="O227" t="inlineStr"/>
      <c r="P227" t="inlineStr"/>
      <c r="Q227" t="inlineStr"/>
      <c r="R227" t="inlineStr"/>
      <c r="S227" t="inlineStr"/>
      <c r="T227" t="inlineStr"/>
      <c r="U227">
        <f>IF($A227="";"";IF(SUMIF(FoodLog!$A:$A;$A227;FoodLog!$I:$I)=0;"";SUMIF(FoodLog!$A:$A;$A227;FoodLog!$I:$I)))</f>
        <v/>
      </c>
      <c r="V227">
        <f>IF($A227="";"";IF(SUMIF(FoodLog!$A:$A;$A227;FoodLog!$F:$F)=0;"";SUMIF(FoodLog!$A:$A;$A227;FoodLog!$F:$F)))</f>
        <v/>
      </c>
      <c r="W227">
        <f>IF($A227="";"";IF(SUMIF(FoodLog!$A:$A;$A227;FoodLog!$G:$G)=0;"";SUMIF(FoodLog!$A:$A;$A227;FoodLog!$G:$G)))</f>
        <v/>
      </c>
      <c r="X227">
        <f>IF($A227="";"";IF(SUMIF(FoodLog!$A:$A;$A227;FoodLog!$H:$H)=0;"";SUMIF(FoodLog!$A:$A;$A227;FoodLog!$H:$H)))</f>
        <v/>
      </c>
      <c r="Y227">
        <f>IF($A227="";"";IFERROR(ROUND(100*AVERAGE(IF($B227="";"";XLOOKUP($B227;FILTER(Dictionaries!$B:$B;Dictionaries!$A:$A="Тренировка");FILTER(Dictionaries!$C:$C;Dictionaries!$A:$A="Тренировка")));IF($C227="";"";MIN($C227/40;1));IF($D227="";"";XLOOKUP($D227;FILTER(Dictionaries!$B:$B;Dictionaries!$A:$A="Шаги");FILTER(Dictionaries!$C:$C;Dictionaries!$A:$A="Шаги")));IF($E227="";"";MIN($E227/120;1));IF(OR($F227&lt;&gt;"";$G227&lt;&gt;"");1;"");IF($H227="";"";MIN($H227/100;1));IF($L227="";"";XLOOKUP($L227;FILTER(Dictionaries!$B:$B;Dictionaries!$A:$A="Сон_часы");FILTER(Dictionaries!$C:$C;Dictionaries!$A:$A="Сон_часы")));IF($M227="";"";XLOOKUP($M227;FILTER(Dictionaries!$B:$B;Dictionaries!$A:$A="Режим");FILTER(Dictionaries!$C:$C;Dictionaries!$A:$A="Режим")));IF($N227="";"";MIN($N227/100;1));IF($O227="";"";XLOOKUP($O227;FILTER(Dictionaries!$B:$B;Dictionaries!$A:$A="Настроение");FILTER(Dictionaries!$C:$C;Dictionaries!$A:$A="Настроение")));IF($P227="";"";XLOOKUP($P227;FILTER(Dictionaries!$B:$B;Dictionaries!$A:$A="Энергия");FILTER(Dictionaries!$C:$C;Dictionaries!$A:$A="Энергия")));IF($U227="";"";AVERAGE(IF(OR($B227="Ноги";$B227="Верх");IFS(AND($U227&gt;=1900;$U227&lt;=2050);1;AND($U227&gt;=1850;$U227&lt;1900);0,7;AND($U227&gt;2050;$U227&lt;=2100);0,7;TRUE;0,2);IFS(AND($U227&gt;=1700;$U227&lt;=1850);1;AND($U227&gt;=1650;$U227&lt;1700);0,7;AND($U227&gt;1850;$U227&lt;=1900);0,7;TRUE;0,2));IF(OR($B227="Ноги";$B227="Верх");IFS(AND($V227&gt;=125;$V227&lt;=135);1;AND($V227&gt;=115;$V227&lt;125);0,7;AND($V227&gt;135;$V227&lt;=145);0,7;AND($V227&gt;=105;$V227&lt;115);0,4;AND($V227&gt;145;$V227&lt;=155);0,4;TRUE;0,2);IFS(AND($V227&gt;=120;$V227&lt;=130);1;AND($V227&gt;=110;$V227&lt;120);0,7;AND($V227&gt;130;$V227&lt;=140);0,7;AND($V227&gt;=100;$V227&lt;110);0,4;AND($V227&gt;140;$V227&lt;=150);0,4;TRUE;0,2));IFS(AND($W227&gt;=55;$W227&lt;=65);1;AND($W227&gt;=50;$W227&lt;55);0,7;AND($W227&gt;65;$W227&lt;=70);0,7;AND($W227&gt;=45;$W227&lt;50);0,4;AND($W227&gt;70;$W227&lt;=75);0,4;TRUE;0,2);IF(OR($B227="Ноги";$B227="Верх");IFS(AND($X227&gt;=180;$X227&lt;=210);1;AND($X227&gt;=160;$X227&lt;180);0,7;AND($X227&gt;210;$X227&lt;=230);0,7;AND($X227&gt;=140;$X227&lt;160);0,4;AND($X227&gt;230;$X227&lt;=250);0,4;TRUE;0,2);IFS(AND($X227&gt;=140;$X227&lt;=170);1;AND($X227&gt;=120;$X227&lt;140);0,7;AND($X227&gt;170;$X227&lt;=190);0,7;AND($X227&gt;=100;$X227&lt;120);0,4;AND($X227&gt;190;$X227&lt;=210);0,4;TRUE;0,2)))));1);""))</f>
        <v/>
      </c>
      <c r="Z227">
        <f>IF($A227="";"";TEXTJOIN(", ";TRUE;IF($B227="";"Тренировка";"");IF($C227="";"Кардио";"");IF($D227="";"Шаги";"");IF($E227="";"Английский";"");IF($F227="";"Код-режим";"");IF($G227="";"Код-тема";"");IF($H227="";"Чтение";"");IF($L227="";"Сон";"");IF($M227="";"Режим";"");IF($N227="";"Продуктивность";"");IF($O227="";"Настроение";"");IF($P227="";"Энергия";"");IF($U227="";"Еда";"")))</f>
        <v/>
      </c>
    </row>
    <row r="228">
      <c r="B228" t="inlineStr"/>
      <c r="C228" t="inlineStr"/>
      <c r="D228" t="inlineStr"/>
      <c r="E228" t="inlineStr"/>
      <c r="F228" t="inlineStr"/>
      <c r="G228" t="inlineStr"/>
      <c r="H228" t="inlineStr"/>
      <c r="I228" t="inlineStr"/>
      <c r="J228" t="inlineStr"/>
      <c r="K228" t="inlineStr"/>
      <c r="L228" t="inlineStr"/>
      <c r="M228" t="inlineStr"/>
      <c r="N228" t="inlineStr"/>
      <c r="O228" t="inlineStr"/>
      <c r="P228" t="inlineStr"/>
      <c r="Q228" t="inlineStr"/>
      <c r="R228" t="inlineStr"/>
      <c r="S228" t="inlineStr"/>
      <c r="T228" t="inlineStr"/>
      <c r="U228">
        <f>IF($A228="";"";IF(SUMIF(FoodLog!$A:$A;$A228;FoodLog!$I:$I)=0;"";SUMIF(FoodLog!$A:$A;$A228;FoodLog!$I:$I)))</f>
        <v/>
      </c>
      <c r="V228">
        <f>IF($A228="";"";IF(SUMIF(FoodLog!$A:$A;$A228;FoodLog!$F:$F)=0;"";SUMIF(FoodLog!$A:$A;$A228;FoodLog!$F:$F)))</f>
        <v/>
      </c>
      <c r="W228">
        <f>IF($A228="";"";IF(SUMIF(FoodLog!$A:$A;$A228;FoodLog!$G:$G)=0;"";SUMIF(FoodLog!$A:$A;$A228;FoodLog!$G:$G)))</f>
        <v/>
      </c>
      <c r="X228">
        <f>IF($A228="";"";IF(SUMIF(FoodLog!$A:$A;$A228;FoodLog!$H:$H)=0;"";SUMIF(FoodLog!$A:$A;$A228;FoodLog!$H:$H)))</f>
        <v/>
      </c>
      <c r="Y228">
        <f>IF($A228="";"";IFERROR(ROUND(100*AVERAGE(IF($B228="";"";XLOOKUP($B228;FILTER(Dictionaries!$B:$B;Dictionaries!$A:$A="Тренировка");FILTER(Dictionaries!$C:$C;Dictionaries!$A:$A="Тренировка")));IF($C228="";"";MIN($C228/40;1));IF($D228="";"";XLOOKUP($D228;FILTER(Dictionaries!$B:$B;Dictionaries!$A:$A="Шаги");FILTER(Dictionaries!$C:$C;Dictionaries!$A:$A="Шаги")));IF($E228="";"";MIN($E228/120;1));IF(OR($F228&lt;&gt;"";$G228&lt;&gt;"");1;"");IF($H228="";"";MIN($H228/100;1));IF($L228="";"";XLOOKUP($L228;FILTER(Dictionaries!$B:$B;Dictionaries!$A:$A="Сон_часы");FILTER(Dictionaries!$C:$C;Dictionaries!$A:$A="Сон_часы")));IF($M228="";"";XLOOKUP($M228;FILTER(Dictionaries!$B:$B;Dictionaries!$A:$A="Режим");FILTER(Dictionaries!$C:$C;Dictionaries!$A:$A="Режим")));IF($N228="";"";MIN($N228/100;1));IF($O228="";"";XLOOKUP($O228;FILTER(Dictionaries!$B:$B;Dictionaries!$A:$A="Настроение");FILTER(Dictionaries!$C:$C;Dictionaries!$A:$A="Настроение")));IF($P228="";"";XLOOKUP($P228;FILTER(Dictionaries!$B:$B;Dictionaries!$A:$A="Энергия");FILTER(Dictionaries!$C:$C;Dictionaries!$A:$A="Энергия")));IF($U228="";"";AVERAGE(IF(OR($B228="Ноги";$B228="Верх");IFS(AND($U228&gt;=1900;$U228&lt;=2050);1;AND($U228&gt;=1850;$U228&lt;1900);0,7;AND($U228&gt;2050;$U228&lt;=2100);0,7;TRUE;0,2);IFS(AND($U228&gt;=1700;$U228&lt;=1850);1;AND($U228&gt;=1650;$U228&lt;1700);0,7;AND($U228&gt;1850;$U228&lt;=1900);0,7;TRUE;0,2));IF(OR($B228="Ноги";$B228="Верх");IFS(AND($V228&gt;=125;$V228&lt;=135);1;AND($V228&gt;=115;$V228&lt;125);0,7;AND($V228&gt;135;$V228&lt;=145);0,7;AND($V228&gt;=105;$V228&lt;115);0,4;AND($V228&gt;145;$V228&lt;=155);0,4;TRUE;0,2);IFS(AND($V228&gt;=120;$V228&lt;=130);1;AND($V228&gt;=110;$V228&lt;120);0,7;AND($V228&gt;130;$V228&lt;=140);0,7;AND($V228&gt;=100;$V228&lt;110);0,4;AND($V228&gt;140;$V228&lt;=150);0,4;TRUE;0,2));IFS(AND($W228&gt;=55;$W228&lt;=65);1;AND($W228&gt;=50;$W228&lt;55);0,7;AND($W228&gt;65;$W228&lt;=70);0,7;AND($W228&gt;=45;$W228&lt;50);0,4;AND($W228&gt;70;$W228&lt;=75);0,4;TRUE;0,2);IF(OR($B228="Ноги";$B228="Верх");IFS(AND($X228&gt;=180;$X228&lt;=210);1;AND($X228&gt;=160;$X228&lt;180);0,7;AND($X228&gt;210;$X228&lt;=230);0,7;AND($X228&gt;=140;$X228&lt;160);0,4;AND($X228&gt;230;$X228&lt;=250);0,4;TRUE;0,2);IFS(AND($X228&gt;=140;$X228&lt;=170);1;AND($X228&gt;=120;$X228&lt;140);0,7;AND($X228&gt;170;$X228&lt;=190);0,7;AND($X228&gt;=100;$X228&lt;120);0,4;AND($X228&gt;190;$X228&lt;=210);0,4;TRUE;0,2)))));1);""))</f>
        <v/>
      </c>
      <c r="Z228">
        <f>IF($A228="";"";TEXTJOIN(", ";TRUE;IF($B228="";"Тренировка";"");IF($C228="";"Кардио";"");IF($D228="";"Шаги";"");IF($E228="";"Английский";"");IF($F228="";"Код-режим";"");IF($G228="";"Код-тема";"");IF($H228="";"Чтение";"");IF($L228="";"Сон";"");IF($M228="";"Режим";"");IF($N228="";"Продуктивность";"");IF($O228="";"Настроение";"");IF($P228="";"Энергия";"");IF($U228="";"Еда";"")))</f>
        <v/>
      </c>
    </row>
    <row r="229">
      <c r="B229" t="inlineStr"/>
      <c r="C229" t="inlineStr"/>
      <c r="D229" t="inlineStr"/>
      <c r="E229" t="inlineStr"/>
      <c r="F229" t="inlineStr"/>
      <c r="G229" t="inlineStr"/>
      <c r="H229" t="inlineStr"/>
      <c r="I229" t="inlineStr"/>
      <c r="J229" t="inlineStr"/>
      <c r="K229" t="inlineStr"/>
      <c r="L229" t="inlineStr"/>
      <c r="M229" t="inlineStr"/>
      <c r="N229" t="inlineStr"/>
      <c r="O229" t="inlineStr"/>
      <c r="P229" t="inlineStr"/>
      <c r="Q229" t="inlineStr"/>
      <c r="R229" t="inlineStr"/>
      <c r="S229" t="inlineStr"/>
      <c r="T229" t="inlineStr"/>
      <c r="U229">
        <f>IF($A229="";"";IF(SUMIF(FoodLog!$A:$A;$A229;FoodLog!$I:$I)=0;"";SUMIF(FoodLog!$A:$A;$A229;FoodLog!$I:$I)))</f>
        <v/>
      </c>
      <c r="V229">
        <f>IF($A229="";"";IF(SUMIF(FoodLog!$A:$A;$A229;FoodLog!$F:$F)=0;"";SUMIF(FoodLog!$A:$A;$A229;FoodLog!$F:$F)))</f>
        <v/>
      </c>
      <c r="W229">
        <f>IF($A229="";"";IF(SUMIF(FoodLog!$A:$A;$A229;FoodLog!$G:$G)=0;"";SUMIF(FoodLog!$A:$A;$A229;FoodLog!$G:$G)))</f>
        <v/>
      </c>
      <c r="X229">
        <f>IF($A229="";"";IF(SUMIF(FoodLog!$A:$A;$A229;FoodLog!$H:$H)=0;"";SUMIF(FoodLog!$A:$A;$A229;FoodLog!$H:$H)))</f>
        <v/>
      </c>
      <c r="Y229">
        <f>IF($A229="";"";IFERROR(ROUND(100*AVERAGE(IF($B229="";"";XLOOKUP($B229;FILTER(Dictionaries!$B:$B;Dictionaries!$A:$A="Тренировка");FILTER(Dictionaries!$C:$C;Dictionaries!$A:$A="Тренировка")));IF($C229="";"";MIN($C229/40;1));IF($D229="";"";XLOOKUP($D229;FILTER(Dictionaries!$B:$B;Dictionaries!$A:$A="Шаги");FILTER(Dictionaries!$C:$C;Dictionaries!$A:$A="Шаги")));IF($E229="";"";MIN($E229/120;1));IF(OR($F229&lt;&gt;"";$G229&lt;&gt;"");1;"");IF($H229="";"";MIN($H229/100;1));IF($L229="";"";XLOOKUP($L229;FILTER(Dictionaries!$B:$B;Dictionaries!$A:$A="Сон_часы");FILTER(Dictionaries!$C:$C;Dictionaries!$A:$A="Сон_часы")));IF($M229="";"";XLOOKUP($M229;FILTER(Dictionaries!$B:$B;Dictionaries!$A:$A="Режим");FILTER(Dictionaries!$C:$C;Dictionaries!$A:$A="Режим")));IF($N229="";"";MIN($N229/100;1));IF($O229="";"";XLOOKUP($O229;FILTER(Dictionaries!$B:$B;Dictionaries!$A:$A="Настроение");FILTER(Dictionaries!$C:$C;Dictionaries!$A:$A="Настроение")));IF($P229="";"";XLOOKUP($P229;FILTER(Dictionaries!$B:$B;Dictionaries!$A:$A="Энергия");FILTER(Dictionaries!$C:$C;Dictionaries!$A:$A="Энергия")));IF($U229="";"";AVERAGE(IF(OR($B229="Ноги";$B229="Верх");IFS(AND($U229&gt;=1900;$U229&lt;=2050);1;AND($U229&gt;=1850;$U229&lt;1900);0,7;AND($U229&gt;2050;$U229&lt;=2100);0,7;TRUE;0,2);IFS(AND($U229&gt;=1700;$U229&lt;=1850);1;AND($U229&gt;=1650;$U229&lt;1700);0,7;AND($U229&gt;1850;$U229&lt;=1900);0,7;TRUE;0,2));IF(OR($B229="Ноги";$B229="Верх");IFS(AND($V229&gt;=125;$V229&lt;=135);1;AND($V229&gt;=115;$V229&lt;125);0,7;AND($V229&gt;135;$V229&lt;=145);0,7;AND($V229&gt;=105;$V229&lt;115);0,4;AND($V229&gt;145;$V229&lt;=155);0,4;TRUE;0,2);IFS(AND($V229&gt;=120;$V229&lt;=130);1;AND($V229&gt;=110;$V229&lt;120);0,7;AND($V229&gt;130;$V229&lt;=140);0,7;AND($V229&gt;=100;$V229&lt;110);0,4;AND($V229&gt;140;$V229&lt;=150);0,4;TRUE;0,2));IFS(AND($W229&gt;=55;$W229&lt;=65);1;AND($W229&gt;=50;$W229&lt;55);0,7;AND($W229&gt;65;$W229&lt;=70);0,7;AND($W229&gt;=45;$W229&lt;50);0,4;AND($W229&gt;70;$W229&lt;=75);0,4;TRUE;0,2);IF(OR($B229="Ноги";$B229="Верх");IFS(AND($X229&gt;=180;$X229&lt;=210);1;AND($X229&gt;=160;$X229&lt;180);0,7;AND($X229&gt;210;$X229&lt;=230);0,7;AND($X229&gt;=140;$X229&lt;160);0,4;AND($X229&gt;230;$X229&lt;=250);0,4;TRUE;0,2);IFS(AND($X229&gt;=140;$X229&lt;=170);1;AND($X229&gt;=120;$X229&lt;140);0,7;AND($X229&gt;170;$X229&lt;=190);0,7;AND($X229&gt;=100;$X229&lt;120);0,4;AND($X229&gt;190;$X229&lt;=210);0,4;TRUE;0,2)))));1);""))</f>
        <v/>
      </c>
      <c r="Z229">
        <f>IF($A229="";"";TEXTJOIN(", ";TRUE;IF($B229="";"Тренировка";"");IF($C229="";"Кардио";"");IF($D229="";"Шаги";"");IF($E229="";"Английский";"");IF($F229="";"Код-режим";"");IF($G229="";"Код-тема";"");IF($H229="";"Чтение";"");IF($L229="";"Сон";"");IF($M229="";"Режим";"");IF($N229="";"Продуктивность";"");IF($O229="";"Настроение";"");IF($P229="";"Энергия";"");IF($U229="";"Еда";"")))</f>
        <v/>
      </c>
    </row>
    <row r="230">
      <c r="B230" t="inlineStr"/>
      <c r="C230" t="inlineStr"/>
      <c r="D230" t="inlineStr"/>
      <c r="E230" t="inlineStr"/>
      <c r="F230" t="inlineStr"/>
      <c r="G230" t="inlineStr"/>
      <c r="H230" t="inlineStr"/>
      <c r="I230" t="inlineStr"/>
      <c r="J230" t="inlineStr"/>
      <c r="K230" t="inlineStr"/>
      <c r="L230" t="inlineStr"/>
      <c r="M230" t="inlineStr"/>
      <c r="N230" t="inlineStr"/>
      <c r="O230" t="inlineStr"/>
      <c r="P230" t="inlineStr"/>
      <c r="Q230" t="inlineStr"/>
      <c r="R230" t="inlineStr"/>
      <c r="S230" t="inlineStr"/>
      <c r="T230" t="inlineStr"/>
      <c r="U230">
        <f>IF($A230="";"";IF(SUMIF(FoodLog!$A:$A;$A230;FoodLog!$I:$I)=0;"";SUMIF(FoodLog!$A:$A;$A230;FoodLog!$I:$I)))</f>
        <v/>
      </c>
      <c r="V230">
        <f>IF($A230="";"";IF(SUMIF(FoodLog!$A:$A;$A230;FoodLog!$F:$F)=0;"";SUMIF(FoodLog!$A:$A;$A230;FoodLog!$F:$F)))</f>
        <v/>
      </c>
      <c r="W230">
        <f>IF($A230="";"";IF(SUMIF(FoodLog!$A:$A;$A230;FoodLog!$G:$G)=0;"";SUMIF(FoodLog!$A:$A;$A230;FoodLog!$G:$G)))</f>
        <v/>
      </c>
      <c r="X230">
        <f>IF($A230="";"";IF(SUMIF(FoodLog!$A:$A;$A230;FoodLog!$H:$H)=0;"";SUMIF(FoodLog!$A:$A;$A230;FoodLog!$H:$H)))</f>
        <v/>
      </c>
      <c r="Y230">
        <f>IF($A230="";"";IFERROR(ROUND(100*AVERAGE(IF($B230="";"";XLOOKUP($B230;FILTER(Dictionaries!$B:$B;Dictionaries!$A:$A="Тренировка");FILTER(Dictionaries!$C:$C;Dictionaries!$A:$A="Тренировка")));IF($C230="";"";MIN($C230/40;1));IF($D230="";"";XLOOKUP($D230;FILTER(Dictionaries!$B:$B;Dictionaries!$A:$A="Шаги");FILTER(Dictionaries!$C:$C;Dictionaries!$A:$A="Шаги")));IF($E230="";"";MIN($E230/120;1));IF(OR($F230&lt;&gt;"";$G230&lt;&gt;"");1;"");IF($H230="";"";MIN($H230/100;1));IF($L230="";"";XLOOKUP($L230;FILTER(Dictionaries!$B:$B;Dictionaries!$A:$A="Сон_часы");FILTER(Dictionaries!$C:$C;Dictionaries!$A:$A="Сон_часы")));IF($M230="";"";XLOOKUP($M230;FILTER(Dictionaries!$B:$B;Dictionaries!$A:$A="Режим");FILTER(Dictionaries!$C:$C;Dictionaries!$A:$A="Режим")));IF($N230="";"";MIN($N230/100;1));IF($O230="";"";XLOOKUP($O230;FILTER(Dictionaries!$B:$B;Dictionaries!$A:$A="Настроение");FILTER(Dictionaries!$C:$C;Dictionaries!$A:$A="Настроение")));IF($P230="";"";XLOOKUP($P230;FILTER(Dictionaries!$B:$B;Dictionaries!$A:$A="Энергия");FILTER(Dictionaries!$C:$C;Dictionaries!$A:$A="Энергия")));IF($U230="";"";AVERAGE(IF(OR($B230="Ноги";$B230="Верх");IFS(AND($U230&gt;=1900;$U230&lt;=2050);1;AND($U230&gt;=1850;$U230&lt;1900);0,7;AND($U230&gt;2050;$U230&lt;=2100);0,7;TRUE;0,2);IFS(AND($U230&gt;=1700;$U230&lt;=1850);1;AND($U230&gt;=1650;$U230&lt;1700);0,7;AND($U230&gt;1850;$U230&lt;=1900);0,7;TRUE;0,2));IF(OR($B230="Ноги";$B230="Верх");IFS(AND($V230&gt;=125;$V230&lt;=135);1;AND($V230&gt;=115;$V230&lt;125);0,7;AND($V230&gt;135;$V230&lt;=145);0,7;AND($V230&gt;=105;$V230&lt;115);0,4;AND($V230&gt;145;$V230&lt;=155);0,4;TRUE;0,2);IFS(AND($V230&gt;=120;$V230&lt;=130);1;AND($V230&gt;=110;$V230&lt;120);0,7;AND($V230&gt;130;$V230&lt;=140);0,7;AND($V230&gt;=100;$V230&lt;110);0,4;AND($V230&gt;140;$V230&lt;=150);0,4;TRUE;0,2));IFS(AND($W230&gt;=55;$W230&lt;=65);1;AND($W230&gt;=50;$W230&lt;55);0,7;AND($W230&gt;65;$W230&lt;=70);0,7;AND($W230&gt;=45;$W230&lt;50);0,4;AND($W230&gt;70;$W230&lt;=75);0,4;TRUE;0,2);IF(OR($B230="Ноги";$B230="Верх");IFS(AND($X230&gt;=180;$X230&lt;=210);1;AND($X230&gt;=160;$X230&lt;180);0,7;AND($X230&gt;210;$X230&lt;=230);0,7;AND($X230&gt;=140;$X230&lt;160);0,4;AND($X230&gt;230;$X230&lt;=250);0,4;TRUE;0,2);IFS(AND($X230&gt;=140;$X230&lt;=170);1;AND($X230&gt;=120;$X230&lt;140);0,7;AND($X230&gt;170;$X230&lt;=190);0,7;AND($X230&gt;=100;$X230&lt;120);0,4;AND($X230&gt;190;$X230&lt;=210);0,4;TRUE;0,2)))));1);""))</f>
        <v/>
      </c>
      <c r="Z230">
        <f>IF($A230="";"";TEXTJOIN(", ";TRUE;IF($B230="";"Тренировка";"");IF($C230="";"Кардио";"");IF($D230="";"Шаги";"");IF($E230="";"Английский";"");IF($F230="";"Код-режим";"");IF($G230="";"Код-тема";"");IF($H230="";"Чтение";"");IF($L230="";"Сон";"");IF($M230="";"Режим";"");IF($N230="";"Продуктивность";"");IF($O230="";"Настроение";"");IF($P230="";"Энергия";"");IF($U230="";"Еда";"")))</f>
        <v/>
      </c>
    </row>
    <row r="231">
      <c r="B231" t="inlineStr"/>
      <c r="C231" t="inlineStr"/>
      <c r="D231" t="inlineStr"/>
      <c r="E231" t="inlineStr"/>
      <c r="F231" t="inlineStr"/>
      <c r="G231" t="inlineStr"/>
      <c r="H231" t="inlineStr"/>
      <c r="I231" t="inlineStr"/>
      <c r="J231" t="inlineStr"/>
      <c r="K231" t="inlineStr"/>
      <c r="L231" t="inlineStr"/>
      <c r="M231" t="inlineStr"/>
      <c r="N231" t="inlineStr"/>
      <c r="O231" t="inlineStr"/>
      <c r="P231" t="inlineStr"/>
      <c r="Q231" t="inlineStr"/>
      <c r="R231" t="inlineStr"/>
      <c r="S231" t="inlineStr"/>
      <c r="T231" t="inlineStr"/>
      <c r="U231">
        <f>IF($A231="";"";IF(SUMIF(FoodLog!$A:$A;$A231;FoodLog!$I:$I)=0;"";SUMIF(FoodLog!$A:$A;$A231;FoodLog!$I:$I)))</f>
        <v/>
      </c>
      <c r="V231">
        <f>IF($A231="";"";IF(SUMIF(FoodLog!$A:$A;$A231;FoodLog!$F:$F)=0;"";SUMIF(FoodLog!$A:$A;$A231;FoodLog!$F:$F)))</f>
        <v/>
      </c>
      <c r="W231">
        <f>IF($A231="";"";IF(SUMIF(FoodLog!$A:$A;$A231;FoodLog!$G:$G)=0;"";SUMIF(FoodLog!$A:$A;$A231;FoodLog!$G:$G)))</f>
        <v/>
      </c>
      <c r="X231">
        <f>IF($A231="";"";IF(SUMIF(FoodLog!$A:$A;$A231;FoodLog!$H:$H)=0;"";SUMIF(FoodLog!$A:$A;$A231;FoodLog!$H:$H)))</f>
        <v/>
      </c>
      <c r="Y231">
        <f>IF($A231="";"";IFERROR(ROUND(100*AVERAGE(IF($B231="";"";XLOOKUP($B231;FILTER(Dictionaries!$B:$B;Dictionaries!$A:$A="Тренировка");FILTER(Dictionaries!$C:$C;Dictionaries!$A:$A="Тренировка")));IF($C231="";"";MIN($C231/40;1));IF($D231="";"";XLOOKUP($D231;FILTER(Dictionaries!$B:$B;Dictionaries!$A:$A="Шаги");FILTER(Dictionaries!$C:$C;Dictionaries!$A:$A="Шаги")));IF($E231="";"";MIN($E231/120;1));IF(OR($F231&lt;&gt;"";$G231&lt;&gt;"");1;"");IF($H231="";"";MIN($H231/100;1));IF($L231="";"";XLOOKUP($L231;FILTER(Dictionaries!$B:$B;Dictionaries!$A:$A="Сон_часы");FILTER(Dictionaries!$C:$C;Dictionaries!$A:$A="Сон_часы")));IF($M231="";"";XLOOKUP($M231;FILTER(Dictionaries!$B:$B;Dictionaries!$A:$A="Режим");FILTER(Dictionaries!$C:$C;Dictionaries!$A:$A="Режим")));IF($N231="";"";MIN($N231/100;1));IF($O231="";"";XLOOKUP($O231;FILTER(Dictionaries!$B:$B;Dictionaries!$A:$A="Настроение");FILTER(Dictionaries!$C:$C;Dictionaries!$A:$A="Настроение")));IF($P231="";"";XLOOKUP($P231;FILTER(Dictionaries!$B:$B;Dictionaries!$A:$A="Энергия");FILTER(Dictionaries!$C:$C;Dictionaries!$A:$A="Энергия")));IF($U231="";"";AVERAGE(IF(OR($B231="Ноги";$B231="Верх");IFS(AND($U231&gt;=1900;$U231&lt;=2050);1;AND($U231&gt;=1850;$U231&lt;1900);0,7;AND($U231&gt;2050;$U231&lt;=2100);0,7;TRUE;0,2);IFS(AND($U231&gt;=1700;$U231&lt;=1850);1;AND($U231&gt;=1650;$U231&lt;1700);0,7;AND($U231&gt;1850;$U231&lt;=1900);0,7;TRUE;0,2));IF(OR($B231="Ноги";$B231="Верх");IFS(AND($V231&gt;=125;$V231&lt;=135);1;AND($V231&gt;=115;$V231&lt;125);0,7;AND($V231&gt;135;$V231&lt;=145);0,7;AND($V231&gt;=105;$V231&lt;115);0,4;AND($V231&gt;145;$V231&lt;=155);0,4;TRUE;0,2);IFS(AND($V231&gt;=120;$V231&lt;=130);1;AND($V231&gt;=110;$V231&lt;120);0,7;AND($V231&gt;130;$V231&lt;=140);0,7;AND($V231&gt;=100;$V231&lt;110);0,4;AND($V231&gt;140;$V231&lt;=150);0,4;TRUE;0,2));IFS(AND($W231&gt;=55;$W231&lt;=65);1;AND($W231&gt;=50;$W231&lt;55);0,7;AND($W231&gt;65;$W231&lt;=70);0,7;AND($W231&gt;=45;$W231&lt;50);0,4;AND($W231&gt;70;$W231&lt;=75);0,4;TRUE;0,2);IF(OR($B231="Ноги";$B231="Верх");IFS(AND($X231&gt;=180;$X231&lt;=210);1;AND($X231&gt;=160;$X231&lt;180);0,7;AND($X231&gt;210;$X231&lt;=230);0,7;AND($X231&gt;=140;$X231&lt;160);0,4;AND($X231&gt;230;$X231&lt;=250);0,4;TRUE;0,2);IFS(AND($X231&gt;=140;$X231&lt;=170);1;AND($X231&gt;=120;$X231&lt;140);0,7;AND($X231&gt;170;$X231&lt;=190);0,7;AND($X231&gt;=100;$X231&lt;120);0,4;AND($X231&gt;190;$X231&lt;=210);0,4;TRUE;0,2)))));1);""))</f>
        <v/>
      </c>
      <c r="Z231">
        <f>IF($A231="";"";TEXTJOIN(", ";TRUE;IF($B231="";"Тренировка";"");IF($C231="";"Кардио";"");IF($D231="";"Шаги";"");IF($E231="";"Английский";"");IF($F231="";"Код-режим";"");IF($G231="";"Код-тема";"");IF($H231="";"Чтение";"");IF($L231="";"Сон";"");IF($M231="";"Режим";"");IF($N231="";"Продуктивность";"");IF($O231="";"Настроение";"");IF($P231="";"Энергия";"");IF($U231="";"Еда";"")))</f>
        <v/>
      </c>
    </row>
    <row r="232">
      <c r="B232" t="inlineStr"/>
      <c r="C232" t="inlineStr"/>
      <c r="D232" t="inlineStr"/>
      <c r="E232" t="inlineStr"/>
      <c r="F232" t="inlineStr"/>
      <c r="G232" t="inlineStr"/>
      <c r="H232" t="inlineStr"/>
      <c r="I232" t="inlineStr"/>
      <c r="J232" t="inlineStr"/>
      <c r="K232" t="inlineStr"/>
      <c r="L232" t="inlineStr"/>
      <c r="M232" t="inlineStr"/>
      <c r="N232" t="inlineStr"/>
      <c r="O232" t="inlineStr"/>
      <c r="P232" t="inlineStr"/>
      <c r="Q232" t="inlineStr"/>
      <c r="R232" t="inlineStr"/>
      <c r="S232" t="inlineStr"/>
      <c r="T232" t="inlineStr"/>
      <c r="U232">
        <f>IF($A232="";"";IF(SUMIF(FoodLog!$A:$A;$A232;FoodLog!$I:$I)=0;"";SUMIF(FoodLog!$A:$A;$A232;FoodLog!$I:$I)))</f>
        <v/>
      </c>
      <c r="V232">
        <f>IF($A232="";"";IF(SUMIF(FoodLog!$A:$A;$A232;FoodLog!$F:$F)=0;"";SUMIF(FoodLog!$A:$A;$A232;FoodLog!$F:$F)))</f>
        <v/>
      </c>
      <c r="W232">
        <f>IF($A232="";"";IF(SUMIF(FoodLog!$A:$A;$A232;FoodLog!$G:$G)=0;"";SUMIF(FoodLog!$A:$A;$A232;FoodLog!$G:$G)))</f>
        <v/>
      </c>
      <c r="X232">
        <f>IF($A232="";"";IF(SUMIF(FoodLog!$A:$A;$A232;FoodLog!$H:$H)=0;"";SUMIF(FoodLog!$A:$A;$A232;FoodLog!$H:$H)))</f>
        <v/>
      </c>
      <c r="Y232">
        <f>IF($A232="";"";IFERROR(ROUND(100*AVERAGE(IF($B232="";"";XLOOKUP($B232;FILTER(Dictionaries!$B:$B;Dictionaries!$A:$A="Тренировка");FILTER(Dictionaries!$C:$C;Dictionaries!$A:$A="Тренировка")));IF($C232="";"";MIN($C232/40;1));IF($D232="";"";XLOOKUP($D232;FILTER(Dictionaries!$B:$B;Dictionaries!$A:$A="Шаги");FILTER(Dictionaries!$C:$C;Dictionaries!$A:$A="Шаги")));IF($E232="";"";MIN($E232/120;1));IF(OR($F232&lt;&gt;"";$G232&lt;&gt;"");1;"");IF($H232="";"";MIN($H232/100;1));IF($L232="";"";XLOOKUP($L232;FILTER(Dictionaries!$B:$B;Dictionaries!$A:$A="Сон_часы");FILTER(Dictionaries!$C:$C;Dictionaries!$A:$A="Сон_часы")));IF($M232="";"";XLOOKUP($M232;FILTER(Dictionaries!$B:$B;Dictionaries!$A:$A="Режим");FILTER(Dictionaries!$C:$C;Dictionaries!$A:$A="Режим")));IF($N232="";"";MIN($N232/100;1));IF($O232="";"";XLOOKUP($O232;FILTER(Dictionaries!$B:$B;Dictionaries!$A:$A="Настроение");FILTER(Dictionaries!$C:$C;Dictionaries!$A:$A="Настроение")));IF($P232="";"";XLOOKUP($P232;FILTER(Dictionaries!$B:$B;Dictionaries!$A:$A="Энергия");FILTER(Dictionaries!$C:$C;Dictionaries!$A:$A="Энергия")));IF($U232="";"";AVERAGE(IF(OR($B232="Ноги";$B232="Верх");IFS(AND($U232&gt;=1900;$U232&lt;=2050);1;AND($U232&gt;=1850;$U232&lt;1900);0,7;AND($U232&gt;2050;$U232&lt;=2100);0,7;TRUE;0,2);IFS(AND($U232&gt;=1700;$U232&lt;=1850);1;AND($U232&gt;=1650;$U232&lt;1700);0,7;AND($U232&gt;1850;$U232&lt;=1900);0,7;TRUE;0,2));IF(OR($B232="Ноги";$B232="Верх");IFS(AND($V232&gt;=125;$V232&lt;=135);1;AND($V232&gt;=115;$V232&lt;125);0,7;AND($V232&gt;135;$V232&lt;=145);0,7;AND($V232&gt;=105;$V232&lt;115);0,4;AND($V232&gt;145;$V232&lt;=155);0,4;TRUE;0,2);IFS(AND($V232&gt;=120;$V232&lt;=130);1;AND($V232&gt;=110;$V232&lt;120);0,7;AND($V232&gt;130;$V232&lt;=140);0,7;AND($V232&gt;=100;$V232&lt;110);0,4;AND($V232&gt;140;$V232&lt;=150);0,4;TRUE;0,2));IFS(AND($W232&gt;=55;$W232&lt;=65);1;AND($W232&gt;=50;$W232&lt;55);0,7;AND($W232&gt;65;$W232&lt;=70);0,7;AND($W232&gt;=45;$W232&lt;50);0,4;AND($W232&gt;70;$W232&lt;=75);0,4;TRUE;0,2);IF(OR($B232="Ноги";$B232="Верх");IFS(AND($X232&gt;=180;$X232&lt;=210);1;AND($X232&gt;=160;$X232&lt;180);0,7;AND($X232&gt;210;$X232&lt;=230);0,7;AND($X232&gt;=140;$X232&lt;160);0,4;AND($X232&gt;230;$X232&lt;=250);0,4;TRUE;0,2);IFS(AND($X232&gt;=140;$X232&lt;=170);1;AND($X232&gt;=120;$X232&lt;140);0,7;AND($X232&gt;170;$X232&lt;=190);0,7;AND($X232&gt;=100;$X232&lt;120);0,4;AND($X232&gt;190;$X232&lt;=210);0,4;TRUE;0,2)))));1);""))</f>
        <v/>
      </c>
      <c r="Z232">
        <f>IF($A232="";"";TEXTJOIN(", ";TRUE;IF($B232="";"Тренировка";"");IF($C232="";"Кардио";"");IF($D232="";"Шаги";"");IF($E232="";"Английский";"");IF($F232="";"Код-режим";"");IF($G232="";"Код-тема";"");IF($H232="";"Чтение";"");IF($L232="";"Сон";"");IF($M232="";"Режим";"");IF($N232="";"Продуктивность";"");IF($O232="";"Настроение";"");IF($P232="";"Энергия";"");IF($U232="";"Еда";"")))</f>
        <v/>
      </c>
    </row>
    <row r="233">
      <c r="B233" t="inlineStr"/>
      <c r="C233" t="inlineStr"/>
      <c r="D233" t="inlineStr"/>
      <c r="E233" t="inlineStr"/>
      <c r="F233" t="inlineStr"/>
      <c r="G233" t="inlineStr"/>
      <c r="H233" t="inlineStr"/>
      <c r="I233" t="inlineStr"/>
      <c r="J233" t="inlineStr"/>
      <c r="K233" t="inlineStr"/>
      <c r="L233" t="inlineStr"/>
      <c r="M233" t="inlineStr"/>
      <c r="N233" t="inlineStr"/>
      <c r="O233" t="inlineStr"/>
      <c r="P233" t="inlineStr"/>
      <c r="Q233" t="inlineStr"/>
      <c r="R233" t="inlineStr"/>
      <c r="S233" t="inlineStr"/>
      <c r="T233" t="inlineStr"/>
      <c r="U233">
        <f>IF($A233="";"";IF(SUMIF(FoodLog!$A:$A;$A233;FoodLog!$I:$I)=0;"";SUMIF(FoodLog!$A:$A;$A233;FoodLog!$I:$I)))</f>
        <v/>
      </c>
      <c r="V233">
        <f>IF($A233="";"";IF(SUMIF(FoodLog!$A:$A;$A233;FoodLog!$F:$F)=0;"";SUMIF(FoodLog!$A:$A;$A233;FoodLog!$F:$F)))</f>
        <v/>
      </c>
      <c r="W233">
        <f>IF($A233="";"";IF(SUMIF(FoodLog!$A:$A;$A233;FoodLog!$G:$G)=0;"";SUMIF(FoodLog!$A:$A;$A233;FoodLog!$G:$G)))</f>
        <v/>
      </c>
      <c r="X233">
        <f>IF($A233="";"";IF(SUMIF(FoodLog!$A:$A;$A233;FoodLog!$H:$H)=0;"";SUMIF(FoodLog!$A:$A;$A233;FoodLog!$H:$H)))</f>
        <v/>
      </c>
      <c r="Y233">
        <f>IF($A233="";"";IFERROR(ROUND(100*AVERAGE(IF($B233="";"";XLOOKUP($B233;FILTER(Dictionaries!$B:$B;Dictionaries!$A:$A="Тренировка");FILTER(Dictionaries!$C:$C;Dictionaries!$A:$A="Тренировка")));IF($C233="";"";MIN($C233/40;1));IF($D233="";"";XLOOKUP($D233;FILTER(Dictionaries!$B:$B;Dictionaries!$A:$A="Шаги");FILTER(Dictionaries!$C:$C;Dictionaries!$A:$A="Шаги")));IF($E233="";"";MIN($E233/120;1));IF(OR($F233&lt;&gt;"";$G233&lt;&gt;"");1;"");IF($H233="";"";MIN($H233/100;1));IF($L233="";"";XLOOKUP($L233;FILTER(Dictionaries!$B:$B;Dictionaries!$A:$A="Сон_часы");FILTER(Dictionaries!$C:$C;Dictionaries!$A:$A="Сон_часы")));IF($M233="";"";XLOOKUP($M233;FILTER(Dictionaries!$B:$B;Dictionaries!$A:$A="Режим");FILTER(Dictionaries!$C:$C;Dictionaries!$A:$A="Режим")));IF($N233="";"";MIN($N233/100;1));IF($O233="";"";XLOOKUP($O233;FILTER(Dictionaries!$B:$B;Dictionaries!$A:$A="Настроение");FILTER(Dictionaries!$C:$C;Dictionaries!$A:$A="Настроение")));IF($P233="";"";XLOOKUP($P233;FILTER(Dictionaries!$B:$B;Dictionaries!$A:$A="Энергия");FILTER(Dictionaries!$C:$C;Dictionaries!$A:$A="Энергия")));IF($U233="";"";AVERAGE(IF(OR($B233="Ноги";$B233="Верх");IFS(AND($U233&gt;=1900;$U233&lt;=2050);1;AND($U233&gt;=1850;$U233&lt;1900);0,7;AND($U233&gt;2050;$U233&lt;=2100);0,7;TRUE;0,2);IFS(AND($U233&gt;=1700;$U233&lt;=1850);1;AND($U233&gt;=1650;$U233&lt;1700);0,7;AND($U233&gt;1850;$U233&lt;=1900);0,7;TRUE;0,2));IF(OR($B233="Ноги";$B233="Верх");IFS(AND($V233&gt;=125;$V233&lt;=135);1;AND($V233&gt;=115;$V233&lt;125);0,7;AND($V233&gt;135;$V233&lt;=145);0,7;AND($V233&gt;=105;$V233&lt;115);0,4;AND($V233&gt;145;$V233&lt;=155);0,4;TRUE;0,2);IFS(AND($V233&gt;=120;$V233&lt;=130);1;AND($V233&gt;=110;$V233&lt;120);0,7;AND($V233&gt;130;$V233&lt;=140);0,7;AND($V233&gt;=100;$V233&lt;110);0,4;AND($V233&gt;140;$V233&lt;=150);0,4;TRUE;0,2));IFS(AND($W233&gt;=55;$W233&lt;=65);1;AND($W233&gt;=50;$W233&lt;55);0,7;AND($W233&gt;65;$W233&lt;=70);0,7;AND($W233&gt;=45;$W233&lt;50);0,4;AND($W233&gt;70;$W233&lt;=75);0,4;TRUE;0,2);IF(OR($B233="Ноги";$B233="Верх");IFS(AND($X233&gt;=180;$X233&lt;=210);1;AND($X233&gt;=160;$X233&lt;180);0,7;AND($X233&gt;210;$X233&lt;=230);0,7;AND($X233&gt;=140;$X233&lt;160);0,4;AND($X233&gt;230;$X233&lt;=250);0,4;TRUE;0,2);IFS(AND($X233&gt;=140;$X233&lt;=170);1;AND($X233&gt;=120;$X233&lt;140);0,7;AND($X233&gt;170;$X233&lt;=190);0,7;AND($X233&gt;=100;$X233&lt;120);0,4;AND($X233&gt;190;$X233&lt;=210);0,4;TRUE;0,2)))));1);""))</f>
        <v/>
      </c>
      <c r="Z233">
        <f>IF($A233="";"";TEXTJOIN(", ";TRUE;IF($B233="";"Тренировка";"");IF($C233="";"Кардио";"");IF($D233="";"Шаги";"");IF($E233="";"Английский";"");IF($F233="";"Код-режим";"");IF($G233="";"Код-тема";"");IF($H233="";"Чтение";"");IF($L233="";"Сон";"");IF($M233="";"Режим";"");IF($N233="";"Продуктивность";"");IF($O233="";"Настроение";"");IF($P233="";"Энергия";"");IF($U233="";"Еда";"")))</f>
        <v/>
      </c>
    </row>
    <row r="234">
      <c r="B234" t="inlineStr"/>
      <c r="C234" t="inlineStr"/>
      <c r="D234" t="inlineStr"/>
      <c r="E234" t="inlineStr"/>
      <c r="F234" t="inlineStr"/>
      <c r="G234" t="inlineStr"/>
      <c r="H234" t="inlineStr"/>
      <c r="I234" t="inlineStr"/>
      <c r="J234" t="inlineStr"/>
      <c r="K234" t="inlineStr"/>
      <c r="L234" t="inlineStr"/>
      <c r="M234" t="inlineStr"/>
      <c r="N234" t="inlineStr"/>
      <c r="O234" t="inlineStr"/>
      <c r="P234" t="inlineStr"/>
      <c r="Q234" t="inlineStr"/>
      <c r="R234" t="inlineStr"/>
      <c r="S234" t="inlineStr"/>
      <c r="T234" t="inlineStr"/>
      <c r="U234">
        <f>IF($A234="";"";IF(SUMIF(FoodLog!$A:$A;$A234;FoodLog!$I:$I)=0;"";SUMIF(FoodLog!$A:$A;$A234;FoodLog!$I:$I)))</f>
        <v/>
      </c>
      <c r="V234">
        <f>IF($A234="";"";IF(SUMIF(FoodLog!$A:$A;$A234;FoodLog!$F:$F)=0;"";SUMIF(FoodLog!$A:$A;$A234;FoodLog!$F:$F)))</f>
        <v/>
      </c>
      <c r="W234">
        <f>IF($A234="";"";IF(SUMIF(FoodLog!$A:$A;$A234;FoodLog!$G:$G)=0;"";SUMIF(FoodLog!$A:$A;$A234;FoodLog!$G:$G)))</f>
        <v/>
      </c>
      <c r="X234">
        <f>IF($A234="";"";IF(SUMIF(FoodLog!$A:$A;$A234;FoodLog!$H:$H)=0;"";SUMIF(FoodLog!$A:$A;$A234;FoodLog!$H:$H)))</f>
        <v/>
      </c>
      <c r="Y234">
        <f>IF($A234="";"";IFERROR(ROUND(100*AVERAGE(IF($B234="";"";XLOOKUP($B234;FILTER(Dictionaries!$B:$B;Dictionaries!$A:$A="Тренировка");FILTER(Dictionaries!$C:$C;Dictionaries!$A:$A="Тренировка")));IF($C234="";"";MIN($C234/40;1));IF($D234="";"";XLOOKUP($D234;FILTER(Dictionaries!$B:$B;Dictionaries!$A:$A="Шаги");FILTER(Dictionaries!$C:$C;Dictionaries!$A:$A="Шаги")));IF($E234="";"";MIN($E234/120;1));IF(OR($F234&lt;&gt;"";$G234&lt;&gt;"");1;"");IF($H234="";"";MIN($H234/100;1));IF($L234="";"";XLOOKUP($L234;FILTER(Dictionaries!$B:$B;Dictionaries!$A:$A="Сон_часы");FILTER(Dictionaries!$C:$C;Dictionaries!$A:$A="Сон_часы")));IF($M234="";"";XLOOKUP($M234;FILTER(Dictionaries!$B:$B;Dictionaries!$A:$A="Режим");FILTER(Dictionaries!$C:$C;Dictionaries!$A:$A="Режим")));IF($N234="";"";MIN($N234/100;1));IF($O234="";"";XLOOKUP($O234;FILTER(Dictionaries!$B:$B;Dictionaries!$A:$A="Настроение");FILTER(Dictionaries!$C:$C;Dictionaries!$A:$A="Настроение")));IF($P234="";"";XLOOKUP($P234;FILTER(Dictionaries!$B:$B;Dictionaries!$A:$A="Энергия");FILTER(Dictionaries!$C:$C;Dictionaries!$A:$A="Энергия")));IF($U234="";"";AVERAGE(IF(OR($B234="Ноги";$B234="Верх");IFS(AND($U234&gt;=1900;$U234&lt;=2050);1;AND($U234&gt;=1850;$U234&lt;1900);0,7;AND($U234&gt;2050;$U234&lt;=2100);0,7;TRUE;0,2);IFS(AND($U234&gt;=1700;$U234&lt;=1850);1;AND($U234&gt;=1650;$U234&lt;1700);0,7;AND($U234&gt;1850;$U234&lt;=1900);0,7;TRUE;0,2));IF(OR($B234="Ноги";$B234="Верх");IFS(AND($V234&gt;=125;$V234&lt;=135);1;AND($V234&gt;=115;$V234&lt;125);0,7;AND($V234&gt;135;$V234&lt;=145);0,7;AND($V234&gt;=105;$V234&lt;115);0,4;AND($V234&gt;145;$V234&lt;=155);0,4;TRUE;0,2);IFS(AND($V234&gt;=120;$V234&lt;=130);1;AND($V234&gt;=110;$V234&lt;120);0,7;AND($V234&gt;130;$V234&lt;=140);0,7;AND($V234&gt;=100;$V234&lt;110);0,4;AND($V234&gt;140;$V234&lt;=150);0,4;TRUE;0,2));IFS(AND($W234&gt;=55;$W234&lt;=65);1;AND($W234&gt;=50;$W234&lt;55);0,7;AND($W234&gt;65;$W234&lt;=70);0,7;AND($W234&gt;=45;$W234&lt;50);0,4;AND($W234&gt;70;$W234&lt;=75);0,4;TRUE;0,2);IF(OR($B234="Ноги";$B234="Верх");IFS(AND($X234&gt;=180;$X234&lt;=210);1;AND($X234&gt;=160;$X234&lt;180);0,7;AND($X234&gt;210;$X234&lt;=230);0,7;AND($X234&gt;=140;$X234&lt;160);0,4;AND($X234&gt;230;$X234&lt;=250);0,4;TRUE;0,2);IFS(AND($X234&gt;=140;$X234&lt;=170);1;AND($X234&gt;=120;$X234&lt;140);0,7;AND($X234&gt;170;$X234&lt;=190);0,7;AND($X234&gt;=100;$X234&lt;120);0,4;AND($X234&gt;190;$X234&lt;=210);0,4;TRUE;0,2)))));1);""))</f>
        <v/>
      </c>
      <c r="Z234">
        <f>IF($A234="";"";TEXTJOIN(", ";TRUE;IF($B234="";"Тренировка";"");IF($C234="";"Кардио";"");IF($D234="";"Шаги";"");IF($E234="";"Английский";"");IF($F234="";"Код-режим";"");IF($G234="";"Код-тема";"");IF($H234="";"Чтение";"");IF($L234="";"Сон";"");IF($M234="";"Режим";"");IF($N234="";"Продуктивность";"");IF($O234="";"Настроение";"");IF($P234="";"Энергия";"");IF($U234="";"Еда";"")))</f>
        <v/>
      </c>
    </row>
    <row r="235">
      <c r="B235" t="inlineStr"/>
      <c r="C235" t="inlineStr"/>
      <c r="D235" t="inlineStr"/>
      <c r="E235" t="inlineStr"/>
      <c r="F235" t="inlineStr"/>
      <c r="G235" t="inlineStr"/>
      <c r="H235" t="inlineStr"/>
      <c r="I235" t="inlineStr"/>
      <c r="J235" t="inlineStr"/>
      <c r="K235" t="inlineStr"/>
      <c r="L235" t="inlineStr"/>
      <c r="M235" t="inlineStr"/>
      <c r="N235" t="inlineStr"/>
      <c r="O235" t="inlineStr"/>
      <c r="P235" t="inlineStr"/>
      <c r="Q235" t="inlineStr"/>
      <c r="R235" t="inlineStr"/>
      <c r="S235" t="inlineStr"/>
      <c r="T235" t="inlineStr"/>
      <c r="U235">
        <f>IF($A235="";"";IF(SUMIF(FoodLog!$A:$A;$A235;FoodLog!$I:$I)=0;"";SUMIF(FoodLog!$A:$A;$A235;FoodLog!$I:$I)))</f>
        <v/>
      </c>
      <c r="V235">
        <f>IF($A235="";"";IF(SUMIF(FoodLog!$A:$A;$A235;FoodLog!$F:$F)=0;"";SUMIF(FoodLog!$A:$A;$A235;FoodLog!$F:$F)))</f>
        <v/>
      </c>
      <c r="W235">
        <f>IF($A235="";"";IF(SUMIF(FoodLog!$A:$A;$A235;FoodLog!$G:$G)=0;"";SUMIF(FoodLog!$A:$A;$A235;FoodLog!$G:$G)))</f>
        <v/>
      </c>
      <c r="X235">
        <f>IF($A235="";"";IF(SUMIF(FoodLog!$A:$A;$A235;FoodLog!$H:$H)=0;"";SUMIF(FoodLog!$A:$A;$A235;FoodLog!$H:$H)))</f>
        <v/>
      </c>
      <c r="Y235">
        <f>IF($A235="";"";IFERROR(ROUND(100*AVERAGE(IF($B235="";"";XLOOKUP($B235;FILTER(Dictionaries!$B:$B;Dictionaries!$A:$A="Тренировка");FILTER(Dictionaries!$C:$C;Dictionaries!$A:$A="Тренировка")));IF($C235="";"";MIN($C235/40;1));IF($D235="";"";XLOOKUP($D235;FILTER(Dictionaries!$B:$B;Dictionaries!$A:$A="Шаги");FILTER(Dictionaries!$C:$C;Dictionaries!$A:$A="Шаги")));IF($E235="";"";MIN($E235/120;1));IF(OR($F235&lt;&gt;"";$G235&lt;&gt;"");1;"");IF($H235="";"";MIN($H235/100;1));IF($L235="";"";XLOOKUP($L235;FILTER(Dictionaries!$B:$B;Dictionaries!$A:$A="Сон_часы");FILTER(Dictionaries!$C:$C;Dictionaries!$A:$A="Сон_часы")));IF($M235="";"";XLOOKUP($M235;FILTER(Dictionaries!$B:$B;Dictionaries!$A:$A="Режим");FILTER(Dictionaries!$C:$C;Dictionaries!$A:$A="Режим")));IF($N235="";"";MIN($N235/100;1));IF($O235="";"";XLOOKUP($O235;FILTER(Dictionaries!$B:$B;Dictionaries!$A:$A="Настроение");FILTER(Dictionaries!$C:$C;Dictionaries!$A:$A="Настроение")));IF($P235="";"";XLOOKUP($P235;FILTER(Dictionaries!$B:$B;Dictionaries!$A:$A="Энергия");FILTER(Dictionaries!$C:$C;Dictionaries!$A:$A="Энергия")));IF($U235="";"";AVERAGE(IF(OR($B235="Ноги";$B235="Верх");IFS(AND($U235&gt;=1900;$U235&lt;=2050);1;AND($U235&gt;=1850;$U235&lt;1900);0,7;AND($U235&gt;2050;$U235&lt;=2100);0,7;TRUE;0,2);IFS(AND($U235&gt;=1700;$U235&lt;=1850);1;AND($U235&gt;=1650;$U235&lt;1700);0,7;AND($U235&gt;1850;$U235&lt;=1900);0,7;TRUE;0,2));IF(OR($B235="Ноги";$B235="Верх");IFS(AND($V235&gt;=125;$V235&lt;=135);1;AND($V235&gt;=115;$V235&lt;125);0,7;AND($V235&gt;135;$V235&lt;=145);0,7;AND($V235&gt;=105;$V235&lt;115);0,4;AND($V235&gt;145;$V235&lt;=155);0,4;TRUE;0,2);IFS(AND($V235&gt;=120;$V235&lt;=130);1;AND($V235&gt;=110;$V235&lt;120);0,7;AND($V235&gt;130;$V235&lt;=140);0,7;AND($V235&gt;=100;$V235&lt;110);0,4;AND($V235&gt;140;$V235&lt;=150);0,4;TRUE;0,2));IFS(AND($W235&gt;=55;$W235&lt;=65);1;AND($W235&gt;=50;$W235&lt;55);0,7;AND($W235&gt;65;$W235&lt;=70);0,7;AND($W235&gt;=45;$W235&lt;50);0,4;AND($W235&gt;70;$W235&lt;=75);0,4;TRUE;0,2);IF(OR($B235="Ноги";$B235="Верх");IFS(AND($X235&gt;=180;$X235&lt;=210);1;AND($X235&gt;=160;$X235&lt;180);0,7;AND($X235&gt;210;$X235&lt;=230);0,7;AND($X235&gt;=140;$X235&lt;160);0,4;AND($X235&gt;230;$X235&lt;=250);0,4;TRUE;0,2);IFS(AND($X235&gt;=140;$X235&lt;=170);1;AND($X235&gt;=120;$X235&lt;140);0,7;AND($X235&gt;170;$X235&lt;=190);0,7;AND($X235&gt;=100;$X235&lt;120);0,4;AND($X235&gt;190;$X235&lt;=210);0,4;TRUE;0,2)))));1);""))</f>
        <v/>
      </c>
      <c r="Z235">
        <f>IF($A235="";"";TEXTJOIN(", ";TRUE;IF($B235="";"Тренировка";"");IF($C235="";"Кардио";"");IF($D235="";"Шаги";"");IF($E235="";"Английский";"");IF($F235="";"Код-режим";"");IF($G235="";"Код-тема";"");IF($H235="";"Чтение";"");IF($L235="";"Сон";"");IF($M235="";"Режим";"");IF($N235="";"Продуктивность";"");IF($O235="";"Настроение";"");IF($P235="";"Энергия";"");IF($U235="";"Еда";"")))</f>
        <v/>
      </c>
    </row>
    <row r="236">
      <c r="B236" t="inlineStr"/>
      <c r="C236" t="inlineStr"/>
      <c r="D236" t="inlineStr"/>
      <c r="E236" t="inlineStr"/>
      <c r="F236" t="inlineStr"/>
      <c r="G236" t="inlineStr"/>
      <c r="H236" t="inlineStr"/>
      <c r="I236" t="inlineStr"/>
      <c r="J236" t="inlineStr"/>
      <c r="K236" t="inlineStr"/>
      <c r="L236" t="inlineStr"/>
      <c r="M236" t="inlineStr"/>
      <c r="N236" t="inlineStr"/>
      <c r="O236" t="inlineStr"/>
      <c r="P236" t="inlineStr"/>
      <c r="Q236" t="inlineStr"/>
      <c r="R236" t="inlineStr"/>
      <c r="S236" t="inlineStr"/>
      <c r="T236" t="inlineStr"/>
      <c r="U236">
        <f>IF($A236="";"";IF(SUMIF(FoodLog!$A:$A;$A236;FoodLog!$I:$I)=0;"";SUMIF(FoodLog!$A:$A;$A236;FoodLog!$I:$I)))</f>
        <v/>
      </c>
      <c r="V236">
        <f>IF($A236="";"";IF(SUMIF(FoodLog!$A:$A;$A236;FoodLog!$F:$F)=0;"";SUMIF(FoodLog!$A:$A;$A236;FoodLog!$F:$F)))</f>
        <v/>
      </c>
      <c r="W236">
        <f>IF($A236="";"";IF(SUMIF(FoodLog!$A:$A;$A236;FoodLog!$G:$G)=0;"";SUMIF(FoodLog!$A:$A;$A236;FoodLog!$G:$G)))</f>
        <v/>
      </c>
      <c r="X236">
        <f>IF($A236="";"";IF(SUMIF(FoodLog!$A:$A;$A236;FoodLog!$H:$H)=0;"";SUMIF(FoodLog!$A:$A;$A236;FoodLog!$H:$H)))</f>
        <v/>
      </c>
      <c r="Y236">
        <f>IF($A236="";"";IFERROR(ROUND(100*AVERAGE(IF($B236="";"";XLOOKUP($B236;FILTER(Dictionaries!$B:$B;Dictionaries!$A:$A="Тренировка");FILTER(Dictionaries!$C:$C;Dictionaries!$A:$A="Тренировка")));IF($C236="";"";MIN($C236/40;1));IF($D236="";"";XLOOKUP($D236;FILTER(Dictionaries!$B:$B;Dictionaries!$A:$A="Шаги");FILTER(Dictionaries!$C:$C;Dictionaries!$A:$A="Шаги")));IF($E236="";"";MIN($E236/120;1));IF(OR($F236&lt;&gt;"";$G236&lt;&gt;"");1;"");IF($H236="";"";MIN($H236/100;1));IF($L236="";"";XLOOKUP($L236;FILTER(Dictionaries!$B:$B;Dictionaries!$A:$A="Сон_часы");FILTER(Dictionaries!$C:$C;Dictionaries!$A:$A="Сон_часы")));IF($M236="";"";XLOOKUP($M236;FILTER(Dictionaries!$B:$B;Dictionaries!$A:$A="Режим");FILTER(Dictionaries!$C:$C;Dictionaries!$A:$A="Режим")));IF($N236="";"";MIN($N236/100;1));IF($O236="";"";XLOOKUP($O236;FILTER(Dictionaries!$B:$B;Dictionaries!$A:$A="Настроение");FILTER(Dictionaries!$C:$C;Dictionaries!$A:$A="Настроение")));IF($P236="";"";XLOOKUP($P236;FILTER(Dictionaries!$B:$B;Dictionaries!$A:$A="Энергия");FILTER(Dictionaries!$C:$C;Dictionaries!$A:$A="Энергия")));IF($U236="";"";AVERAGE(IF(OR($B236="Ноги";$B236="Верх");IFS(AND($U236&gt;=1900;$U236&lt;=2050);1;AND($U236&gt;=1850;$U236&lt;1900);0,7;AND($U236&gt;2050;$U236&lt;=2100);0,7;TRUE;0,2);IFS(AND($U236&gt;=1700;$U236&lt;=1850);1;AND($U236&gt;=1650;$U236&lt;1700);0,7;AND($U236&gt;1850;$U236&lt;=1900);0,7;TRUE;0,2));IF(OR($B236="Ноги";$B236="Верх");IFS(AND($V236&gt;=125;$V236&lt;=135);1;AND($V236&gt;=115;$V236&lt;125);0,7;AND($V236&gt;135;$V236&lt;=145);0,7;AND($V236&gt;=105;$V236&lt;115);0,4;AND($V236&gt;145;$V236&lt;=155);0,4;TRUE;0,2);IFS(AND($V236&gt;=120;$V236&lt;=130);1;AND($V236&gt;=110;$V236&lt;120);0,7;AND($V236&gt;130;$V236&lt;=140);0,7;AND($V236&gt;=100;$V236&lt;110);0,4;AND($V236&gt;140;$V236&lt;=150);0,4;TRUE;0,2));IFS(AND($W236&gt;=55;$W236&lt;=65);1;AND($W236&gt;=50;$W236&lt;55);0,7;AND($W236&gt;65;$W236&lt;=70);0,7;AND($W236&gt;=45;$W236&lt;50);0,4;AND($W236&gt;70;$W236&lt;=75);0,4;TRUE;0,2);IF(OR($B236="Ноги";$B236="Верх");IFS(AND($X236&gt;=180;$X236&lt;=210);1;AND($X236&gt;=160;$X236&lt;180);0,7;AND($X236&gt;210;$X236&lt;=230);0,7;AND($X236&gt;=140;$X236&lt;160);0,4;AND($X236&gt;230;$X236&lt;=250);0,4;TRUE;0,2);IFS(AND($X236&gt;=140;$X236&lt;=170);1;AND($X236&gt;=120;$X236&lt;140);0,7;AND($X236&gt;170;$X236&lt;=190);0,7;AND($X236&gt;=100;$X236&lt;120);0,4;AND($X236&gt;190;$X236&lt;=210);0,4;TRUE;0,2)))));1);""))</f>
        <v/>
      </c>
      <c r="Z236">
        <f>IF($A236="";"";TEXTJOIN(", ";TRUE;IF($B236="";"Тренировка";"");IF($C236="";"Кардио";"");IF($D236="";"Шаги";"");IF($E236="";"Английский";"");IF($F236="";"Код-режим";"");IF($G236="";"Код-тема";"");IF($H236="";"Чтение";"");IF($L236="";"Сон";"");IF($M236="";"Режим";"");IF($N236="";"Продуктивность";"");IF($O236="";"Настроение";"");IF($P236="";"Энергия";"");IF($U236="";"Еда";"")))</f>
        <v/>
      </c>
    </row>
    <row r="237">
      <c r="B237" t="inlineStr"/>
      <c r="C237" t="inlineStr"/>
      <c r="D237" t="inlineStr"/>
      <c r="E237" t="inlineStr"/>
      <c r="F237" t="inlineStr"/>
      <c r="G237" t="inlineStr"/>
      <c r="H237" t="inlineStr"/>
      <c r="I237" t="inlineStr"/>
      <c r="J237" t="inlineStr"/>
      <c r="K237" t="inlineStr"/>
      <c r="L237" t="inlineStr"/>
      <c r="M237" t="inlineStr"/>
      <c r="N237" t="inlineStr"/>
      <c r="O237" t="inlineStr"/>
      <c r="P237" t="inlineStr"/>
      <c r="Q237" t="inlineStr"/>
      <c r="R237" t="inlineStr"/>
      <c r="S237" t="inlineStr"/>
      <c r="T237" t="inlineStr"/>
      <c r="U237">
        <f>IF($A237="";"";IF(SUMIF(FoodLog!$A:$A;$A237;FoodLog!$I:$I)=0;"";SUMIF(FoodLog!$A:$A;$A237;FoodLog!$I:$I)))</f>
        <v/>
      </c>
      <c r="V237">
        <f>IF($A237="";"";IF(SUMIF(FoodLog!$A:$A;$A237;FoodLog!$F:$F)=0;"";SUMIF(FoodLog!$A:$A;$A237;FoodLog!$F:$F)))</f>
        <v/>
      </c>
      <c r="W237">
        <f>IF($A237="";"";IF(SUMIF(FoodLog!$A:$A;$A237;FoodLog!$G:$G)=0;"";SUMIF(FoodLog!$A:$A;$A237;FoodLog!$G:$G)))</f>
        <v/>
      </c>
      <c r="X237">
        <f>IF($A237="";"";IF(SUMIF(FoodLog!$A:$A;$A237;FoodLog!$H:$H)=0;"";SUMIF(FoodLog!$A:$A;$A237;FoodLog!$H:$H)))</f>
        <v/>
      </c>
      <c r="Y237">
        <f>IF($A237="";"";IFERROR(ROUND(100*AVERAGE(IF($B237="";"";XLOOKUP($B237;FILTER(Dictionaries!$B:$B;Dictionaries!$A:$A="Тренировка");FILTER(Dictionaries!$C:$C;Dictionaries!$A:$A="Тренировка")));IF($C237="";"";MIN($C237/40;1));IF($D237="";"";XLOOKUP($D237;FILTER(Dictionaries!$B:$B;Dictionaries!$A:$A="Шаги");FILTER(Dictionaries!$C:$C;Dictionaries!$A:$A="Шаги")));IF($E237="";"";MIN($E237/120;1));IF(OR($F237&lt;&gt;"";$G237&lt;&gt;"");1;"");IF($H237="";"";MIN($H237/100;1));IF($L237="";"";XLOOKUP($L237;FILTER(Dictionaries!$B:$B;Dictionaries!$A:$A="Сон_часы");FILTER(Dictionaries!$C:$C;Dictionaries!$A:$A="Сон_часы")));IF($M237="";"";XLOOKUP($M237;FILTER(Dictionaries!$B:$B;Dictionaries!$A:$A="Режим");FILTER(Dictionaries!$C:$C;Dictionaries!$A:$A="Режим")));IF($N237="";"";MIN($N237/100;1));IF($O237="";"";XLOOKUP($O237;FILTER(Dictionaries!$B:$B;Dictionaries!$A:$A="Настроение");FILTER(Dictionaries!$C:$C;Dictionaries!$A:$A="Настроение")));IF($P237="";"";XLOOKUP($P237;FILTER(Dictionaries!$B:$B;Dictionaries!$A:$A="Энергия");FILTER(Dictionaries!$C:$C;Dictionaries!$A:$A="Энергия")));IF($U237="";"";AVERAGE(IF(OR($B237="Ноги";$B237="Верх");IFS(AND($U237&gt;=1900;$U237&lt;=2050);1;AND($U237&gt;=1850;$U237&lt;1900);0,7;AND($U237&gt;2050;$U237&lt;=2100);0,7;TRUE;0,2);IFS(AND($U237&gt;=1700;$U237&lt;=1850);1;AND($U237&gt;=1650;$U237&lt;1700);0,7;AND($U237&gt;1850;$U237&lt;=1900);0,7;TRUE;0,2));IF(OR($B237="Ноги";$B237="Верх");IFS(AND($V237&gt;=125;$V237&lt;=135);1;AND($V237&gt;=115;$V237&lt;125);0,7;AND($V237&gt;135;$V237&lt;=145);0,7;AND($V237&gt;=105;$V237&lt;115);0,4;AND($V237&gt;145;$V237&lt;=155);0,4;TRUE;0,2);IFS(AND($V237&gt;=120;$V237&lt;=130);1;AND($V237&gt;=110;$V237&lt;120);0,7;AND($V237&gt;130;$V237&lt;=140);0,7;AND($V237&gt;=100;$V237&lt;110);0,4;AND($V237&gt;140;$V237&lt;=150);0,4;TRUE;0,2));IFS(AND($W237&gt;=55;$W237&lt;=65);1;AND($W237&gt;=50;$W237&lt;55);0,7;AND($W237&gt;65;$W237&lt;=70);0,7;AND($W237&gt;=45;$W237&lt;50);0,4;AND($W237&gt;70;$W237&lt;=75);0,4;TRUE;0,2);IF(OR($B237="Ноги";$B237="Верх");IFS(AND($X237&gt;=180;$X237&lt;=210);1;AND($X237&gt;=160;$X237&lt;180);0,7;AND($X237&gt;210;$X237&lt;=230);0,7;AND($X237&gt;=140;$X237&lt;160);0,4;AND($X237&gt;230;$X237&lt;=250);0,4;TRUE;0,2);IFS(AND($X237&gt;=140;$X237&lt;=170);1;AND($X237&gt;=120;$X237&lt;140);0,7;AND($X237&gt;170;$X237&lt;=190);0,7;AND($X237&gt;=100;$X237&lt;120);0,4;AND($X237&gt;190;$X237&lt;=210);0,4;TRUE;0,2)))));1);""))</f>
        <v/>
      </c>
      <c r="Z237">
        <f>IF($A237="";"";TEXTJOIN(", ";TRUE;IF($B237="";"Тренировка";"");IF($C237="";"Кардио";"");IF($D237="";"Шаги";"");IF($E237="";"Английский";"");IF($F237="";"Код-режим";"");IF($G237="";"Код-тема";"");IF($H237="";"Чтение";"");IF($L237="";"Сон";"");IF($M237="";"Режим";"");IF($N237="";"Продуктивность";"");IF($O237="";"Настроение";"");IF($P237="";"Энергия";"");IF($U237="";"Еда";"")))</f>
        <v/>
      </c>
    </row>
    <row r="238">
      <c r="B238" t="inlineStr"/>
      <c r="C238" t="inlineStr"/>
      <c r="D238" t="inlineStr"/>
      <c r="E238" t="inlineStr"/>
      <c r="F238" t="inlineStr"/>
      <c r="G238" t="inlineStr"/>
      <c r="H238" t="inlineStr"/>
      <c r="I238" t="inlineStr"/>
      <c r="J238" t="inlineStr"/>
      <c r="K238" t="inlineStr"/>
      <c r="L238" t="inlineStr"/>
      <c r="M238" t="inlineStr"/>
      <c r="N238" t="inlineStr"/>
      <c r="O238" t="inlineStr"/>
      <c r="P238" t="inlineStr"/>
      <c r="Q238" t="inlineStr"/>
      <c r="R238" t="inlineStr"/>
      <c r="S238" t="inlineStr"/>
      <c r="T238" t="inlineStr"/>
      <c r="U238">
        <f>IF($A238="";"";IF(SUMIF(FoodLog!$A:$A;$A238;FoodLog!$I:$I)=0;"";SUMIF(FoodLog!$A:$A;$A238;FoodLog!$I:$I)))</f>
        <v/>
      </c>
      <c r="V238">
        <f>IF($A238="";"";IF(SUMIF(FoodLog!$A:$A;$A238;FoodLog!$F:$F)=0;"";SUMIF(FoodLog!$A:$A;$A238;FoodLog!$F:$F)))</f>
        <v/>
      </c>
      <c r="W238">
        <f>IF($A238="";"";IF(SUMIF(FoodLog!$A:$A;$A238;FoodLog!$G:$G)=0;"";SUMIF(FoodLog!$A:$A;$A238;FoodLog!$G:$G)))</f>
        <v/>
      </c>
      <c r="X238">
        <f>IF($A238="";"";IF(SUMIF(FoodLog!$A:$A;$A238;FoodLog!$H:$H)=0;"";SUMIF(FoodLog!$A:$A;$A238;FoodLog!$H:$H)))</f>
        <v/>
      </c>
      <c r="Y238">
        <f>IF($A238="";"";IFERROR(ROUND(100*AVERAGE(IF($B238="";"";XLOOKUP($B238;FILTER(Dictionaries!$B:$B;Dictionaries!$A:$A="Тренировка");FILTER(Dictionaries!$C:$C;Dictionaries!$A:$A="Тренировка")));IF($C238="";"";MIN($C238/40;1));IF($D238="";"";XLOOKUP($D238;FILTER(Dictionaries!$B:$B;Dictionaries!$A:$A="Шаги");FILTER(Dictionaries!$C:$C;Dictionaries!$A:$A="Шаги")));IF($E238="";"";MIN($E238/120;1));IF(OR($F238&lt;&gt;"";$G238&lt;&gt;"");1;"");IF($H238="";"";MIN($H238/100;1));IF($L238="";"";XLOOKUP($L238;FILTER(Dictionaries!$B:$B;Dictionaries!$A:$A="Сон_часы");FILTER(Dictionaries!$C:$C;Dictionaries!$A:$A="Сон_часы")));IF($M238="";"";XLOOKUP($M238;FILTER(Dictionaries!$B:$B;Dictionaries!$A:$A="Режим");FILTER(Dictionaries!$C:$C;Dictionaries!$A:$A="Режим")));IF($N238="";"";MIN($N238/100;1));IF($O238="";"";XLOOKUP($O238;FILTER(Dictionaries!$B:$B;Dictionaries!$A:$A="Настроение");FILTER(Dictionaries!$C:$C;Dictionaries!$A:$A="Настроение")));IF($P238="";"";XLOOKUP($P238;FILTER(Dictionaries!$B:$B;Dictionaries!$A:$A="Энергия");FILTER(Dictionaries!$C:$C;Dictionaries!$A:$A="Энергия")));IF($U238="";"";AVERAGE(IF(OR($B238="Ноги";$B238="Верх");IFS(AND($U238&gt;=1900;$U238&lt;=2050);1;AND($U238&gt;=1850;$U238&lt;1900);0,7;AND($U238&gt;2050;$U238&lt;=2100);0,7;TRUE;0,2);IFS(AND($U238&gt;=1700;$U238&lt;=1850);1;AND($U238&gt;=1650;$U238&lt;1700);0,7;AND($U238&gt;1850;$U238&lt;=1900);0,7;TRUE;0,2));IF(OR($B238="Ноги";$B238="Верх");IFS(AND($V238&gt;=125;$V238&lt;=135);1;AND($V238&gt;=115;$V238&lt;125);0,7;AND($V238&gt;135;$V238&lt;=145);0,7;AND($V238&gt;=105;$V238&lt;115);0,4;AND($V238&gt;145;$V238&lt;=155);0,4;TRUE;0,2);IFS(AND($V238&gt;=120;$V238&lt;=130);1;AND($V238&gt;=110;$V238&lt;120);0,7;AND($V238&gt;130;$V238&lt;=140);0,7;AND($V238&gt;=100;$V238&lt;110);0,4;AND($V238&gt;140;$V238&lt;=150);0,4;TRUE;0,2));IFS(AND($W238&gt;=55;$W238&lt;=65);1;AND($W238&gt;=50;$W238&lt;55);0,7;AND($W238&gt;65;$W238&lt;=70);0,7;AND($W238&gt;=45;$W238&lt;50);0,4;AND($W238&gt;70;$W238&lt;=75);0,4;TRUE;0,2);IF(OR($B238="Ноги";$B238="Верх");IFS(AND($X238&gt;=180;$X238&lt;=210);1;AND($X238&gt;=160;$X238&lt;180);0,7;AND($X238&gt;210;$X238&lt;=230);0,7;AND($X238&gt;=140;$X238&lt;160);0,4;AND($X238&gt;230;$X238&lt;=250);0,4;TRUE;0,2);IFS(AND($X238&gt;=140;$X238&lt;=170);1;AND($X238&gt;=120;$X238&lt;140);0,7;AND($X238&gt;170;$X238&lt;=190);0,7;AND($X238&gt;=100;$X238&lt;120);0,4;AND($X238&gt;190;$X238&lt;=210);0,4;TRUE;0,2)))));1);""))</f>
        <v/>
      </c>
      <c r="Z238">
        <f>IF($A238="";"";TEXTJOIN(", ";TRUE;IF($B238="";"Тренировка";"");IF($C238="";"Кардио";"");IF($D238="";"Шаги";"");IF($E238="";"Английский";"");IF($F238="";"Код-режим";"");IF($G238="";"Код-тема";"");IF($H238="";"Чтение";"");IF($L238="";"Сон";"");IF($M238="";"Режим";"");IF($N238="";"Продуктивность";"");IF($O238="";"Настроение";"");IF($P238="";"Энергия";"");IF($U238="";"Еда";"")))</f>
        <v/>
      </c>
    </row>
    <row r="239">
      <c r="B239" t="inlineStr"/>
      <c r="C239" t="inlineStr"/>
      <c r="D239" t="inlineStr"/>
      <c r="E239" t="inlineStr"/>
      <c r="F239" t="inlineStr"/>
      <c r="G239" t="inlineStr"/>
      <c r="H239" t="inlineStr"/>
      <c r="I239" t="inlineStr"/>
      <c r="J239" t="inlineStr"/>
      <c r="K239" t="inlineStr"/>
      <c r="L239" t="inlineStr"/>
      <c r="M239" t="inlineStr"/>
      <c r="N239" t="inlineStr"/>
      <c r="O239" t="inlineStr"/>
      <c r="P239" t="inlineStr"/>
      <c r="Q239" t="inlineStr"/>
      <c r="R239" t="inlineStr"/>
      <c r="S239" t="inlineStr"/>
      <c r="T239" t="inlineStr"/>
      <c r="U239">
        <f>IF($A239="";"";IF(SUMIF(FoodLog!$A:$A;$A239;FoodLog!$I:$I)=0;"";SUMIF(FoodLog!$A:$A;$A239;FoodLog!$I:$I)))</f>
        <v/>
      </c>
      <c r="V239">
        <f>IF($A239="";"";IF(SUMIF(FoodLog!$A:$A;$A239;FoodLog!$F:$F)=0;"";SUMIF(FoodLog!$A:$A;$A239;FoodLog!$F:$F)))</f>
        <v/>
      </c>
      <c r="W239">
        <f>IF($A239="";"";IF(SUMIF(FoodLog!$A:$A;$A239;FoodLog!$G:$G)=0;"";SUMIF(FoodLog!$A:$A;$A239;FoodLog!$G:$G)))</f>
        <v/>
      </c>
      <c r="X239">
        <f>IF($A239="";"";IF(SUMIF(FoodLog!$A:$A;$A239;FoodLog!$H:$H)=0;"";SUMIF(FoodLog!$A:$A;$A239;FoodLog!$H:$H)))</f>
        <v/>
      </c>
      <c r="Y239">
        <f>IF($A239="";"";IFERROR(ROUND(100*AVERAGE(IF($B239="";"";XLOOKUP($B239;FILTER(Dictionaries!$B:$B;Dictionaries!$A:$A="Тренировка");FILTER(Dictionaries!$C:$C;Dictionaries!$A:$A="Тренировка")));IF($C239="";"";MIN($C239/40;1));IF($D239="";"";XLOOKUP($D239;FILTER(Dictionaries!$B:$B;Dictionaries!$A:$A="Шаги");FILTER(Dictionaries!$C:$C;Dictionaries!$A:$A="Шаги")));IF($E239="";"";MIN($E239/120;1));IF(OR($F239&lt;&gt;"";$G239&lt;&gt;"");1;"");IF($H239="";"";MIN($H239/100;1));IF($L239="";"";XLOOKUP($L239;FILTER(Dictionaries!$B:$B;Dictionaries!$A:$A="Сон_часы");FILTER(Dictionaries!$C:$C;Dictionaries!$A:$A="Сон_часы")));IF($M239="";"";XLOOKUP($M239;FILTER(Dictionaries!$B:$B;Dictionaries!$A:$A="Режим");FILTER(Dictionaries!$C:$C;Dictionaries!$A:$A="Режим")));IF($N239="";"";MIN($N239/100;1));IF($O239="";"";XLOOKUP($O239;FILTER(Dictionaries!$B:$B;Dictionaries!$A:$A="Настроение");FILTER(Dictionaries!$C:$C;Dictionaries!$A:$A="Настроение")));IF($P239="";"";XLOOKUP($P239;FILTER(Dictionaries!$B:$B;Dictionaries!$A:$A="Энергия");FILTER(Dictionaries!$C:$C;Dictionaries!$A:$A="Энергия")));IF($U239="";"";AVERAGE(IF(OR($B239="Ноги";$B239="Верх");IFS(AND($U239&gt;=1900;$U239&lt;=2050);1;AND($U239&gt;=1850;$U239&lt;1900);0,7;AND($U239&gt;2050;$U239&lt;=2100);0,7;TRUE;0,2);IFS(AND($U239&gt;=1700;$U239&lt;=1850);1;AND($U239&gt;=1650;$U239&lt;1700);0,7;AND($U239&gt;1850;$U239&lt;=1900);0,7;TRUE;0,2));IF(OR($B239="Ноги";$B239="Верх");IFS(AND($V239&gt;=125;$V239&lt;=135);1;AND($V239&gt;=115;$V239&lt;125);0,7;AND($V239&gt;135;$V239&lt;=145);0,7;AND($V239&gt;=105;$V239&lt;115);0,4;AND($V239&gt;145;$V239&lt;=155);0,4;TRUE;0,2);IFS(AND($V239&gt;=120;$V239&lt;=130);1;AND($V239&gt;=110;$V239&lt;120);0,7;AND($V239&gt;130;$V239&lt;=140);0,7;AND($V239&gt;=100;$V239&lt;110);0,4;AND($V239&gt;140;$V239&lt;=150);0,4;TRUE;0,2));IFS(AND($W239&gt;=55;$W239&lt;=65);1;AND($W239&gt;=50;$W239&lt;55);0,7;AND($W239&gt;65;$W239&lt;=70);0,7;AND($W239&gt;=45;$W239&lt;50);0,4;AND($W239&gt;70;$W239&lt;=75);0,4;TRUE;0,2);IF(OR($B239="Ноги";$B239="Верх");IFS(AND($X239&gt;=180;$X239&lt;=210);1;AND($X239&gt;=160;$X239&lt;180);0,7;AND($X239&gt;210;$X239&lt;=230);0,7;AND($X239&gt;=140;$X239&lt;160);0,4;AND($X239&gt;230;$X239&lt;=250);0,4;TRUE;0,2);IFS(AND($X239&gt;=140;$X239&lt;=170);1;AND($X239&gt;=120;$X239&lt;140);0,7;AND($X239&gt;170;$X239&lt;=190);0,7;AND($X239&gt;=100;$X239&lt;120);0,4;AND($X239&gt;190;$X239&lt;=210);0,4;TRUE;0,2)))));1);""))</f>
        <v/>
      </c>
      <c r="Z239">
        <f>IF($A239="";"";TEXTJOIN(", ";TRUE;IF($B239="";"Тренировка";"");IF($C239="";"Кардио";"");IF($D239="";"Шаги";"");IF($E239="";"Английский";"");IF($F239="";"Код-режим";"");IF($G239="";"Код-тема";"");IF($H239="";"Чтение";"");IF($L239="";"Сон";"");IF($M239="";"Режим";"");IF($N239="";"Продуктивность";"");IF($O239="";"Настроение";"");IF($P239="";"Энергия";"");IF($U239="";"Еда";"")))</f>
        <v/>
      </c>
    </row>
    <row r="240">
      <c r="B240" t="inlineStr"/>
      <c r="C240" t="inlineStr"/>
      <c r="D240" t="inlineStr"/>
      <c r="E240" t="inlineStr"/>
      <c r="F240" t="inlineStr"/>
      <c r="G240" t="inlineStr"/>
      <c r="H240" t="inlineStr"/>
      <c r="I240" t="inlineStr"/>
      <c r="J240" t="inlineStr"/>
      <c r="K240" t="inlineStr"/>
      <c r="L240" t="inlineStr"/>
      <c r="M240" t="inlineStr"/>
      <c r="N240" t="inlineStr"/>
      <c r="O240" t="inlineStr"/>
      <c r="P240" t="inlineStr"/>
      <c r="Q240" t="inlineStr"/>
      <c r="R240" t="inlineStr"/>
      <c r="S240" t="inlineStr"/>
      <c r="T240" t="inlineStr"/>
      <c r="U240">
        <f>IF($A240="";"";IF(SUMIF(FoodLog!$A:$A;$A240;FoodLog!$I:$I)=0;"";SUMIF(FoodLog!$A:$A;$A240;FoodLog!$I:$I)))</f>
        <v/>
      </c>
      <c r="V240">
        <f>IF($A240="";"";IF(SUMIF(FoodLog!$A:$A;$A240;FoodLog!$F:$F)=0;"";SUMIF(FoodLog!$A:$A;$A240;FoodLog!$F:$F)))</f>
        <v/>
      </c>
      <c r="W240">
        <f>IF($A240="";"";IF(SUMIF(FoodLog!$A:$A;$A240;FoodLog!$G:$G)=0;"";SUMIF(FoodLog!$A:$A;$A240;FoodLog!$G:$G)))</f>
        <v/>
      </c>
      <c r="X240">
        <f>IF($A240="";"";IF(SUMIF(FoodLog!$A:$A;$A240;FoodLog!$H:$H)=0;"";SUMIF(FoodLog!$A:$A;$A240;FoodLog!$H:$H)))</f>
        <v/>
      </c>
      <c r="Y240">
        <f>IF($A240="";"";IFERROR(ROUND(100*AVERAGE(IF($B240="";"";XLOOKUP($B240;FILTER(Dictionaries!$B:$B;Dictionaries!$A:$A="Тренировка");FILTER(Dictionaries!$C:$C;Dictionaries!$A:$A="Тренировка")));IF($C240="";"";MIN($C240/40;1));IF($D240="";"";XLOOKUP($D240;FILTER(Dictionaries!$B:$B;Dictionaries!$A:$A="Шаги");FILTER(Dictionaries!$C:$C;Dictionaries!$A:$A="Шаги")));IF($E240="";"";MIN($E240/120;1));IF(OR($F240&lt;&gt;"";$G240&lt;&gt;"");1;"");IF($H240="";"";MIN($H240/100;1));IF($L240="";"";XLOOKUP($L240;FILTER(Dictionaries!$B:$B;Dictionaries!$A:$A="Сон_часы");FILTER(Dictionaries!$C:$C;Dictionaries!$A:$A="Сон_часы")));IF($M240="";"";XLOOKUP($M240;FILTER(Dictionaries!$B:$B;Dictionaries!$A:$A="Режим");FILTER(Dictionaries!$C:$C;Dictionaries!$A:$A="Режим")));IF($N240="";"";MIN($N240/100;1));IF($O240="";"";XLOOKUP($O240;FILTER(Dictionaries!$B:$B;Dictionaries!$A:$A="Настроение");FILTER(Dictionaries!$C:$C;Dictionaries!$A:$A="Настроение")));IF($P240="";"";XLOOKUP($P240;FILTER(Dictionaries!$B:$B;Dictionaries!$A:$A="Энергия");FILTER(Dictionaries!$C:$C;Dictionaries!$A:$A="Энергия")));IF($U240="";"";AVERAGE(IF(OR($B240="Ноги";$B240="Верх");IFS(AND($U240&gt;=1900;$U240&lt;=2050);1;AND($U240&gt;=1850;$U240&lt;1900);0,7;AND($U240&gt;2050;$U240&lt;=2100);0,7;TRUE;0,2);IFS(AND($U240&gt;=1700;$U240&lt;=1850);1;AND($U240&gt;=1650;$U240&lt;1700);0,7;AND($U240&gt;1850;$U240&lt;=1900);0,7;TRUE;0,2));IF(OR($B240="Ноги";$B240="Верх");IFS(AND($V240&gt;=125;$V240&lt;=135);1;AND($V240&gt;=115;$V240&lt;125);0,7;AND($V240&gt;135;$V240&lt;=145);0,7;AND($V240&gt;=105;$V240&lt;115);0,4;AND($V240&gt;145;$V240&lt;=155);0,4;TRUE;0,2);IFS(AND($V240&gt;=120;$V240&lt;=130);1;AND($V240&gt;=110;$V240&lt;120);0,7;AND($V240&gt;130;$V240&lt;=140);0,7;AND($V240&gt;=100;$V240&lt;110);0,4;AND($V240&gt;140;$V240&lt;=150);0,4;TRUE;0,2));IFS(AND($W240&gt;=55;$W240&lt;=65);1;AND($W240&gt;=50;$W240&lt;55);0,7;AND($W240&gt;65;$W240&lt;=70);0,7;AND($W240&gt;=45;$W240&lt;50);0,4;AND($W240&gt;70;$W240&lt;=75);0,4;TRUE;0,2);IF(OR($B240="Ноги";$B240="Верх");IFS(AND($X240&gt;=180;$X240&lt;=210);1;AND($X240&gt;=160;$X240&lt;180);0,7;AND($X240&gt;210;$X240&lt;=230);0,7;AND($X240&gt;=140;$X240&lt;160);0,4;AND($X240&gt;230;$X240&lt;=250);0,4;TRUE;0,2);IFS(AND($X240&gt;=140;$X240&lt;=170);1;AND($X240&gt;=120;$X240&lt;140);0,7;AND($X240&gt;170;$X240&lt;=190);0,7;AND($X240&gt;=100;$X240&lt;120);0,4;AND($X240&gt;190;$X240&lt;=210);0,4;TRUE;0,2)))));1);""))</f>
        <v/>
      </c>
      <c r="Z240">
        <f>IF($A240="";"";TEXTJOIN(", ";TRUE;IF($B240="";"Тренировка";"");IF($C240="";"Кардио";"");IF($D240="";"Шаги";"");IF($E240="";"Английский";"");IF($F240="";"Код-режим";"");IF($G240="";"Код-тема";"");IF($H240="";"Чтение";"");IF($L240="";"Сон";"");IF($M240="";"Режим";"");IF($N240="";"Продуктивность";"");IF($O240="";"Настроение";"");IF($P240="";"Энергия";"");IF($U240="";"Еда";"")))</f>
        <v/>
      </c>
    </row>
    <row r="241">
      <c r="B241" t="inlineStr"/>
      <c r="C241" t="inlineStr"/>
      <c r="D241" t="inlineStr"/>
      <c r="E241" t="inlineStr"/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/>
      <c r="P241" t="inlineStr"/>
      <c r="Q241" t="inlineStr"/>
      <c r="R241" t="inlineStr"/>
      <c r="S241" t="inlineStr"/>
      <c r="T241" t="inlineStr"/>
      <c r="U241">
        <f>IF($A241="";"";IF(SUMIF(FoodLog!$A:$A;$A241;FoodLog!$I:$I)=0;"";SUMIF(FoodLog!$A:$A;$A241;FoodLog!$I:$I)))</f>
        <v/>
      </c>
      <c r="V241">
        <f>IF($A241="";"";IF(SUMIF(FoodLog!$A:$A;$A241;FoodLog!$F:$F)=0;"";SUMIF(FoodLog!$A:$A;$A241;FoodLog!$F:$F)))</f>
        <v/>
      </c>
      <c r="W241">
        <f>IF($A241="";"";IF(SUMIF(FoodLog!$A:$A;$A241;FoodLog!$G:$G)=0;"";SUMIF(FoodLog!$A:$A;$A241;FoodLog!$G:$G)))</f>
        <v/>
      </c>
      <c r="X241">
        <f>IF($A241="";"";IF(SUMIF(FoodLog!$A:$A;$A241;FoodLog!$H:$H)=0;"";SUMIF(FoodLog!$A:$A;$A241;FoodLog!$H:$H)))</f>
        <v/>
      </c>
      <c r="Y241">
        <f>IF($A241="";"";IFERROR(ROUND(100*AVERAGE(IF($B241="";"";XLOOKUP($B241;FILTER(Dictionaries!$B:$B;Dictionaries!$A:$A="Тренировка");FILTER(Dictionaries!$C:$C;Dictionaries!$A:$A="Тренировка")));IF($C241="";"";MIN($C241/40;1));IF($D241="";"";XLOOKUP($D241;FILTER(Dictionaries!$B:$B;Dictionaries!$A:$A="Шаги");FILTER(Dictionaries!$C:$C;Dictionaries!$A:$A="Шаги")));IF($E241="";"";MIN($E241/120;1));IF(OR($F241&lt;&gt;"";$G241&lt;&gt;"");1;"");IF($H241="";"";MIN($H241/100;1));IF($L241="";"";XLOOKUP($L241;FILTER(Dictionaries!$B:$B;Dictionaries!$A:$A="Сон_часы");FILTER(Dictionaries!$C:$C;Dictionaries!$A:$A="Сон_часы")));IF($M241="";"";XLOOKUP($M241;FILTER(Dictionaries!$B:$B;Dictionaries!$A:$A="Режим");FILTER(Dictionaries!$C:$C;Dictionaries!$A:$A="Режим")));IF($N241="";"";MIN($N241/100;1));IF($O241="";"";XLOOKUP($O241;FILTER(Dictionaries!$B:$B;Dictionaries!$A:$A="Настроение");FILTER(Dictionaries!$C:$C;Dictionaries!$A:$A="Настроение")));IF($P241="";"";XLOOKUP($P241;FILTER(Dictionaries!$B:$B;Dictionaries!$A:$A="Энергия");FILTER(Dictionaries!$C:$C;Dictionaries!$A:$A="Энергия")));IF($U241="";"";AVERAGE(IF(OR($B241="Ноги";$B241="Верх");IFS(AND($U241&gt;=1900;$U241&lt;=2050);1;AND($U241&gt;=1850;$U241&lt;1900);0,7;AND($U241&gt;2050;$U241&lt;=2100);0,7;TRUE;0,2);IFS(AND($U241&gt;=1700;$U241&lt;=1850);1;AND($U241&gt;=1650;$U241&lt;1700);0,7;AND($U241&gt;1850;$U241&lt;=1900);0,7;TRUE;0,2));IF(OR($B241="Ноги";$B241="Верх");IFS(AND($V241&gt;=125;$V241&lt;=135);1;AND($V241&gt;=115;$V241&lt;125);0,7;AND($V241&gt;135;$V241&lt;=145);0,7;AND($V241&gt;=105;$V241&lt;115);0,4;AND($V241&gt;145;$V241&lt;=155);0,4;TRUE;0,2);IFS(AND($V241&gt;=120;$V241&lt;=130);1;AND($V241&gt;=110;$V241&lt;120);0,7;AND($V241&gt;130;$V241&lt;=140);0,7;AND($V241&gt;=100;$V241&lt;110);0,4;AND($V241&gt;140;$V241&lt;=150);0,4;TRUE;0,2));IFS(AND($W241&gt;=55;$W241&lt;=65);1;AND($W241&gt;=50;$W241&lt;55);0,7;AND($W241&gt;65;$W241&lt;=70);0,7;AND($W241&gt;=45;$W241&lt;50);0,4;AND($W241&gt;70;$W241&lt;=75);0,4;TRUE;0,2);IF(OR($B241="Ноги";$B241="Верх");IFS(AND($X241&gt;=180;$X241&lt;=210);1;AND($X241&gt;=160;$X241&lt;180);0,7;AND($X241&gt;210;$X241&lt;=230);0,7;AND($X241&gt;=140;$X241&lt;160);0,4;AND($X241&gt;230;$X241&lt;=250);0,4;TRUE;0,2);IFS(AND($X241&gt;=140;$X241&lt;=170);1;AND($X241&gt;=120;$X241&lt;140);0,7;AND($X241&gt;170;$X241&lt;=190);0,7;AND($X241&gt;=100;$X241&lt;120);0,4;AND($X241&gt;190;$X241&lt;=210);0,4;TRUE;0,2)))));1);""))</f>
        <v/>
      </c>
      <c r="Z241">
        <f>IF($A241="";"";TEXTJOIN(", ";TRUE;IF($B241="";"Тренировка";"");IF($C241="";"Кардио";"");IF($D241="";"Шаги";"");IF($E241="";"Английский";"");IF($F241="";"Код-режим";"");IF($G241="";"Код-тема";"");IF($H241="";"Чтение";"");IF($L241="";"Сон";"");IF($M241="";"Режим";"");IF($N241="";"Продуктивность";"");IF($O241="";"Настроение";"");IF($P241="";"Энергия";"");IF($U241="";"Еда";"")))</f>
        <v/>
      </c>
    </row>
    <row r="242">
      <c r="B242" t="inlineStr"/>
      <c r="C242" t="inlineStr"/>
      <c r="D242" t="inlineStr"/>
      <c r="E242" t="inlineStr"/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/>
      <c r="P242" t="inlineStr"/>
      <c r="Q242" t="inlineStr"/>
      <c r="R242" t="inlineStr"/>
      <c r="S242" t="inlineStr"/>
      <c r="T242" t="inlineStr"/>
      <c r="U242">
        <f>IF($A242="";"";IF(SUMIF(FoodLog!$A:$A;$A242;FoodLog!$I:$I)=0;"";SUMIF(FoodLog!$A:$A;$A242;FoodLog!$I:$I)))</f>
        <v/>
      </c>
      <c r="V242">
        <f>IF($A242="";"";IF(SUMIF(FoodLog!$A:$A;$A242;FoodLog!$F:$F)=0;"";SUMIF(FoodLog!$A:$A;$A242;FoodLog!$F:$F)))</f>
        <v/>
      </c>
      <c r="W242">
        <f>IF($A242="";"";IF(SUMIF(FoodLog!$A:$A;$A242;FoodLog!$G:$G)=0;"";SUMIF(FoodLog!$A:$A;$A242;FoodLog!$G:$G)))</f>
        <v/>
      </c>
      <c r="X242">
        <f>IF($A242="";"";IF(SUMIF(FoodLog!$A:$A;$A242;FoodLog!$H:$H)=0;"";SUMIF(FoodLog!$A:$A;$A242;FoodLog!$H:$H)))</f>
        <v/>
      </c>
      <c r="Y242">
        <f>IF($A242="";"";IFERROR(ROUND(100*AVERAGE(IF($B242="";"";XLOOKUP($B242;FILTER(Dictionaries!$B:$B;Dictionaries!$A:$A="Тренировка");FILTER(Dictionaries!$C:$C;Dictionaries!$A:$A="Тренировка")));IF($C242="";"";MIN($C242/40;1));IF($D242="";"";XLOOKUP($D242;FILTER(Dictionaries!$B:$B;Dictionaries!$A:$A="Шаги");FILTER(Dictionaries!$C:$C;Dictionaries!$A:$A="Шаги")));IF($E242="";"";MIN($E242/120;1));IF(OR($F242&lt;&gt;"";$G242&lt;&gt;"");1;"");IF($H242="";"";MIN($H242/100;1));IF($L242="";"";XLOOKUP($L242;FILTER(Dictionaries!$B:$B;Dictionaries!$A:$A="Сон_часы");FILTER(Dictionaries!$C:$C;Dictionaries!$A:$A="Сон_часы")));IF($M242="";"";XLOOKUP($M242;FILTER(Dictionaries!$B:$B;Dictionaries!$A:$A="Режим");FILTER(Dictionaries!$C:$C;Dictionaries!$A:$A="Режим")));IF($N242="";"";MIN($N242/100;1));IF($O242="";"";XLOOKUP($O242;FILTER(Dictionaries!$B:$B;Dictionaries!$A:$A="Настроение");FILTER(Dictionaries!$C:$C;Dictionaries!$A:$A="Настроение")));IF($P242="";"";XLOOKUP($P242;FILTER(Dictionaries!$B:$B;Dictionaries!$A:$A="Энергия");FILTER(Dictionaries!$C:$C;Dictionaries!$A:$A="Энергия")));IF($U242="";"";AVERAGE(IF(OR($B242="Ноги";$B242="Верх");IFS(AND($U242&gt;=1900;$U242&lt;=2050);1;AND($U242&gt;=1850;$U242&lt;1900);0,7;AND($U242&gt;2050;$U242&lt;=2100);0,7;TRUE;0,2);IFS(AND($U242&gt;=1700;$U242&lt;=1850);1;AND($U242&gt;=1650;$U242&lt;1700);0,7;AND($U242&gt;1850;$U242&lt;=1900);0,7;TRUE;0,2));IF(OR($B242="Ноги";$B242="Верх");IFS(AND($V242&gt;=125;$V242&lt;=135);1;AND($V242&gt;=115;$V242&lt;125);0,7;AND($V242&gt;135;$V242&lt;=145);0,7;AND($V242&gt;=105;$V242&lt;115);0,4;AND($V242&gt;145;$V242&lt;=155);0,4;TRUE;0,2);IFS(AND($V242&gt;=120;$V242&lt;=130);1;AND($V242&gt;=110;$V242&lt;120);0,7;AND($V242&gt;130;$V242&lt;=140);0,7;AND($V242&gt;=100;$V242&lt;110);0,4;AND($V242&gt;140;$V242&lt;=150);0,4;TRUE;0,2));IFS(AND($W242&gt;=55;$W242&lt;=65);1;AND($W242&gt;=50;$W242&lt;55);0,7;AND($W242&gt;65;$W242&lt;=70);0,7;AND($W242&gt;=45;$W242&lt;50);0,4;AND($W242&gt;70;$W242&lt;=75);0,4;TRUE;0,2);IF(OR($B242="Ноги";$B242="Верх");IFS(AND($X242&gt;=180;$X242&lt;=210);1;AND($X242&gt;=160;$X242&lt;180);0,7;AND($X242&gt;210;$X242&lt;=230);0,7;AND($X242&gt;=140;$X242&lt;160);0,4;AND($X242&gt;230;$X242&lt;=250);0,4;TRUE;0,2);IFS(AND($X242&gt;=140;$X242&lt;=170);1;AND($X242&gt;=120;$X242&lt;140);0,7;AND($X242&gt;170;$X242&lt;=190);0,7;AND($X242&gt;=100;$X242&lt;120);0,4;AND($X242&gt;190;$X242&lt;=210);0,4;TRUE;0,2)))));1);""))</f>
        <v/>
      </c>
      <c r="Z242">
        <f>IF($A242="";"";TEXTJOIN(", ";TRUE;IF($B242="";"Тренировка";"");IF($C242="";"Кардио";"");IF($D242="";"Шаги";"");IF($E242="";"Английский";"");IF($F242="";"Код-режим";"");IF($G242="";"Код-тема";"");IF($H242="";"Чтение";"");IF($L242="";"Сон";"");IF($M242="";"Режим";"");IF($N242="";"Продуктивность";"");IF($O242="";"Настроение";"");IF($P242="";"Энергия";"");IF($U242="";"Еда";"")))</f>
        <v/>
      </c>
    </row>
    <row r="243">
      <c r="B243" t="inlineStr"/>
      <c r="C243" t="inlineStr"/>
      <c r="D243" t="inlineStr"/>
      <c r="E243" t="inlineStr"/>
      <c r="F243" t="inlineStr"/>
      <c r="G243" t="inlineStr"/>
      <c r="H243" t="inlineStr"/>
      <c r="I243" t="inlineStr"/>
      <c r="J243" t="inlineStr"/>
      <c r="K243" t="inlineStr"/>
      <c r="L243" t="inlineStr"/>
      <c r="M243" t="inlineStr"/>
      <c r="N243" t="inlineStr"/>
      <c r="O243" t="inlineStr"/>
      <c r="P243" t="inlineStr"/>
      <c r="Q243" t="inlineStr"/>
      <c r="R243" t="inlineStr"/>
      <c r="S243" t="inlineStr"/>
      <c r="T243" t="inlineStr"/>
      <c r="U243">
        <f>IF($A243="";"";IF(SUMIF(FoodLog!$A:$A;$A243;FoodLog!$I:$I)=0;"";SUMIF(FoodLog!$A:$A;$A243;FoodLog!$I:$I)))</f>
        <v/>
      </c>
      <c r="V243">
        <f>IF($A243="";"";IF(SUMIF(FoodLog!$A:$A;$A243;FoodLog!$F:$F)=0;"";SUMIF(FoodLog!$A:$A;$A243;FoodLog!$F:$F)))</f>
        <v/>
      </c>
      <c r="W243">
        <f>IF($A243="";"";IF(SUMIF(FoodLog!$A:$A;$A243;FoodLog!$G:$G)=0;"";SUMIF(FoodLog!$A:$A;$A243;FoodLog!$G:$G)))</f>
        <v/>
      </c>
      <c r="X243">
        <f>IF($A243="";"";IF(SUMIF(FoodLog!$A:$A;$A243;FoodLog!$H:$H)=0;"";SUMIF(FoodLog!$A:$A;$A243;FoodLog!$H:$H)))</f>
        <v/>
      </c>
      <c r="Y243">
        <f>IF($A243="";"";IFERROR(ROUND(100*AVERAGE(IF($B243="";"";XLOOKUP($B243;FILTER(Dictionaries!$B:$B;Dictionaries!$A:$A="Тренировка");FILTER(Dictionaries!$C:$C;Dictionaries!$A:$A="Тренировка")));IF($C243="";"";MIN($C243/40;1));IF($D243="";"";XLOOKUP($D243;FILTER(Dictionaries!$B:$B;Dictionaries!$A:$A="Шаги");FILTER(Dictionaries!$C:$C;Dictionaries!$A:$A="Шаги")));IF($E243="";"";MIN($E243/120;1));IF(OR($F243&lt;&gt;"";$G243&lt;&gt;"");1;"");IF($H243="";"";MIN($H243/100;1));IF($L243="";"";XLOOKUP($L243;FILTER(Dictionaries!$B:$B;Dictionaries!$A:$A="Сон_часы");FILTER(Dictionaries!$C:$C;Dictionaries!$A:$A="Сон_часы")));IF($M243="";"";XLOOKUP($M243;FILTER(Dictionaries!$B:$B;Dictionaries!$A:$A="Режим");FILTER(Dictionaries!$C:$C;Dictionaries!$A:$A="Режим")));IF($N243="";"";MIN($N243/100;1));IF($O243="";"";XLOOKUP($O243;FILTER(Dictionaries!$B:$B;Dictionaries!$A:$A="Настроение");FILTER(Dictionaries!$C:$C;Dictionaries!$A:$A="Настроение")));IF($P243="";"";XLOOKUP($P243;FILTER(Dictionaries!$B:$B;Dictionaries!$A:$A="Энергия");FILTER(Dictionaries!$C:$C;Dictionaries!$A:$A="Энергия")));IF($U243="";"";AVERAGE(IF(OR($B243="Ноги";$B243="Верх");IFS(AND($U243&gt;=1900;$U243&lt;=2050);1;AND($U243&gt;=1850;$U243&lt;1900);0,7;AND($U243&gt;2050;$U243&lt;=2100);0,7;TRUE;0,2);IFS(AND($U243&gt;=1700;$U243&lt;=1850);1;AND($U243&gt;=1650;$U243&lt;1700);0,7;AND($U243&gt;1850;$U243&lt;=1900);0,7;TRUE;0,2));IF(OR($B243="Ноги";$B243="Верх");IFS(AND($V243&gt;=125;$V243&lt;=135);1;AND($V243&gt;=115;$V243&lt;125);0,7;AND($V243&gt;135;$V243&lt;=145);0,7;AND($V243&gt;=105;$V243&lt;115);0,4;AND($V243&gt;145;$V243&lt;=155);0,4;TRUE;0,2);IFS(AND($V243&gt;=120;$V243&lt;=130);1;AND($V243&gt;=110;$V243&lt;120);0,7;AND($V243&gt;130;$V243&lt;=140);0,7;AND($V243&gt;=100;$V243&lt;110);0,4;AND($V243&gt;140;$V243&lt;=150);0,4;TRUE;0,2));IFS(AND($W243&gt;=55;$W243&lt;=65);1;AND($W243&gt;=50;$W243&lt;55);0,7;AND($W243&gt;65;$W243&lt;=70);0,7;AND($W243&gt;=45;$W243&lt;50);0,4;AND($W243&gt;70;$W243&lt;=75);0,4;TRUE;0,2);IF(OR($B243="Ноги";$B243="Верх");IFS(AND($X243&gt;=180;$X243&lt;=210);1;AND($X243&gt;=160;$X243&lt;180);0,7;AND($X243&gt;210;$X243&lt;=230);0,7;AND($X243&gt;=140;$X243&lt;160);0,4;AND($X243&gt;230;$X243&lt;=250);0,4;TRUE;0,2);IFS(AND($X243&gt;=140;$X243&lt;=170);1;AND($X243&gt;=120;$X243&lt;140);0,7;AND($X243&gt;170;$X243&lt;=190);0,7;AND($X243&gt;=100;$X243&lt;120);0,4;AND($X243&gt;190;$X243&lt;=210);0,4;TRUE;0,2)))));1);""))</f>
        <v/>
      </c>
      <c r="Z243">
        <f>IF($A243="";"";TEXTJOIN(", ";TRUE;IF($B243="";"Тренировка";"");IF($C243="";"Кардио";"");IF($D243="";"Шаги";"");IF($E243="";"Английский";"");IF($F243="";"Код-режим";"");IF($G243="";"Код-тема";"");IF($H243="";"Чтение";"");IF($L243="";"Сон";"");IF($M243="";"Режим";"");IF($N243="";"Продуктивность";"");IF($O243="";"Настроение";"");IF($P243="";"Энергия";"");IF($U243="";"Еда";"")))</f>
        <v/>
      </c>
    </row>
    <row r="244">
      <c r="B244" t="inlineStr"/>
      <c r="C244" t="inlineStr"/>
      <c r="D244" t="inlineStr"/>
      <c r="E244" t="inlineStr"/>
      <c r="F244" t="inlineStr"/>
      <c r="G244" t="inlineStr"/>
      <c r="H244" t="inlineStr"/>
      <c r="I244" t="inlineStr"/>
      <c r="J244" t="inlineStr"/>
      <c r="K244" t="inlineStr"/>
      <c r="L244" t="inlineStr"/>
      <c r="M244" t="inlineStr"/>
      <c r="N244" t="inlineStr"/>
      <c r="O244" t="inlineStr"/>
      <c r="P244" t="inlineStr"/>
      <c r="Q244" t="inlineStr"/>
      <c r="R244" t="inlineStr"/>
      <c r="S244" t="inlineStr"/>
      <c r="T244" t="inlineStr"/>
      <c r="U244">
        <f>IF($A244="";"";IF(SUMIF(FoodLog!$A:$A;$A244;FoodLog!$I:$I)=0;"";SUMIF(FoodLog!$A:$A;$A244;FoodLog!$I:$I)))</f>
        <v/>
      </c>
      <c r="V244">
        <f>IF($A244="";"";IF(SUMIF(FoodLog!$A:$A;$A244;FoodLog!$F:$F)=0;"";SUMIF(FoodLog!$A:$A;$A244;FoodLog!$F:$F)))</f>
        <v/>
      </c>
      <c r="W244">
        <f>IF($A244="";"";IF(SUMIF(FoodLog!$A:$A;$A244;FoodLog!$G:$G)=0;"";SUMIF(FoodLog!$A:$A;$A244;FoodLog!$G:$G)))</f>
        <v/>
      </c>
      <c r="X244">
        <f>IF($A244="";"";IF(SUMIF(FoodLog!$A:$A;$A244;FoodLog!$H:$H)=0;"";SUMIF(FoodLog!$A:$A;$A244;FoodLog!$H:$H)))</f>
        <v/>
      </c>
      <c r="Y244">
        <f>IF($A244="";"";IFERROR(ROUND(100*AVERAGE(IF($B244="";"";XLOOKUP($B244;FILTER(Dictionaries!$B:$B;Dictionaries!$A:$A="Тренировка");FILTER(Dictionaries!$C:$C;Dictionaries!$A:$A="Тренировка")));IF($C244="";"";MIN($C244/40;1));IF($D244="";"";XLOOKUP($D244;FILTER(Dictionaries!$B:$B;Dictionaries!$A:$A="Шаги");FILTER(Dictionaries!$C:$C;Dictionaries!$A:$A="Шаги")));IF($E244="";"";MIN($E244/120;1));IF(OR($F244&lt;&gt;"";$G244&lt;&gt;"");1;"");IF($H244="";"";MIN($H244/100;1));IF($L244="";"";XLOOKUP($L244;FILTER(Dictionaries!$B:$B;Dictionaries!$A:$A="Сон_часы");FILTER(Dictionaries!$C:$C;Dictionaries!$A:$A="Сон_часы")));IF($M244="";"";XLOOKUP($M244;FILTER(Dictionaries!$B:$B;Dictionaries!$A:$A="Режим");FILTER(Dictionaries!$C:$C;Dictionaries!$A:$A="Режим")));IF($N244="";"";MIN($N244/100;1));IF($O244="";"";XLOOKUP($O244;FILTER(Dictionaries!$B:$B;Dictionaries!$A:$A="Настроение");FILTER(Dictionaries!$C:$C;Dictionaries!$A:$A="Настроение")));IF($P244="";"";XLOOKUP($P244;FILTER(Dictionaries!$B:$B;Dictionaries!$A:$A="Энергия");FILTER(Dictionaries!$C:$C;Dictionaries!$A:$A="Энергия")));IF($U244="";"";AVERAGE(IF(OR($B244="Ноги";$B244="Верх");IFS(AND($U244&gt;=1900;$U244&lt;=2050);1;AND($U244&gt;=1850;$U244&lt;1900);0,7;AND($U244&gt;2050;$U244&lt;=2100);0,7;TRUE;0,2);IFS(AND($U244&gt;=1700;$U244&lt;=1850);1;AND($U244&gt;=1650;$U244&lt;1700);0,7;AND($U244&gt;1850;$U244&lt;=1900);0,7;TRUE;0,2));IF(OR($B244="Ноги";$B244="Верх");IFS(AND($V244&gt;=125;$V244&lt;=135);1;AND($V244&gt;=115;$V244&lt;125);0,7;AND($V244&gt;135;$V244&lt;=145);0,7;AND($V244&gt;=105;$V244&lt;115);0,4;AND($V244&gt;145;$V244&lt;=155);0,4;TRUE;0,2);IFS(AND($V244&gt;=120;$V244&lt;=130);1;AND($V244&gt;=110;$V244&lt;120);0,7;AND($V244&gt;130;$V244&lt;=140);0,7;AND($V244&gt;=100;$V244&lt;110);0,4;AND($V244&gt;140;$V244&lt;=150);0,4;TRUE;0,2));IFS(AND($W244&gt;=55;$W244&lt;=65);1;AND($W244&gt;=50;$W244&lt;55);0,7;AND($W244&gt;65;$W244&lt;=70);0,7;AND($W244&gt;=45;$W244&lt;50);0,4;AND($W244&gt;70;$W244&lt;=75);0,4;TRUE;0,2);IF(OR($B244="Ноги";$B244="Верх");IFS(AND($X244&gt;=180;$X244&lt;=210);1;AND($X244&gt;=160;$X244&lt;180);0,7;AND($X244&gt;210;$X244&lt;=230);0,7;AND($X244&gt;=140;$X244&lt;160);0,4;AND($X244&gt;230;$X244&lt;=250);0,4;TRUE;0,2);IFS(AND($X244&gt;=140;$X244&lt;=170);1;AND($X244&gt;=120;$X244&lt;140);0,7;AND($X244&gt;170;$X244&lt;=190);0,7;AND($X244&gt;=100;$X244&lt;120);0,4;AND($X244&gt;190;$X244&lt;=210);0,4;TRUE;0,2)))));1);""))</f>
        <v/>
      </c>
      <c r="Z244">
        <f>IF($A244="";"";TEXTJOIN(", ";TRUE;IF($B244="";"Тренировка";"");IF($C244="";"Кардио";"");IF($D244="";"Шаги";"");IF($E244="";"Английский";"");IF($F244="";"Код-режим";"");IF($G244="";"Код-тема";"");IF($H244="";"Чтение";"");IF($L244="";"Сон";"");IF($M244="";"Режим";"");IF($N244="";"Продуктивность";"");IF($O244="";"Настроение";"");IF($P244="";"Энергия";"");IF($U244="";"Еда";"")))</f>
        <v/>
      </c>
    </row>
    <row r="245">
      <c r="B245" t="inlineStr"/>
      <c r="C245" t="inlineStr"/>
      <c r="D245" t="inlineStr"/>
      <c r="E245" t="inlineStr"/>
      <c r="F245" t="inlineStr"/>
      <c r="G245" t="inlineStr"/>
      <c r="H245" t="inlineStr"/>
      <c r="I245" t="inlineStr"/>
      <c r="J245" t="inlineStr"/>
      <c r="K245" t="inlineStr"/>
      <c r="L245" t="inlineStr"/>
      <c r="M245" t="inlineStr"/>
      <c r="N245" t="inlineStr"/>
      <c r="O245" t="inlineStr"/>
      <c r="P245" t="inlineStr"/>
      <c r="Q245" t="inlineStr"/>
      <c r="R245" t="inlineStr"/>
      <c r="S245" t="inlineStr"/>
      <c r="T245" t="inlineStr"/>
      <c r="U245">
        <f>IF($A245="";"";IF(SUMIF(FoodLog!$A:$A;$A245;FoodLog!$I:$I)=0;"";SUMIF(FoodLog!$A:$A;$A245;FoodLog!$I:$I)))</f>
        <v/>
      </c>
      <c r="V245">
        <f>IF($A245="";"";IF(SUMIF(FoodLog!$A:$A;$A245;FoodLog!$F:$F)=0;"";SUMIF(FoodLog!$A:$A;$A245;FoodLog!$F:$F)))</f>
        <v/>
      </c>
      <c r="W245">
        <f>IF($A245="";"";IF(SUMIF(FoodLog!$A:$A;$A245;FoodLog!$G:$G)=0;"";SUMIF(FoodLog!$A:$A;$A245;FoodLog!$G:$G)))</f>
        <v/>
      </c>
      <c r="X245">
        <f>IF($A245="";"";IF(SUMIF(FoodLog!$A:$A;$A245;FoodLog!$H:$H)=0;"";SUMIF(FoodLog!$A:$A;$A245;FoodLog!$H:$H)))</f>
        <v/>
      </c>
      <c r="Y245">
        <f>IF($A245="";"";IFERROR(ROUND(100*AVERAGE(IF($B245="";"";XLOOKUP($B245;FILTER(Dictionaries!$B:$B;Dictionaries!$A:$A="Тренировка");FILTER(Dictionaries!$C:$C;Dictionaries!$A:$A="Тренировка")));IF($C245="";"";MIN($C245/40;1));IF($D245="";"";XLOOKUP($D245;FILTER(Dictionaries!$B:$B;Dictionaries!$A:$A="Шаги");FILTER(Dictionaries!$C:$C;Dictionaries!$A:$A="Шаги")));IF($E245="";"";MIN($E245/120;1));IF(OR($F245&lt;&gt;"";$G245&lt;&gt;"");1;"");IF($H245="";"";MIN($H245/100;1));IF($L245="";"";XLOOKUP($L245;FILTER(Dictionaries!$B:$B;Dictionaries!$A:$A="Сон_часы");FILTER(Dictionaries!$C:$C;Dictionaries!$A:$A="Сон_часы")));IF($M245="";"";XLOOKUP($M245;FILTER(Dictionaries!$B:$B;Dictionaries!$A:$A="Режим");FILTER(Dictionaries!$C:$C;Dictionaries!$A:$A="Режим")));IF($N245="";"";MIN($N245/100;1));IF($O245="";"";XLOOKUP($O245;FILTER(Dictionaries!$B:$B;Dictionaries!$A:$A="Настроение");FILTER(Dictionaries!$C:$C;Dictionaries!$A:$A="Настроение")));IF($P245="";"";XLOOKUP($P245;FILTER(Dictionaries!$B:$B;Dictionaries!$A:$A="Энергия");FILTER(Dictionaries!$C:$C;Dictionaries!$A:$A="Энергия")));IF($U245="";"";AVERAGE(IF(OR($B245="Ноги";$B245="Верх");IFS(AND($U245&gt;=1900;$U245&lt;=2050);1;AND($U245&gt;=1850;$U245&lt;1900);0,7;AND($U245&gt;2050;$U245&lt;=2100);0,7;TRUE;0,2);IFS(AND($U245&gt;=1700;$U245&lt;=1850);1;AND($U245&gt;=1650;$U245&lt;1700);0,7;AND($U245&gt;1850;$U245&lt;=1900);0,7;TRUE;0,2));IF(OR($B245="Ноги";$B245="Верх");IFS(AND($V245&gt;=125;$V245&lt;=135);1;AND($V245&gt;=115;$V245&lt;125);0,7;AND($V245&gt;135;$V245&lt;=145);0,7;AND($V245&gt;=105;$V245&lt;115);0,4;AND($V245&gt;145;$V245&lt;=155);0,4;TRUE;0,2);IFS(AND($V245&gt;=120;$V245&lt;=130);1;AND($V245&gt;=110;$V245&lt;120);0,7;AND($V245&gt;130;$V245&lt;=140);0,7;AND($V245&gt;=100;$V245&lt;110);0,4;AND($V245&gt;140;$V245&lt;=150);0,4;TRUE;0,2));IFS(AND($W245&gt;=55;$W245&lt;=65);1;AND($W245&gt;=50;$W245&lt;55);0,7;AND($W245&gt;65;$W245&lt;=70);0,7;AND($W245&gt;=45;$W245&lt;50);0,4;AND($W245&gt;70;$W245&lt;=75);0,4;TRUE;0,2);IF(OR($B245="Ноги";$B245="Верх");IFS(AND($X245&gt;=180;$X245&lt;=210);1;AND($X245&gt;=160;$X245&lt;180);0,7;AND($X245&gt;210;$X245&lt;=230);0,7;AND($X245&gt;=140;$X245&lt;160);0,4;AND($X245&gt;230;$X245&lt;=250);0,4;TRUE;0,2);IFS(AND($X245&gt;=140;$X245&lt;=170);1;AND($X245&gt;=120;$X245&lt;140);0,7;AND($X245&gt;170;$X245&lt;=190);0,7;AND($X245&gt;=100;$X245&lt;120);0,4;AND($X245&gt;190;$X245&lt;=210);0,4;TRUE;0,2)))));1);""))</f>
        <v/>
      </c>
      <c r="Z245">
        <f>IF($A245="";"";TEXTJOIN(", ";TRUE;IF($B245="";"Тренировка";"");IF($C245="";"Кардио";"");IF($D245="";"Шаги";"");IF($E245="";"Английский";"");IF($F245="";"Код-режим";"");IF($G245="";"Код-тема";"");IF($H245="";"Чтение";"");IF($L245="";"Сон";"");IF($M245="";"Режим";"");IF($N245="";"Продуктивность";"");IF($O245="";"Настроение";"");IF($P245="";"Энергия";"");IF($U245="";"Еда";"")))</f>
        <v/>
      </c>
    </row>
    <row r="246">
      <c r="B246" t="inlineStr"/>
      <c r="C246" t="inlineStr"/>
      <c r="D246" t="inlineStr"/>
      <c r="E246" t="inlineStr"/>
      <c r="F246" t="inlineStr"/>
      <c r="G246" t="inlineStr"/>
      <c r="H246" t="inlineStr"/>
      <c r="I246" t="inlineStr"/>
      <c r="J246" t="inlineStr"/>
      <c r="K246" t="inlineStr"/>
      <c r="L246" t="inlineStr"/>
      <c r="M246" t="inlineStr"/>
      <c r="N246" t="inlineStr"/>
      <c r="O246" t="inlineStr"/>
      <c r="P246" t="inlineStr"/>
      <c r="Q246" t="inlineStr"/>
      <c r="R246" t="inlineStr"/>
      <c r="S246" t="inlineStr"/>
      <c r="T246" t="inlineStr"/>
      <c r="U246">
        <f>IF($A246="";"";IF(SUMIF(FoodLog!$A:$A;$A246;FoodLog!$I:$I)=0;"";SUMIF(FoodLog!$A:$A;$A246;FoodLog!$I:$I)))</f>
        <v/>
      </c>
      <c r="V246">
        <f>IF($A246="";"";IF(SUMIF(FoodLog!$A:$A;$A246;FoodLog!$F:$F)=0;"";SUMIF(FoodLog!$A:$A;$A246;FoodLog!$F:$F)))</f>
        <v/>
      </c>
      <c r="W246">
        <f>IF($A246="";"";IF(SUMIF(FoodLog!$A:$A;$A246;FoodLog!$G:$G)=0;"";SUMIF(FoodLog!$A:$A;$A246;FoodLog!$G:$G)))</f>
        <v/>
      </c>
      <c r="X246">
        <f>IF($A246="";"";IF(SUMIF(FoodLog!$A:$A;$A246;FoodLog!$H:$H)=0;"";SUMIF(FoodLog!$A:$A;$A246;FoodLog!$H:$H)))</f>
        <v/>
      </c>
      <c r="Y246">
        <f>IF($A246="";"";IFERROR(ROUND(100*AVERAGE(IF($B246="";"";XLOOKUP($B246;FILTER(Dictionaries!$B:$B;Dictionaries!$A:$A="Тренировка");FILTER(Dictionaries!$C:$C;Dictionaries!$A:$A="Тренировка")));IF($C246="";"";MIN($C246/40;1));IF($D246="";"";XLOOKUP($D246;FILTER(Dictionaries!$B:$B;Dictionaries!$A:$A="Шаги");FILTER(Dictionaries!$C:$C;Dictionaries!$A:$A="Шаги")));IF($E246="";"";MIN($E246/120;1));IF(OR($F246&lt;&gt;"";$G246&lt;&gt;"");1;"");IF($H246="";"";MIN($H246/100;1));IF($L246="";"";XLOOKUP($L246;FILTER(Dictionaries!$B:$B;Dictionaries!$A:$A="Сон_часы");FILTER(Dictionaries!$C:$C;Dictionaries!$A:$A="Сон_часы")));IF($M246="";"";XLOOKUP($M246;FILTER(Dictionaries!$B:$B;Dictionaries!$A:$A="Режим");FILTER(Dictionaries!$C:$C;Dictionaries!$A:$A="Режим")));IF($N246="";"";MIN($N246/100;1));IF($O246="";"";XLOOKUP($O246;FILTER(Dictionaries!$B:$B;Dictionaries!$A:$A="Настроение");FILTER(Dictionaries!$C:$C;Dictionaries!$A:$A="Настроение")));IF($P246="";"";XLOOKUP($P246;FILTER(Dictionaries!$B:$B;Dictionaries!$A:$A="Энергия");FILTER(Dictionaries!$C:$C;Dictionaries!$A:$A="Энергия")));IF($U246="";"";AVERAGE(IF(OR($B246="Ноги";$B246="Верх");IFS(AND($U246&gt;=1900;$U246&lt;=2050);1;AND($U246&gt;=1850;$U246&lt;1900);0,7;AND($U246&gt;2050;$U246&lt;=2100);0,7;TRUE;0,2);IFS(AND($U246&gt;=1700;$U246&lt;=1850);1;AND($U246&gt;=1650;$U246&lt;1700);0,7;AND($U246&gt;1850;$U246&lt;=1900);0,7;TRUE;0,2));IF(OR($B246="Ноги";$B246="Верх");IFS(AND($V246&gt;=125;$V246&lt;=135);1;AND($V246&gt;=115;$V246&lt;125);0,7;AND($V246&gt;135;$V246&lt;=145);0,7;AND($V246&gt;=105;$V246&lt;115);0,4;AND($V246&gt;145;$V246&lt;=155);0,4;TRUE;0,2);IFS(AND($V246&gt;=120;$V246&lt;=130);1;AND($V246&gt;=110;$V246&lt;120);0,7;AND($V246&gt;130;$V246&lt;=140);0,7;AND($V246&gt;=100;$V246&lt;110);0,4;AND($V246&gt;140;$V246&lt;=150);0,4;TRUE;0,2));IFS(AND($W246&gt;=55;$W246&lt;=65);1;AND($W246&gt;=50;$W246&lt;55);0,7;AND($W246&gt;65;$W246&lt;=70);0,7;AND($W246&gt;=45;$W246&lt;50);0,4;AND($W246&gt;70;$W246&lt;=75);0,4;TRUE;0,2);IF(OR($B246="Ноги";$B246="Верх");IFS(AND($X246&gt;=180;$X246&lt;=210);1;AND($X246&gt;=160;$X246&lt;180);0,7;AND($X246&gt;210;$X246&lt;=230);0,7;AND($X246&gt;=140;$X246&lt;160);0,4;AND($X246&gt;230;$X246&lt;=250);0,4;TRUE;0,2);IFS(AND($X246&gt;=140;$X246&lt;=170);1;AND($X246&gt;=120;$X246&lt;140);0,7;AND($X246&gt;170;$X246&lt;=190);0,7;AND($X246&gt;=100;$X246&lt;120);0,4;AND($X246&gt;190;$X246&lt;=210);0,4;TRUE;0,2)))));1);""))</f>
        <v/>
      </c>
      <c r="Z246">
        <f>IF($A246="";"";TEXTJOIN(", ";TRUE;IF($B246="";"Тренировка";"");IF($C246="";"Кардио";"");IF($D246="";"Шаги";"");IF($E246="";"Английский";"");IF($F246="";"Код-режим";"");IF($G246="";"Код-тема";"");IF($H246="";"Чтение";"");IF($L246="";"Сон";"");IF($M246="";"Режим";"");IF($N246="";"Продуктивность";"");IF($O246="";"Настроение";"");IF($P246="";"Энергия";"");IF($U246="";"Еда";"")))</f>
        <v/>
      </c>
    </row>
    <row r="247">
      <c r="B247" t="inlineStr"/>
      <c r="C247" t="inlineStr"/>
      <c r="D247" t="inlineStr"/>
      <c r="E247" t="inlineStr"/>
      <c r="F247" t="inlineStr"/>
      <c r="G247" t="inlineStr"/>
      <c r="H247" t="inlineStr"/>
      <c r="I247" t="inlineStr"/>
      <c r="J247" t="inlineStr"/>
      <c r="K247" t="inlineStr"/>
      <c r="L247" t="inlineStr"/>
      <c r="M247" t="inlineStr"/>
      <c r="N247" t="inlineStr"/>
      <c r="O247" t="inlineStr"/>
      <c r="P247" t="inlineStr"/>
      <c r="Q247" t="inlineStr"/>
      <c r="R247" t="inlineStr"/>
      <c r="S247" t="inlineStr"/>
      <c r="T247" t="inlineStr"/>
      <c r="U247">
        <f>IF($A247="";"";IF(SUMIF(FoodLog!$A:$A;$A247;FoodLog!$I:$I)=0;"";SUMIF(FoodLog!$A:$A;$A247;FoodLog!$I:$I)))</f>
        <v/>
      </c>
      <c r="V247">
        <f>IF($A247="";"";IF(SUMIF(FoodLog!$A:$A;$A247;FoodLog!$F:$F)=0;"";SUMIF(FoodLog!$A:$A;$A247;FoodLog!$F:$F)))</f>
        <v/>
      </c>
      <c r="W247">
        <f>IF($A247="";"";IF(SUMIF(FoodLog!$A:$A;$A247;FoodLog!$G:$G)=0;"";SUMIF(FoodLog!$A:$A;$A247;FoodLog!$G:$G)))</f>
        <v/>
      </c>
      <c r="X247">
        <f>IF($A247="";"";IF(SUMIF(FoodLog!$A:$A;$A247;FoodLog!$H:$H)=0;"";SUMIF(FoodLog!$A:$A;$A247;FoodLog!$H:$H)))</f>
        <v/>
      </c>
      <c r="Y247">
        <f>IF($A247="";"";IFERROR(ROUND(100*AVERAGE(IF($B247="";"";XLOOKUP($B247;FILTER(Dictionaries!$B:$B;Dictionaries!$A:$A="Тренировка");FILTER(Dictionaries!$C:$C;Dictionaries!$A:$A="Тренировка")));IF($C247="";"";MIN($C247/40;1));IF($D247="";"";XLOOKUP($D247;FILTER(Dictionaries!$B:$B;Dictionaries!$A:$A="Шаги");FILTER(Dictionaries!$C:$C;Dictionaries!$A:$A="Шаги")));IF($E247="";"";MIN($E247/120;1));IF(OR($F247&lt;&gt;"";$G247&lt;&gt;"");1;"");IF($H247="";"";MIN($H247/100;1));IF($L247="";"";XLOOKUP($L247;FILTER(Dictionaries!$B:$B;Dictionaries!$A:$A="Сон_часы");FILTER(Dictionaries!$C:$C;Dictionaries!$A:$A="Сон_часы")));IF($M247="";"";XLOOKUP($M247;FILTER(Dictionaries!$B:$B;Dictionaries!$A:$A="Режим");FILTER(Dictionaries!$C:$C;Dictionaries!$A:$A="Режим")));IF($N247="";"";MIN($N247/100;1));IF($O247="";"";XLOOKUP($O247;FILTER(Dictionaries!$B:$B;Dictionaries!$A:$A="Настроение");FILTER(Dictionaries!$C:$C;Dictionaries!$A:$A="Настроение")));IF($P247="";"";XLOOKUP($P247;FILTER(Dictionaries!$B:$B;Dictionaries!$A:$A="Энергия");FILTER(Dictionaries!$C:$C;Dictionaries!$A:$A="Энергия")));IF($U247="";"";AVERAGE(IF(OR($B247="Ноги";$B247="Верх");IFS(AND($U247&gt;=1900;$U247&lt;=2050);1;AND($U247&gt;=1850;$U247&lt;1900);0,7;AND($U247&gt;2050;$U247&lt;=2100);0,7;TRUE;0,2);IFS(AND($U247&gt;=1700;$U247&lt;=1850);1;AND($U247&gt;=1650;$U247&lt;1700);0,7;AND($U247&gt;1850;$U247&lt;=1900);0,7;TRUE;0,2));IF(OR($B247="Ноги";$B247="Верх");IFS(AND($V247&gt;=125;$V247&lt;=135);1;AND($V247&gt;=115;$V247&lt;125);0,7;AND($V247&gt;135;$V247&lt;=145);0,7;AND($V247&gt;=105;$V247&lt;115);0,4;AND($V247&gt;145;$V247&lt;=155);0,4;TRUE;0,2);IFS(AND($V247&gt;=120;$V247&lt;=130);1;AND($V247&gt;=110;$V247&lt;120);0,7;AND($V247&gt;130;$V247&lt;=140);0,7;AND($V247&gt;=100;$V247&lt;110);0,4;AND($V247&gt;140;$V247&lt;=150);0,4;TRUE;0,2));IFS(AND($W247&gt;=55;$W247&lt;=65);1;AND($W247&gt;=50;$W247&lt;55);0,7;AND($W247&gt;65;$W247&lt;=70);0,7;AND($W247&gt;=45;$W247&lt;50);0,4;AND($W247&gt;70;$W247&lt;=75);0,4;TRUE;0,2);IF(OR($B247="Ноги";$B247="Верх");IFS(AND($X247&gt;=180;$X247&lt;=210);1;AND($X247&gt;=160;$X247&lt;180);0,7;AND($X247&gt;210;$X247&lt;=230);0,7;AND($X247&gt;=140;$X247&lt;160);0,4;AND($X247&gt;230;$X247&lt;=250);0,4;TRUE;0,2);IFS(AND($X247&gt;=140;$X247&lt;=170);1;AND($X247&gt;=120;$X247&lt;140);0,7;AND($X247&gt;170;$X247&lt;=190);0,7;AND($X247&gt;=100;$X247&lt;120);0,4;AND($X247&gt;190;$X247&lt;=210);0,4;TRUE;0,2)))));1);""))</f>
        <v/>
      </c>
      <c r="Z247">
        <f>IF($A247="";"";TEXTJOIN(", ";TRUE;IF($B247="";"Тренировка";"");IF($C247="";"Кардио";"");IF($D247="";"Шаги";"");IF($E247="";"Английский";"");IF($F247="";"Код-режим";"");IF($G247="";"Код-тема";"");IF($H247="";"Чтение";"");IF($L247="";"Сон";"");IF($M247="";"Режим";"");IF($N247="";"Продуктивность";"");IF($O247="";"Настроение";"");IF($P247="";"Энергия";"");IF($U247="";"Еда";"")))</f>
        <v/>
      </c>
    </row>
    <row r="248">
      <c r="B248" t="inlineStr"/>
      <c r="C248" t="inlineStr"/>
      <c r="D248" t="inlineStr"/>
      <c r="E248" t="inlineStr"/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  <c r="O248" t="inlineStr"/>
      <c r="P248" t="inlineStr"/>
      <c r="Q248" t="inlineStr"/>
      <c r="R248" t="inlineStr"/>
      <c r="S248" t="inlineStr"/>
      <c r="T248" t="inlineStr"/>
      <c r="U248">
        <f>IF($A248="";"";IF(SUMIF(FoodLog!$A:$A;$A248;FoodLog!$I:$I)=0;"";SUMIF(FoodLog!$A:$A;$A248;FoodLog!$I:$I)))</f>
        <v/>
      </c>
      <c r="V248">
        <f>IF($A248="";"";IF(SUMIF(FoodLog!$A:$A;$A248;FoodLog!$F:$F)=0;"";SUMIF(FoodLog!$A:$A;$A248;FoodLog!$F:$F)))</f>
        <v/>
      </c>
      <c r="W248">
        <f>IF($A248="";"";IF(SUMIF(FoodLog!$A:$A;$A248;FoodLog!$G:$G)=0;"";SUMIF(FoodLog!$A:$A;$A248;FoodLog!$G:$G)))</f>
        <v/>
      </c>
      <c r="X248">
        <f>IF($A248="";"";IF(SUMIF(FoodLog!$A:$A;$A248;FoodLog!$H:$H)=0;"";SUMIF(FoodLog!$A:$A;$A248;FoodLog!$H:$H)))</f>
        <v/>
      </c>
      <c r="Y248">
        <f>IF($A248="";"";IFERROR(ROUND(100*AVERAGE(IF($B248="";"";XLOOKUP($B248;FILTER(Dictionaries!$B:$B;Dictionaries!$A:$A="Тренировка");FILTER(Dictionaries!$C:$C;Dictionaries!$A:$A="Тренировка")));IF($C248="";"";MIN($C248/40;1));IF($D248="";"";XLOOKUP($D248;FILTER(Dictionaries!$B:$B;Dictionaries!$A:$A="Шаги");FILTER(Dictionaries!$C:$C;Dictionaries!$A:$A="Шаги")));IF($E248="";"";MIN($E248/120;1));IF(OR($F248&lt;&gt;"";$G248&lt;&gt;"");1;"");IF($H248="";"";MIN($H248/100;1));IF($L248="";"";XLOOKUP($L248;FILTER(Dictionaries!$B:$B;Dictionaries!$A:$A="Сон_часы");FILTER(Dictionaries!$C:$C;Dictionaries!$A:$A="Сон_часы")));IF($M248="";"";XLOOKUP($M248;FILTER(Dictionaries!$B:$B;Dictionaries!$A:$A="Режим");FILTER(Dictionaries!$C:$C;Dictionaries!$A:$A="Режим")));IF($N248="";"";MIN($N248/100;1));IF($O248="";"";XLOOKUP($O248;FILTER(Dictionaries!$B:$B;Dictionaries!$A:$A="Настроение");FILTER(Dictionaries!$C:$C;Dictionaries!$A:$A="Настроение")));IF($P248="";"";XLOOKUP($P248;FILTER(Dictionaries!$B:$B;Dictionaries!$A:$A="Энергия");FILTER(Dictionaries!$C:$C;Dictionaries!$A:$A="Энергия")));IF($U248="";"";AVERAGE(IF(OR($B248="Ноги";$B248="Верх");IFS(AND($U248&gt;=1900;$U248&lt;=2050);1;AND($U248&gt;=1850;$U248&lt;1900);0,7;AND($U248&gt;2050;$U248&lt;=2100);0,7;TRUE;0,2);IFS(AND($U248&gt;=1700;$U248&lt;=1850);1;AND($U248&gt;=1650;$U248&lt;1700);0,7;AND($U248&gt;1850;$U248&lt;=1900);0,7;TRUE;0,2));IF(OR($B248="Ноги";$B248="Верх");IFS(AND($V248&gt;=125;$V248&lt;=135);1;AND($V248&gt;=115;$V248&lt;125);0,7;AND($V248&gt;135;$V248&lt;=145);0,7;AND($V248&gt;=105;$V248&lt;115);0,4;AND($V248&gt;145;$V248&lt;=155);0,4;TRUE;0,2);IFS(AND($V248&gt;=120;$V248&lt;=130);1;AND($V248&gt;=110;$V248&lt;120);0,7;AND($V248&gt;130;$V248&lt;=140);0,7;AND($V248&gt;=100;$V248&lt;110);0,4;AND($V248&gt;140;$V248&lt;=150);0,4;TRUE;0,2));IFS(AND($W248&gt;=55;$W248&lt;=65);1;AND($W248&gt;=50;$W248&lt;55);0,7;AND($W248&gt;65;$W248&lt;=70);0,7;AND($W248&gt;=45;$W248&lt;50);0,4;AND($W248&gt;70;$W248&lt;=75);0,4;TRUE;0,2);IF(OR($B248="Ноги";$B248="Верх");IFS(AND($X248&gt;=180;$X248&lt;=210);1;AND($X248&gt;=160;$X248&lt;180);0,7;AND($X248&gt;210;$X248&lt;=230);0,7;AND($X248&gt;=140;$X248&lt;160);0,4;AND($X248&gt;230;$X248&lt;=250);0,4;TRUE;0,2);IFS(AND($X248&gt;=140;$X248&lt;=170);1;AND($X248&gt;=120;$X248&lt;140);0,7;AND($X248&gt;170;$X248&lt;=190);0,7;AND($X248&gt;=100;$X248&lt;120);0,4;AND($X248&gt;190;$X248&lt;=210);0,4;TRUE;0,2)))));1);""))</f>
        <v/>
      </c>
      <c r="Z248">
        <f>IF($A248="";"";TEXTJOIN(", ";TRUE;IF($B248="";"Тренировка";"");IF($C248="";"Кардио";"");IF($D248="";"Шаги";"");IF($E248="";"Английский";"");IF($F248="";"Код-режим";"");IF($G248="";"Код-тема";"");IF($H248="";"Чтение";"");IF($L248="";"Сон";"");IF($M248="";"Режим";"");IF($N248="";"Продуктивность";"");IF($O248="";"Настроение";"");IF($P248="";"Энергия";"");IF($U248="";"Еда";"")))</f>
        <v/>
      </c>
    </row>
    <row r="249">
      <c r="B249" t="inlineStr"/>
      <c r="C249" t="inlineStr"/>
      <c r="D249" t="inlineStr"/>
      <c r="E249" t="inlineStr"/>
      <c r="F249" t="inlineStr"/>
      <c r="G249" t="inlineStr"/>
      <c r="H249" t="inlineStr"/>
      <c r="I249" t="inlineStr"/>
      <c r="J249" t="inlineStr"/>
      <c r="K249" t="inlineStr"/>
      <c r="L249" t="inlineStr"/>
      <c r="M249" t="inlineStr"/>
      <c r="N249" t="inlineStr"/>
      <c r="O249" t="inlineStr"/>
      <c r="P249" t="inlineStr"/>
      <c r="Q249" t="inlineStr"/>
      <c r="R249" t="inlineStr"/>
      <c r="S249" t="inlineStr"/>
      <c r="T249" t="inlineStr"/>
      <c r="U249">
        <f>IF($A249="";"";IF(SUMIF(FoodLog!$A:$A;$A249;FoodLog!$I:$I)=0;"";SUMIF(FoodLog!$A:$A;$A249;FoodLog!$I:$I)))</f>
        <v/>
      </c>
      <c r="V249">
        <f>IF($A249="";"";IF(SUMIF(FoodLog!$A:$A;$A249;FoodLog!$F:$F)=0;"";SUMIF(FoodLog!$A:$A;$A249;FoodLog!$F:$F)))</f>
        <v/>
      </c>
      <c r="W249">
        <f>IF($A249="";"";IF(SUMIF(FoodLog!$A:$A;$A249;FoodLog!$G:$G)=0;"";SUMIF(FoodLog!$A:$A;$A249;FoodLog!$G:$G)))</f>
        <v/>
      </c>
      <c r="X249">
        <f>IF($A249="";"";IF(SUMIF(FoodLog!$A:$A;$A249;FoodLog!$H:$H)=0;"";SUMIF(FoodLog!$A:$A;$A249;FoodLog!$H:$H)))</f>
        <v/>
      </c>
      <c r="Y249">
        <f>IF($A249="";"";IFERROR(ROUND(100*AVERAGE(IF($B249="";"";XLOOKUP($B249;FILTER(Dictionaries!$B:$B;Dictionaries!$A:$A="Тренировка");FILTER(Dictionaries!$C:$C;Dictionaries!$A:$A="Тренировка")));IF($C249="";"";MIN($C249/40;1));IF($D249="";"";XLOOKUP($D249;FILTER(Dictionaries!$B:$B;Dictionaries!$A:$A="Шаги");FILTER(Dictionaries!$C:$C;Dictionaries!$A:$A="Шаги")));IF($E249="";"";MIN($E249/120;1));IF(OR($F249&lt;&gt;"";$G249&lt;&gt;"");1;"");IF($H249="";"";MIN($H249/100;1));IF($L249="";"";XLOOKUP($L249;FILTER(Dictionaries!$B:$B;Dictionaries!$A:$A="Сон_часы");FILTER(Dictionaries!$C:$C;Dictionaries!$A:$A="Сон_часы")));IF($M249="";"";XLOOKUP($M249;FILTER(Dictionaries!$B:$B;Dictionaries!$A:$A="Режим");FILTER(Dictionaries!$C:$C;Dictionaries!$A:$A="Режим")));IF($N249="";"";MIN($N249/100;1));IF($O249="";"";XLOOKUP($O249;FILTER(Dictionaries!$B:$B;Dictionaries!$A:$A="Настроение");FILTER(Dictionaries!$C:$C;Dictionaries!$A:$A="Настроение")));IF($P249="";"";XLOOKUP($P249;FILTER(Dictionaries!$B:$B;Dictionaries!$A:$A="Энергия");FILTER(Dictionaries!$C:$C;Dictionaries!$A:$A="Энергия")));IF($U249="";"";AVERAGE(IF(OR($B249="Ноги";$B249="Верх");IFS(AND($U249&gt;=1900;$U249&lt;=2050);1;AND($U249&gt;=1850;$U249&lt;1900);0,7;AND($U249&gt;2050;$U249&lt;=2100);0,7;TRUE;0,2);IFS(AND($U249&gt;=1700;$U249&lt;=1850);1;AND($U249&gt;=1650;$U249&lt;1700);0,7;AND($U249&gt;1850;$U249&lt;=1900);0,7;TRUE;0,2));IF(OR($B249="Ноги";$B249="Верх");IFS(AND($V249&gt;=125;$V249&lt;=135);1;AND($V249&gt;=115;$V249&lt;125);0,7;AND($V249&gt;135;$V249&lt;=145);0,7;AND($V249&gt;=105;$V249&lt;115);0,4;AND($V249&gt;145;$V249&lt;=155);0,4;TRUE;0,2);IFS(AND($V249&gt;=120;$V249&lt;=130);1;AND($V249&gt;=110;$V249&lt;120);0,7;AND($V249&gt;130;$V249&lt;=140);0,7;AND($V249&gt;=100;$V249&lt;110);0,4;AND($V249&gt;140;$V249&lt;=150);0,4;TRUE;0,2));IFS(AND($W249&gt;=55;$W249&lt;=65);1;AND($W249&gt;=50;$W249&lt;55);0,7;AND($W249&gt;65;$W249&lt;=70);0,7;AND($W249&gt;=45;$W249&lt;50);0,4;AND($W249&gt;70;$W249&lt;=75);0,4;TRUE;0,2);IF(OR($B249="Ноги";$B249="Верх");IFS(AND($X249&gt;=180;$X249&lt;=210);1;AND($X249&gt;=160;$X249&lt;180);0,7;AND($X249&gt;210;$X249&lt;=230);0,7;AND($X249&gt;=140;$X249&lt;160);0,4;AND($X249&gt;230;$X249&lt;=250);0,4;TRUE;0,2);IFS(AND($X249&gt;=140;$X249&lt;=170);1;AND($X249&gt;=120;$X249&lt;140);0,7;AND($X249&gt;170;$X249&lt;=190);0,7;AND($X249&gt;=100;$X249&lt;120);0,4;AND($X249&gt;190;$X249&lt;=210);0,4;TRUE;0,2)))));1);""))</f>
        <v/>
      </c>
      <c r="Z249">
        <f>IF($A249="";"";TEXTJOIN(", ";TRUE;IF($B249="";"Тренировка";"");IF($C249="";"Кардио";"");IF($D249="";"Шаги";"");IF($E249="";"Английский";"");IF($F249="";"Код-режим";"");IF($G249="";"Код-тема";"");IF($H249="";"Чтение";"");IF($L249="";"Сон";"");IF($M249="";"Режим";"");IF($N249="";"Продуктивность";"");IF($O249="";"Настроение";"");IF($P249="";"Энергия";"");IF($U249="";"Еда";"")))</f>
        <v/>
      </c>
    </row>
    <row r="250">
      <c r="B250" t="inlineStr"/>
      <c r="C250" t="inlineStr"/>
      <c r="D250" t="inlineStr"/>
      <c r="E250" t="inlineStr"/>
      <c r="F250" t="inlineStr"/>
      <c r="G250" t="inlineStr"/>
      <c r="H250" t="inlineStr"/>
      <c r="I250" t="inlineStr"/>
      <c r="J250" t="inlineStr"/>
      <c r="K250" t="inlineStr"/>
      <c r="L250" t="inlineStr"/>
      <c r="M250" t="inlineStr"/>
      <c r="N250" t="inlineStr"/>
      <c r="O250" t="inlineStr"/>
      <c r="P250" t="inlineStr"/>
      <c r="Q250" t="inlineStr"/>
      <c r="R250" t="inlineStr"/>
      <c r="S250" t="inlineStr"/>
      <c r="T250" t="inlineStr"/>
      <c r="U250">
        <f>IF($A250="";"";IF(SUMIF(FoodLog!$A:$A;$A250;FoodLog!$I:$I)=0;"";SUMIF(FoodLog!$A:$A;$A250;FoodLog!$I:$I)))</f>
        <v/>
      </c>
      <c r="V250">
        <f>IF($A250="";"";IF(SUMIF(FoodLog!$A:$A;$A250;FoodLog!$F:$F)=0;"";SUMIF(FoodLog!$A:$A;$A250;FoodLog!$F:$F)))</f>
        <v/>
      </c>
      <c r="W250">
        <f>IF($A250="";"";IF(SUMIF(FoodLog!$A:$A;$A250;FoodLog!$G:$G)=0;"";SUMIF(FoodLog!$A:$A;$A250;FoodLog!$G:$G)))</f>
        <v/>
      </c>
      <c r="X250">
        <f>IF($A250="";"";IF(SUMIF(FoodLog!$A:$A;$A250;FoodLog!$H:$H)=0;"";SUMIF(FoodLog!$A:$A;$A250;FoodLog!$H:$H)))</f>
        <v/>
      </c>
      <c r="Y250">
        <f>IF($A250="";"";IFERROR(ROUND(100*AVERAGE(IF($B250="";"";XLOOKUP($B250;FILTER(Dictionaries!$B:$B;Dictionaries!$A:$A="Тренировка");FILTER(Dictionaries!$C:$C;Dictionaries!$A:$A="Тренировка")));IF($C250="";"";MIN($C250/40;1));IF($D250="";"";XLOOKUP($D250;FILTER(Dictionaries!$B:$B;Dictionaries!$A:$A="Шаги");FILTER(Dictionaries!$C:$C;Dictionaries!$A:$A="Шаги")));IF($E250="";"";MIN($E250/120;1));IF(OR($F250&lt;&gt;"";$G250&lt;&gt;"");1;"");IF($H250="";"";MIN($H250/100;1));IF($L250="";"";XLOOKUP($L250;FILTER(Dictionaries!$B:$B;Dictionaries!$A:$A="Сон_часы");FILTER(Dictionaries!$C:$C;Dictionaries!$A:$A="Сон_часы")));IF($M250="";"";XLOOKUP($M250;FILTER(Dictionaries!$B:$B;Dictionaries!$A:$A="Режим");FILTER(Dictionaries!$C:$C;Dictionaries!$A:$A="Режим")));IF($N250="";"";MIN($N250/100;1));IF($O250="";"";XLOOKUP($O250;FILTER(Dictionaries!$B:$B;Dictionaries!$A:$A="Настроение");FILTER(Dictionaries!$C:$C;Dictionaries!$A:$A="Настроение")));IF($P250="";"";XLOOKUP($P250;FILTER(Dictionaries!$B:$B;Dictionaries!$A:$A="Энергия");FILTER(Dictionaries!$C:$C;Dictionaries!$A:$A="Энергия")));IF($U250="";"";AVERAGE(IF(OR($B250="Ноги";$B250="Верх");IFS(AND($U250&gt;=1900;$U250&lt;=2050);1;AND($U250&gt;=1850;$U250&lt;1900);0,7;AND($U250&gt;2050;$U250&lt;=2100);0,7;TRUE;0,2);IFS(AND($U250&gt;=1700;$U250&lt;=1850);1;AND($U250&gt;=1650;$U250&lt;1700);0,7;AND($U250&gt;1850;$U250&lt;=1900);0,7;TRUE;0,2));IF(OR($B250="Ноги";$B250="Верх");IFS(AND($V250&gt;=125;$V250&lt;=135);1;AND($V250&gt;=115;$V250&lt;125);0,7;AND($V250&gt;135;$V250&lt;=145);0,7;AND($V250&gt;=105;$V250&lt;115);0,4;AND($V250&gt;145;$V250&lt;=155);0,4;TRUE;0,2);IFS(AND($V250&gt;=120;$V250&lt;=130);1;AND($V250&gt;=110;$V250&lt;120);0,7;AND($V250&gt;130;$V250&lt;=140);0,7;AND($V250&gt;=100;$V250&lt;110);0,4;AND($V250&gt;140;$V250&lt;=150);0,4;TRUE;0,2));IFS(AND($W250&gt;=55;$W250&lt;=65);1;AND($W250&gt;=50;$W250&lt;55);0,7;AND($W250&gt;65;$W250&lt;=70);0,7;AND($W250&gt;=45;$W250&lt;50);0,4;AND($W250&gt;70;$W250&lt;=75);0,4;TRUE;0,2);IF(OR($B250="Ноги";$B250="Верх");IFS(AND($X250&gt;=180;$X250&lt;=210);1;AND($X250&gt;=160;$X250&lt;180);0,7;AND($X250&gt;210;$X250&lt;=230);0,7;AND($X250&gt;=140;$X250&lt;160);0,4;AND($X250&gt;230;$X250&lt;=250);0,4;TRUE;0,2);IFS(AND($X250&gt;=140;$X250&lt;=170);1;AND($X250&gt;=120;$X250&lt;140);0,7;AND($X250&gt;170;$X250&lt;=190);0,7;AND($X250&gt;=100;$X250&lt;120);0,4;AND($X250&gt;190;$X250&lt;=210);0,4;TRUE;0,2)))));1);""))</f>
        <v/>
      </c>
      <c r="Z250">
        <f>IF($A250="";"";TEXTJOIN(", ";TRUE;IF($B250="";"Тренировка";"");IF($C250="";"Кардио";"");IF($D250="";"Шаги";"");IF($E250="";"Английский";"");IF($F250="";"Код-режим";"");IF($G250="";"Код-тема";"");IF($H250="";"Чтение";"");IF($L250="";"Сон";"");IF($M250="";"Режим";"");IF($N250="";"Продуктивность";"");IF($O250="";"Настроение";"");IF($P250="";"Энергия";"");IF($U250="";"Еда";"")))</f>
        <v/>
      </c>
    </row>
    <row r="251">
      <c r="B251" t="inlineStr"/>
      <c r="C251" t="inlineStr"/>
      <c r="D251" t="inlineStr"/>
      <c r="E251" t="inlineStr"/>
      <c r="F251" t="inlineStr"/>
      <c r="G251" t="inlineStr"/>
      <c r="H251" t="inlineStr"/>
      <c r="I251" t="inlineStr"/>
      <c r="J251" t="inlineStr"/>
      <c r="K251" t="inlineStr"/>
      <c r="L251" t="inlineStr"/>
      <c r="M251" t="inlineStr"/>
      <c r="N251" t="inlineStr"/>
      <c r="O251" t="inlineStr"/>
      <c r="P251" t="inlineStr"/>
      <c r="Q251" t="inlineStr"/>
      <c r="R251" t="inlineStr"/>
      <c r="S251" t="inlineStr"/>
      <c r="T251" t="inlineStr"/>
      <c r="U251">
        <f>IF($A251="";"";IF(SUMIF(FoodLog!$A:$A;$A251;FoodLog!$I:$I)=0;"";SUMIF(FoodLog!$A:$A;$A251;FoodLog!$I:$I)))</f>
        <v/>
      </c>
      <c r="V251">
        <f>IF($A251="";"";IF(SUMIF(FoodLog!$A:$A;$A251;FoodLog!$F:$F)=0;"";SUMIF(FoodLog!$A:$A;$A251;FoodLog!$F:$F)))</f>
        <v/>
      </c>
      <c r="W251">
        <f>IF($A251="";"";IF(SUMIF(FoodLog!$A:$A;$A251;FoodLog!$G:$G)=0;"";SUMIF(FoodLog!$A:$A;$A251;FoodLog!$G:$G)))</f>
        <v/>
      </c>
      <c r="X251">
        <f>IF($A251="";"";IF(SUMIF(FoodLog!$A:$A;$A251;FoodLog!$H:$H)=0;"";SUMIF(FoodLog!$A:$A;$A251;FoodLog!$H:$H)))</f>
        <v/>
      </c>
      <c r="Y251">
        <f>IF($A251="";"";IFERROR(ROUND(100*AVERAGE(IF($B251="";"";XLOOKUP($B251;FILTER(Dictionaries!$B:$B;Dictionaries!$A:$A="Тренировка");FILTER(Dictionaries!$C:$C;Dictionaries!$A:$A="Тренировка")));IF($C251="";"";MIN($C251/40;1));IF($D251="";"";XLOOKUP($D251;FILTER(Dictionaries!$B:$B;Dictionaries!$A:$A="Шаги");FILTER(Dictionaries!$C:$C;Dictionaries!$A:$A="Шаги")));IF($E251="";"";MIN($E251/120;1));IF(OR($F251&lt;&gt;"";$G251&lt;&gt;"");1;"");IF($H251="";"";MIN($H251/100;1));IF($L251="";"";XLOOKUP($L251;FILTER(Dictionaries!$B:$B;Dictionaries!$A:$A="Сон_часы");FILTER(Dictionaries!$C:$C;Dictionaries!$A:$A="Сон_часы")));IF($M251="";"";XLOOKUP($M251;FILTER(Dictionaries!$B:$B;Dictionaries!$A:$A="Режим");FILTER(Dictionaries!$C:$C;Dictionaries!$A:$A="Режим")));IF($N251="";"";MIN($N251/100;1));IF($O251="";"";XLOOKUP($O251;FILTER(Dictionaries!$B:$B;Dictionaries!$A:$A="Настроение");FILTER(Dictionaries!$C:$C;Dictionaries!$A:$A="Настроение")));IF($P251="";"";XLOOKUP($P251;FILTER(Dictionaries!$B:$B;Dictionaries!$A:$A="Энергия");FILTER(Dictionaries!$C:$C;Dictionaries!$A:$A="Энергия")));IF($U251="";"";AVERAGE(IF(OR($B251="Ноги";$B251="Верх");IFS(AND($U251&gt;=1900;$U251&lt;=2050);1;AND($U251&gt;=1850;$U251&lt;1900);0,7;AND($U251&gt;2050;$U251&lt;=2100);0,7;TRUE;0,2);IFS(AND($U251&gt;=1700;$U251&lt;=1850);1;AND($U251&gt;=1650;$U251&lt;1700);0,7;AND($U251&gt;1850;$U251&lt;=1900);0,7;TRUE;0,2));IF(OR($B251="Ноги";$B251="Верх");IFS(AND($V251&gt;=125;$V251&lt;=135);1;AND($V251&gt;=115;$V251&lt;125);0,7;AND($V251&gt;135;$V251&lt;=145);0,7;AND($V251&gt;=105;$V251&lt;115);0,4;AND($V251&gt;145;$V251&lt;=155);0,4;TRUE;0,2);IFS(AND($V251&gt;=120;$V251&lt;=130);1;AND($V251&gt;=110;$V251&lt;120);0,7;AND($V251&gt;130;$V251&lt;=140);0,7;AND($V251&gt;=100;$V251&lt;110);0,4;AND($V251&gt;140;$V251&lt;=150);0,4;TRUE;0,2));IFS(AND($W251&gt;=55;$W251&lt;=65);1;AND($W251&gt;=50;$W251&lt;55);0,7;AND($W251&gt;65;$W251&lt;=70);0,7;AND($W251&gt;=45;$W251&lt;50);0,4;AND($W251&gt;70;$W251&lt;=75);0,4;TRUE;0,2);IF(OR($B251="Ноги";$B251="Верх");IFS(AND($X251&gt;=180;$X251&lt;=210);1;AND($X251&gt;=160;$X251&lt;180);0,7;AND($X251&gt;210;$X251&lt;=230);0,7;AND($X251&gt;=140;$X251&lt;160);0,4;AND($X251&gt;230;$X251&lt;=250);0,4;TRUE;0,2);IFS(AND($X251&gt;=140;$X251&lt;=170);1;AND($X251&gt;=120;$X251&lt;140);0,7;AND($X251&gt;170;$X251&lt;=190);0,7;AND($X251&gt;=100;$X251&lt;120);0,4;AND($X251&gt;190;$X251&lt;=210);0,4;TRUE;0,2)))));1);""))</f>
        <v/>
      </c>
      <c r="Z251">
        <f>IF($A251="";"";TEXTJOIN(", ";TRUE;IF($B251="";"Тренировка";"");IF($C251="";"Кардио";"");IF($D251="";"Шаги";"");IF($E251="";"Английский";"");IF($F251="";"Код-режим";"");IF($G251="";"Код-тема";"");IF($H251="";"Чтение";"");IF($L251="";"Сон";"");IF($M251="";"Режим";"");IF($N251="";"Продуктивность";"");IF($O251="";"Настроение";"");IF($P251="";"Энергия";"");IF($U251="";"Еда";"")))</f>
        <v/>
      </c>
    </row>
    <row r="252">
      <c r="B252" t="inlineStr"/>
      <c r="C252" t="inlineStr"/>
      <c r="D252" t="inlineStr"/>
      <c r="E252" t="inlineStr"/>
      <c r="F252" t="inlineStr"/>
      <c r="G252" t="inlineStr"/>
      <c r="H252" t="inlineStr"/>
      <c r="I252" t="inlineStr"/>
      <c r="J252" t="inlineStr"/>
      <c r="K252" t="inlineStr"/>
      <c r="L252" t="inlineStr"/>
      <c r="M252" t="inlineStr"/>
      <c r="N252" t="inlineStr"/>
      <c r="O252" t="inlineStr"/>
      <c r="P252" t="inlineStr"/>
      <c r="Q252" t="inlineStr"/>
      <c r="R252" t="inlineStr"/>
      <c r="S252" t="inlineStr"/>
      <c r="T252" t="inlineStr"/>
      <c r="U252">
        <f>IF($A252="";"";IF(SUMIF(FoodLog!$A:$A;$A252;FoodLog!$I:$I)=0;"";SUMIF(FoodLog!$A:$A;$A252;FoodLog!$I:$I)))</f>
        <v/>
      </c>
      <c r="V252">
        <f>IF($A252="";"";IF(SUMIF(FoodLog!$A:$A;$A252;FoodLog!$F:$F)=0;"";SUMIF(FoodLog!$A:$A;$A252;FoodLog!$F:$F)))</f>
        <v/>
      </c>
      <c r="W252">
        <f>IF($A252="";"";IF(SUMIF(FoodLog!$A:$A;$A252;FoodLog!$G:$G)=0;"";SUMIF(FoodLog!$A:$A;$A252;FoodLog!$G:$G)))</f>
        <v/>
      </c>
      <c r="X252">
        <f>IF($A252="";"";IF(SUMIF(FoodLog!$A:$A;$A252;FoodLog!$H:$H)=0;"";SUMIF(FoodLog!$A:$A;$A252;FoodLog!$H:$H)))</f>
        <v/>
      </c>
      <c r="Y252">
        <f>IF($A252="";"";IFERROR(ROUND(100*AVERAGE(IF($B252="";"";XLOOKUP($B252;FILTER(Dictionaries!$B:$B;Dictionaries!$A:$A="Тренировка");FILTER(Dictionaries!$C:$C;Dictionaries!$A:$A="Тренировка")));IF($C252="";"";MIN($C252/40;1));IF($D252="";"";XLOOKUP($D252;FILTER(Dictionaries!$B:$B;Dictionaries!$A:$A="Шаги");FILTER(Dictionaries!$C:$C;Dictionaries!$A:$A="Шаги")));IF($E252="";"";MIN($E252/120;1));IF(OR($F252&lt;&gt;"";$G252&lt;&gt;"");1;"");IF($H252="";"";MIN($H252/100;1));IF($L252="";"";XLOOKUP($L252;FILTER(Dictionaries!$B:$B;Dictionaries!$A:$A="Сон_часы");FILTER(Dictionaries!$C:$C;Dictionaries!$A:$A="Сон_часы")));IF($M252="";"";XLOOKUP($M252;FILTER(Dictionaries!$B:$B;Dictionaries!$A:$A="Режим");FILTER(Dictionaries!$C:$C;Dictionaries!$A:$A="Режим")));IF($N252="";"";MIN($N252/100;1));IF($O252="";"";XLOOKUP($O252;FILTER(Dictionaries!$B:$B;Dictionaries!$A:$A="Настроение");FILTER(Dictionaries!$C:$C;Dictionaries!$A:$A="Настроение")));IF($P252="";"";XLOOKUP($P252;FILTER(Dictionaries!$B:$B;Dictionaries!$A:$A="Энергия");FILTER(Dictionaries!$C:$C;Dictionaries!$A:$A="Энергия")));IF($U252="";"";AVERAGE(IF(OR($B252="Ноги";$B252="Верх");IFS(AND($U252&gt;=1900;$U252&lt;=2050);1;AND($U252&gt;=1850;$U252&lt;1900);0,7;AND($U252&gt;2050;$U252&lt;=2100);0,7;TRUE;0,2);IFS(AND($U252&gt;=1700;$U252&lt;=1850);1;AND($U252&gt;=1650;$U252&lt;1700);0,7;AND($U252&gt;1850;$U252&lt;=1900);0,7;TRUE;0,2));IF(OR($B252="Ноги";$B252="Верх");IFS(AND($V252&gt;=125;$V252&lt;=135);1;AND($V252&gt;=115;$V252&lt;125);0,7;AND($V252&gt;135;$V252&lt;=145);0,7;AND($V252&gt;=105;$V252&lt;115);0,4;AND($V252&gt;145;$V252&lt;=155);0,4;TRUE;0,2);IFS(AND($V252&gt;=120;$V252&lt;=130);1;AND($V252&gt;=110;$V252&lt;120);0,7;AND($V252&gt;130;$V252&lt;=140);0,7;AND($V252&gt;=100;$V252&lt;110);0,4;AND($V252&gt;140;$V252&lt;=150);0,4;TRUE;0,2));IFS(AND($W252&gt;=55;$W252&lt;=65);1;AND($W252&gt;=50;$W252&lt;55);0,7;AND($W252&gt;65;$W252&lt;=70);0,7;AND($W252&gt;=45;$W252&lt;50);0,4;AND($W252&gt;70;$W252&lt;=75);0,4;TRUE;0,2);IF(OR($B252="Ноги";$B252="Верх");IFS(AND($X252&gt;=180;$X252&lt;=210);1;AND($X252&gt;=160;$X252&lt;180);0,7;AND($X252&gt;210;$X252&lt;=230);0,7;AND($X252&gt;=140;$X252&lt;160);0,4;AND($X252&gt;230;$X252&lt;=250);0,4;TRUE;0,2);IFS(AND($X252&gt;=140;$X252&lt;=170);1;AND($X252&gt;=120;$X252&lt;140);0,7;AND($X252&gt;170;$X252&lt;=190);0,7;AND($X252&gt;=100;$X252&lt;120);0,4;AND($X252&gt;190;$X252&lt;=210);0,4;TRUE;0,2)))));1);""))</f>
        <v/>
      </c>
      <c r="Z252">
        <f>IF($A252="";"";TEXTJOIN(", ";TRUE;IF($B252="";"Тренировка";"");IF($C252="";"Кардио";"");IF($D252="";"Шаги";"");IF($E252="";"Английский";"");IF($F252="";"Код-режим";"");IF($G252="";"Код-тема";"");IF($H252="";"Чтение";"");IF($L252="";"Сон";"");IF($M252="";"Режим";"");IF($N252="";"Продуктивность";"");IF($O252="";"Настроение";"");IF($P252="";"Энергия";"");IF($U252="";"Еда";"")))</f>
        <v/>
      </c>
    </row>
    <row r="253">
      <c r="B253" t="inlineStr"/>
      <c r="C253" t="inlineStr"/>
      <c r="D253" t="inlineStr"/>
      <c r="E253" t="inlineStr"/>
      <c r="F253" t="inlineStr"/>
      <c r="G253" t="inlineStr"/>
      <c r="H253" t="inlineStr"/>
      <c r="I253" t="inlineStr"/>
      <c r="J253" t="inlineStr"/>
      <c r="K253" t="inlineStr"/>
      <c r="L253" t="inlineStr"/>
      <c r="M253" t="inlineStr"/>
      <c r="N253" t="inlineStr"/>
      <c r="O253" t="inlineStr"/>
      <c r="P253" t="inlineStr"/>
      <c r="Q253" t="inlineStr"/>
      <c r="R253" t="inlineStr"/>
      <c r="S253" t="inlineStr"/>
      <c r="T253" t="inlineStr"/>
      <c r="U253">
        <f>IF($A253="";"";IF(SUMIF(FoodLog!$A:$A;$A253;FoodLog!$I:$I)=0;"";SUMIF(FoodLog!$A:$A;$A253;FoodLog!$I:$I)))</f>
        <v/>
      </c>
      <c r="V253">
        <f>IF($A253="";"";IF(SUMIF(FoodLog!$A:$A;$A253;FoodLog!$F:$F)=0;"";SUMIF(FoodLog!$A:$A;$A253;FoodLog!$F:$F)))</f>
        <v/>
      </c>
      <c r="W253">
        <f>IF($A253="";"";IF(SUMIF(FoodLog!$A:$A;$A253;FoodLog!$G:$G)=0;"";SUMIF(FoodLog!$A:$A;$A253;FoodLog!$G:$G)))</f>
        <v/>
      </c>
      <c r="X253">
        <f>IF($A253="";"";IF(SUMIF(FoodLog!$A:$A;$A253;FoodLog!$H:$H)=0;"";SUMIF(FoodLog!$A:$A;$A253;FoodLog!$H:$H)))</f>
        <v/>
      </c>
      <c r="Y253">
        <f>IF($A253="";"";IFERROR(ROUND(100*AVERAGE(IF($B253="";"";XLOOKUP($B253;FILTER(Dictionaries!$B:$B;Dictionaries!$A:$A="Тренировка");FILTER(Dictionaries!$C:$C;Dictionaries!$A:$A="Тренировка")));IF($C253="";"";MIN($C253/40;1));IF($D253="";"";XLOOKUP($D253;FILTER(Dictionaries!$B:$B;Dictionaries!$A:$A="Шаги");FILTER(Dictionaries!$C:$C;Dictionaries!$A:$A="Шаги")));IF($E253="";"";MIN($E253/120;1));IF(OR($F253&lt;&gt;"";$G253&lt;&gt;"");1;"");IF($H253="";"";MIN($H253/100;1));IF($L253="";"";XLOOKUP($L253;FILTER(Dictionaries!$B:$B;Dictionaries!$A:$A="Сон_часы");FILTER(Dictionaries!$C:$C;Dictionaries!$A:$A="Сон_часы")));IF($M253="";"";XLOOKUP($M253;FILTER(Dictionaries!$B:$B;Dictionaries!$A:$A="Режим");FILTER(Dictionaries!$C:$C;Dictionaries!$A:$A="Режим")));IF($N253="";"";MIN($N253/100;1));IF($O253="";"";XLOOKUP($O253;FILTER(Dictionaries!$B:$B;Dictionaries!$A:$A="Настроение");FILTER(Dictionaries!$C:$C;Dictionaries!$A:$A="Настроение")));IF($P253="";"";XLOOKUP($P253;FILTER(Dictionaries!$B:$B;Dictionaries!$A:$A="Энергия");FILTER(Dictionaries!$C:$C;Dictionaries!$A:$A="Энергия")));IF($U253="";"";AVERAGE(IF(OR($B253="Ноги";$B253="Верх");IFS(AND($U253&gt;=1900;$U253&lt;=2050);1;AND($U253&gt;=1850;$U253&lt;1900);0,7;AND($U253&gt;2050;$U253&lt;=2100);0,7;TRUE;0,2);IFS(AND($U253&gt;=1700;$U253&lt;=1850);1;AND($U253&gt;=1650;$U253&lt;1700);0,7;AND($U253&gt;1850;$U253&lt;=1900);0,7;TRUE;0,2));IF(OR($B253="Ноги";$B253="Верх");IFS(AND($V253&gt;=125;$V253&lt;=135);1;AND($V253&gt;=115;$V253&lt;125);0,7;AND($V253&gt;135;$V253&lt;=145);0,7;AND($V253&gt;=105;$V253&lt;115);0,4;AND($V253&gt;145;$V253&lt;=155);0,4;TRUE;0,2);IFS(AND($V253&gt;=120;$V253&lt;=130);1;AND($V253&gt;=110;$V253&lt;120);0,7;AND($V253&gt;130;$V253&lt;=140);0,7;AND($V253&gt;=100;$V253&lt;110);0,4;AND($V253&gt;140;$V253&lt;=150);0,4;TRUE;0,2));IFS(AND($W253&gt;=55;$W253&lt;=65);1;AND($W253&gt;=50;$W253&lt;55);0,7;AND($W253&gt;65;$W253&lt;=70);0,7;AND($W253&gt;=45;$W253&lt;50);0,4;AND($W253&gt;70;$W253&lt;=75);0,4;TRUE;0,2);IF(OR($B253="Ноги";$B253="Верх");IFS(AND($X253&gt;=180;$X253&lt;=210);1;AND($X253&gt;=160;$X253&lt;180);0,7;AND($X253&gt;210;$X253&lt;=230);0,7;AND($X253&gt;=140;$X253&lt;160);0,4;AND($X253&gt;230;$X253&lt;=250);0,4;TRUE;0,2);IFS(AND($X253&gt;=140;$X253&lt;=170);1;AND($X253&gt;=120;$X253&lt;140);0,7;AND($X253&gt;170;$X253&lt;=190);0,7;AND($X253&gt;=100;$X253&lt;120);0,4;AND($X253&gt;190;$X253&lt;=210);0,4;TRUE;0,2)))));1);""))</f>
        <v/>
      </c>
      <c r="Z253">
        <f>IF($A253="";"";TEXTJOIN(", ";TRUE;IF($B253="";"Тренировка";"");IF($C253="";"Кардио";"");IF($D253="";"Шаги";"");IF($E253="";"Английский";"");IF($F253="";"Код-режим";"");IF($G253="";"Код-тема";"");IF($H253="";"Чтение";"");IF($L253="";"Сон";"");IF($M253="";"Режим";"");IF($N253="";"Продуктивность";"");IF($O253="";"Настроение";"");IF($P253="";"Энергия";"");IF($U253="";"Еда";"")))</f>
        <v/>
      </c>
    </row>
    <row r="254">
      <c r="B254" t="inlineStr"/>
      <c r="C254" t="inlineStr"/>
      <c r="D254" t="inlineStr"/>
      <c r="E254" t="inlineStr"/>
      <c r="F254" t="inlineStr"/>
      <c r="G254" t="inlineStr"/>
      <c r="H254" t="inlineStr"/>
      <c r="I254" t="inlineStr"/>
      <c r="J254" t="inlineStr"/>
      <c r="K254" t="inlineStr"/>
      <c r="L254" t="inlineStr"/>
      <c r="M254" t="inlineStr"/>
      <c r="N254" t="inlineStr"/>
      <c r="O254" t="inlineStr"/>
      <c r="P254" t="inlineStr"/>
      <c r="Q254" t="inlineStr"/>
      <c r="R254" t="inlineStr"/>
      <c r="S254" t="inlineStr"/>
      <c r="T254" t="inlineStr"/>
      <c r="U254">
        <f>IF($A254="";"";IF(SUMIF(FoodLog!$A:$A;$A254;FoodLog!$I:$I)=0;"";SUMIF(FoodLog!$A:$A;$A254;FoodLog!$I:$I)))</f>
        <v/>
      </c>
      <c r="V254">
        <f>IF($A254="";"";IF(SUMIF(FoodLog!$A:$A;$A254;FoodLog!$F:$F)=0;"";SUMIF(FoodLog!$A:$A;$A254;FoodLog!$F:$F)))</f>
        <v/>
      </c>
      <c r="W254">
        <f>IF($A254="";"";IF(SUMIF(FoodLog!$A:$A;$A254;FoodLog!$G:$G)=0;"";SUMIF(FoodLog!$A:$A;$A254;FoodLog!$G:$G)))</f>
        <v/>
      </c>
      <c r="X254">
        <f>IF($A254="";"";IF(SUMIF(FoodLog!$A:$A;$A254;FoodLog!$H:$H)=0;"";SUMIF(FoodLog!$A:$A;$A254;FoodLog!$H:$H)))</f>
        <v/>
      </c>
      <c r="Y254">
        <f>IF($A254="";"";IFERROR(ROUND(100*AVERAGE(IF($B254="";"";XLOOKUP($B254;FILTER(Dictionaries!$B:$B;Dictionaries!$A:$A="Тренировка");FILTER(Dictionaries!$C:$C;Dictionaries!$A:$A="Тренировка")));IF($C254="";"";MIN($C254/40;1));IF($D254="";"";XLOOKUP($D254;FILTER(Dictionaries!$B:$B;Dictionaries!$A:$A="Шаги");FILTER(Dictionaries!$C:$C;Dictionaries!$A:$A="Шаги")));IF($E254="";"";MIN($E254/120;1));IF(OR($F254&lt;&gt;"";$G254&lt;&gt;"");1;"");IF($H254="";"";MIN($H254/100;1));IF($L254="";"";XLOOKUP($L254;FILTER(Dictionaries!$B:$B;Dictionaries!$A:$A="Сон_часы");FILTER(Dictionaries!$C:$C;Dictionaries!$A:$A="Сон_часы")));IF($M254="";"";XLOOKUP($M254;FILTER(Dictionaries!$B:$B;Dictionaries!$A:$A="Режим");FILTER(Dictionaries!$C:$C;Dictionaries!$A:$A="Режим")));IF($N254="";"";MIN($N254/100;1));IF($O254="";"";XLOOKUP($O254;FILTER(Dictionaries!$B:$B;Dictionaries!$A:$A="Настроение");FILTER(Dictionaries!$C:$C;Dictionaries!$A:$A="Настроение")));IF($P254="";"";XLOOKUP($P254;FILTER(Dictionaries!$B:$B;Dictionaries!$A:$A="Энергия");FILTER(Dictionaries!$C:$C;Dictionaries!$A:$A="Энергия")));IF($U254="";"";AVERAGE(IF(OR($B254="Ноги";$B254="Верх");IFS(AND($U254&gt;=1900;$U254&lt;=2050);1;AND($U254&gt;=1850;$U254&lt;1900);0,7;AND($U254&gt;2050;$U254&lt;=2100);0,7;TRUE;0,2);IFS(AND($U254&gt;=1700;$U254&lt;=1850);1;AND($U254&gt;=1650;$U254&lt;1700);0,7;AND($U254&gt;1850;$U254&lt;=1900);0,7;TRUE;0,2));IF(OR($B254="Ноги";$B254="Верх");IFS(AND($V254&gt;=125;$V254&lt;=135);1;AND($V254&gt;=115;$V254&lt;125);0,7;AND($V254&gt;135;$V254&lt;=145);0,7;AND($V254&gt;=105;$V254&lt;115);0,4;AND($V254&gt;145;$V254&lt;=155);0,4;TRUE;0,2);IFS(AND($V254&gt;=120;$V254&lt;=130);1;AND($V254&gt;=110;$V254&lt;120);0,7;AND($V254&gt;130;$V254&lt;=140);0,7;AND($V254&gt;=100;$V254&lt;110);0,4;AND($V254&gt;140;$V254&lt;=150);0,4;TRUE;0,2));IFS(AND($W254&gt;=55;$W254&lt;=65);1;AND($W254&gt;=50;$W254&lt;55);0,7;AND($W254&gt;65;$W254&lt;=70);0,7;AND($W254&gt;=45;$W254&lt;50);0,4;AND($W254&gt;70;$W254&lt;=75);0,4;TRUE;0,2);IF(OR($B254="Ноги";$B254="Верх");IFS(AND($X254&gt;=180;$X254&lt;=210);1;AND($X254&gt;=160;$X254&lt;180);0,7;AND($X254&gt;210;$X254&lt;=230);0,7;AND($X254&gt;=140;$X254&lt;160);0,4;AND($X254&gt;230;$X254&lt;=250);0,4;TRUE;0,2);IFS(AND($X254&gt;=140;$X254&lt;=170);1;AND($X254&gt;=120;$X254&lt;140);0,7;AND($X254&gt;170;$X254&lt;=190);0,7;AND($X254&gt;=100;$X254&lt;120);0,4;AND($X254&gt;190;$X254&lt;=210);0,4;TRUE;0,2)))));1);""))</f>
        <v/>
      </c>
      <c r="Z254">
        <f>IF($A254="";"";TEXTJOIN(", ";TRUE;IF($B254="";"Тренировка";"");IF($C254="";"Кардио";"");IF($D254="";"Шаги";"");IF($E254="";"Английский";"");IF($F254="";"Код-режим";"");IF($G254="";"Код-тема";"");IF($H254="";"Чтение";"");IF($L254="";"Сон";"");IF($M254="";"Режим";"");IF($N254="";"Продуктивность";"");IF($O254="";"Настроение";"");IF($P254="";"Энергия";"");IF($U254="";"Еда";"")))</f>
        <v/>
      </c>
    </row>
    <row r="255">
      <c r="B255" t="inlineStr"/>
      <c r="C255" t="inlineStr"/>
      <c r="D255" t="inlineStr"/>
      <c r="E255" t="inlineStr"/>
      <c r="F255" t="inlineStr"/>
      <c r="G255" t="inlineStr"/>
      <c r="H255" t="inlineStr"/>
      <c r="I255" t="inlineStr"/>
      <c r="J255" t="inlineStr"/>
      <c r="K255" t="inlineStr"/>
      <c r="L255" t="inlineStr"/>
      <c r="M255" t="inlineStr"/>
      <c r="N255" t="inlineStr"/>
      <c r="O255" t="inlineStr"/>
      <c r="P255" t="inlineStr"/>
      <c r="Q255" t="inlineStr"/>
      <c r="R255" t="inlineStr"/>
      <c r="S255" t="inlineStr"/>
      <c r="T255" t="inlineStr"/>
      <c r="U255">
        <f>IF($A255="";"";IF(SUMIF(FoodLog!$A:$A;$A255;FoodLog!$I:$I)=0;"";SUMIF(FoodLog!$A:$A;$A255;FoodLog!$I:$I)))</f>
        <v/>
      </c>
      <c r="V255">
        <f>IF($A255="";"";IF(SUMIF(FoodLog!$A:$A;$A255;FoodLog!$F:$F)=0;"";SUMIF(FoodLog!$A:$A;$A255;FoodLog!$F:$F)))</f>
        <v/>
      </c>
      <c r="W255">
        <f>IF($A255="";"";IF(SUMIF(FoodLog!$A:$A;$A255;FoodLog!$G:$G)=0;"";SUMIF(FoodLog!$A:$A;$A255;FoodLog!$G:$G)))</f>
        <v/>
      </c>
      <c r="X255">
        <f>IF($A255="";"";IF(SUMIF(FoodLog!$A:$A;$A255;FoodLog!$H:$H)=0;"";SUMIF(FoodLog!$A:$A;$A255;FoodLog!$H:$H)))</f>
        <v/>
      </c>
      <c r="Y255">
        <f>IF($A255="";"";IFERROR(ROUND(100*AVERAGE(IF($B255="";"";XLOOKUP($B255;FILTER(Dictionaries!$B:$B;Dictionaries!$A:$A="Тренировка");FILTER(Dictionaries!$C:$C;Dictionaries!$A:$A="Тренировка")));IF($C255="";"";MIN($C255/40;1));IF($D255="";"";XLOOKUP($D255;FILTER(Dictionaries!$B:$B;Dictionaries!$A:$A="Шаги");FILTER(Dictionaries!$C:$C;Dictionaries!$A:$A="Шаги")));IF($E255="";"";MIN($E255/120;1));IF(OR($F255&lt;&gt;"";$G255&lt;&gt;"");1;"");IF($H255="";"";MIN($H255/100;1));IF($L255="";"";XLOOKUP($L255;FILTER(Dictionaries!$B:$B;Dictionaries!$A:$A="Сон_часы");FILTER(Dictionaries!$C:$C;Dictionaries!$A:$A="Сон_часы")));IF($M255="";"";XLOOKUP($M255;FILTER(Dictionaries!$B:$B;Dictionaries!$A:$A="Режим");FILTER(Dictionaries!$C:$C;Dictionaries!$A:$A="Режим")));IF($N255="";"";MIN($N255/100;1));IF($O255="";"";XLOOKUP($O255;FILTER(Dictionaries!$B:$B;Dictionaries!$A:$A="Настроение");FILTER(Dictionaries!$C:$C;Dictionaries!$A:$A="Настроение")));IF($P255="";"";XLOOKUP($P255;FILTER(Dictionaries!$B:$B;Dictionaries!$A:$A="Энергия");FILTER(Dictionaries!$C:$C;Dictionaries!$A:$A="Энергия")));IF($U255="";"";AVERAGE(IF(OR($B255="Ноги";$B255="Верх");IFS(AND($U255&gt;=1900;$U255&lt;=2050);1;AND($U255&gt;=1850;$U255&lt;1900);0,7;AND($U255&gt;2050;$U255&lt;=2100);0,7;TRUE;0,2);IFS(AND($U255&gt;=1700;$U255&lt;=1850);1;AND($U255&gt;=1650;$U255&lt;1700);0,7;AND($U255&gt;1850;$U255&lt;=1900);0,7;TRUE;0,2));IF(OR($B255="Ноги";$B255="Верх");IFS(AND($V255&gt;=125;$V255&lt;=135);1;AND($V255&gt;=115;$V255&lt;125);0,7;AND($V255&gt;135;$V255&lt;=145);0,7;AND($V255&gt;=105;$V255&lt;115);0,4;AND($V255&gt;145;$V255&lt;=155);0,4;TRUE;0,2);IFS(AND($V255&gt;=120;$V255&lt;=130);1;AND($V255&gt;=110;$V255&lt;120);0,7;AND($V255&gt;130;$V255&lt;=140);0,7;AND($V255&gt;=100;$V255&lt;110);0,4;AND($V255&gt;140;$V255&lt;=150);0,4;TRUE;0,2));IFS(AND($W255&gt;=55;$W255&lt;=65);1;AND($W255&gt;=50;$W255&lt;55);0,7;AND($W255&gt;65;$W255&lt;=70);0,7;AND($W255&gt;=45;$W255&lt;50);0,4;AND($W255&gt;70;$W255&lt;=75);0,4;TRUE;0,2);IF(OR($B255="Ноги";$B255="Верх");IFS(AND($X255&gt;=180;$X255&lt;=210);1;AND($X255&gt;=160;$X255&lt;180);0,7;AND($X255&gt;210;$X255&lt;=230);0,7;AND($X255&gt;=140;$X255&lt;160);0,4;AND($X255&gt;230;$X255&lt;=250);0,4;TRUE;0,2);IFS(AND($X255&gt;=140;$X255&lt;=170);1;AND($X255&gt;=120;$X255&lt;140);0,7;AND($X255&gt;170;$X255&lt;=190);0,7;AND($X255&gt;=100;$X255&lt;120);0,4;AND($X255&gt;190;$X255&lt;=210);0,4;TRUE;0,2)))));1);""))</f>
        <v/>
      </c>
      <c r="Z255">
        <f>IF($A255="";"";TEXTJOIN(", ";TRUE;IF($B255="";"Тренировка";"");IF($C255="";"Кардио";"");IF($D255="";"Шаги";"");IF($E255="";"Английский";"");IF($F255="";"Код-режим";"");IF($G255="";"Код-тема";"");IF($H255="";"Чтение";"");IF($L255="";"Сон";"");IF($M255="";"Режим";"");IF($N255="";"Продуктивность";"");IF($O255="";"Настроение";"");IF($P255="";"Энергия";"");IF($U255="";"Еда";"")))</f>
        <v/>
      </c>
    </row>
    <row r="256">
      <c r="B256" t="inlineStr"/>
      <c r="C256" t="inlineStr"/>
      <c r="D256" t="inlineStr"/>
      <c r="E256" t="inlineStr"/>
      <c r="F256" t="inlineStr"/>
      <c r="G256" t="inlineStr"/>
      <c r="H256" t="inlineStr"/>
      <c r="I256" t="inlineStr"/>
      <c r="J256" t="inlineStr"/>
      <c r="K256" t="inlineStr"/>
      <c r="L256" t="inlineStr"/>
      <c r="M256" t="inlineStr"/>
      <c r="N256" t="inlineStr"/>
      <c r="O256" t="inlineStr"/>
      <c r="P256" t="inlineStr"/>
      <c r="Q256" t="inlineStr"/>
      <c r="R256" t="inlineStr"/>
      <c r="S256" t="inlineStr"/>
      <c r="T256" t="inlineStr"/>
      <c r="U256">
        <f>IF($A256="";"";IF(SUMIF(FoodLog!$A:$A;$A256;FoodLog!$I:$I)=0;"";SUMIF(FoodLog!$A:$A;$A256;FoodLog!$I:$I)))</f>
        <v/>
      </c>
      <c r="V256">
        <f>IF($A256="";"";IF(SUMIF(FoodLog!$A:$A;$A256;FoodLog!$F:$F)=0;"";SUMIF(FoodLog!$A:$A;$A256;FoodLog!$F:$F)))</f>
        <v/>
      </c>
      <c r="W256">
        <f>IF($A256="";"";IF(SUMIF(FoodLog!$A:$A;$A256;FoodLog!$G:$G)=0;"";SUMIF(FoodLog!$A:$A;$A256;FoodLog!$G:$G)))</f>
        <v/>
      </c>
      <c r="X256">
        <f>IF($A256="";"";IF(SUMIF(FoodLog!$A:$A;$A256;FoodLog!$H:$H)=0;"";SUMIF(FoodLog!$A:$A;$A256;FoodLog!$H:$H)))</f>
        <v/>
      </c>
      <c r="Y256">
        <f>IF($A256="";"";IFERROR(ROUND(100*AVERAGE(IF($B256="";"";XLOOKUP($B256;FILTER(Dictionaries!$B:$B;Dictionaries!$A:$A="Тренировка");FILTER(Dictionaries!$C:$C;Dictionaries!$A:$A="Тренировка")));IF($C256="";"";MIN($C256/40;1));IF($D256="";"";XLOOKUP($D256;FILTER(Dictionaries!$B:$B;Dictionaries!$A:$A="Шаги");FILTER(Dictionaries!$C:$C;Dictionaries!$A:$A="Шаги")));IF($E256="";"";MIN($E256/120;1));IF(OR($F256&lt;&gt;"";$G256&lt;&gt;"");1;"");IF($H256="";"";MIN($H256/100;1));IF($L256="";"";XLOOKUP($L256;FILTER(Dictionaries!$B:$B;Dictionaries!$A:$A="Сон_часы");FILTER(Dictionaries!$C:$C;Dictionaries!$A:$A="Сон_часы")));IF($M256="";"";XLOOKUP($M256;FILTER(Dictionaries!$B:$B;Dictionaries!$A:$A="Режим");FILTER(Dictionaries!$C:$C;Dictionaries!$A:$A="Режим")));IF($N256="";"";MIN($N256/100;1));IF($O256="";"";XLOOKUP($O256;FILTER(Dictionaries!$B:$B;Dictionaries!$A:$A="Настроение");FILTER(Dictionaries!$C:$C;Dictionaries!$A:$A="Настроение")));IF($P256="";"";XLOOKUP($P256;FILTER(Dictionaries!$B:$B;Dictionaries!$A:$A="Энергия");FILTER(Dictionaries!$C:$C;Dictionaries!$A:$A="Энергия")));IF($U256="";"";AVERAGE(IF(OR($B256="Ноги";$B256="Верх");IFS(AND($U256&gt;=1900;$U256&lt;=2050);1;AND($U256&gt;=1850;$U256&lt;1900);0,7;AND($U256&gt;2050;$U256&lt;=2100);0,7;TRUE;0,2);IFS(AND($U256&gt;=1700;$U256&lt;=1850);1;AND($U256&gt;=1650;$U256&lt;1700);0,7;AND($U256&gt;1850;$U256&lt;=1900);0,7;TRUE;0,2));IF(OR($B256="Ноги";$B256="Верх");IFS(AND($V256&gt;=125;$V256&lt;=135);1;AND($V256&gt;=115;$V256&lt;125);0,7;AND($V256&gt;135;$V256&lt;=145);0,7;AND($V256&gt;=105;$V256&lt;115);0,4;AND($V256&gt;145;$V256&lt;=155);0,4;TRUE;0,2);IFS(AND($V256&gt;=120;$V256&lt;=130);1;AND($V256&gt;=110;$V256&lt;120);0,7;AND($V256&gt;130;$V256&lt;=140);0,7;AND($V256&gt;=100;$V256&lt;110);0,4;AND($V256&gt;140;$V256&lt;=150);0,4;TRUE;0,2));IFS(AND($W256&gt;=55;$W256&lt;=65);1;AND($W256&gt;=50;$W256&lt;55);0,7;AND($W256&gt;65;$W256&lt;=70);0,7;AND($W256&gt;=45;$W256&lt;50);0,4;AND($W256&gt;70;$W256&lt;=75);0,4;TRUE;0,2);IF(OR($B256="Ноги";$B256="Верх");IFS(AND($X256&gt;=180;$X256&lt;=210);1;AND($X256&gt;=160;$X256&lt;180);0,7;AND($X256&gt;210;$X256&lt;=230);0,7;AND($X256&gt;=140;$X256&lt;160);0,4;AND($X256&gt;230;$X256&lt;=250);0,4;TRUE;0,2);IFS(AND($X256&gt;=140;$X256&lt;=170);1;AND($X256&gt;=120;$X256&lt;140);0,7;AND($X256&gt;170;$X256&lt;=190);0,7;AND($X256&gt;=100;$X256&lt;120);0,4;AND($X256&gt;190;$X256&lt;=210);0,4;TRUE;0,2)))));1);""))</f>
        <v/>
      </c>
      <c r="Z256">
        <f>IF($A256="";"";TEXTJOIN(", ";TRUE;IF($B256="";"Тренировка";"");IF($C256="";"Кардио";"");IF($D256="";"Шаги";"");IF($E256="";"Английский";"");IF($F256="";"Код-режим";"");IF($G256="";"Код-тема";"");IF($H256="";"Чтение";"");IF($L256="";"Сон";"");IF($M256="";"Режим";"");IF($N256="";"Продуктивность";"");IF($O256="";"Настроение";"");IF($P256="";"Энергия";"");IF($U256="";"Еда";"")))</f>
        <v/>
      </c>
    </row>
    <row r="257">
      <c r="B257" t="inlineStr"/>
      <c r="C257" t="inlineStr"/>
      <c r="D257" t="inlineStr"/>
      <c r="E257" t="inlineStr"/>
      <c r="F257" t="inlineStr"/>
      <c r="G257" t="inlineStr"/>
      <c r="H257" t="inlineStr"/>
      <c r="I257" t="inlineStr"/>
      <c r="J257" t="inlineStr"/>
      <c r="K257" t="inlineStr"/>
      <c r="L257" t="inlineStr"/>
      <c r="M257" t="inlineStr"/>
      <c r="N257" t="inlineStr"/>
      <c r="O257" t="inlineStr"/>
      <c r="P257" t="inlineStr"/>
      <c r="Q257" t="inlineStr"/>
      <c r="R257" t="inlineStr"/>
      <c r="S257" t="inlineStr"/>
      <c r="T257" t="inlineStr"/>
      <c r="U257">
        <f>IF($A257="";"";IF(SUMIF(FoodLog!$A:$A;$A257;FoodLog!$I:$I)=0;"";SUMIF(FoodLog!$A:$A;$A257;FoodLog!$I:$I)))</f>
        <v/>
      </c>
      <c r="V257">
        <f>IF($A257="";"";IF(SUMIF(FoodLog!$A:$A;$A257;FoodLog!$F:$F)=0;"";SUMIF(FoodLog!$A:$A;$A257;FoodLog!$F:$F)))</f>
        <v/>
      </c>
      <c r="W257">
        <f>IF($A257="";"";IF(SUMIF(FoodLog!$A:$A;$A257;FoodLog!$G:$G)=0;"";SUMIF(FoodLog!$A:$A;$A257;FoodLog!$G:$G)))</f>
        <v/>
      </c>
      <c r="X257">
        <f>IF($A257="";"";IF(SUMIF(FoodLog!$A:$A;$A257;FoodLog!$H:$H)=0;"";SUMIF(FoodLog!$A:$A;$A257;FoodLog!$H:$H)))</f>
        <v/>
      </c>
      <c r="Y257">
        <f>IF($A257="";"";IFERROR(ROUND(100*AVERAGE(IF($B257="";"";XLOOKUP($B257;FILTER(Dictionaries!$B:$B;Dictionaries!$A:$A="Тренировка");FILTER(Dictionaries!$C:$C;Dictionaries!$A:$A="Тренировка")));IF($C257="";"";MIN($C257/40;1));IF($D257="";"";XLOOKUP($D257;FILTER(Dictionaries!$B:$B;Dictionaries!$A:$A="Шаги");FILTER(Dictionaries!$C:$C;Dictionaries!$A:$A="Шаги")));IF($E257="";"";MIN($E257/120;1));IF(OR($F257&lt;&gt;"";$G257&lt;&gt;"");1;"");IF($H257="";"";MIN($H257/100;1));IF($L257="";"";XLOOKUP($L257;FILTER(Dictionaries!$B:$B;Dictionaries!$A:$A="Сон_часы");FILTER(Dictionaries!$C:$C;Dictionaries!$A:$A="Сон_часы")));IF($M257="";"";XLOOKUP($M257;FILTER(Dictionaries!$B:$B;Dictionaries!$A:$A="Режим");FILTER(Dictionaries!$C:$C;Dictionaries!$A:$A="Режим")));IF($N257="";"";MIN($N257/100;1));IF($O257="";"";XLOOKUP($O257;FILTER(Dictionaries!$B:$B;Dictionaries!$A:$A="Настроение");FILTER(Dictionaries!$C:$C;Dictionaries!$A:$A="Настроение")));IF($P257="";"";XLOOKUP($P257;FILTER(Dictionaries!$B:$B;Dictionaries!$A:$A="Энергия");FILTER(Dictionaries!$C:$C;Dictionaries!$A:$A="Энергия")));IF($U257="";"";AVERAGE(IF(OR($B257="Ноги";$B257="Верх");IFS(AND($U257&gt;=1900;$U257&lt;=2050);1;AND($U257&gt;=1850;$U257&lt;1900);0,7;AND($U257&gt;2050;$U257&lt;=2100);0,7;TRUE;0,2);IFS(AND($U257&gt;=1700;$U257&lt;=1850);1;AND($U257&gt;=1650;$U257&lt;1700);0,7;AND($U257&gt;1850;$U257&lt;=1900);0,7;TRUE;0,2));IF(OR($B257="Ноги";$B257="Верх");IFS(AND($V257&gt;=125;$V257&lt;=135);1;AND($V257&gt;=115;$V257&lt;125);0,7;AND($V257&gt;135;$V257&lt;=145);0,7;AND($V257&gt;=105;$V257&lt;115);0,4;AND($V257&gt;145;$V257&lt;=155);0,4;TRUE;0,2);IFS(AND($V257&gt;=120;$V257&lt;=130);1;AND($V257&gt;=110;$V257&lt;120);0,7;AND($V257&gt;130;$V257&lt;=140);0,7;AND($V257&gt;=100;$V257&lt;110);0,4;AND($V257&gt;140;$V257&lt;=150);0,4;TRUE;0,2));IFS(AND($W257&gt;=55;$W257&lt;=65);1;AND($W257&gt;=50;$W257&lt;55);0,7;AND($W257&gt;65;$W257&lt;=70);0,7;AND($W257&gt;=45;$W257&lt;50);0,4;AND($W257&gt;70;$W257&lt;=75);0,4;TRUE;0,2);IF(OR($B257="Ноги";$B257="Верх");IFS(AND($X257&gt;=180;$X257&lt;=210);1;AND($X257&gt;=160;$X257&lt;180);0,7;AND($X257&gt;210;$X257&lt;=230);0,7;AND($X257&gt;=140;$X257&lt;160);0,4;AND($X257&gt;230;$X257&lt;=250);0,4;TRUE;0,2);IFS(AND($X257&gt;=140;$X257&lt;=170);1;AND($X257&gt;=120;$X257&lt;140);0,7;AND($X257&gt;170;$X257&lt;=190);0,7;AND($X257&gt;=100;$X257&lt;120);0,4;AND($X257&gt;190;$X257&lt;=210);0,4;TRUE;0,2)))));1);""))</f>
        <v/>
      </c>
      <c r="Z257">
        <f>IF($A257="";"";TEXTJOIN(", ";TRUE;IF($B257="";"Тренировка";"");IF($C257="";"Кардио";"");IF($D257="";"Шаги";"");IF($E257="";"Английский";"");IF($F257="";"Код-режим";"");IF($G257="";"Код-тема";"");IF($H257="";"Чтение";"");IF($L257="";"Сон";"");IF($M257="";"Режим";"");IF($N257="";"Продуктивность";"");IF($O257="";"Настроение";"");IF($P257="";"Энергия";"");IF($U257="";"Еда";"")))</f>
        <v/>
      </c>
    </row>
    <row r="258">
      <c r="B258" t="inlineStr"/>
      <c r="C258" t="inlineStr"/>
      <c r="D258" t="inlineStr"/>
      <c r="E258" t="inlineStr"/>
      <c r="F258" t="inlineStr"/>
      <c r="G258" t="inlineStr"/>
      <c r="H258" t="inlineStr"/>
      <c r="I258" t="inlineStr"/>
      <c r="J258" t="inlineStr"/>
      <c r="K258" t="inlineStr"/>
      <c r="L258" t="inlineStr"/>
      <c r="M258" t="inlineStr"/>
      <c r="N258" t="inlineStr"/>
      <c r="O258" t="inlineStr"/>
      <c r="P258" t="inlineStr"/>
      <c r="Q258" t="inlineStr"/>
      <c r="R258" t="inlineStr"/>
      <c r="S258" t="inlineStr"/>
      <c r="T258" t="inlineStr"/>
      <c r="U258">
        <f>IF($A258="";"";IF(SUMIF(FoodLog!$A:$A;$A258;FoodLog!$I:$I)=0;"";SUMIF(FoodLog!$A:$A;$A258;FoodLog!$I:$I)))</f>
        <v/>
      </c>
      <c r="V258">
        <f>IF($A258="";"";IF(SUMIF(FoodLog!$A:$A;$A258;FoodLog!$F:$F)=0;"";SUMIF(FoodLog!$A:$A;$A258;FoodLog!$F:$F)))</f>
        <v/>
      </c>
      <c r="W258">
        <f>IF($A258="";"";IF(SUMIF(FoodLog!$A:$A;$A258;FoodLog!$G:$G)=0;"";SUMIF(FoodLog!$A:$A;$A258;FoodLog!$G:$G)))</f>
        <v/>
      </c>
      <c r="X258">
        <f>IF($A258="";"";IF(SUMIF(FoodLog!$A:$A;$A258;FoodLog!$H:$H)=0;"";SUMIF(FoodLog!$A:$A;$A258;FoodLog!$H:$H)))</f>
        <v/>
      </c>
      <c r="Y258">
        <f>IF($A258="";"";IFERROR(ROUND(100*AVERAGE(IF($B258="";"";XLOOKUP($B258;FILTER(Dictionaries!$B:$B;Dictionaries!$A:$A="Тренировка");FILTER(Dictionaries!$C:$C;Dictionaries!$A:$A="Тренировка")));IF($C258="";"";MIN($C258/40;1));IF($D258="";"";XLOOKUP($D258;FILTER(Dictionaries!$B:$B;Dictionaries!$A:$A="Шаги");FILTER(Dictionaries!$C:$C;Dictionaries!$A:$A="Шаги")));IF($E258="";"";MIN($E258/120;1));IF(OR($F258&lt;&gt;"";$G258&lt;&gt;"");1;"");IF($H258="";"";MIN($H258/100;1));IF($L258="";"";XLOOKUP($L258;FILTER(Dictionaries!$B:$B;Dictionaries!$A:$A="Сон_часы");FILTER(Dictionaries!$C:$C;Dictionaries!$A:$A="Сон_часы")));IF($M258="";"";XLOOKUP($M258;FILTER(Dictionaries!$B:$B;Dictionaries!$A:$A="Режим");FILTER(Dictionaries!$C:$C;Dictionaries!$A:$A="Режим")));IF($N258="";"";MIN($N258/100;1));IF($O258="";"";XLOOKUP($O258;FILTER(Dictionaries!$B:$B;Dictionaries!$A:$A="Настроение");FILTER(Dictionaries!$C:$C;Dictionaries!$A:$A="Настроение")));IF($P258="";"";XLOOKUP($P258;FILTER(Dictionaries!$B:$B;Dictionaries!$A:$A="Энергия");FILTER(Dictionaries!$C:$C;Dictionaries!$A:$A="Энергия")));IF($U258="";"";AVERAGE(IF(OR($B258="Ноги";$B258="Верх");IFS(AND($U258&gt;=1900;$U258&lt;=2050);1;AND($U258&gt;=1850;$U258&lt;1900);0,7;AND($U258&gt;2050;$U258&lt;=2100);0,7;TRUE;0,2);IFS(AND($U258&gt;=1700;$U258&lt;=1850);1;AND($U258&gt;=1650;$U258&lt;1700);0,7;AND($U258&gt;1850;$U258&lt;=1900);0,7;TRUE;0,2));IF(OR($B258="Ноги";$B258="Верх");IFS(AND($V258&gt;=125;$V258&lt;=135);1;AND($V258&gt;=115;$V258&lt;125);0,7;AND($V258&gt;135;$V258&lt;=145);0,7;AND($V258&gt;=105;$V258&lt;115);0,4;AND($V258&gt;145;$V258&lt;=155);0,4;TRUE;0,2);IFS(AND($V258&gt;=120;$V258&lt;=130);1;AND($V258&gt;=110;$V258&lt;120);0,7;AND($V258&gt;130;$V258&lt;=140);0,7;AND($V258&gt;=100;$V258&lt;110);0,4;AND($V258&gt;140;$V258&lt;=150);0,4;TRUE;0,2));IFS(AND($W258&gt;=55;$W258&lt;=65);1;AND($W258&gt;=50;$W258&lt;55);0,7;AND($W258&gt;65;$W258&lt;=70);0,7;AND($W258&gt;=45;$W258&lt;50);0,4;AND($W258&gt;70;$W258&lt;=75);0,4;TRUE;0,2);IF(OR($B258="Ноги";$B258="Верх");IFS(AND($X258&gt;=180;$X258&lt;=210);1;AND($X258&gt;=160;$X258&lt;180);0,7;AND($X258&gt;210;$X258&lt;=230);0,7;AND($X258&gt;=140;$X258&lt;160);0,4;AND($X258&gt;230;$X258&lt;=250);0,4;TRUE;0,2);IFS(AND($X258&gt;=140;$X258&lt;=170);1;AND($X258&gt;=120;$X258&lt;140);0,7;AND($X258&gt;170;$X258&lt;=190);0,7;AND($X258&gt;=100;$X258&lt;120);0,4;AND($X258&gt;190;$X258&lt;=210);0,4;TRUE;0,2)))));1);""))</f>
        <v/>
      </c>
      <c r="Z258">
        <f>IF($A258="";"";TEXTJOIN(", ";TRUE;IF($B258="";"Тренировка";"");IF($C258="";"Кардио";"");IF($D258="";"Шаги";"");IF($E258="";"Английский";"");IF($F258="";"Код-режим";"");IF($G258="";"Код-тема";"");IF($H258="";"Чтение";"");IF($L258="";"Сон";"");IF($M258="";"Режим";"");IF($N258="";"Продуктивность";"");IF($O258="";"Настроение";"");IF($P258="";"Энергия";"");IF($U258="";"Еда";"")))</f>
        <v/>
      </c>
    </row>
    <row r="259">
      <c r="B259" t="inlineStr"/>
      <c r="C259" t="inlineStr"/>
      <c r="D259" t="inlineStr"/>
      <c r="E259" t="inlineStr"/>
      <c r="F259" t="inlineStr"/>
      <c r="G259" t="inlineStr"/>
      <c r="H259" t="inlineStr"/>
      <c r="I259" t="inlineStr"/>
      <c r="J259" t="inlineStr"/>
      <c r="K259" t="inlineStr"/>
      <c r="L259" t="inlineStr"/>
      <c r="M259" t="inlineStr"/>
      <c r="N259" t="inlineStr"/>
      <c r="O259" t="inlineStr"/>
      <c r="P259" t="inlineStr"/>
      <c r="Q259" t="inlineStr"/>
      <c r="R259" t="inlineStr"/>
      <c r="S259" t="inlineStr"/>
      <c r="T259" t="inlineStr"/>
      <c r="U259">
        <f>IF($A259="";"";IF(SUMIF(FoodLog!$A:$A;$A259;FoodLog!$I:$I)=0;"";SUMIF(FoodLog!$A:$A;$A259;FoodLog!$I:$I)))</f>
        <v/>
      </c>
      <c r="V259">
        <f>IF($A259="";"";IF(SUMIF(FoodLog!$A:$A;$A259;FoodLog!$F:$F)=0;"";SUMIF(FoodLog!$A:$A;$A259;FoodLog!$F:$F)))</f>
        <v/>
      </c>
      <c r="W259">
        <f>IF($A259="";"";IF(SUMIF(FoodLog!$A:$A;$A259;FoodLog!$G:$G)=0;"";SUMIF(FoodLog!$A:$A;$A259;FoodLog!$G:$G)))</f>
        <v/>
      </c>
      <c r="X259">
        <f>IF($A259="";"";IF(SUMIF(FoodLog!$A:$A;$A259;FoodLog!$H:$H)=0;"";SUMIF(FoodLog!$A:$A;$A259;FoodLog!$H:$H)))</f>
        <v/>
      </c>
      <c r="Y259">
        <f>IF($A259="";"";IFERROR(ROUND(100*AVERAGE(IF($B259="";"";XLOOKUP($B259;FILTER(Dictionaries!$B:$B;Dictionaries!$A:$A="Тренировка");FILTER(Dictionaries!$C:$C;Dictionaries!$A:$A="Тренировка")));IF($C259="";"";MIN($C259/40;1));IF($D259="";"";XLOOKUP($D259;FILTER(Dictionaries!$B:$B;Dictionaries!$A:$A="Шаги");FILTER(Dictionaries!$C:$C;Dictionaries!$A:$A="Шаги")));IF($E259="";"";MIN($E259/120;1));IF(OR($F259&lt;&gt;"";$G259&lt;&gt;"");1;"");IF($H259="";"";MIN($H259/100;1));IF($L259="";"";XLOOKUP($L259;FILTER(Dictionaries!$B:$B;Dictionaries!$A:$A="Сон_часы");FILTER(Dictionaries!$C:$C;Dictionaries!$A:$A="Сон_часы")));IF($M259="";"";XLOOKUP($M259;FILTER(Dictionaries!$B:$B;Dictionaries!$A:$A="Режим");FILTER(Dictionaries!$C:$C;Dictionaries!$A:$A="Режим")));IF($N259="";"";MIN($N259/100;1));IF($O259="";"";XLOOKUP($O259;FILTER(Dictionaries!$B:$B;Dictionaries!$A:$A="Настроение");FILTER(Dictionaries!$C:$C;Dictionaries!$A:$A="Настроение")));IF($P259="";"";XLOOKUP($P259;FILTER(Dictionaries!$B:$B;Dictionaries!$A:$A="Энергия");FILTER(Dictionaries!$C:$C;Dictionaries!$A:$A="Энергия")));IF($U259="";"";AVERAGE(IF(OR($B259="Ноги";$B259="Верх");IFS(AND($U259&gt;=1900;$U259&lt;=2050);1;AND($U259&gt;=1850;$U259&lt;1900);0,7;AND($U259&gt;2050;$U259&lt;=2100);0,7;TRUE;0,2);IFS(AND($U259&gt;=1700;$U259&lt;=1850);1;AND($U259&gt;=1650;$U259&lt;1700);0,7;AND($U259&gt;1850;$U259&lt;=1900);0,7;TRUE;0,2));IF(OR($B259="Ноги";$B259="Верх");IFS(AND($V259&gt;=125;$V259&lt;=135);1;AND($V259&gt;=115;$V259&lt;125);0,7;AND($V259&gt;135;$V259&lt;=145);0,7;AND($V259&gt;=105;$V259&lt;115);0,4;AND($V259&gt;145;$V259&lt;=155);0,4;TRUE;0,2);IFS(AND($V259&gt;=120;$V259&lt;=130);1;AND($V259&gt;=110;$V259&lt;120);0,7;AND($V259&gt;130;$V259&lt;=140);0,7;AND($V259&gt;=100;$V259&lt;110);0,4;AND($V259&gt;140;$V259&lt;=150);0,4;TRUE;0,2));IFS(AND($W259&gt;=55;$W259&lt;=65);1;AND($W259&gt;=50;$W259&lt;55);0,7;AND($W259&gt;65;$W259&lt;=70);0,7;AND($W259&gt;=45;$W259&lt;50);0,4;AND($W259&gt;70;$W259&lt;=75);0,4;TRUE;0,2);IF(OR($B259="Ноги";$B259="Верх");IFS(AND($X259&gt;=180;$X259&lt;=210);1;AND($X259&gt;=160;$X259&lt;180);0,7;AND($X259&gt;210;$X259&lt;=230);0,7;AND($X259&gt;=140;$X259&lt;160);0,4;AND($X259&gt;230;$X259&lt;=250);0,4;TRUE;0,2);IFS(AND($X259&gt;=140;$X259&lt;=170);1;AND($X259&gt;=120;$X259&lt;140);0,7;AND($X259&gt;170;$X259&lt;=190);0,7;AND($X259&gt;=100;$X259&lt;120);0,4;AND($X259&gt;190;$X259&lt;=210);0,4;TRUE;0,2)))));1);""))</f>
        <v/>
      </c>
      <c r="Z259">
        <f>IF($A259="";"";TEXTJOIN(", ";TRUE;IF($B259="";"Тренировка";"");IF($C259="";"Кардио";"");IF($D259="";"Шаги";"");IF($E259="";"Английский";"");IF($F259="";"Код-режим";"");IF($G259="";"Код-тема";"");IF($H259="";"Чтение";"");IF($L259="";"Сон";"");IF($M259="";"Режим";"");IF($N259="";"Продуктивность";"");IF($O259="";"Настроение";"");IF($P259="";"Энергия";"");IF($U259="";"Еда";"")))</f>
        <v/>
      </c>
    </row>
    <row r="260">
      <c r="B260" t="inlineStr"/>
      <c r="C260" t="inlineStr"/>
      <c r="D260" t="inlineStr"/>
      <c r="E260" t="inlineStr"/>
      <c r="F260" t="inlineStr"/>
      <c r="G260" t="inlineStr"/>
      <c r="H260" t="inlineStr"/>
      <c r="I260" t="inlineStr"/>
      <c r="J260" t="inlineStr"/>
      <c r="K260" t="inlineStr"/>
      <c r="L260" t="inlineStr"/>
      <c r="M260" t="inlineStr"/>
      <c r="N260" t="inlineStr"/>
      <c r="O260" t="inlineStr"/>
      <c r="P260" t="inlineStr"/>
      <c r="Q260" t="inlineStr"/>
      <c r="R260" t="inlineStr"/>
      <c r="S260" t="inlineStr"/>
      <c r="T260" t="inlineStr"/>
      <c r="U260">
        <f>IF($A260="";"";IF(SUMIF(FoodLog!$A:$A;$A260;FoodLog!$I:$I)=0;"";SUMIF(FoodLog!$A:$A;$A260;FoodLog!$I:$I)))</f>
        <v/>
      </c>
      <c r="V260">
        <f>IF($A260="";"";IF(SUMIF(FoodLog!$A:$A;$A260;FoodLog!$F:$F)=0;"";SUMIF(FoodLog!$A:$A;$A260;FoodLog!$F:$F)))</f>
        <v/>
      </c>
      <c r="W260">
        <f>IF($A260="";"";IF(SUMIF(FoodLog!$A:$A;$A260;FoodLog!$G:$G)=0;"";SUMIF(FoodLog!$A:$A;$A260;FoodLog!$G:$G)))</f>
        <v/>
      </c>
      <c r="X260">
        <f>IF($A260="";"";IF(SUMIF(FoodLog!$A:$A;$A260;FoodLog!$H:$H)=0;"";SUMIF(FoodLog!$A:$A;$A260;FoodLog!$H:$H)))</f>
        <v/>
      </c>
      <c r="Y260">
        <f>IF($A260="";"";IFERROR(ROUND(100*AVERAGE(IF($B260="";"";XLOOKUP($B260;FILTER(Dictionaries!$B:$B;Dictionaries!$A:$A="Тренировка");FILTER(Dictionaries!$C:$C;Dictionaries!$A:$A="Тренировка")));IF($C260="";"";MIN($C260/40;1));IF($D260="";"";XLOOKUP($D260;FILTER(Dictionaries!$B:$B;Dictionaries!$A:$A="Шаги");FILTER(Dictionaries!$C:$C;Dictionaries!$A:$A="Шаги")));IF($E260="";"";MIN($E260/120;1));IF(OR($F260&lt;&gt;"";$G260&lt;&gt;"");1;"");IF($H260="";"";MIN($H260/100;1));IF($L260="";"";XLOOKUP($L260;FILTER(Dictionaries!$B:$B;Dictionaries!$A:$A="Сон_часы");FILTER(Dictionaries!$C:$C;Dictionaries!$A:$A="Сон_часы")));IF($M260="";"";XLOOKUP($M260;FILTER(Dictionaries!$B:$B;Dictionaries!$A:$A="Режим");FILTER(Dictionaries!$C:$C;Dictionaries!$A:$A="Режим")));IF($N260="";"";MIN($N260/100;1));IF($O260="";"";XLOOKUP($O260;FILTER(Dictionaries!$B:$B;Dictionaries!$A:$A="Настроение");FILTER(Dictionaries!$C:$C;Dictionaries!$A:$A="Настроение")));IF($P260="";"";XLOOKUP($P260;FILTER(Dictionaries!$B:$B;Dictionaries!$A:$A="Энергия");FILTER(Dictionaries!$C:$C;Dictionaries!$A:$A="Энергия")));IF($U260="";"";AVERAGE(IF(OR($B260="Ноги";$B260="Верх");IFS(AND($U260&gt;=1900;$U260&lt;=2050);1;AND($U260&gt;=1850;$U260&lt;1900);0,7;AND($U260&gt;2050;$U260&lt;=2100);0,7;TRUE;0,2);IFS(AND($U260&gt;=1700;$U260&lt;=1850);1;AND($U260&gt;=1650;$U260&lt;1700);0,7;AND($U260&gt;1850;$U260&lt;=1900);0,7;TRUE;0,2));IF(OR($B260="Ноги";$B260="Верх");IFS(AND($V260&gt;=125;$V260&lt;=135);1;AND($V260&gt;=115;$V260&lt;125);0,7;AND($V260&gt;135;$V260&lt;=145);0,7;AND($V260&gt;=105;$V260&lt;115);0,4;AND($V260&gt;145;$V260&lt;=155);0,4;TRUE;0,2);IFS(AND($V260&gt;=120;$V260&lt;=130);1;AND($V260&gt;=110;$V260&lt;120);0,7;AND($V260&gt;130;$V260&lt;=140);0,7;AND($V260&gt;=100;$V260&lt;110);0,4;AND($V260&gt;140;$V260&lt;=150);0,4;TRUE;0,2));IFS(AND($W260&gt;=55;$W260&lt;=65);1;AND($W260&gt;=50;$W260&lt;55);0,7;AND($W260&gt;65;$W260&lt;=70);0,7;AND($W260&gt;=45;$W260&lt;50);0,4;AND($W260&gt;70;$W260&lt;=75);0,4;TRUE;0,2);IF(OR($B260="Ноги";$B260="Верх");IFS(AND($X260&gt;=180;$X260&lt;=210);1;AND($X260&gt;=160;$X260&lt;180);0,7;AND($X260&gt;210;$X260&lt;=230);0,7;AND($X260&gt;=140;$X260&lt;160);0,4;AND($X260&gt;230;$X260&lt;=250);0,4;TRUE;0,2);IFS(AND($X260&gt;=140;$X260&lt;=170);1;AND($X260&gt;=120;$X260&lt;140);0,7;AND($X260&gt;170;$X260&lt;=190);0,7;AND($X260&gt;=100;$X260&lt;120);0,4;AND($X260&gt;190;$X260&lt;=210);0,4;TRUE;0,2)))));1);""))</f>
        <v/>
      </c>
      <c r="Z260">
        <f>IF($A260="";"";TEXTJOIN(", ";TRUE;IF($B260="";"Тренировка";"");IF($C260="";"Кардио";"");IF($D260="";"Шаги";"");IF($E260="";"Английский";"");IF($F260="";"Код-режим";"");IF($G260="";"Код-тема";"");IF($H260="";"Чтение";"");IF($L260="";"Сон";"");IF($M260="";"Режим";"");IF($N260="";"Продуктивность";"");IF($O260="";"Настроение";"");IF($P260="";"Энергия";"");IF($U260="";"Еда";"")))</f>
        <v/>
      </c>
    </row>
    <row r="261">
      <c r="B261" t="inlineStr"/>
      <c r="C261" t="inlineStr"/>
      <c r="D261" t="inlineStr"/>
      <c r="E261" t="inlineStr"/>
      <c r="F261" t="inlineStr"/>
      <c r="G261" t="inlineStr"/>
      <c r="H261" t="inlineStr"/>
      <c r="I261" t="inlineStr"/>
      <c r="J261" t="inlineStr"/>
      <c r="K261" t="inlineStr"/>
      <c r="L261" t="inlineStr"/>
      <c r="M261" t="inlineStr"/>
      <c r="N261" t="inlineStr"/>
      <c r="O261" t="inlineStr"/>
      <c r="P261" t="inlineStr"/>
      <c r="Q261" t="inlineStr"/>
      <c r="R261" t="inlineStr"/>
      <c r="S261" t="inlineStr"/>
      <c r="T261" t="inlineStr"/>
      <c r="U261">
        <f>IF($A261="";"";IF(SUMIF(FoodLog!$A:$A;$A261;FoodLog!$I:$I)=0;"";SUMIF(FoodLog!$A:$A;$A261;FoodLog!$I:$I)))</f>
        <v/>
      </c>
      <c r="V261">
        <f>IF($A261="";"";IF(SUMIF(FoodLog!$A:$A;$A261;FoodLog!$F:$F)=0;"";SUMIF(FoodLog!$A:$A;$A261;FoodLog!$F:$F)))</f>
        <v/>
      </c>
      <c r="W261">
        <f>IF($A261="";"";IF(SUMIF(FoodLog!$A:$A;$A261;FoodLog!$G:$G)=0;"";SUMIF(FoodLog!$A:$A;$A261;FoodLog!$G:$G)))</f>
        <v/>
      </c>
      <c r="X261">
        <f>IF($A261="";"";IF(SUMIF(FoodLog!$A:$A;$A261;FoodLog!$H:$H)=0;"";SUMIF(FoodLog!$A:$A;$A261;FoodLog!$H:$H)))</f>
        <v/>
      </c>
      <c r="Y261">
        <f>IF($A261="";"";IFERROR(ROUND(100*AVERAGE(IF($B261="";"";XLOOKUP($B261;FILTER(Dictionaries!$B:$B;Dictionaries!$A:$A="Тренировка");FILTER(Dictionaries!$C:$C;Dictionaries!$A:$A="Тренировка")));IF($C261="";"";MIN($C261/40;1));IF($D261="";"";XLOOKUP($D261;FILTER(Dictionaries!$B:$B;Dictionaries!$A:$A="Шаги");FILTER(Dictionaries!$C:$C;Dictionaries!$A:$A="Шаги")));IF($E261="";"";MIN($E261/120;1));IF(OR($F261&lt;&gt;"";$G261&lt;&gt;"");1;"");IF($H261="";"";MIN($H261/100;1));IF($L261="";"";XLOOKUP($L261;FILTER(Dictionaries!$B:$B;Dictionaries!$A:$A="Сон_часы");FILTER(Dictionaries!$C:$C;Dictionaries!$A:$A="Сон_часы")));IF($M261="";"";XLOOKUP($M261;FILTER(Dictionaries!$B:$B;Dictionaries!$A:$A="Режим");FILTER(Dictionaries!$C:$C;Dictionaries!$A:$A="Режим")));IF($N261="";"";MIN($N261/100;1));IF($O261="";"";XLOOKUP($O261;FILTER(Dictionaries!$B:$B;Dictionaries!$A:$A="Настроение");FILTER(Dictionaries!$C:$C;Dictionaries!$A:$A="Настроение")));IF($P261="";"";XLOOKUP($P261;FILTER(Dictionaries!$B:$B;Dictionaries!$A:$A="Энергия");FILTER(Dictionaries!$C:$C;Dictionaries!$A:$A="Энергия")));IF($U261="";"";AVERAGE(IF(OR($B261="Ноги";$B261="Верх");IFS(AND($U261&gt;=1900;$U261&lt;=2050);1;AND($U261&gt;=1850;$U261&lt;1900);0,7;AND($U261&gt;2050;$U261&lt;=2100);0,7;TRUE;0,2);IFS(AND($U261&gt;=1700;$U261&lt;=1850);1;AND($U261&gt;=1650;$U261&lt;1700);0,7;AND($U261&gt;1850;$U261&lt;=1900);0,7;TRUE;0,2));IF(OR($B261="Ноги";$B261="Верх");IFS(AND($V261&gt;=125;$V261&lt;=135);1;AND($V261&gt;=115;$V261&lt;125);0,7;AND($V261&gt;135;$V261&lt;=145);0,7;AND($V261&gt;=105;$V261&lt;115);0,4;AND($V261&gt;145;$V261&lt;=155);0,4;TRUE;0,2);IFS(AND($V261&gt;=120;$V261&lt;=130);1;AND($V261&gt;=110;$V261&lt;120);0,7;AND($V261&gt;130;$V261&lt;=140);0,7;AND($V261&gt;=100;$V261&lt;110);0,4;AND($V261&gt;140;$V261&lt;=150);0,4;TRUE;0,2));IFS(AND($W261&gt;=55;$W261&lt;=65);1;AND($W261&gt;=50;$W261&lt;55);0,7;AND($W261&gt;65;$W261&lt;=70);0,7;AND($W261&gt;=45;$W261&lt;50);0,4;AND($W261&gt;70;$W261&lt;=75);0,4;TRUE;0,2);IF(OR($B261="Ноги";$B261="Верх");IFS(AND($X261&gt;=180;$X261&lt;=210);1;AND($X261&gt;=160;$X261&lt;180);0,7;AND($X261&gt;210;$X261&lt;=230);0,7;AND($X261&gt;=140;$X261&lt;160);0,4;AND($X261&gt;230;$X261&lt;=250);0,4;TRUE;0,2);IFS(AND($X261&gt;=140;$X261&lt;=170);1;AND($X261&gt;=120;$X261&lt;140);0,7;AND($X261&gt;170;$X261&lt;=190);0,7;AND($X261&gt;=100;$X261&lt;120);0,4;AND($X261&gt;190;$X261&lt;=210);0,4;TRUE;0,2)))));1);""))</f>
        <v/>
      </c>
      <c r="Z261">
        <f>IF($A261="";"";TEXTJOIN(", ";TRUE;IF($B261="";"Тренировка";"");IF($C261="";"Кардио";"");IF($D261="";"Шаги";"");IF($E261="";"Английский";"");IF($F261="";"Код-режим";"");IF($G261="";"Код-тема";"");IF($H261="";"Чтение";"");IF($L261="";"Сон";"");IF($M261="";"Режим";"");IF($N261="";"Продуктивность";"");IF($O261="";"Настроение";"");IF($P261="";"Энергия";"");IF($U261="";"Еда";"")))</f>
        <v/>
      </c>
    </row>
    <row r="262">
      <c r="B262" t="inlineStr"/>
      <c r="C262" t="inlineStr"/>
      <c r="D262" t="inlineStr"/>
      <c r="E262" t="inlineStr"/>
      <c r="F262" t="inlineStr"/>
      <c r="G262" t="inlineStr"/>
      <c r="H262" t="inlineStr"/>
      <c r="I262" t="inlineStr"/>
      <c r="J262" t="inlineStr"/>
      <c r="K262" t="inlineStr"/>
      <c r="L262" t="inlineStr"/>
      <c r="M262" t="inlineStr"/>
      <c r="N262" t="inlineStr"/>
      <c r="O262" t="inlineStr"/>
      <c r="P262" t="inlineStr"/>
      <c r="Q262" t="inlineStr"/>
      <c r="R262" t="inlineStr"/>
      <c r="S262" t="inlineStr"/>
      <c r="T262" t="inlineStr"/>
      <c r="U262">
        <f>IF($A262="";"";IF(SUMIF(FoodLog!$A:$A;$A262;FoodLog!$I:$I)=0;"";SUMIF(FoodLog!$A:$A;$A262;FoodLog!$I:$I)))</f>
        <v/>
      </c>
      <c r="V262">
        <f>IF($A262="";"";IF(SUMIF(FoodLog!$A:$A;$A262;FoodLog!$F:$F)=0;"";SUMIF(FoodLog!$A:$A;$A262;FoodLog!$F:$F)))</f>
        <v/>
      </c>
      <c r="W262">
        <f>IF($A262="";"";IF(SUMIF(FoodLog!$A:$A;$A262;FoodLog!$G:$G)=0;"";SUMIF(FoodLog!$A:$A;$A262;FoodLog!$G:$G)))</f>
        <v/>
      </c>
      <c r="X262">
        <f>IF($A262="";"";IF(SUMIF(FoodLog!$A:$A;$A262;FoodLog!$H:$H)=0;"";SUMIF(FoodLog!$A:$A;$A262;FoodLog!$H:$H)))</f>
        <v/>
      </c>
      <c r="Y262">
        <f>IF($A262="";"";IFERROR(ROUND(100*AVERAGE(IF($B262="";"";XLOOKUP($B262;FILTER(Dictionaries!$B:$B;Dictionaries!$A:$A="Тренировка");FILTER(Dictionaries!$C:$C;Dictionaries!$A:$A="Тренировка")));IF($C262="";"";MIN($C262/40;1));IF($D262="";"";XLOOKUP($D262;FILTER(Dictionaries!$B:$B;Dictionaries!$A:$A="Шаги");FILTER(Dictionaries!$C:$C;Dictionaries!$A:$A="Шаги")));IF($E262="";"";MIN($E262/120;1));IF(OR($F262&lt;&gt;"";$G262&lt;&gt;"");1;"");IF($H262="";"";MIN($H262/100;1));IF($L262="";"";XLOOKUP($L262;FILTER(Dictionaries!$B:$B;Dictionaries!$A:$A="Сон_часы");FILTER(Dictionaries!$C:$C;Dictionaries!$A:$A="Сон_часы")));IF($M262="";"";XLOOKUP($M262;FILTER(Dictionaries!$B:$B;Dictionaries!$A:$A="Режим");FILTER(Dictionaries!$C:$C;Dictionaries!$A:$A="Режим")));IF($N262="";"";MIN($N262/100;1));IF($O262="";"";XLOOKUP($O262;FILTER(Dictionaries!$B:$B;Dictionaries!$A:$A="Настроение");FILTER(Dictionaries!$C:$C;Dictionaries!$A:$A="Настроение")));IF($P262="";"";XLOOKUP($P262;FILTER(Dictionaries!$B:$B;Dictionaries!$A:$A="Энергия");FILTER(Dictionaries!$C:$C;Dictionaries!$A:$A="Энергия")));IF($U262="";"";AVERAGE(IF(OR($B262="Ноги";$B262="Верх");IFS(AND($U262&gt;=1900;$U262&lt;=2050);1;AND($U262&gt;=1850;$U262&lt;1900);0,7;AND($U262&gt;2050;$U262&lt;=2100);0,7;TRUE;0,2);IFS(AND($U262&gt;=1700;$U262&lt;=1850);1;AND($U262&gt;=1650;$U262&lt;1700);0,7;AND($U262&gt;1850;$U262&lt;=1900);0,7;TRUE;0,2));IF(OR($B262="Ноги";$B262="Верх");IFS(AND($V262&gt;=125;$V262&lt;=135);1;AND($V262&gt;=115;$V262&lt;125);0,7;AND($V262&gt;135;$V262&lt;=145);0,7;AND($V262&gt;=105;$V262&lt;115);0,4;AND($V262&gt;145;$V262&lt;=155);0,4;TRUE;0,2);IFS(AND($V262&gt;=120;$V262&lt;=130);1;AND($V262&gt;=110;$V262&lt;120);0,7;AND($V262&gt;130;$V262&lt;=140);0,7;AND($V262&gt;=100;$V262&lt;110);0,4;AND($V262&gt;140;$V262&lt;=150);0,4;TRUE;0,2));IFS(AND($W262&gt;=55;$W262&lt;=65);1;AND($W262&gt;=50;$W262&lt;55);0,7;AND($W262&gt;65;$W262&lt;=70);0,7;AND($W262&gt;=45;$W262&lt;50);0,4;AND($W262&gt;70;$W262&lt;=75);0,4;TRUE;0,2);IF(OR($B262="Ноги";$B262="Верх");IFS(AND($X262&gt;=180;$X262&lt;=210);1;AND($X262&gt;=160;$X262&lt;180);0,7;AND($X262&gt;210;$X262&lt;=230);0,7;AND($X262&gt;=140;$X262&lt;160);0,4;AND($X262&gt;230;$X262&lt;=250);0,4;TRUE;0,2);IFS(AND($X262&gt;=140;$X262&lt;=170);1;AND($X262&gt;=120;$X262&lt;140);0,7;AND($X262&gt;170;$X262&lt;=190);0,7;AND($X262&gt;=100;$X262&lt;120);0,4;AND($X262&gt;190;$X262&lt;=210);0,4;TRUE;0,2)))));1);""))</f>
        <v/>
      </c>
      <c r="Z262">
        <f>IF($A262="";"";TEXTJOIN(", ";TRUE;IF($B262="";"Тренировка";"");IF($C262="";"Кардио";"");IF($D262="";"Шаги";"");IF($E262="";"Английский";"");IF($F262="";"Код-режим";"");IF($G262="";"Код-тема";"");IF($H262="";"Чтение";"");IF($L262="";"Сон";"");IF($M262="";"Режим";"");IF($N262="";"Продуктивность";"");IF($O262="";"Настроение";"");IF($P262="";"Энергия";"");IF($U262="";"Еда";"")))</f>
        <v/>
      </c>
    </row>
    <row r="263">
      <c r="B263" t="inlineStr"/>
      <c r="C263" t="inlineStr"/>
      <c r="D263" t="inlineStr"/>
      <c r="E263" t="inlineStr"/>
      <c r="F263" t="inlineStr"/>
      <c r="G263" t="inlineStr"/>
      <c r="H263" t="inlineStr"/>
      <c r="I263" t="inlineStr"/>
      <c r="J263" t="inlineStr"/>
      <c r="K263" t="inlineStr"/>
      <c r="L263" t="inlineStr"/>
      <c r="M263" t="inlineStr"/>
      <c r="N263" t="inlineStr"/>
      <c r="O263" t="inlineStr"/>
      <c r="P263" t="inlineStr"/>
      <c r="Q263" t="inlineStr"/>
      <c r="R263" t="inlineStr"/>
      <c r="S263" t="inlineStr"/>
      <c r="T263" t="inlineStr"/>
      <c r="U263">
        <f>IF($A263="";"";IF(SUMIF(FoodLog!$A:$A;$A263;FoodLog!$I:$I)=0;"";SUMIF(FoodLog!$A:$A;$A263;FoodLog!$I:$I)))</f>
        <v/>
      </c>
      <c r="V263">
        <f>IF($A263="";"";IF(SUMIF(FoodLog!$A:$A;$A263;FoodLog!$F:$F)=0;"";SUMIF(FoodLog!$A:$A;$A263;FoodLog!$F:$F)))</f>
        <v/>
      </c>
      <c r="W263">
        <f>IF($A263="";"";IF(SUMIF(FoodLog!$A:$A;$A263;FoodLog!$G:$G)=0;"";SUMIF(FoodLog!$A:$A;$A263;FoodLog!$G:$G)))</f>
        <v/>
      </c>
      <c r="X263">
        <f>IF($A263="";"";IF(SUMIF(FoodLog!$A:$A;$A263;FoodLog!$H:$H)=0;"";SUMIF(FoodLog!$A:$A;$A263;FoodLog!$H:$H)))</f>
        <v/>
      </c>
      <c r="Y263">
        <f>IF($A263="";"";IFERROR(ROUND(100*AVERAGE(IF($B263="";"";XLOOKUP($B263;FILTER(Dictionaries!$B:$B;Dictionaries!$A:$A="Тренировка");FILTER(Dictionaries!$C:$C;Dictionaries!$A:$A="Тренировка")));IF($C263="";"";MIN($C263/40;1));IF($D263="";"";XLOOKUP($D263;FILTER(Dictionaries!$B:$B;Dictionaries!$A:$A="Шаги");FILTER(Dictionaries!$C:$C;Dictionaries!$A:$A="Шаги")));IF($E263="";"";MIN($E263/120;1));IF(OR($F263&lt;&gt;"";$G263&lt;&gt;"");1;"");IF($H263="";"";MIN($H263/100;1));IF($L263="";"";XLOOKUP($L263;FILTER(Dictionaries!$B:$B;Dictionaries!$A:$A="Сон_часы");FILTER(Dictionaries!$C:$C;Dictionaries!$A:$A="Сон_часы")));IF($M263="";"";XLOOKUP($M263;FILTER(Dictionaries!$B:$B;Dictionaries!$A:$A="Режим");FILTER(Dictionaries!$C:$C;Dictionaries!$A:$A="Режим")));IF($N263="";"";MIN($N263/100;1));IF($O263="";"";XLOOKUP($O263;FILTER(Dictionaries!$B:$B;Dictionaries!$A:$A="Настроение");FILTER(Dictionaries!$C:$C;Dictionaries!$A:$A="Настроение")));IF($P263="";"";XLOOKUP($P263;FILTER(Dictionaries!$B:$B;Dictionaries!$A:$A="Энергия");FILTER(Dictionaries!$C:$C;Dictionaries!$A:$A="Энергия")));IF($U263="";"";AVERAGE(IF(OR($B263="Ноги";$B263="Верх");IFS(AND($U263&gt;=1900;$U263&lt;=2050);1;AND($U263&gt;=1850;$U263&lt;1900);0,7;AND($U263&gt;2050;$U263&lt;=2100);0,7;TRUE;0,2);IFS(AND($U263&gt;=1700;$U263&lt;=1850);1;AND($U263&gt;=1650;$U263&lt;1700);0,7;AND($U263&gt;1850;$U263&lt;=1900);0,7;TRUE;0,2));IF(OR($B263="Ноги";$B263="Верх");IFS(AND($V263&gt;=125;$V263&lt;=135);1;AND($V263&gt;=115;$V263&lt;125);0,7;AND($V263&gt;135;$V263&lt;=145);0,7;AND($V263&gt;=105;$V263&lt;115);0,4;AND($V263&gt;145;$V263&lt;=155);0,4;TRUE;0,2);IFS(AND($V263&gt;=120;$V263&lt;=130);1;AND($V263&gt;=110;$V263&lt;120);0,7;AND($V263&gt;130;$V263&lt;=140);0,7;AND($V263&gt;=100;$V263&lt;110);0,4;AND($V263&gt;140;$V263&lt;=150);0,4;TRUE;0,2));IFS(AND($W263&gt;=55;$W263&lt;=65);1;AND($W263&gt;=50;$W263&lt;55);0,7;AND($W263&gt;65;$W263&lt;=70);0,7;AND($W263&gt;=45;$W263&lt;50);0,4;AND($W263&gt;70;$W263&lt;=75);0,4;TRUE;0,2);IF(OR($B263="Ноги";$B263="Верх");IFS(AND($X263&gt;=180;$X263&lt;=210);1;AND($X263&gt;=160;$X263&lt;180);0,7;AND($X263&gt;210;$X263&lt;=230);0,7;AND($X263&gt;=140;$X263&lt;160);0,4;AND($X263&gt;230;$X263&lt;=250);0,4;TRUE;0,2);IFS(AND($X263&gt;=140;$X263&lt;=170);1;AND($X263&gt;=120;$X263&lt;140);0,7;AND($X263&gt;170;$X263&lt;=190);0,7;AND($X263&gt;=100;$X263&lt;120);0,4;AND($X263&gt;190;$X263&lt;=210);0,4;TRUE;0,2)))));1);""))</f>
        <v/>
      </c>
      <c r="Z263">
        <f>IF($A263="";"";TEXTJOIN(", ";TRUE;IF($B263="";"Тренировка";"");IF($C263="";"Кардио";"");IF($D263="";"Шаги";"");IF($E263="";"Английский";"");IF($F263="";"Код-режим";"");IF($G263="";"Код-тема";"");IF($H263="";"Чтение";"");IF($L263="";"Сон";"");IF($M263="";"Режим";"");IF($N263="";"Продуктивность";"");IF($O263="";"Настроение";"");IF($P263="";"Энергия";"");IF($U263="";"Еда";"")))</f>
        <v/>
      </c>
    </row>
    <row r="264">
      <c r="B264" t="inlineStr"/>
      <c r="C264" t="inlineStr"/>
      <c r="D264" t="inlineStr"/>
      <c r="E264" t="inlineStr"/>
      <c r="F264" t="inlineStr"/>
      <c r="G264" t="inlineStr"/>
      <c r="H264" t="inlineStr"/>
      <c r="I264" t="inlineStr"/>
      <c r="J264" t="inlineStr"/>
      <c r="K264" t="inlineStr"/>
      <c r="L264" t="inlineStr"/>
      <c r="M264" t="inlineStr"/>
      <c r="N264" t="inlineStr"/>
      <c r="O264" t="inlineStr"/>
      <c r="P264" t="inlineStr"/>
      <c r="Q264" t="inlineStr"/>
      <c r="R264" t="inlineStr"/>
      <c r="S264" t="inlineStr"/>
      <c r="T264" t="inlineStr"/>
      <c r="U264">
        <f>IF($A264="";"";IF(SUMIF(FoodLog!$A:$A;$A264;FoodLog!$I:$I)=0;"";SUMIF(FoodLog!$A:$A;$A264;FoodLog!$I:$I)))</f>
        <v/>
      </c>
      <c r="V264">
        <f>IF($A264="";"";IF(SUMIF(FoodLog!$A:$A;$A264;FoodLog!$F:$F)=0;"";SUMIF(FoodLog!$A:$A;$A264;FoodLog!$F:$F)))</f>
        <v/>
      </c>
      <c r="W264">
        <f>IF($A264="";"";IF(SUMIF(FoodLog!$A:$A;$A264;FoodLog!$G:$G)=0;"";SUMIF(FoodLog!$A:$A;$A264;FoodLog!$G:$G)))</f>
        <v/>
      </c>
      <c r="X264">
        <f>IF($A264="";"";IF(SUMIF(FoodLog!$A:$A;$A264;FoodLog!$H:$H)=0;"";SUMIF(FoodLog!$A:$A;$A264;FoodLog!$H:$H)))</f>
        <v/>
      </c>
      <c r="Y264">
        <f>IF($A264="";"";IFERROR(ROUND(100*AVERAGE(IF($B264="";"";XLOOKUP($B264;FILTER(Dictionaries!$B:$B;Dictionaries!$A:$A="Тренировка");FILTER(Dictionaries!$C:$C;Dictionaries!$A:$A="Тренировка")));IF($C264="";"";MIN($C264/40;1));IF($D264="";"";XLOOKUP($D264;FILTER(Dictionaries!$B:$B;Dictionaries!$A:$A="Шаги");FILTER(Dictionaries!$C:$C;Dictionaries!$A:$A="Шаги")));IF($E264="";"";MIN($E264/120;1));IF(OR($F264&lt;&gt;"";$G264&lt;&gt;"");1;"");IF($H264="";"";MIN($H264/100;1));IF($L264="";"";XLOOKUP($L264;FILTER(Dictionaries!$B:$B;Dictionaries!$A:$A="Сон_часы");FILTER(Dictionaries!$C:$C;Dictionaries!$A:$A="Сон_часы")));IF($M264="";"";XLOOKUP($M264;FILTER(Dictionaries!$B:$B;Dictionaries!$A:$A="Режим");FILTER(Dictionaries!$C:$C;Dictionaries!$A:$A="Режим")));IF($N264="";"";MIN($N264/100;1));IF($O264="";"";XLOOKUP($O264;FILTER(Dictionaries!$B:$B;Dictionaries!$A:$A="Настроение");FILTER(Dictionaries!$C:$C;Dictionaries!$A:$A="Настроение")));IF($P264="";"";XLOOKUP($P264;FILTER(Dictionaries!$B:$B;Dictionaries!$A:$A="Энергия");FILTER(Dictionaries!$C:$C;Dictionaries!$A:$A="Энергия")));IF($U264="";"";AVERAGE(IF(OR($B264="Ноги";$B264="Верх");IFS(AND($U264&gt;=1900;$U264&lt;=2050);1;AND($U264&gt;=1850;$U264&lt;1900);0,7;AND($U264&gt;2050;$U264&lt;=2100);0,7;TRUE;0,2);IFS(AND($U264&gt;=1700;$U264&lt;=1850);1;AND($U264&gt;=1650;$U264&lt;1700);0,7;AND($U264&gt;1850;$U264&lt;=1900);0,7;TRUE;0,2));IF(OR($B264="Ноги";$B264="Верх");IFS(AND($V264&gt;=125;$V264&lt;=135);1;AND($V264&gt;=115;$V264&lt;125);0,7;AND($V264&gt;135;$V264&lt;=145);0,7;AND($V264&gt;=105;$V264&lt;115);0,4;AND($V264&gt;145;$V264&lt;=155);0,4;TRUE;0,2);IFS(AND($V264&gt;=120;$V264&lt;=130);1;AND($V264&gt;=110;$V264&lt;120);0,7;AND($V264&gt;130;$V264&lt;=140);0,7;AND($V264&gt;=100;$V264&lt;110);0,4;AND($V264&gt;140;$V264&lt;=150);0,4;TRUE;0,2));IFS(AND($W264&gt;=55;$W264&lt;=65);1;AND($W264&gt;=50;$W264&lt;55);0,7;AND($W264&gt;65;$W264&lt;=70);0,7;AND($W264&gt;=45;$W264&lt;50);0,4;AND($W264&gt;70;$W264&lt;=75);0,4;TRUE;0,2);IF(OR($B264="Ноги";$B264="Верх");IFS(AND($X264&gt;=180;$X264&lt;=210);1;AND($X264&gt;=160;$X264&lt;180);0,7;AND($X264&gt;210;$X264&lt;=230);0,7;AND($X264&gt;=140;$X264&lt;160);0,4;AND($X264&gt;230;$X264&lt;=250);0,4;TRUE;0,2);IFS(AND($X264&gt;=140;$X264&lt;=170);1;AND($X264&gt;=120;$X264&lt;140);0,7;AND($X264&gt;170;$X264&lt;=190);0,7;AND($X264&gt;=100;$X264&lt;120);0,4;AND($X264&gt;190;$X264&lt;=210);0,4;TRUE;0,2)))));1);""))</f>
        <v/>
      </c>
      <c r="Z264">
        <f>IF($A264="";"";TEXTJOIN(", ";TRUE;IF($B264="";"Тренировка";"");IF($C264="";"Кардио";"");IF($D264="";"Шаги";"");IF($E264="";"Английский";"");IF($F264="";"Код-режим";"");IF($G264="";"Код-тема";"");IF($H264="";"Чтение";"");IF($L264="";"Сон";"");IF($M264="";"Режим";"");IF($N264="";"Продуктивность";"");IF($O264="";"Настроение";"");IF($P264="";"Энергия";"");IF($U264="";"Еда";"")))</f>
        <v/>
      </c>
    </row>
    <row r="265">
      <c r="B265" t="inlineStr"/>
      <c r="C265" t="inlineStr"/>
      <c r="D265" t="inlineStr"/>
      <c r="E265" t="inlineStr"/>
      <c r="F265" t="inlineStr"/>
      <c r="G265" t="inlineStr"/>
      <c r="H265" t="inlineStr"/>
      <c r="I265" t="inlineStr"/>
      <c r="J265" t="inlineStr"/>
      <c r="K265" t="inlineStr"/>
      <c r="L265" t="inlineStr"/>
      <c r="M265" t="inlineStr"/>
      <c r="N265" t="inlineStr"/>
      <c r="O265" t="inlineStr"/>
      <c r="P265" t="inlineStr"/>
      <c r="Q265" t="inlineStr"/>
      <c r="R265" t="inlineStr"/>
      <c r="S265" t="inlineStr"/>
      <c r="T265" t="inlineStr"/>
      <c r="U265">
        <f>IF($A265="";"";IF(SUMIF(FoodLog!$A:$A;$A265;FoodLog!$I:$I)=0;"";SUMIF(FoodLog!$A:$A;$A265;FoodLog!$I:$I)))</f>
        <v/>
      </c>
      <c r="V265">
        <f>IF($A265="";"";IF(SUMIF(FoodLog!$A:$A;$A265;FoodLog!$F:$F)=0;"";SUMIF(FoodLog!$A:$A;$A265;FoodLog!$F:$F)))</f>
        <v/>
      </c>
      <c r="W265">
        <f>IF($A265="";"";IF(SUMIF(FoodLog!$A:$A;$A265;FoodLog!$G:$G)=0;"";SUMIF(FoodLog!$A:$A;$A265;FoodLog!$G:$G)))</f>
        <v/>
      </c>
      <c r="X265">
        <f>IF($A265="";"";IF(SUMIF(FoodLog!$A:$A;$A265;FoodLog!$H:$H)=0;"";SUMIF(FoodLog!$A:$A;$A265;FoodLog!$H:$H)))</f>
        <v/>
      </c>
      <c r="Y265">
        <f>IF($A265="";"";IFERROR(ROUND(100*AVERAGE(IF($B265="";"";XLOOKUP($B265;FILTER(Dictionaries!$B:$B;Dictionaries!$A:$A="Тренировка");FILTER(Dictionaries!$C:$C;Dictionaries!$A:$A="Тренировка")));IF($C265="";"";MIN($C265/40;1));IF($D265="";"";XLOOKUP($D265;FILTER(Dictionaries!$B:$B;Dictionaries!$A:$A="Шаги");FILTER(Dictionaries!$C:$C;Dictionaries!$A:$A="Шаги")));IF($E265="";"";MIN($E265/120;1));IF(OR($F265&lt;&gt;"";$G265&lt;&gt;"");1;"");IF($H265="";"";MIN($H265/100;1));IF($L265="";"";XLOOKUP($L265;FILTER(Dictionaries!$B:$B;Dictionaries!$A:$A="Сон_часы");FILTER(Dictionaries!$C:$C;Dictionaries!$A:$A="Сон_часы")));IF($M265="";"";XLOOKUP($M265;FILTER(Dictionaries!$B:$B;Dictionaries!$A:$A="Режим");FILTER(Dictionaries!$C:$C;Dictionaries!$A:$A="Режим")));IF($N265="";"";MIN($N265/100;1));IF($O265="";"";XLOOKUP($O265;FILTER(Dictionaries!$B:$B;Dictionaries!$A:$A="Настроение");FILTER(Dictionaries!$C:$C;Dictionaries!$A:$A="Настроение")));IF($P265="";"";XLOOKUP($P265;FILTER(Dictionaries!$B:$B;Dictionaries!$A:$A="Энергия");FILTER(Dictionaries!$C:$C;Dictionaries!$A:$A="Энергия")));IF($U265="";"";AVERAGE(IF(OR($B265="Ноги";$B265="Верх");IFS(AND($U265&gt;=1900;$U265&lt;=2050);1;AND($U265&gt;=1850;$U265&lt;1900);0,7;AND($U265&gt;2050;$U265&lt;=2100);0,7;TRUE;0,2);IFS(AND($U265&gt;=1700;$U265&lt;=1850);1;AND($U265&gt;=1650;$U265&lt;1700);0,7;AND($U265&gt;1850;$U265&lt;=1900);0,7;TRUE;0,2));IF(OR($B265="Ноги";$B265="Верх");IFS(AND($V265&gt;=125;$V265&lt;=135);1;AND($V265&gt;=115;$V265&lt;125);0,7;AND($V265&gt;135;$V265&lt;=145);0,7;AND($V265&gt;=105;$V265&lt;115);0,4;AND($V265&gt;145;$V265&lt;=155);0,4;TRUE;0,2);IFS(AND($V265&gt;=120;$V265&lt;=130);1;AND($V265&gt;=110;$V265&lt;120);0,7;AND($V265&gt;130;$V265&lt;=140);0,7;AND($V265&gt;=100;$V265&lt;110);0,4;AND($V265&gt;140;$V265&lt;=150);0,4;TRUE;0,2));IFS(AND($W265&gt;=55;$W265&lt;=65);1;AND($W265&gt;=50;$W265&lt;55);0,7;AND($W265&gt;65;$W265&lt;=70);0,7;AND($W265&gt;=45;$W265&lt;50);0,4;AND($W265&gt;70;$W265&lt;=75);0,4;TRUE;0,2);IF(OR($B265="Ноги";$B265="Верх");IFS(AND($X265&gt;=180;$X265&lt;=210);1;AND($X265&gt;=160;$X265&lt;180);0,7;AND($X265&gt;210;$X265&lt;=230);0,7;AND($X265&gt;=140;$X265&lt;160);0,4;AND($X265&gt;230;$X265&lt;=250);0,4;TRUE;0,2);IFS(AND($X265&gt;=140;$X265&lt;=170);1;AND($X265&gt;=120;$X265&lt;140);0,7;AND($X265&gt;170;$X265&lt;=190);0,7;AND($X265&gt;=100;$X265&lt;120);0,4;AND($X265&gt;190;$X265&lt;=210);0,4;TRUE;0,2)))));1);""))</f>
        <v/>
      </c>
      <c r="Z265">
        <f>IF($A265="";"";TEXTJOIN(", ";TRUE;IF($B265="";"Тренировка";"");IF($C265="";"Кардио";"");IF($D265="";"Шаги";"");IF($E265="";"Английский";"");IF($F265="";"Код-режим";"");IF($G265="";"Код-тема";"");IF($H265="";"Чтение";"");IF($L265="";"Сон";"");IF($M265="";"Режим";"");IF($N265="";"Продуктивность";"");IF($O265="";"Настроение";"");IF($P265="";"Энергия";"");IF($U265="";"Еда";"")))</f>
        <v/>
      </c>
    </row>
    <row r="266">
      <c r="B266" t="inlineStr"/>
      <c r="C266" t="inlineStr"/>
      <c r="D266" t="inlineStr"/>
      <c r="E266" t="inlineStr"/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/>
      <c r="P266" t="inlineStr"/>
      <c r="Q266" t="inlineStr"/>
      <c r="R266" t="inlineStr"/>
      <c r="S266" t="inlineStr"/>
      <c r="T266" t="inlineStr"/>
      <c r="U266">
        <f>IF($A266="";"";IF(SUMIF(FoodLog!$A:$A;$A266;FoodLog!$I:$I)=0;"";SUMIF(FoodLog!$A:$A;$A266;FoodLog!$I:$I)))</f>
        <v/>
      </c>
      <c r="V266">
        <f>IF($A266="";"";IF(SUMIF(FoodLog!$A:$A;$A266;FoodLog!$F:$F)=0;"";SUMIF(FoodLog!$A:$A;$A266;FoodLog!$F:$F)))</f>
        <v/>
      </c>
      <c r="W266">
        <f>IF($A266="";"";IF(SUMIF(FoodLog!$A:$A;$A266;FoodLog!$G:$G)=0;"";SUMIF(FoodLog!$A:$A;$A266;FoodLog!$G:$G)))</f>
        <v/>
      </c>
      <c r="X266">
        <f>IF($A266="";"";IF(SUMIF(FoodLog!$A:$A;$A266;FoodLog!$H:$H)=0;"";SUMIF(FoodLog!$A:$A;$A266;FoodLog!$H:$H)))</f>
        <v/>
      </c>
      <c r="Y266">
        <f>IF($A266="";"";IFERROR(ROUND(100*AVERAGE(IF($B266="";"";XLOOKUP($B266;FILTER(Dictionaries!$B:$B;Dictionaries!$A:$A="Тренировка");FILTER(Dictionaries!$C:$C;Dictionaries!$A:$A="Тренировка")));IF($C266="";"";MIN($C266/40;1));IF($D266="";"";XLOOKUP($D266;FILTER(Dictionaries!$B:$B;Dictionaries!$A:$A="Шаги");FILTER(Dictionaries!$C:$C;Dictionaries!$A:$A="Шаги")));IF($E266="";"";MIN($E266/120;1));IF(OR($F266&lt;&gt;"";$G266&lt;&gt;"");1;"");IF($H266="";"";MIN($H266/100;1));IF($L266="";"";XLOOKUP($L266;FILTER(Dictionaries!$B:$B;Dictionaries!$A:$A="Сон_часы");FILTER(Dictionaries!$C:$C;Dictionaries!$A:$A="Сон_часы")));IF($M266="";"";XLOOKUP($M266;FILTER(Dictionaries!$B:$B;Dictionaries!$A:$A="Режим");FILTER(Dictionaries!$C:$C;Dictionaries!$A:$A="Режим")));IF($N266="";"";MIN($N266/100;1));IF($O266="";"";XLOOKUP($O266;FILTER(Dictionaries!$B:$B;Dictionaries!$A:$A="Настроение");FILTER(Dictionaries!$C:$C;Dictionaries!$A:$A="Настроение")));IF($P266="";"";XLOOKUP($P266;FILTER(Dictionaries!$B:$B;Dictionaries!$A:$A="Энергия");FILTER(Dictionaries!$C:$C;Dictionaries!$A:$A="Энергия")));IF($U266="";"";AVERAGE(IF(OR($B266="Ноги";$B266="Верх");IFS(AND($U266&gt;=1900;$U266&lt;=2050);1;AND($U266&gt;=1850;$U266&lt;1900);0,7;AND($U266&gt;2050;$U266&lt;=2100);0,7;TRUE;0,2);IFS(AND($U266&gt;=1700;$U266&lt;=1850);1;AND($U266&gt;=1650;$U266&lt;1700);0,7;AND($U266&gt;1850;$U266&lt;=1900);0,7;TRUE;0,2));IF(OR($B266="Ноги";$B266="Верх");IFS(AND($V266&gt;=125;$V266&lt;=135);1;AND($V266&gt;=115;$V266&lt;125);0,7;AND($V266&gt;135;$V266&lt;=145);0,7;AND($V266&gt;=105;$V266&lt;115);0,4;AND($V266&gt;145;$V266&lt;=155);0,4;TRUE;0,2);IFS(AND($V266&gt;=120;$V266&lt;=130);1;AND($V266&gt;=110;$V266&lt;120);0,7;AND($V266&gt;130;$V266&lt;=140);0,7;AND($V266&gt;=100;$V266&lt;110);0,4;AND($V266&gt;140;$V266&lt;=150);0,4;TRUE;0,2));IFS(AND($W266&gt;=55;$W266&lt;=65);1;AND($W266&gt;=50;$W266&lt;55);0,7;AND($W266&gt;65;$W266&lt;=70);0,7;AND($W266&gt;=45;$W266&lt;50);0,4;AND($W266&gt;70;$W266&lt;=75);0,4;TRUE;0,2);IF(OR($B266="Ноги";$B266="Верх");IFS(AND($X266&gt;=180;$X266&lt;=210);1;AND($X266&gt;=160;$X266&lt;180);0,7;AND($X266&gt;210;$X266&lt;=230);0,7;AND($X266&gt;=140;$X266&lt;160);0,4;AND($X266&gt;230;$X266&lt;=250);0,4;TRUE;0,2);IFS(AND($X266&gt;=140;$X266&lt;=170);1;AND($X266&gt;=120;$X266&lt;140);0,7;AND($X266&gt;170;$X266&lt;=190);0,7;AND($X266&gt;=100;$X266&lt;120);0,4;AND($X266&gt;190;$X266&lt;=210);0,4;TRUE;0,2)))));1);""))</f>
        <v/>
      </c>
      <c r="Z266">
        <f>IF($A266="";"";TEXTJOIN(", ";TRUE;IF($B266="";"Тренировка";"");IF($C266="";"Кардио";"");IF($D266="";"Шаги";"");IF($E266="";"Английский";"");IF($F266="";"Код-режим";"");IF($G266="";"Код-тема";"");IF($H266="";"Чтение";"");IF($L266="";"Сон";"");IF($M266="";"Режим";"");IF($N266="";"Продуктивность";"");IF($O266="";"Настроение";"");IF($P266="";"Энергия";"");IF($U266="";"Еда";"")))</f>
        <v/>
      </c>
    </row>
    <row r="267">
      <c r="B267" t="inlineStr"/>
      <c r="C267" t="inlineStr"/>
      <c r="D267" t="inlineStr"/>
      <c r="E267" t="inlineStr"/>
      <c r="F267" t="inlineStr"/>
      <c r="G267" t="inlineStr"/>
      <c r="H267" t="inlineStr"/>
      <c r="I267" t="inlineStr"/>
      <c r="J267" t="inlineStr"/>
      <c r="K267" t="inlineStr"/>
      <c r="L267" t="inlineStr"/>
      <c r="M267" t="inlineStr"/>
      <c r="N267" t="inlineStr"/>
      <c r="O267" t="inlineStr"/>
      <c r="P267" t="inlineStr"/>
      <c r="Q267" t="inlineStr"/>
      <c r="R267" t="inlineStr"/>
      <c r="S267" t="inlineStr"/>
      <c r="T267" t="inlineStr"/>
      <c r="U267">
        <f>IF($A267="";"";IF(SUMIF(FoodLog!$A:$A;$A267;FoodLog!$I:$I)=0;"";SUMIF(FoodLog!$A:$A;$A267;FoodLog!$I:$I)))</f>
        <v/>
      </c>
      <c r="V267">
        <f>IF($A267="";"";IF(SUMIF(FoodLog!$A:$A;$A267;FoodLog!$F:$F)=0;"";SUMIF(FoodLog!$A:$A;$A267;FoodLog!$F:$F)))</f>
        <v/>
      </c>
      <c r="W267">
        <f>IF($A267="";"";IF(SUMIF(FoodLog!$A:$A;$A267;FoodLog!$G:$G)=0;"";SUMIF(FoodLog!$A:$A;$A267;FoodLog!$G:$G)))</f>
        <v/>
      </c>
      <c r="X267">
        <f>IF($A267="";"";IF(SUMIF(FoodLog!$A:$A;$A267;FoodLog!$H:$H)=0;"";SUMIF(FoodLog!$A:$A;$A267;FoodLog!$H:$H)))</f>
        <v/>
      </c>
      <c r="Y267">
        <f>IF($A267="";"";IFERROR(ROUND(100*AVERAGE(IF($B267="";"";XLOOKUP($B267;FILTER(Dictionaries!$B:$B;Dictionaries!$A:$A="Тренировка");FILTER(Dictionaries!$C:$C;Dictionaries!$A:$A="Тренировка")));IF($C267="";"";MIN($C267/40;1));IF($D267="";"";XLOOKUP($D267;FILTER(Dictionaries!$B:$B;Dictionaries!$A:$A="Шаги");FILTER(Dictionaries!$C:$C;Dictionaries!$A:$A="Шаги")));IF($E267="";"";MIN($E267/120;1));IF(OR($F267&lt;&gt;"";$G267&lt;&gt;"");1;"");IF($H267="";"";MIN($H267/100;1));IF($L267="";"";XLOOKUP($L267;FILTER(Dictionaries!$B:$B;Dictionaries!$A:$A="Сон_часы");FILTER(Dictionaries!$C:$C;Dictionaries!$A:$A="Сон_часы")));IF($M267="";"";XLOOKUP($M267;FILTER(Dictionaries!$B:$B;Dictionaries!$A:$A="Режим");FILTER(Dictionaries!$C:$C;Dictionaries!$A:$A="Режим")));IF($N267="";"";MIN($N267/100;1));IF($O267="";"";XLOOKUP($O267;FILTER(Dictionaries!$B:$B;Dictionaries!$A:$A="Настроение");FILTER(Dictionaries!$C:$C;Dictionaries!$A:$A="Настроение")));IF($P267="";"";XLOOKUP($P267;FILTER(Dictionaries!$B:$B;Dictionaries!$A:$A="Энергия");FILTER(Dictionaries!$C:$C;Dictionaries!$A:$A="Энергия")));IF($U267="";"";AVERAGE(IF(OR($B267="Ноги";$B267="Верх");IFS(AND($U267&gt;=1900;$U267&lt;=2050);1;AND($U267&gt;=1850;$U267&lt;1900);0,7;AND($U267&gt;2050;$U267&lt;=2100);0,7;TRUE;0,2);IFS(AND($U267&gt;=1700;$U267&lt;=1850);1;AND($U267&gt;=1650;$U267&lt;1700);0,7;AND($U267&gt;1850;$U267&lt;=1900);0,7;TRUE;0,2));IF(OR($B267="Ноги";$B267="Верх");IFS(AND($V267&gt;=125;$V267&lt;=135);1;AND($V267&gt;=115;$V267&lt;125);0,7;AND($V267&gt;135;$V267&lt;=145);0,7;AND($V267&gt;=105;$V267&lt;115);0,4;AND($V267&gt;145;$V267&lt;=155);0,4;TRUE;0,2);IFS(AND($V267&gt;=120;$V267&lt;=130);1;AND($V267&gt;=110;$V267&lt;120);0,7;AND($V267&gt;130;$V267&lt;=140);0,7;AND($V267&gt;=100;$V267&lt;110);0,4;AND($V267&gt;140;$V267&lt;=150);0,4;TRUE;0,2));IFS(AND($W267&gt;=55;$W267&lt;=65);1;AND($W267&gt;=50;$W267&lt;55);0,7;AND($W267&gt;65;$W267&lt;=70);0,7;AND($W267&gt;=45;$W267&lt;50);0,4;AND($W267&gt;70;$W267&lt;=75);0,4;TRUE;0,2);IF(OR($B267="Ноги";$B267="Верх");IFS(AND($X267&gt;=180;$X267&lt;=210);1;AND($X267&gt;=160;$X267&lt;180);0,7;AND($X267&gt;210;$X267&lt;=230);0,7;AND($X267&gt;=140;$X267&lt;160);0,4;AND($X267&gt;230;$X267&lt;=250);0,4;TRUE;0,2);IFS(AND($X267&gt;=140;$X267&lt;=170);1;AND($X267&gt;=120;$X267&lt;140);0,7;AND($X267&gt;170;$X267&lt;=190);0,7;AND($X267&gt;=100;$X267&lt;120);0,4;AND($X267&gt;190;$X267&lt;=210);0,4;TRUE;0,2)))));1);""))</f>
        <v/>
      </c>
      <c r="Z267">
        <f>IF($A267="";"";TEXTJOIN(", ";TRUE;IF($B267="";"Тренировка";"");IF($C267="";"Кардио";"");IF($D267="";"Шаги";"");IF($E267="";"Английский";"");IF($F267="";"Код-режим";"");IF($G267="";"Код-тема";"");IF($H267="";"Чтение";"");IF($L267="";"Сон";"");IF($M267="";"Режим";"");IF($N267="";"Продуктивность";"");IF($O267="";"Настроение";"");IF($P267="";"Энергия";"");IF($U267="";"Еда";"")))</f>
        <v/>
      </c>
    </row>
    <row r="268">
      <c r="B268" t="inlineStr"/>
      <c r="C268" t="inlineStr"/>
      <c r="D268" t="inlineStr"/>
      <c r="E268" t="inlineStr"/>
      <c r="F268" t="inlineStr"/>
      <c r="G268" t="inlineStr"/>
      <c r="H268" t="inlineStr"/>
      <c r="I268" t="inlineStr"/>
      <c r="J268" t="inlineStr"/>
      <c r="K268" t="inlineStr"/>
      <c r="L268" t="inlineStr"/>
      <c r="M268" t="inlineStr"/>
      <c r="N268" t="inlineStr"/>
      <c r="O268" t="inlineStr"/>
      <c r="P268" t="inlineStr"/>
      <c r="Q268" t="inlineStr"/>
      <c r="R268" t="inlineStr"/>
      <c r="S268" t="inlineStr"/>
      <c r="T268" t="inlineStr"/>
      <c r="U268">
        <f>IF($A268="";"";IF(SUMIF(FoodLog!$A:$A;$A268;FoodLog!$I:$I)=0;"";SUMIF(FoodLog!$A:$A;$A268;FoodLog!$I:$I)))</f>
        <v/>
      </c>
      <c r="V268">
        <f>IF($A268="";"";IF(SUMIF(FoodLog!$A:$A;$A268;FoodLog!$F:$F)=0;"";SUMIF(FoodLog!$A:$A;$A268;FoodLog!$F:$F)))</f>
        <v/>
      </c>
      <c r="W268">
        <f>IF($A268="";"";IF(SUMIF(FoodLog!$A:$A;$A268;FoodLog!$G:$G)=0;"";SUMIF(FoodLog!$A:$A;$A268;FoodLog!$G:$G)))</f>
        <v/>
      </c>
      <c r="X268">
        <f>IF($A268="";"";IF(SUMIF(FoodLog!$A:$A;$A268;FoodLog!$H:$H)=0;"";SUMIF(FoodLog!$A:$A;$A268;FoodLog!$H:$H)))</f>
        <v/>
      </c>
      <c r="Y268">
        <f>IF($A268="";"";IFERROR(ROUND(100*AVERAGE(IF($B268="";"";XLOOKUP($B268;FILTER(Dictionaries!$B:$B;Dictionaries!$A:$A="Тренировка");FILTER(Dictionaries!$C:$C;Dictionaries!$A:$A="Тренировка")));IF($C268="";"";MIN($C268/40;1));IF($D268="";"";XLOOKUP($D268;FILTER(Dictionaries!$B:$B;Dictionaries!$A:$A="Шаги");FILTER(Dictionaries!$C:$C;Dictionaries!$A:$A="Шаги")));IF($E268="";"";MIN($E268/120;1));IF(OR($F268&lt;&gt;"";$G268&lt;&gt;"");1;"");IF($H268="";"";MIN($H268/100;1));IF($L268="";"";XLOOKUP($L268;FILTER(Dictionaries!$B:$B;Dictionaries!$A:$A="Сон_часы");FILTER(Dictionaries!$C:$C;Dictionaries!$A:$A="Сон_часы")));IF($M268="";"";XLOOKUP($M268;FILTER(Dictionaries!$B:$B;Dictionaries!$A:$A="Режим");FILTER(Dictionaries!$C:$C;Dictionaries!$A:$A="Режим")));IF($N268="";"";MIN($N268/100;1));IF($O268="";"";XLOOKUP($O268;FILTER(Dictionaries!$B:$B;Dictionaries!$A:$A="Настроение");FILTER(Dictionaries!$C:$C;Dictionaries!$A:$A="Настроение")));IF($P268="";"";XLOOKUP($P268;FILTER(Dictionaries!$B:$B;Dictionaries!$A:$A="Энергия");FILTER(Dictionaries!$C:$C;Dictionaries!$A:$A="Энергия")));IF($U268="";"";AVERAGE(IF(OR($B268="Ноги";$B268="Верх");IFS(AND($U268&gt;=1900;$U268&lt;=2050);1;AND($U268&gt;=1850;$U268&lt;1900);0,7;AND($U268&gt;2050;$U268&lt;=2100);0,7;TRUE;0,2);IFS(AND($U268&gt;=1700;$U268&lt;=1850);1;AND($U268&gt;=1650;$U268&lt;1700);0,7;AND($U268&gt;1850;$U268&lt;=1900);0,7;TRUE;0,2));IF(OR($B268="Ноги";$B268="Верх");IFS(AND($V268&gt;=125;$V268&lt;=135);1;AND($V268&gt;=115;$V268&lt;125);0,7;AND($V268&gt;135;$V268&lt;=145);0,7;AND($V268&gt;=105;$V268&lt;115);0,4;AND($V268&gt;145;$V268&lt;=155);0,4;TRUE;0,2);IFS(AND($V268&gt;=120;$V268&lt;=130);1;AND($V268&gt;=110;$V268&lt;120);0,7;AND($V268&gt;130;$V268&lt;=140);0,7;AND($V268&gt;=100;$V268&lt;110);0,4;AND($V268&gt;140;$V268&lt;=150);0,4;TRUE;0,2));IFS(AND($W268&gt;=55;$W268&lt;=65);1;AND($W268&gt;=50;$W268&lt;55);0,7;AND($W268&gt;65;$W268&lt;=70);0,7;AND($W268&gt;=45;$W268&lt;50);0,4;AND($W268&gt;70;$W268&lt;=75);0,4;TRUE;0,2);IF(OR($B268="Ноги";$B268="Верх");IFS(AND($X268&gt;=180;$X268&lt;=210);1;AND($X268&gt;=160;$X268&lt;180);0,7;AND($X268&gt;210;$X268&lt;=230);0,7;AND($X268&gt;=140;$X268&lt;160);0,4;AND($X268&gt;230;$X268&lt;=250);0,4;TRUE;0,2);IFS(AND($X268&gt;=140;$X268&lt;=170);1;AND($X268&gt;=120;$X268&lt;140);0,7;AND($X268&gt;170;$X268&lt;=190);0,7;AND($X268&gt;=100;$X268&lt;120);0,4;AND($X268&gt;190;$X268&lt;=210);0,4;TRUE;0,2)))));1);""))</f>
        <v/>
      </c>
      <c r="Z268">
        <f>IF($A268="";"";TEXTJOIN(", ";TRUE;IF($B268="";"Тренировка";"");IF($C268="";"Кардио";"");IF($D268="";"Шаги";"");IF($E268="";"Английский";"");IF($F268="";"Код-режим";"");IF($G268="";"Код-тема";"");IF($H268="";"Чтение";"");IF($L268="";"Сон";"");IF($M268="";"Режим";"");IF($N268="";"Продуктивность";"");IF($O268="";"Настроение";"");IF($P268="";"Энергия";"");IF($U268="";"Еда";"")))</f>
        <v/>
      </c>
    </row>
    <row r="269">
      <c r="B269" t="inlineStr"/>
      <c r="C269" t="inlineStr"/>
      <c r="D269" t="inlineStr"/>
      <c r="E269" t="inlineStr"/>
      <c r="F269" t="inlineStr"/>
      <c r="G269" t="inlineStr"/>
      <c r="H269" t="inlineStr"/>
      <c r="I269" t="inlineStr"/>
      <c r="J269" t="inlineStr"/>
      <c r="K269" t="inlineStr"/>
      <c r="L269" t="inlineStr"/>
      <c r="M269" t="inlineStr"/>
      <c r="N269" t="inlineStr"/>
      <c r="O269" t="inlineStr"/>
      <c r="P269" t="inlineStr"/>
      <c r="Q269" t="inlineStr"/>
      <c r="R269" t="inlineStr"/>
      <c r="S269" t="inlineStr"/>
      <c r="T269" t="inlineStr"/>
      <c r="U269">
        <f>IF($A269="";"";IF(SUMIF(FoodLog!$A:$A;$A269;FoodLog!$I:$I)=0;"";SUMIF(FoodLog!$A:$A;$A269;FoodLog!$I:$I)))</f>
        <v/>
      </c>
      <c r="V269">
        <f>IF($A269="";"";IF(SUMIF(FoodLog!$A:$A;$A269;FoodLog!$F:$F)=0;"";SUMIF(FoodLog!$A:$A;$A269;FoodLog!$F:$F)))</f>
        <v/>
      </c>
      <c r="W269">
        <f>IF($A269="";"";IF(SUMIF(FoodLog!$A:$A;$A269;FoodLog!$G:$G)=0;"";SUMIF(FoodLog!$A:$A;$A269;FoodLog!$G:$G)))</f>
        <v/>
      </c>
      <c r="X269">
        <f>IF($A269="";"";IF(SUMIF(FoodLog!$A:$A;$A269;FoodLog!$H:$H)=0;"";SUMIF(FoodLog!$A:$A;$A269;FoodLog!$H:$H)))</f>
        <v/>
      </c>
      <c r="Y269">
        <f>IF($A269="";"";IFERROR(ROUND(100*AVERAGE(IF($B269="";"";XLOOKUP($B269;FILTER(Dictionaries!$B:$B;Dictionaries!$A:$A="Тренировка");FILTER(Dictionaries!$C:$C;Dictionaries!$A:$A="Тренировка")));IF($C269="";"";MIN($C269/40;1));IF($D269="";"";XLOOKUP($D269;FILTER(Dictionaries!$B:$B;Dictionaries!$A:$A="Шаги");FILTER(Dictionaries!$C:$C;Dictionaries!$A:$A="Шаги")));IF($E269="";"";MIN($E269/120;1));IF(OR($F269&lt;&gt;"";$G269&lt;&gt;"");1;"");IF($H269="";"";MIN($H269/100;1));IF($L269="";"";XLOOKUP($L269;FILTER(Dictionaries!$B:$B;Dictionaries!$A:$A="Сон_часы");FILTER(Dictionaries!$C:$C;Dictionaries!$A:$A="Сон_часы")));IF($M269="";"";XLOOKUP($M269;FILTER(Dictionaries!$B:$B;Dictionaries!$A:$A="Режим");FILTER(Dictionaries!$C:$C;Dictionaries!$A:$A="Режим")));IF($N269="";"";MIN($N269/100;1));IF($O269="";"";XLOOKUP($O269;FILTER(Dictionaries!$B:$B;Dictionaries!$A:$A="Настроение");FILTER(Dictionaries!$C:$C;Dictionaries!$A:$A="Настроение")));IF($P269="";"";XLOOKUP($P269;FILTER(Dictionaries!$B:$B;Dictionaries!$A:$A="Энергия");FILTER(Dictionaries!$C:$C;Dictionaries!$A:$A="Энергия")));IF($U269="";"";AVERAGE(IF(OR($B269="Ноги";$B269="Верх");IFS(AND($U269&gt;=1900;$U269&lt;=2050);1;AND($U269&gt;=1850;$U269&lt;1900);0,7;AND($U269&gt;2050;$U269&lt;=2100);0,7;TRUE;0,2);IFS(AND($U269&gt;=1700;$U269&lt;=1850);1;AND($U269&gt;=1650;$U269&lt;1700);0,7;AND($U269&gt;1850;$U269&lt;=1900);0,7;TRUE;0,2));IF(OR($B269="Ноги";$B269="Верх");IFS(AND($V269&gt;=125;$V269&lt;=135);1;AND($V269&gt;=115;$V269&lt;125);0,7;AND($V269&gt;135;$V269&lt;=145);0,7;AND($V269&gt;=105;$V269&lt;115);0,4;AND($V269&gt;145;$V269&lt;=155);0,4;TRUE;0,2);IFS(AND($V269&gt;=120;$V269&lt;=130);1;AND($V269&gt;=110;$V269&lt;120);0,7;AND($V269&gt;130;$V269&lt;=140);0,7;AND($V269&gt;=100;$V269&lt;110);0,4;AND($V269&gt;140;$V269&lt;=150);0,4;TRUE;0,2));IFS(AND($W269&gt;=55;$W269&lt;=65);1;AND($W269&gt;=50;$W269&lt;55);0,7;AND($W269&gt;65;$W269&lt;=70);0,7;AND($W269&gt;=45;$W269&lt;50);0,4;AND($W269&gt;70;$W269&lt;=75);0,4;TRUE;0,2);IF(OR($B269="Ноги";$B269="Верх");IFS(AND($X269&gt;=180;$X269&lt;=210);1;AND($X269&gt;=160;$X269&lt;180);0,7;AND($X269&gt;210;$X269&lt;=230);0,7;AND($X269&gt;=140;$X269&lt;160);0,4;AND($X269&gt;230;$X269&lt;=250);0,4;TRUE;0,2);IFS(AND($X269&gt;=140;$X269&lt;=170);1;AND($X269&gt;=120;$X269&lt;140);0,7;AND($X269&gt;170;$X269&lt;=190);0,7;AND($X269&gt;=100;$X269&lt;120);0,4;AND($X269&gt;190;$X269&lt;=210);0,4;TRUE;0,2)))));1);""))</f>
        <v/>
      </c>
      <c r="Z269">
        <f>IF($A269="";"";TEXTJOIN(", ";TRUE;IF($B269="";"Тренировка";"");IF($C269="";"Кардио";"");IF($D269="";"Шаги";"");IF($E269="";"Английский";"");IF($F269="";"Код-режим";"");IF($G269="";"Код-тема";"");IF($H269="";"Чтение";"");IF($L269="";"Сон";"");IF($M269="";"Режим";"");IF($N269="";"Продуктивность";"");IF($O269="";"Настроение";"");IF($P269="";"Энергия";"");IF($U269="";"Еда";"")))</f>
        <v/>
      </c>
    </row>
    <row r="270">
      <c r="B270" t="inlineStr"/>
      <c r="C270" t="inlineStr"/>
      <c r="D270" t="inlineStr"/>
      <c r="E270" t="inlineStr"/>
      <c r="F270" t="inlineStr"/>
      <c r="G270" t="inlineStr"/>
      <c r="H270" t="inlineStr"/>
      <c r="I270" t="inlineStr"/>
      <c r="J270" t="inlineStr"/>
      <c r="K270" t="inlineStr"/>
      <c r="L270" t="inlineStr"/>
      <c r="M270" t="inlineStr"/>
      <c r="N270" t="inlineStr"/>
      <c r="O270" t="inlineStr"/>
      <c r="P270" t="inlineStr"/>
      <c r="Q270" t="inlineStr"/>
      <c r="R270" t="inlineStr"/>
      <c r="S270" t="inlineStr"/>
      <c r="T270" t="inlineStr"/>
      <c r="U270">
        <f>IF($A270="";"";IF(SUMIF(FoodLog!$A:$A;$A270;FoodLog!$I:$I)=0;"";SUMIF(FoodLog!$A:$A;$A270;FoodLog!$I:$I)))</f>
        <v/>
      </c>
      <c r="V270">
        <f>IF($A270="";"";IF(SUMIF(FoodLog!$A:$A;$A270;FoodLog!$F:$F)=0;"";SUMIF(FoodLog!$A:$A;$A270;FoodLog!$F:$F)))</f>
        <v/>
      </c>
      <c r="W270">
        <f>IF($A270="";"";IF(SUMIF(FoodLog!$A:$A;$A270;FoodLog!$G:$G)=0;"";SUMIF(FoodLog!$A:$A;$A270;FoodLog!$G:$G)))</f>
        <v/>
      </c>
      <c r="X270">
        <f>IF($A270="";"";IF(SUMIF(FoodLog!$A:$A;$A270;FoodLog!$H:$H)=0;"";SUMIF(FoodLog!$A:$A;$A270;FoodLog!$H:$H)))</f>
        <v/>
      </c>
      <c r="Y270">
        <f>IF($A270="";"";IFERROR(ROUND(100*AVERAGE(IF($B270="";"";XLOOKUP($B270;FILTER(Dictionaries!$B:$B;Dictionaries!$A:$A="Тренировка");FILTER(Dictionaries!$C:$C;Dictionaries!$A:$A="Тренировка")));IF($C270="";"";MIN($C270/40;1));IF($D270="";"";XLOOKUP($D270;FILTER(Dictionaries!$B:$B;Dictionaries!$A:$A="Шаги");FILTER(Dictionaries!$C:$C;Dictionaries!$A:$A="Шаги")));IF($E270="";"";MIN($E270/120;1));IF(OR($F270&lt;&gt;"";$G270&lt;&gt;"");1;"");IF($H270="";"";MIN($H270/100;1));IF($L270="";"";XLOOKUP($L270;FILTER(Dictionaries!$B:$B;Dictionaries!$A:$A="Сон_часы");FILTER(Dictionaries!$C:$C;Dictionaries!$A:$A="Сон_часы")));IF($M270="";"";XLOOKUP($M270;FILTER(Dictionaries!$B:$B;Dictionaries!$A:$A="Режим");FILTER(Dictionaries!$C:$C;Dictionaries!$A:$A="Режим")));IF($N270="";"";MIN($N270/100;1));IF($O270="";"";XLOOKUP($O270;FILTER(Dictionaries!$B:$B;Dictionaries!$A:$A="Настроение");FILTER(Dictionaries!$C:$C;Dictionaries!$A:$A="Настроение")));IF($P270="";"";XLOOKUP($P270;FILTER(Dictionaries!$B:$B;Dictionaries!$A:$A="Энергия");FILTER(Dictionaries!$C:$C;Dictionaries!$A:$A="Энергия")));IF($U270="";"";AVERAGE(IF(OR($B270="Ноги";$B270="Верх");IFS(AND($U270&gt;=1900;$U270&lt;=2050);1;AND($U270&gt;=1850;$U270&lt;1900);0,7;AND($U270&gt;2050;$U270&lt;=2100);0,7;TRUE;0,2);IFS(AND($U270&gt;=1700;$U270&lt;=1850);1;AND($U270&gt;=1650;$U270&lt;1700);0,7;AND($U270&gt;1850;$U270&lt;=1900);0,7;TRUE;0,2));IF(OR($B270="Ноги";$B270="Верх");IFS(AND($V270&gt;=125;$V270&lt;=135);1;AND($V270&gt;=115;$V270&lt;125);0,7;AND($V270&gt;135;$V270&lt;=145);0,7;AND($V270&gt;=105;$V270&lt;115);0,4;AND($V270&gt;145;$V270&lt;=155);0,4;TRUE;0,2);IFS(AND($V270&gt;=120;$V270&lt;=130);1;AND($V270&gt;=110;$V270&lt;120);0,7;AND($V270&gt;130;$V270&lt;=140);0,7;AND($V270&gt;=100;$V270&lt;110);0,4;AND($V270&gt;140;$V270&lt;=150);0,4;TRUE;0,2));IFS(AND($W270&gt;=55;$W270&lt;=65);1;AND($W270&gt;=50;$W270&lt;55);0,7;AND($W270&gt;65;$W270&lt;=70);0,7;AND($W270&gt;=45;$W270&lt;50);0,4;AND($W270&gt;70;$W270&lt;=75);0,4;TRUE;0,2);IF(OR($B270="Ноги";$B270="Верх");IFS(AND($X270&gt;=180;$X270&lt;=210);1;AND($X270&gt;=160;$X270&lt;180);0,7;AND($X270&gt;210;$X270&lt;=230);0,7;AND($X270&gt;=140;$X270&lt;160);0,4;AND($X270&gt;230;$X270&lt;=250);0,4;TRUE;0,2);IFS(AND($X270&gt;=140;$X270&lt;=170);1;AND($X270&gt;=120;$X270&lt;140);0,7;AND($X270&gt;170;$X270&lt;=190);0,7;AND($X270&gt;=100;$X270&lt;120);0,4;AND($X270&gt;190;$X270&lt;=210);0,4;TRUE;0,2)))));1);""))</f>
        <v/>
      </c>
      <c r="Z270">
        <f>IF($A270="";"";TEXTJOIN(", ";TRUE;IF($B270="";"Тренировка";"");IF($C270="";"Кардио";"");IF($D270="";"Шаги";"");IF($E270="";"Английский";"");IF($F270="";"Код-режим";"");IF($G270="";"Код-тема";"");IF($H270="";"Чтение";"");IF($L270="";"Сон";"");IF($M270="";"Режим";"");IF($N270="";"Продуктивность";"");IF($O270="";"Настроение";"");IF($P270="";"Энергия";"");IF($U270="";"Еда";"")))</f>
        <v/>
      </c>
    </row>
    <row r="271">
      <c r="B271" t="inlineStr"/>
      <c r="C271" t="inlineStr"/>
      <c r="D271" t="inlineStr"/>
      <c r="E271" t="inlineStr"/>
      <c r="F271" t="inlineStr"/>
      <c r="G271" t="inlineStr"/>
      <c r="H271" t="inlineStr"/>
      <c r="I271" t="inlineStr"/>
      <c r="J271" t="inlineStr"/>
      <c r="K271" t="inlineStr"/>
      <c r="L271" t="inlineStr"/>
      <c r="M271" t="inlineStr"/>
      <c r="N271" t="inlineStr"/>
      <c r="O271" t="inlineStr"/>
      <c r="P271" t="inlineStr"/>
      <c r="Q271" t="inlineStr"/>
      <c r="R271" t="inlineStr"/>
      <c r="S271" t="inlineStr"/>
      <c r="T271" t="inlineStr"/>
      <c r="U271">
        <f>IF($A271="";"";IF(SUMIF(FoodLog!$A:$A;$A271;FoodLog!$I:$I)=0;"";SUMIF(FoodLog!$A:$A;$A271;FoodLog!$I:$I)))</f>
        <v/>
      </c>
      <c r="V271">
        <f>IF($A271="";"";IF(SUMIF(FoodLog!$A:$A;$A271;FoodLog!$F:$F)=0;"";SUMIF(FoodLog!$A:$A;$A271;FoodLog!$F:$F)))</f>
        <v/>
      </c>
      <c r="W271">
        <f>IF($A271="";"";IF(SUMIF(FoodLog!$A:$A;$A271;FoodLog!$G:$G)=0;"";SUMIF(FoodLog!$A:$A;$A271;FoodLog!$G:$G)))</f>
        <v/>
      </c>
      <c r="X271">
        <f>IF($A271="";"";IF(SUMIF(FoodLog!$A:$A;$A271;FoodLog!$H:$H)=0;"";SUMIF(FoodLog!$A:$A;$A271;FoodLog!$H:$H)))</f>
        <v/>
      </c>
      <c r="Y271">
        <f>IF($A271="";"";IFERROR(ROUND(100*AVERAGE(IF($B271="";"";XLOOKUP($B271;FILTER(Dictionaries!$B:$B;Dictionaries!$A:$A="Тренировка");FILTER(Dictionaries!$C:$C;Dictionaries!$A:$A="Тренировка")));IF($C271="";"";MIN($C271/40;1));IF($D271="";"";XLOOKUP($D271;FILTER(Dictionaries!$B:$B;Dictionaries!$A:$A="Шаги");FILTER(Dictionaries!$C:$C;Dictionaries!$A:$A="Шаги")));IF($E271="";"";MIN($E271/120;1));IF(OR($F271&lt;&gt;"";$G271&lt;&gt;"");1;"");IF($H271="";"";MIN($H271/100;1));IF($L271="";"";XLOOKUP($L271;FILTER(Dictionaries!$B:$B;Dictionaries!$A:$A="Сон_часы");FILTER(Dictionaries!$C:$C;Dictionaries!$A:$A="Сон_часы")));IF($M271="";"";XLOOKUP($M271;FILTER(Dictionaries!$B:$B;Dictionaries!$A:$A="Режим");FILTER(Dictionaries!$C:$C;Dictionaries!$A:$A="Режим")));IF($N271="";"";MIN($N271/100;1));IF($O271="";"";XLOOKUP($O271;FILTER(Dictionaries!$B:$B;Dictionaries!$A:$A="Настроение");FILTER(Dictionaries!$C:$C;Dictionaries!$A:$A="Настроение")));IF($P271="";"";XLOOKUP($P271;FILTER(Dictionaries!$B:$B;Dictionaries!$A:$A="Энергия");FILTER(Dictionaries!$C:$C;Dictionaries!$A:$A="Энергия")));IF($U271="";"";AVERAGE(IF(OR($B271="Ноги";$B271="Верх");IFS(AND($U271&gt;=1900;$U271&lt;=2050);1;AND($U271&gt;=1850;$U271&lt;1900);0,7;AND($U271&gt;2050;$U271&lt;=2100);0,7;TRUE;0,2);IFS(AND($U271&gt;=1700;$U271&lt;=1850);1;AND($U271&gt;=1650;$U271&lt;1700);0,7;AND($U271&gt;1850;$U271&lt;=1900);0,7;TRUE;0,2));IF(OR($B271="Ноги";$B271="Верх");IFS(AND($V271&gt;=125;$V271&lt;=135);1;AND($V271&gt;=115;$V271&lt;125);0,7;AND($V271&gt;135;$V271&lt;=145);0,7;AND($V271&gt;=105;$V271&lt;115);0,4;AND($V271&gt;145;$V271&lt;=155);0,4;TRUE;0,2);IFS(AND($V271&gt;=120;$V271&lt;=130);1;AND($V271&gt;=110;$V271&lt;120);0,7;AND($V271&gt;130;$V271&lt;=140);0,7;AND($V271&gt;=100;$V271&lt;110);0,4;AND($V271&gt;140;$V271&lt;=150);0,4;TRUE;0,2));IFS(AND($W271&gt;=55;$W271&lt;=65);1;AND($W271&gt;=50;$W271&lt;55);0,7;AND($W271&gt;65;$W271&lt;=70);0,7;AND($W271&gt;=45;$W271&lt;50);0,4;AND($W271&gt;70;$W271&lt;=75);0,4;TRUE;0,2);IF(OR($B271="Ноги";$B271="Верх");IFS(AND($X271&gt;=180;$X271&lt;=210);1;AND($X271&gt;=160;$X271&lt;180);0,7;AND($X271&gt;210;$X271&lt;=230);0,7;AND($X271&gt;=140;$X271&lt;160);0,4;AND($X271&gt;230;$X271&lt;=250);0,4;TRUE;0,2);IFS(AND($X271&gt;=140;$X271&lt;=170);1;AND($X271&gt;=120;$X271&lt;140);0,7;AND($X271&gt;170;$X271&lt;=190);0,7;AND($X271&gt;=100;$X271&lt;120);0,4;AND($X271&gt;190;$X271&lt;=210);0,4;TRUE;0,2)))));1);""))</f>
        <v/>
      </c>
      <c r="Z271">
        <f>IF($A271="";"";TEXTJOIN(", ";TRUE;IF($B271="";"Тренировка";"");IF($C271="";"Кардио";"");IF($D271="";"Шаги";"");IF($E271="";"Английский";"");IF($F271="";"Код-режим";"");IF($G271="";"Код-тема";"");IF($H271="";"Чтение";"");IF($L271="";"Сон";"");IF($M271="";"Режим";"");IF($N271="";"Продуктивность";"");IF($O271="";"Настроение";"");IF($P271="";"Энергия";"");IF($U271="";"Еда";"")))</f>
        <v/>
      </c>
    </row>
    <row r="272">
      <c r="B272" t="inlineStr"/>
      <c r="C272" t="inlineStr"/>
      <c r="D272" t="inlineStr"/>
      <c r="E272" t="inlineStr"/>
      <c r="F272" t="inlineStr"/>
      <c r="G272" t="inlineStr"/>
      <c r="H272" t="inlineStr"/>
      <c r="I272" t="inlineStr"/>
      <c r="J272" t="inlineStr"/>
      <c r="K272" t="inlineStr"/>
      <c r="L272" t="inlineStr"/>
      <c r="M272" t="inlineStr"/>
      <c r="N272" t="inlineStr"/>
      <c r="O272" t="inlineStr"/>
      <c r="P272" t="inlineStr"/>
      <c r="Q272" t="inlineStr"/>
      <c r="R272" t="inlineStr"/>
      <c r="S272" t="inlineStr"/>
      <c r="T272" t="inlineStr"/>
      <c r="U272">
        <f>IF($A272="";"";IF(SUMIF(FoodLog!$A:$A;$A272;FoodLog!$I:$I)=0;"";SUMIF(FoodLog!$A:$A;$A272;FoodLog!$I:$I)))</f>
        <v/>
      </c>
      <c r="V272">
        <f>IF($A272="";"";IF(SUMIF(FoodLog!$A:$A;$A272;FoodLog!$F:$F)=0;"";SUMIF(FoodLog!$A:$A;$A272;FoodLog!$F:$F)))</f>
        <v/>
      </c>
      <c r="W272">
        <f>IF($A272="";"";IF(SUMIF(FoodLog!$A:$A;$A272;FoodLog!$G:$G)=0;"";SUMIF(FoodLog!$A:$A;$A272;FoodLog!$G:$G)))</f>
        <v/>
      </c>
      <c r="X272">
        <f>IF($A272="";"";IF(SUMIF(FoodLog!$A:$A;$A272;FoodLog!$H:$H)=0;"";SUMIF(FoodLog!$A:$A;$A272;FoodLog!$H:$H)))</f>
        <v/>
      </c>
      <c r="Y272">
        <f>IF($A272="";"";IFERROR(ROUND(100*AVERAGE(IF($B272="";"";XLOOKUP($B272;FILTER(Dictionaries!$B:$B;Dictionaries!$A:$A="Тренировка");FILTER(Dictionaries!$C:$C;Dictionaries!$A:$A="Тренировка")));IF($C272="";"";MIN($C272/40;1));IF($D272="";"";XLOOKUP($D272;FILTER(Dictionaries!$B:$B;Dictionaries!$A:$A="Шаги");FILTER(Dictionaries!$C:$C;Dictionaries!$A:$A="Шаги")));IF($E272="";"";MIN($E272/120;1));IF(OR($F272&lt;&gt;"";$G272&lt;&gt;"");1;"");IF($H272="";"";MIN($H272/100;1));IF($L272="";"";XLOOKUP($L272;FILTER(Dictionaries!$B:$B;Dictionaries!$A:$A="Сон_часы");FILTER(Dictionaries!$C:$C;Dictionaries!$A:$A="Сон_часы")));IF($M272="";"";XLOOKUP($M272;FILTER(Dictionaries!$B:$B;Dictionaries!$A:$A="Режим");FILTER(Dictionaries!$C:$C;Dictionaries!$A:$A="Режим")));IF($N272="";"";MIN($N272/100;1));IF($O272="";"";XLOOKUP($O272;FILTER(Dictionaries!$B:$B;Dictionaries!$A:$A="Настроение");FILTER(Dictionaries!$C:$C;Dictionaries!$A:$A="Настроение")));IF($P272="";"";XLOOKUP($P272;FILTER(Dictionaries!$B:$B;Dictionaries!$A:$A="Энергия");FILTER(Dictionaries!$C:$C;Dictionaries!$A:$A="Энергия")));IF($U272="";"";AVERAGE(IF(OR($B272="Ноги";$B272="Верх");IFS(AND($U272&gt;=1900;$U272&lt;=2050);1;AND($U272&gt;=1850;$U272&lt;1900);0,7;AND($U272&gt;2050;$U272&lt;=2100);0,7;TRUE;0,2);IFS(AND($U272&gt;=1700;$U272&lt;=1850);1;AND($U272&gt;=1650;$U272&lt;1700);0,7;AND($U272&gt;1850;$U272&lt;=1900);0,7;TRUE;0,2));IF(OR($B272="Ноги";$B272="Верх");IFS(AND($V272&gt;=125;$V272&lt;=135);1;AND($V272&gt;=115;$V272&lt;125);0,7;AND($V272&gt;135;$V272&lt;=145);0,7;AND($V272&gt;=105;$V272&lt;115);0,4;AND($V272&gt;145;$V272&lt;=155);0,4;TRUE;0,2);IFS(AND($V272&gt;=120;$V272&lt;=130);1;AND($V272&gt;=110;$V272&lt;120);0,7;AND($V272&gt;130;$V272&lt;=140);0,7;AND($V272&gt;=100;$V272&lt;110);0,4;AND($V272&gt;140;$V272&lt;=150);0,4;TRUE;0,2));IFS(AND($W272&gt;=55;$W272&lt;=65);1;AND($W272&gt;=50;$W272&lt;55);0,7;AND($W272&gt;65;$W272&lt;=70);0,7;AND($W272&gt;=45;$W272&lt;50);0,4;AND($W272&gt;70;$W272&lt;=75);0,4;TRUE;0,2);IF(OR($B272="Ноги";$B272="Верх");IFS(AND($X272&gt;=180;$X272&lt;=210);1;AND($X272&gt;=160;$X272&lt;180);0,7;AND($X272&gt;210;$X272&lt;=230);0,7;AND($X272&gt;=140;$X272&lt;160);0,4;AND($X272&gt;230;$X272&lt;=250);0,4;TRUE;0,2);IFS(AND($X272&gt;=140;$X272&lt;=170);1;AND($X272&gt;=120;$X272&lt;140);0,7;AND($X272&gt;170;$X272&lt;=190);0,7;AND($X272&gt;=100;$X272&lt;120);0,4;AND($X272&gt;190;$X272&lt;=210);0,4;TRUE;0,2)))));1);""))</f>
        <v/>
      </c>
      <c r="Z272">
        <f>IF($A272="";"";TEXTJOIN(", ";TRUE;IF($B272="";"Тренировка";"");IF($C272="";"Кардио";"");IF($D272="";"Шаги";"");IF($E272="";"Английский";"");IF($F272="";"Код-режим";"");IF($G272="";"Код-тема";"");IF($H272="";"Чтение";"");IF($L272="";"Сон";"");IF($M272="";"Режим";"");IF($N272="";"Продуктивность";"");IF($O272="";"Настроение";"");IF($P272="";"Энергия";"");IF($U272="";"Еда";"")))</f>
        <v/>
      </c>
    </row>
    <row r="273">
      <c r="B273" t="inlineStr"/>
      <c r="C273" t="inlineStr"/>
      <c r="D273" t="inlineStr"/>
      <c r="E273" t="inlineStr"/>
      <c r="F273" t="inlineStr"/>
      <c r="G273" t="inlineStr"/>
      <c r="H273" t="inlineStr"/>
      <c r="I273" t="inlineStr"/>
      <c r="J273" t="inlineStr"/>
      <c r="K273" t="inlineStr"/>
      <c r="L273" t="inlineStr"/>
      <c r="M273" t="inlineStr"/>
      <c r="N273" t="inlineStr"/>
      <c r="O273" t="inlineStr"/>
      <c r="P273" t="inlineStr"/>
      <c r="Q273" t="inlineStr"/>
      <c r="R273" t="inlineStr"/>
      <c r="S273" t="inlineStr"/>
      <c r="T273" t="inlineStr"/>
      <c r="U273">
        <f>IF($A273="";"";IF(SUMIF(FoodLog!$A:$A;$A273;FoodLog!$I:$I)=0;"";SUMIF(FoodLog!$A:$A;$A273;FoodLog!$I:$I)))</f>
        <v/>
      </c>
      <c r="V273">
        <f>IF($A273="";"";IF(SUMIF(FoodLog!$A:$A;$A273;FoodLog!$F:$F)=0;"";SUMIF(FoodLog!$A:$A;$A273;FoodLog!$F:$F)))</f>
        <v/>
      </c>
      <c r="W273">
        <f>IF($A273="";"";IF(SUMIF(FoodLog!$A:$A;$A273;FoodLog!$G:$G)=0;"";SUMIF(FoodLog!$A:$A;$A273;FoodLog!$G:$G)))</f>
        <v/>
      </c>
      <c r="X273">
        <f>IF($A273="";"";IF(SUMIF(FoodLog!$A:$A;$A273;FoodLog!$H:$H)=0;"";SUMIF(FoodLog!$A:$A;$A273;FoodLog!$H:$H)))</f>
        <v/>
      </c>
      <c r="Y273">
        <f>IF($A273="";"";IFERROR(ROUND(100*AVERAGE(IF($B273="";"";XLOOKUP($B273;FILTER(Dictionaries!$B:$B;Dictionaries!$A:$A="Тренировка");FILTER(Dictionaries!$C:$C;Dictionaries!$A:$A="Тренировка")));IF($C273="";"";MIN($C273/40;1));IF($D273="";"";XLOOKUP($D273;FILTER(Dictionaries!$B:$B;Dictionaries!$A:$A="Шаги");FILTER(Dictionaries!$C:$C;Dictionaries!$A:$A="Шаги")));IF($E273="";"";MIN($E273/120;1));IF(OR($F273&lt;&gt;"";$G273&lt;&gt;"");1;"");IF($H273="";"";MIN($H273/100;1));IF($L273="";"";XLOOKUP($L273;FILTER(Dictionaries!$B:$B;Dictionaries!$A:$A="Сон_часы");FILTER(Dictionaries!$C:$C;Dictionaries!$A:$A="Сон_часы")));IF($M273="";"";XLOOKUP($M273;FILTER(Dictionaries!$B:$B;Dictionaries!$A:$A="Режим");FILTER(Dictionaries!$C:$C;Dictionaries!$A:$A="Режим")));IF($N273="";"";MIN($N273/100;1));IF($O273="";"";XLOOKUP($O273;FILTER(Dictionaries!$B:$B;Dictionaries!$A:$A="Настроение");FILTER(Dictionaries!$C:$C;Dictionaries!$A:$A="Настроение")));IF($P273="";"";XLOOKUP($P273;FILTER(Dictionaries!$B:$B;Dictionaries!$A:$A="Энергия");FILTER(Dictionaries!$C:$C;Dictionaries!$A:$A="Энергия")));IF($U273="";"";AVERAGE(IF(OR($B273="Ноги";$B273="Верх");IFS(AND($U273&gt;=1900;$U273&lt;=2050);1;AND($U273&gt;=1850;$U273&lt;1900);0,7;AND($U273&gt;2050;$U273&lt;=2100);0,7;TRUE;0,2);IFS(AND($U273&gt;=1700;$U273&lt;=1850);1;AND($U273&gt;=1650;$U273&lt;1700);0,7;AND($U273&gt;1850;$U273&lt;=1900);0,7;TRUE;0,2));IF(OR($B273="Ноги";$B273="Верх");IFS(AND($V273&gt;=125;$V273&lt;=135);1;AND($V273&gt;=115;$V273&lt;125);0,7;AND($V273&gt;135;$V273&lt;=145);0,7;AND($V273&gt;=105;$V273&lt;115);0,4;AND($V273&gt;145;$V273&lt;=155);0,4;TRUE;0,2);IFS(AND($V273&gt;=120;$V273&lt;=130);1;AND($V273&gt;=110;$V273&lt;120);0,7;AND($V273&gt;130;$V273&lt;=140);0,7;AND($V273&gt;=100;$V273&lt;110);0,4;AND($V273&gt;140;$V273&lt;=150);0,4;TRUE;0,2));IFS(AND($W273&gt;=55;$W273&lt;=65);1;AND($W273&gt;=50;$W273&lt;55);0,7;AND($W273&gt;65;$W273&lt;=70);0,7;AND($W273&gt;=45;$W273&lt;50);0,4;AND($W273&gt;70;$W273&lt;=75);0,4;TRUE;0,2);IF(OR($B273="Ноги";$B273="Верх");IFS(AND($X273&gt;=180;$X273&lt;=210);1;AND($X273&gt;=160;$X273&lt;180);0,7;AND($X273&gt;210;$X273&lt;=230);0,7;AND($X273&gt;=140;$X273&lt;160);0,4;AND($X273&gt;230;$X273&lt;=250);0,4;TRUE;0,2);IFS(AND($X273&gt;=140;$X273&lt;=170);1;AND($X273&gt;=120;$X273&lt;140);0,7;AND($X273&gt;170;$X273&lt;=190);0,7;AND($X273&gt;=100;$X273&lt;120);0,4;AND($X273&gt;190;$X273&lt;=210);0,4;TRUE;0,2)))));1);""))</f>
        <v/>
      </c>
      <c r="Z273">
        <f>IF($A273="";"";TEXTJOIN(", ";TRUE;IF($B273="";"Тренировка";"");IF($C273="";"Кардио";"");IF($D273="";"Шаги";"");IF($E273="";"Английский";"");IF($F273="";"Код-режим";"");IF($G273="";"Код-тема";"");IF($H273="";"Чтение";"");IF($L273="";"Сон";"");IF($M273="";"Режим";"");IF($N273="";"Продуктивность";"");IF($O273="";"Настроение";"");IF($P273="";"Энергия";"");IF($U273="";"Еда";"")))</f>
        <v/>
      </c>
    </row>
    <row r="274">
      <c r="B274" t="inlineStr"/>
      <c r="C274" t="inlineStr"/>
      <c r="D274" t="inlineStr"/>
      <c r="E274" t="inlineStr"/>
      <c r="F274" t="inlineStr"/>
      <c r="G274" t="inlineStr"/>
      <c r="H274" t="inlineStr"/>
      <c r="I274" t="inlineStr"/>
      <c r="J274" t="inlineStr"/>
      <c r="K274" t="inlineStr"/>
      <c r="L274" t="inlineStr"/>
      <c r="M274" t="inlineStr"/>
      <c r="N274" t="inlineStr"/>
      <c r="O274" t="inlineStr"/>
      <c r="P274" t="inlineStr"/>
      <c r="Q274" t="inlineStr"/>
      <c r="R274" t="inlineStr"/>
      <c r="S274" t="inlineStr"/>
      <c r="T274" t="inlineStr"/>
      <c r="U274">
        <f>IF($A274="";"";IF(SUMIF(FoodLog!$A:$A;$A274;FoodLog!$I:$I)=0;"";SUMIF(FoodLog!$A:$A;$A274;FoodLog!$I:$I)))</f>
        <v/>
      </c>
      <c r="V274">
        <f>IF($A274="";"";IF(SUMIF(FoodLog!$A:$A;$A274;FoodLog!$F:$F)=0;"";SUMIF(FoodLog!$A:$A;$A274;FoodLog!$F:$F)))</f>
        <v/>
      </c>
      <c r="W274">
        <f>IF($A274="";"";IF(SUMIF(FoodLog!$A:$A;$A274;FoodLog!$G:$G)=0;"";SUMIF(FoodLog!$A:$A;$A274;FoodLog!$G:$G)))</f>
        <v/>
      </c>
      <c r="X274">
        <f>IF($A274="";"";IF(SUMIF(FoodLog!$A:$A;$A274;FoodLog!$H:$H)=0;"";SUMIF(FoodLog!$A:$A;$A274;FoodLog!$H:$H)))</f>
        <v/>
      </c>
      <c r="Y274">
        <f>IF($A274="";"";IFERROR(ROUND(100*AVERAGE(IF($B274="";"";XLOOKUP($B274;FILTER(Dictionaries!$B:$B;Dictionaries!$A:$A="Тренировка");FILTER(Dictionaries!$C:$C;Dictionaries!$A:$A="Тренировка")));IF($C274="";"";MIN($C274/40;1));IF($D274="";"";XLOOKUP($D274;FILTER(Dictionaries!$B:$B;Dictionaries!$A:$A="Шаги");FILTER(Dictionaries!$C:$C;Dictionaries!$A:$A="Шаги")));IF($E274="";"";MIN($E274/120;1));IF(OR($F274&lt;&gt;"";$G274&lt;&gt;"");1;"");IF($H274="";"";MIN($H274/100;1));IF($L274="";"";XLOOKUP($L274;FILTER(Dictionaries!$B:$B;Dictionaries!$A:$A="Сон_часы");FILTER(Dictionaries!$C:$C;Dictionaries!$A:$A="Сон_часы")));IF($M274="";"";XLOOKUP($M274;FILTER(Dictionaries!$B:$B;Dictionaries!$A:$A="Режим");FILTER(Dictionaries!$C:$C;Dictionaries!$A:$A="Режим")));IF($N274="";"";MIN($N274/100;1));IF($O274="";"";XLOOKUP($O274;FILTER(Dictionaries!$B:$B;Dictionaries!$A:$A="Настроение");FILTER(Dictionaries!$C:$C;Dictionaries!$A:$A="Настроение")));IF($P274="";"";XLOOKUP($P274;FILTER(Dictionaries!$B:$B;Dictionaries!$A:$A="Энергия");FILTER(Dictionaries!$C:$C;Dictionaries!$A:$A="Энергия")));IF($U274="";"";AVERAGE(IF(OR($B274="Ноги";$B274="Верх");IFS(AND($U274&gt;=1900;$U274&lt;=2050);1;AND($U274&gt;=1850;$U274&lt;1900);0,7;AND($U274&gt;2050;$U274&lt;=2100);0,7;TRUE;0,2);IFS(AND($U274&gt;=1700;$U274&lt;=1850);1;AND($U274&gt;=1650;$U274&lt;1700);0,7;AND($U274&gt;1850;$U274&lt;=1900);0,7;TRUE;0,2));IF(OR($B274="Ноги";$B274="Верх");IFS(AND($V274&gt;=125;$V274&lt;=135);1;AND($V274&gt;=115;$V274&lt;125);0,7;AND($V274&gt;135;$V274&lt;=145);0,7;AND($V274&gt;=105;$V274&lt;115);0,4;AND($V274&gt;145;$V274&lt;=155);0,4;TRUE;0,2);IFS(AND($V274&gt;=120;$V274&lt;=130);1;AND($V274&gt;=110;$V274&lt;120);0,7;AND($V274&gt;130;$V274&lt;=140);0,7;AND($V274&gt;=100;$V274&lt;110);0,4;AND($V274&gt;140;$V274&lt;=150);0,4;TRUE;0,2));IFS(AND($W274&gt;=55;$W274&lt;=65);1;AND($W274&gt;=50;$W274&lt;55);0,7;AND($W274&gt;65;$W274&lt;=70);0,7;AND($W274&gt;=45;$W274&lt;50);0,4;AND($W274&gt;70;$W274&lt;=75);0,4;TRUE;0,2);IF(OR($B274="Ноги";$B274="Верх");IFS(AND($X274&gt;=180;$X274&lt;=210);1;AND($X274&gt;=160;$X274&lt;180);0,7;AND($X274&gt;210;$X274&lt;=230);0,7;AND($X274&gt;=140;$X274&lt;160);0,4;AND($X274&gt;230;$X274&lt;=250);0,4;TRUE;0,2);IFS(AND($X274&gt;=140;$X274&lt;=170);1;AND($X274&gt;=120;$X274&lt;140);0,7;AND($X274&gt;170;$X274&lt;=190);0,7;AND($X274&gt;=100;$X274&lt;120);0,4;AND($X274&gt;190;$X274&lt;=210);0,4;TRUE;0,2)))));1);""))</f>
        <v/>
      </c>
      <c r="Z274">
        <f>IF($A274="";"";TEXTJOIN(", ";TRUE;IF($B274="";"Тренировка";"");IF($C274="";"Кардио";"");IF($D274="";"Шаги";"");IF($E274="";"Английский";"");IF($F274="";"Код-режим";"");IF($G274="";"Код-тема";"");IF($H274="";"Чтение";"");IF($L274="";"Сон";"");IF($M274="";"Режим";"");IF($N274="";"Продуктивность";"");IF($O274="";"Настроение";"");IF($P274="";"Энергия";"");IF($U274="";"Еда";"")))</f>
        <v/>
      </c>
    </row>
    <row r="275">
      <c r="B275" t="inlineStr"/>
      <c r="C275" t="inlineStr"/>
      <c r="D275" t="inlineStr"/>
      <c r="E275" t="inlineStr"/>
      <c r="F275" t="inlineStr"/>
      <c r="G275" t="inlineStr"/>
      <c r="H275" t="inlineStr"/>
      <c r="I275" t="inlineStr"/>
      <c r="J275" t="inlineStr"/>
      <c r="K275" t="inlineStr"/>
      <c r="L275" t="inlineStr"/>
      <c r="M275" t="inlineStr"/>
      <c r="N275" t="inlineStr"/>
      <c r="O275" t="inlineStr"/>
      <c r="P275" t="inlineStr"/>
      <c r="Q275" t="inlineStr"/>
      <c r="R275" t="inlineStr"/>
      <c r="S275" t="inlineStr"/>
      <c r="T275" t="inlineStr"/>
      <c r="U275">
        <f>IF($A275="";"";IF(SUMIF(FoodLog!$A:$A;$A275;FoodLog!$I:$I)=0;"";SUMIF(FoodLog!$A:$A;$A275;FoodLog!$I:$I)))</f>
        <v/>
      </c>
      <c r="V275">
        <f>IF($A275="";"";IF(SUMIF(FoodLog!$A:$A;$A275;FoodLog!$F:$F)=0;"";SUMIF(FoodLog!$A:$A;$A275;FoodLog!$F:$F)))</f>
        <v/>
      </c>
      <c r="W275">
        <f>IF($A275="";"";IF(SUMIF(FoodLog!$A:$A;$A275;FoodLog!$G:$G)=0;"";SUMIF(FoodLog!$A:$A;$A275;FoodLog!$G:$G)))</f>
        <v/>
      </c>
      <c r="X275">
        <f>IF($A275="";"";IF(SUMIF(FoodLog!$A:$A;$A275;FoodLog!$H:$H)=0;"";SUMIF(FoodLog!$A:$A;$A275;FoodLog!$H:$H)))</f>
        <v/>
      </c>
      <c r="Y275">
        <f>IF($A275="";"";IFERROR(ROUND(100*AVERAGE(IF($B275="";"";XLOOKUP($B275;FILTER(Dictionaries!$B:$B;Dictionaries!$A:$A="Тренировка");FILTER(Dictionaries!$C:$C;Dictionaries!$A:$A="Тренировка")));IF($C275="";"";MIN($C275/40;1));IF($D275="";"";XLOOKUP($D275;FILTER(Dictionaries!$B:$B;Dictionaries!$A:$A="Шаги");FILTER(Dictionaries!$C:$C;Dictionaries!$A:$A="Шаги")));IF($E275="";"";MIN($E275/120;1));IF(OR($F275&lt;&gt;"";$G275&lt;&gt;"");1;"");IF($H275="";"";MIN($H275/100;1));IF($L275="";"";XLOOKUP($L275;FILTER(Dictionaries!$B:$B;Dictionaries!$A:$A="Сон_часы");FILTER(Dictionaries!$C:$C;Dictionaries!$A:$A="Сон_часы")));IF($M275="";"";XLOOKUP($M275;FILTER(Dictionaries!$B:$B;Dictionaries!$A:$A="Режим");FILTER(Dictionaries!$C:$C;Dictionaries!$A:$A="Режим")));IF($N275="";"";MIN($N275/100;1));IF($O275="";"";XLOOKUP($O275;FILTER(Dictionaries!$B:$B;Dictionaries!$A:$A="Настроение");FILTER(Dictionaries!$C:$C;Dictionaries!$A:$A="Настроение")));IF($P275="";"";XLOOKUP($P275;FILTER(Dictionaries!$B:$B;Dictionaries!$A:$A="Энергия");FILTER(Dictionaries!$C:$C;Dictionaries!$A:$A="Энергия")));IF($U275="";"";AVERAGE(IF(OR($B275="Ноги";$B275="Верх");IFS(AND($U275&gt;=1900;$U275&lt;=2050);1;AND($U275&gt;=1850;$U275&lt;1900);0,7;AND($U275&gt;2050;$U275&lt;=2100);0,7;TRUE;0,2);IFS(AND($U275&gt;=1700;$U275&lt;=1850);1;AND($U275&gt;=1650;$U275&lt;1700);0,7;AND($U275&gt;1850;$U275&lt;=1900);0,7;TRUE;0,2));IF(OR($B275="Ноги";$B275="Верх");IFS(AND($V275&gt;=125;$V275&lt;=135);1;AND($V275&gt;=115;$V275&lt;125);0,7;AND($V275&gt;135;$V275&lt;=145);0,7;AND($V275&gt;=105;$V275&lt;115);0,4;AND($V275&gt;145;$V275&lt;=155);0,4;TRUE;0,2);IFS(AND($V275&gt;=120;$V275&lt;=130);1;AND($V275&gt;=110;$V275&lt;120);0,7;AND($V275&gt;130;$V275&lt;=140);0,7;AND($V275&gt;=100;$V275&lt;110);0,4;AND($V275&gt;140;$V275&lt;=150);0,4;TRUE;0,2));IFS(AND($W275&gt;=55;$W275&lt;=65);1;AND($W275&gt;=50;$W275&lt;55);0,7;AND($W275&gt;65;$W275&lt;=70);0,7;AND($W275&gt;=45;$W275&lt;50);0,4;AND($W275&gt;70;$W275&lt;=75);0,4;TRUE;0,2);IF(OR($B275="Ноги";$B275="Верх");IFS(AND($X275&gt;=180;$X275&lt;=210);1;AND($X275&gt;=160;$X275&lt;180);0,7;AND($X275&gt;210;$X275&lt;=230);0,7;AND($X275&gt;=140;$X275&lt;160);0,4;AND($X275&gt;230;$X275&lt;=250);0,4;TRUE;0,2);IFS(AND($X275&gt;=140;$X275&lt;=170);1;AND($X275&gt;=120;$X275&lt;140);0,7;AND($X275&gt;170;$X275&lt;=190);0,7;AND($X275&gt;=100;$X275&lt;120);0,4;AND($X275&gt;190;$X275&lt;=210);0,4;TRUE;0,2)))));1);""))</f>
        <v/>
      </c>
      <c r="Z275">
        <f>IF($A275="";"";TEXTJOIN(", ";TRUE;IF($B275="";"Тренировка";"");IF($C275="";"Кардио";"");IF($D275="";"Шаги";"");IF($E275="";"Английский";"");IF($F275="";"Код-режим";"");IF($G275="";"Код-тема";"");IF($H275="";"Чтение";"");IF($L275="";"Сон";"");IF($M275="";"Режим";"");IF($N275="";"Продуктивность";"");IF($O275="";"Настроение";"");IF($P275="";"Энергия";"");IF($U275="";"Еда";"")))</f>
        <v/>
      </c>
    </row>
    <row r="276">
      <c r="B276" t="inlineStr"/>
      <c r="C276" t="inlineStr"/>
      <c r="D276" t="inlineStr"/>
      <c r="E276" t="inlineStr"/>
      <c r="F276" t="inlineStr"/>
      <c r="G276" t="inlineStr"/>
      <c r="H276" t="inlineStr"/>
      <c r="I276" t="inlineStr"/>
      <c r="J276" t="inlineStr"/>
      <c r="K276" t="inlineStr"/>
      <c r="L276" t="inlineStr"/>
      <c r="M276" t="inlineStr"/>
      <c r="N276" t="inlineStr"/>
      <c r="O276" t="inlineStr"/>
      <c r="P276" t="inlineStr"/>
      <c r="Q276" t="inlineStr"/>
      <c r="R276" t="inlineStr"/>
      <c r="S276" t="inlineStr"/>
      <c r="T276" t="inlineStr"/>
      <c r="U276">
        <f>IF($A276="";"";IF(SUMIF(FoodLog!$A:$A;$A276;FoodLog!$I:$I)=0;"";SUMIF(FoodLog!$A:$A;$A276;FoodLog!$I:$I)))</f>
        <v/>
      </c>
      <c r="V276">
        <f>IF($A276="";"";IF(SUMIF(FoodLog!$A:$A;$A276;FoodLog!$F:$F)=0;"";SUMIF(FoodLog!$A:$A;$A276;FoodLog!$F:$F)))</f>
        <v/>
      </c>
      <c r="W276">
        <f>IF($A276="";"";IF(SUMIF(FoodLog!$A:$A;$A276;FoodLog!$G:$G)=0;"";SUMIF(FoodLog!$A:$A;$A276;FoodLog!$G:$G)))</f>
        <v/>
      </c>
      <c r="X276">
        <f>IF($A276="";"";IF(SUMIF(FoodLog!$A:$A;$A276;FoodLog!$H:$H)=0;"";SUMIF(FoodLog!$A:$A;$A276;FoodLog!$H:$H)))</f>
        <v/>
      </c>
      <c r="Y276">
        <f>IF($A276="";"";IFERROR(ROUND(100*AVERAGE(IF($B276="";"";XLOOKUP($B276;FILTER(Dictionaries!$B:$B;Dictionaries!$A:$A="Тренировка");FILTER(Dictionaries!$C:$C;Dictionaries!$A:$A="Тренировка")));IF($C276="";"";MIN($C276/40;1));IF($D276="";"";XLOOKUP($D276;FILTER(Dictionaries!$B:$B;Dictionaries!$A:$A="Шаги");FILTER(Dictionaries!$C:$C;Dictionaries!$A:$A="Шаги")));IF($E276="";"";MIN($E276/120;1));IF(OR($F276&lt;&gt;"";$G276&lt;&gt;"");1;"");IF($H276="";"";MIN($H276/100;1));IF($L276="";"";XLOOKUP($L276;FILTER(Dictionaries!$B:$B;Dictionaries!$A:$A="Сон_часы");FILTER(Dictionaries!$C:$C;Dictionaries!$A:$A="Сон_часы")));IF($M276="";"";XLOOKUP($M276;FILTER(Dictionaries!$B:$B;Dictionaries!$A:$A="Режим");FILTER(Dictionaries!$C:$C;Dictionaries!$A:$A="Режим")));IF($N276="";"";MIN($N276/100;1));IF($O276="";"";XLOOKUP($O276;FILTER(Dictionaries!$B:$B;Dictionaries!$A:$A="Настроение");FILTER(Dictionaries!$C:$C;Dictionaries!$A:$A="Настроение")));IF($P276="";"";XLOOKUP($P276;FILTER(Dictionaries!$B:$B;Dictionaries!$A:$A="Энергия");FILTER(Dictionaries!$C:$C;Dictionaries!$A:$A="Энергия")));IF($U276="";"";AVERAGE(IF(OR($B276="Ноги";$B276="Верх");IFS(AND($U276&gt;=1900;$U276&lt;=2050);1;AND($U276&gt;=1850;$U276&lt;1900);0,7;AND($U276&gt;2050;$U276&lt;=2100);0,7;TRUE;0,2);IFS(AND($U276&gt;=1700;$U276&lt;=1850);1;AND($U276&gt;=1650;$U276&lt;1700);0,7;AND($U276&gt;1850;$U276&lt;=1900);0,7;TRUE;0,2));IF(OR($B276="Ноги";$B276="Верх");IFS(AND($V276&gt;=125;$V276&lt;=135);1;AND($V276&gt;=115;$V276&lt;125);0,7;AND($V276&gt;135;$V276&lt;=145);0,7;AND($V276&gt;=105;$V276&lt;115);0,4;AND($V276&gt;145;$V276&lt;=155);0,4;TRUE;0,2);IFS(AND($V276&gt;=120;$V276&lt;=130);1;AND($V276&gt;=110;$V276&lt;120);0,7;AND($V276&gt;130;$V276&lt;=140);0,7;AND($V276&gt;=100;$V276&lt;110);0,4;AND($V276&gt;140;$V276&lt;=150);0,4;TRUE;0,2));IFS(AND($W276&gt;=55;$W276&lt;=65);1;AND($W276&gt;=50;$W276&lt;55);0,7;AND($W276&gt;65;$W276&lt;=70);0,7;AND($W276&gt;=45;$W276&lt;50);0,4;AND($W276&gt;70;$W276&lt;=75);0,4;TRUE;0,2);IF(OR($B276="Ноги";$B276="Верх");IFS(AND($X276&gt;=180;$X276&lt;=210);1;AND($X276&gt;=160;$X276&lt;180);0,7;AND($X276&gt;210;$X276&lt;=230);0,7;AND($X276&gt;=140;$X276&lt;160);0,4;AND($X276&gt;230;$X276&lt;=250);0,4;TRUE;0,2);IFS(AND($X276&gt;=140;$X276&lt;=170);1;AND($X276&gt;=120;$X276&lt;140);0,7;AND($X276&gt;170;$X276&lt;=190);0,7;AND($X276&gt;=100;$X276&lt;120);0,4;AND($X276&gt;190;$X276&lt;=210);0,4;TRUE;0,2)))));1);""))</f>
        <v/>
      </c>
      <c r="Z276">
        <f>IF($A276="";"";TEXTJOIN(", ";TRUE;IF($B276="";"Тренировка";"");IF($C276="";"Кардио";"");IF($D276="";"Шаги";"");IF($E276="";"Английский";"");IF($F276="";"Код-режим";"");IF($G276="";"Код-тема";"");IF($H276="";"Чтение";"");IF($L276="";"Сон";"");IF($M276="";"Режим";"");IF($N276="";"Продуктивность";"");IF($O276="";"Настроение";"");IF($P276="";"Энергия";"");IF($U276="";"Еда";"")))</f>
        <v/>
      </c>
    </row>
    <row r="277">
      <c r="B277" t="inlineStr"/>
      <c r="C277" t="inlineStr"/>
      <c r="D277" t="inlineStr"/>
      <c r="E277" t="inlineStr"/>
      <c r="F277" t="inlineStr"/>
      <c r="G277" t="inlineStr"/>
      <c r="H277" t="inlineStr"/>
      <c r="I277" t="inlineStr"/>
      <c r="J277" t="inlineStr"/>
      <c r="K277" t="inlineStr"/>
      <c r="L277" t="inlineStr"/>
      <c r="M277" t="inlineStr"/>
      <c r="N277" t="inlineStr"/>
      <c r="O277" t="inlineStr"/>
      <c r="P277" t="inlineStr"/>
      <c r="Q277" t="inlineStr"/>
      <c r="R277" t="inlineStr"/>
      <c r="S277" t="inlineStr"/>
      <c r="T277" t="inlineStr"/>
      <c r="U277">
        <f>IF($A277="";"";IF(SUMIF(FoodLog!$A:$A;$A277;FoodLog!$I:$I)=0;"";SUMIF(FoodLog!$A:$A;$A277;FoodLog!$I:$I)))</f>
        <v/>
      </c>
      <c r="V277">
        <f>IF($A277="";"";IF(SUMIF(FoodLog!$A:$A;$A277;FoodLog!$F:$F)=0;"";SUMIF(FoodLog!$A:$A;$A277;FoodLog!$F:$F)))</f>
        <v/>
      </c>
      <c r="W277">
        <f>IF($A277="";"";IF(SUMIF(FoodLog!$A:$A;$A277;FoodLog!$G:$G)=0;"";SUMIF(FoodLog!$A:$A;$A277;FoodLog!$G:$G)))</f>
        <v/>
      </c>
      <c r="X277">
        <f>IF($A277="";"";IF(SUMIF(FoodLog!$A:$A;$A277;FoodLog!$H:$H)=0;"";SUMIF(FoodLog!$A:$A;$A277;FoodLog!$H:$H)))</f>
        <v/>
      </c>
      <c r="Y277">
        <f>IF($A277="";"";IFERROR(ROUND(100*AVERAGE(IF($B277="";"";XLOOKUP($B277;FILTER(Dictionaries!$B:$B;Dictionaries!$A:$A="Тренировка");FILTER(Dictionaries!$C:$C;Dictionaries!$A:$A="Тренировка")));IF($C277="";"";MIN($C277/40;1));IF($D277="";"";XLOOKUP($D277;FILTER(Dictionaries!$B:$B;Dictionaries!$A:$A="Шаги");FILTER(Dictionaries!$C:$C;Dictionaries!$A:$A="Шаги")));IF($E277="";"";MIN($E277/120;1));IF(OR($F277&lt;&gt;"";$G277&lt;&gt;"");1;"");IF($H277="";"";MIN($H277/100;1));IF($L277="";"";XLOOKUP($L277;FILTER(Dictionaries!$B:$B;Dictionaries!$A:$A="Сон_часы");FILTER(Dictionaries!$C:$C;Dictionaries!$A:$A="Сон_часы")));IF($M277="";"";XLOOKUP($M277;FILTER(Dictionaries!$B:$B;Dictionaries!$A:$A="Режим");FILTER(Dictionaries!$C:$C;Dictionaries!$A:$A="Режим")));IF($N277="";"";MIN($N277/100;1));IF($O277="";"";XLOOKUP($O277;FILTER(Dictionaries!$B:$B;Dictionaries!$A:$A="Настроение");FILTER(Dictionaries!$C:$C;Dictionaries!$A:$A="Настроение")));IF($P277="";"";XLOOKUP($P277;FILTER(Dictionaries!$B:$B;Dictionaries!$A:$A="Энергия");FILTER(Dictionaries!$C:$C;Dictionaries!$A:$A="Энергия")));IF($U277="";"";AVERAGE(IF(OR($B277="Ноги";$B277="Верх");IFS(AND($U277&gt;=1900;$U277&lt;=2050);1;AND($U277&gt;=1850;$U277&lt;1900);0,7;AND($U277&gt;2050;$U277&lt;=2100);0,7;TRUE;0,2);IFS(AND($U277&gt;=1700;$U277&lt;=1850);1;AND($U277&gt;=1650;$U277&lt;1700);0,7;AND($U277&gt;1850;$U277&lt;=1900);0,7;TRUE;0,2));IF(OR($B277="Ноги";$B277="Верх");IFS(AND($V277&gt;=125;$V277&lt;=135);1;AND($V277&gt;=115;$V277&lt;125);0,7;AND($V277&gt;135;$V277&lt;=145);0,7;AND($V277&gt;=105;$V277&lt;115);0,4;AND($V277&gt;145;$V277&lt;=155);0,4;TRUE;0,2);IFS(AND($V277&gt;=120;$V277&lt;=130);1;AND($V277&gt;=110;$V277&lt;120);0,7;AND($V277&gt;130;$V277&lt;=140);0,7;AND($V277&gt;=100;$V277&lt;110);0,4;AND($V277&gt;140;$V277&lt;=150);0,4;TRUE;0,2));IFS(AND($W277&gt;=55;$W277&lt;=65);1;AND($W277&gt;=50;$W277&lt;55);0,7;AND($W277&gt;65;$W277&lt;=70);0,7;AND($W277&gt;=45;$W277&lt;50);0,4;AND($W277&gt;70;$W277&lt;=75);0,4;TRUE;0,2);IF(OR($B277="Ноги";$B277="Верх");IFS(AND($X277&gt;=180;$X277&lt;=210);1;AND($X277&gt;=160;$X277&lt;180);0,7;AND($X277&gt;210;$X277&lt;=230);0,7;AND($X277&gt;=140;$X277&lt;160);0,4;AND($X277&gt;230;$X277&lt;=250);0,4;TRUE;0,2);IFS(AND($X277&gt;=140;$X277&lt;=170);1;AND($X277&gt;=120;$X277&lt;140);0,7;AND($X277&gt;170;$X277&lt;=190);0,7;AND($X277&gt;=100;$X277&lt;120);0,4;AND($X277&gt;190;$X277&lt;=210);0,4;TRUE;0,2)))));1);""))</f>
        <v/>
      </c>
      <c r="Z277">
        <f>IF($A277="";"";TEXTJOIN(", ";TRUE;IF($B277="";"Тренировка";"");IF($C277="";"Кардио";"");IF($D277="";"Шаги";"");IF($E277="";"Английский";"");IF($F277="";"Код-режим";"");IF($G277="";"Код-тема";"");IF($H277="";"Чтение";"");IF($L277="";"Сон";"");IF($M277="";"Режим";"");IF($N277="";"Продуктивность";"");IF($O277="";"Настроение";"");IF($P277="";"Энергия";"");IF($U277="";"Еда";"")))</f>
        <v/>
      </c>
    </row>
    <row r="278">
      <c r="B278" t="inlineStr"/>
      <c r="C278" t="inlineStr"/>
      <c r="D278" t="inlineStr"/>
      <c r="E278" t="inlineStr"/>
      <c r="F278" t="inlineStr"/>
      <c r="G278" t="inlineStr"/>
      <c r="H278" t="inlineStr"/>
      <c r="I278" t="inlineStr"/>
      <c r="J278" t="inlineStr"/>
      <c r="K278" t="inlineStr"/>
      <c r="L278" t="inlineStr"/>
      <c r="M278" t="inlineStr"/>
      <c r="N278" t="inlineStr"/>
      <c r="O278" t="inlineStr"/>
      <c r="P278" t="inlineStr"/>
      <c r="Q278" t="inlineStr"/>
      <c r="R278" t="inlineStr"/>
      <c r="S278" t="inlineStr"/>
      <c r="T278" t="inlineStr"/>
      <c r="U278">
        <f>IF($A278="";"";IF(SUMIF(FoodLog!$A:$A;$A278;FoodLog!$I:$I)=0;"";SUMIF(FoodLog!$A:$A;$A278;FoodLog!$I:$I)))</f>
        <v/>
      </c>
      <c r="V278">
        <f>IF($A278="";"";IF(SUMIF(FoodLog!$A:$A;$A278;FoodLog!$F:$F)=0;"";SUMIF(FoodLog!$A:$A;$A278;FoodLog!$F:$F)))</f>
        <v/>
      </c>
      <c r="W278">
        <f>IF($A278="";"";IF(SUMIF(FoodLog!$A:$A;$A278;FoodLog!$G:$G)=0;"";SUMIF(FoodLog!$A:$A;$A278;FoodLog!$G:$G)))</f>
        <v/>
      </c>
      <c r="X278">
        <f>IF($A278="";"";IF(SUMIF(FoodLog!$A:$A;$A278;FoodLog!$H:$H)=0;"";SUMIF(FoodLog!$A:$A;$A278;FoodLog!$H:$H)))</f>
        <v/>
      </c>
      <c r="Y278">
        <f>IF($A278="";"";IFERROR(ROUND(100*AVERAGE(IF($B278="";"";XLOOKUP($B278;FILTER(Dictionaries!$B:$B;Dictionaries!$A:$A="Тренировка");FILTER(Dictionaries!$C:$C;Dictionaries!$A:$A="Тренировка")));IF($C278="";"";MIN($C278/40;1));IF($D278="";"";XLOOKUP($D278;FILTER(Dictionaries!$B:$B;Dictionaries!$A:$A="Шаги");FILTER(Dictionaries!$C:$C;Dictionaries!$A:$A="Шаги")));IF($E278="";"";MIN($E278/120;1));IF(OR($F278&lt;&gt;"";$G278&lt;&gt;"");1;"");IF($H278="";"";MIN($H278/100;1));IF($L278="";"";XLOOKUP($L278;FILTER(Dictionaries!$B:$B;Dictionaries!$A:$A="Сон_часы");FILTER(Dictionaries!$C:$C;Dictionaries!$A:$A="Сон_часы")));IF($M278="";"";XLOOKUP($M278;FILTER(Dictionaries!$B:$B;Dictionaries!$A:$A="Режим");FILTER(Dictionaries!$C:$C;Dictionaries!$A:$A="Режим")));IF($N278="";"";MIN($N278/100;1));IF($O278="";"";XLOOKUP($O278;FILTER(Dictionaries!$B:$B;Dictionaries!$A:$A="Настроение");FILTER(Dictionaries!$C:$C;Dictionaries!$A:$A="Настроение")));IF($P278="";"";XLOOKUP($P278;FILTER(Dictionaries!$B:$B;Dictionaries!$A:$A="Энергия");FILTER(Dictionaries!$C:$C;Dictionaries!$A:$A="Энергия")));IF($U278="";"";AVERAGE(IF(OR($B278="Ноги";$B278="Верх");IFS(AND($U278&gt;=1900;$U278&lt;=2050);1;AND($U278&gt;=1850;$U278&lt;1900);0,7;AND($U278&gt;2050;$U278&lt;=2100);0,7;TRUE;0,2);IFS(AND($U278&gt;=1700;$U278&lt;=1850);1;AND($U278&gt;=1650;$U278&lt;1700);0,7;AND($U278&gt;1850;$U278&lt;=1900);0,7;TRUE;0,2));IF(OR($B278="Ноги";$B278="Верх");IFS(AND($V278&gt;=125;$V278&lt;=135);1;AND($V278&gt;=115;$V278&lt;125);0,7;AND($V278&gt;135;$V278&lt;=145);0,7;AND($V278&gt;=105;$V278&lt;115);0,4;AND($V278&gt;145;$V278&lt;=155);0,4;TRUE;0,2);IFS(AND($V278&gt;=120;$V278&lt;=130);1;AND($V278&gt;=110;$V278&lt;120);0,7;AND($V278&gt;130;$V278&lt;=140);0,7;AND($V278&gt;=100;$V278&lt;110);0,4;AND($V278&gt;140;$V278&lt;=150);0,4;TRUE;0,2));IFS(AND($W278&gt;=55;$W278&lt;=65);1;AND($W278&gt;=50;$W278&lt;55);0,7;AND($W278&gt;65;$W278&lt;=70);0,7;AND($W278&gt;=45;$W278&lt;50);0,4;AND($W278&gt;70;$W278&lt;=75);0,4;TRUE;0,2);IF(OR($B278="Ноги";$B278="Верх");IFS(AND($X278&gt;=180;$X278&lt;=210);1;AND($X278&gt;=160;$X278&lt;180);0,7;AND($X278&gt;210;$X278&lt;=230);0,7;AND($X278&gt;=140;$X278&lt;160);0,4;AND($X278&gt;230;$X278&lt;=250);0,4;TRUE;0,2);IFS(AND($X278&gt;=140;$X278&lt;=170);1;AND($X278&gt;=120;$X278&lt;140);0,7;AND($X278&gt;170;$X278&lt;=190);0,7;AND($X278&gt;=100;$X278&lt;120);0,4;AND($X278&gt;190;$X278&lt;=210);0,4;TRUE;0,2)))));1);""))</f>
        <v/>
      </c>
      <c r="Z278">
        <f>IF($A278="";"";TEXTJOIN(", ";TRUE;IF($B278="";"Тренировка";"");IF($C278="";"Кардио";"");IF($D278="";"Шаги";"");IF($E278="";"Английский";"");IF($F278="";"Код-режим";"");IF($G278="";"Код-тема";"");IF($H278="";"Чтение";"");IF($L278="";"Сон";"");IF($M278="";"Режим";"");IF($N278="";"Продуктивность";"");IF($O278="";"Настроение";"");IF($P278="";"Энергия";"");IF($U278="";"Еда";"")))</f>
        <v/>
      </c>
    </row>
    <row r="279">
      <c r="B279" t="inlineStr"/>
      <c r="C279" t="inlineStr"/>
      <c r="D279" t="inlineStr"/>
      <c r="E279" t="inlineStr"/>
      <c r="F279" t="inlineStr"/>
      <c r="G279" t="inlineStr"/>
      <c r="H279" t="inlineStr"/>
      <c r="I279" t="inlineStr"/>
      <c r="J279" t="inlineStr"/>
      <c r="K279" t="inlineStr"/>
      <c r="L279" t="inlineStr"/>
      <c r="M279" t="inlineStr"/>
      <c r="N279" t="inlineStr"/>
      <c r="O279" t="inlineStr"/>
      <c r="P279" t="inlineStr"/>
      <c r="Q279" t="inlineStr"/>
      <c r="R279" t="inlineStr"/>
      <c r="S279" t="inlineStr"/>
      <c r="T279" t="inlineStr"/>
      <c r="U279">
        <f>IF($A279="";"";IF(SUMIF(FoodLog!$A:$A;$A279;FoodLog!$I:$I)=0;"";SUMIF(FoodLog!$A:$A;$A279;FoodLog!$I:$I)))</f>
        <v/>
      </c>
      <c r="V279">
        <f>IF($A279="";"";IF(SUMIF(FoodLog!$A:$A;$A279;FoodLog!$F:$F)=0;"";SUMIF(FoodLog!$A:$A;$A279;FoodLog!$F:$F)))</f>
        <v/>
      </c>
      <c r="W279">
        <f>IF($A279="";"";IF(SUMIF(FoodLog!$A:$A;$A279;FoodLog!$G:$G)=0;"";SUMIF(FoodLog!$A:$A;$A279;FoodLog!$G:$G)))</f>
        <v/>
      </c>
      <c r="X279">
        <f>IF($A279="";"";IF(SUMIF(FoodLog!$A:$A;$A279;FoodLog!$H:$H)=0;"";SUMIF(FoodLog!$A:$A;$A279;FoodLog!$H:$H)))</f>
        <v/>
      </c>
      <c r="Y279">
        <f>IF($A279="";"";IFERROR(ROUND(100*AVERAGE(IF($B279="";"";XLOOKUP($B279;FILTER(Dictionaries!$B:$B;Dictionaries!$A:$A="Тренировка");FILTER(Dictionaries!$C:$C;Dictionaries!$A:$A="Тренировка")));IF($C279="";"";MIN($C279/40;1));IF($D279="";"";XLOOKUP($D279;FILTER(Dictionaries!$B:$B;Dictionaries!$A:$A="Шаги");FILTER(Dictionaries!$C:$C;Dictionaries!$A:$A="Шаги")));IF($E279="";"";MIN($E279/120;1));IF(OR($F279&lt;&gt;"";$G279&lt;&gt;"");1;"");IF($H279="";"";MIN($H279/100;1));IF($L279="";"";XLOOKUP($L279;FILTER(Dictionaries!$B:$B;Dictionaries!$A:$A="Сон_часы");FILTER(Dictionaries!$C:$C;Dictionaries!$A:$A="Сон_часы")));IF($M279="";"";XLOOKUP($M279;FILTER(Dictionaries!$B:$B;Dictionaries!$A:$A="Режим");FILTER(Dictionaries!$C:$C;Dictionaries!$A:$A="Режим")));IF($N279="";"";MIN($N279/100;1));IF($O279="";"";XLOOKUP($O279;FILTER(Dictionaries!$B:$B;Dictionaries!$A:$A="Настроение");FILTER(Dictionaries!$C:$C;Dictionaries!$A:$A="Настроение")));IF($P279="";"";XLOOKUP($P279;FILTER(Dictionaries!$B:$B;Dictionaries!$A:$A="Энергия");FILTER(Dictionaries!$C:$C;Dictionaries!$A:$A="Энергия")));IF($U279="";"";AVERAGE(IF(OR($B279="Ноги";$B279="Верх");IFS(AND($U279&gt;=1900;$U279&lt;=2050);1;AND($U279&gt;=1850;$U279&lt;1900);0,7;AND($U279&gt;2050;$U279&lt;=2100);0,7;TRUE;0,2);IFS(AND($U279&gt;=1700;$U279&lt;=1850);1;AND($U279&gt;=1650;$U279&lt;1700);0,7;AND($U279&gt;1850;$U279&lt;=1900);0,7;TRUE;0,2));IF(OR($B279="Ноги";$B279="Верх");IFS(AND($V279&gt;=125;$V279&lt;=135);1;AND($V279&gt;=115;$V279&lt;125);0,7;AND($V279&gt;135;$V279&lt;=145);0,7;AND($V279&gt;=105;$V279&lt;115);0,4;AND($V279&gt;145;$V279&lt;=155);0,4;TRUE;0,2);IFS(AND($V279&gt;=120;$V279&lt;=130);1;AND($V279&gt;=110;$V279&lt;120);0,7;AND($V279&gt;130;$V279&lt;=140);0,7;AND($V279&gt;=100;$V279&lt;110);0,4;AND($V279&gt;140;$V279&lt;=150);0,4;TRUE;0,2));IFS(AND($W279&gt;=55;$W279&lt;=65);1;AND($W279&gt;=50;$W279&lt;55);0,7;AND($W279&gt;65;$W279&lt;=70);0,7;AND($W279&gt;=45;$W279&lt;50);0,4;AND($W279&gt;70;$W279&lt;=75);0,4;TRUE;0,2);IF(OR($B279="Ноги";$B279="Верх");IFS(AND($X279&gt;=180;$X279&lt;=210);1;AND($X279&gt;=160;$X279&lt;180);0,7;AND($X279&gt;210;$X279&lt;=230);0,7;AND($X279&gt;=140;$X279&lt;160);0,4;AND($X279&gt;230;$X279&lt;=250);0,4;TRUE;0,2);IFS(AND($X279&gt;=140;$X279&lt;=170);1;AND($X279&gt;=120;$X279&lt;140);0,7;AND($X279&gt;170;$X279&lt;=190);0,7;AND($X279&gt;=100;$X279&lt;120);0,4;AND($X279&gt;190;$X279&lt;=210);0,4;TRUE;0,2)))));1);""))</f>
        <v/>
      </c>
      <c r="Z279">
        <f>IF($A279="";"";TEXTJOIN(", ";TRUE;IF($B279="";"Тренировка";"");IF($C279="";"Кардио";"");IF($D279="";"Шаги";"");IF($E279="";"Английский";"");IF($F279="";"Код-режим";"");IF($G279="";"Код-тема";"");IF($H279="";"Чтение";"");IF($L279="";"Сон";"");IF($M279="";"Режим";"");IF($N279="";"Продуктивность";"");IF($O279="";"Настроение";"");IF($P279="";"Энергия";"");IF($U279="";"Еда";"")))</f>
        <v/>
      </c>
    </row>
    <row r="280">
      <c r="B280" t="inlineStr"/>
      <c r="C280" t="inlineStr"/>
      <c r="D280" t="inlineStr"/>
      <c r="E280" t="inlineStr"/>
      <c r="F280" t="inlineStr"/>
      <c r="G280" t="inlineStr"/>
      <c r="H280" t="inlineStr"/>
      <c r="I280" t="inlineStr"/>
      <c r="J280" t="inlineStr"/>
      <c r="K280" t="inlineStr"/>
      <c r="L280" t="inlineStr"/>
      <c r="M280" t="inlineStr"/>
      <c r="N280" t="inlineStr"/>
      <c r="O280" t="inlineStr"/>
      <c r="P280" t="inlineStr"/>
      <c r="Q280" t="inlineStr"/>
      <c r="R280" t="inlineStr"/>
      <c r="S280" t="inlineStr"/>
      <c r="T280" t="inlineStr"/>
      <c r="U280">
        <f>IF($A280="";"";IF(SUMIF(FoodLog!$A:$A;$A280;FoodLog!$I:$I)=0;"";SUMIF(FoodLog!$A:$A;$A280;FoodLog!$I:$I)))</f>
        <v/>
      </c>
      <c r="V280">
        <f>IF($A280="";"";IF(SUMIF(FoodLog!$A:$A;$A280;FoodLog!$F:$F)=0;"";SUMIF(FoodLog!$A:$A;$A280;FoodLog!$F:$F)))</f>
        <v/>
      </c>
      <c r="W280">
        <f>IF($A280="";"";IF(SUMIF(FoodLog!$A:$A;$A280;FoodLog!$G:$G)=0;"";SUMIF(FoodLog!$A:$A;$A280;FoodLog!$G:$G)))</f>
        <v/>
      </c>
      <c r="X280">
        <f>IF($A280="";"";IF(SUMIF(FoodLog!$A:$A;$A280;FoodLog!$H:$H)=0;"";SUMIF(FoodLog!$A:$A;$A280;FoodLog!$H:$H)))</f>
        <v/>
      </c>
      <c r="Y280">
        <f>IF($A280="";"";IFERROR(ROUND(100*AVERAGE(IF($B280="";"";XLOOKUP($B280;FILTER(Dictionaries!$B:$B;Dictionaries!$A:$A="Тренировка");FILTER(Dictionaries!$C:$C;Dictionaries!$A:$A="Тренировка")));IF($C280="";"";MIN($C280/40;1));IF($D280="";"";XLOOKUP($D280;FILTER(Dictionaries!$B:$B;Dictionaries!$A:$A="Шаги");FILTER(Dictionaries!$C:$C;Dictionaries!$A:$A="Шаги")));IF($E280="";"";MIN($E280/120;1));IF(OR($F280&lt;&gt;"";$G280&lt;&gt;"");1;"");IF($H280="";"";MIN($H280/100;1));IF($L280="";"";XLOOKUP($L280;FILTER(Dictionaries!$B:$B;Dictionaries!$A:$A="Сон_часы");FILTER(Dictionaries!$C:$C;Dictionaries!$A:$A="Сон_часы")));IF($M280="";"";XLOOKUP($M280;FILTER(Dictionaries!$B:$B;Dictionaries!$A:$A="Режим");FILTER(Dictionaries!$C:$C;Dictionaries!$A:$A="Режим")));IF($N280="";"";MIN($N280/100;1));IF($O280="";"";XLOOKUP($O280;FILTER(Dictionaries!$B:$B;Dictionaries!$A:$A="Настроение");FILTER(Dictionaries!$C:$C;Dictionaries!$A:$A="Настроение")));IF($P280="";"";XLOOKUP($P280;FILTER(Dictionaries!$B:$B;Dictionaries!$A:$A="Энергия");FILTER(Dictionaries!$C:$C;Dictionaries!$A:$A="Энергия")));IF($U280="";"";AVERAGE(IF(OR($B280="Ноги";$B280="Верх");IFS(AND($U280&gt;=1900;$U280&lt;=2050);1;AND($U280&gt;=1850;$U280&lt;1900);0,7;AND($U280&gt;2050;$U280&lt;=2100);0,7;TRUE;0,2);IFS(AND($U280&gt;=1700;$U280&lt;=1850);1;AND($U280&gt;=1650;$U280&lt;1700);0,7;AND($U280&gt;1850;$U280&lt;=1900);0,7;TRUE;0,2));IF(OR($B280="Ноги";$B280="Верх");IFS(AND($V280&gt;=125;$V280&lt;=135);1;AND($V280&gt;=115;$V280&lt;125);0,7;AND($V280&gt;135;$V280&lt;=145);0,7;AND($V280&gt;=105;$V280&lt;115);0,4;AND($V280&gt;145;$V280&lt;=155);0,4;TRUE;0,2);IFS(AND($V280&gt;=120;$V280&lt;=130);1;AND($V280&gt;=110;$V280&lt;120);0,7;AND($V280&gt;130;$V280&lt;=140);0,7;AND($V280&gt;=100;$V280&lt;110);0,4;AND($V280&gt;140;$V280&lt;=150);0,4;TRUE;0,2));IFS(AND($W280&gt;=55;$W280&lt;=65);1;AND($W280&gt;=50;$W280&lt;55);0,7;AND($W280&gt;65;$W280&lt;=70);0,7;AND($W280&gt;=45;$W280&lt;50);0,4;AND($W280&gt;70;$W280&lt;=75);0,4;TRUE;0,2);IF(OR($B280="Ноги";$B280="Верх");IFS(AND($X280&gt;=180;$X280&lt;=210);1;AND($X280&gt;=160;$X280&lt;180);0,7;AND($X280&gt;210;$X280&lt;=230);0,7;AND($X280&gt;=140;$X280&lt;160);0,4;AND($X280&gt;230;$X280&lt;=250);0,4;TRUE;0,2);IFS(AND($X280&gt;=140;$X280&lt;=170);1;AND($X280&gt;=120;$X280&lt;140);0,7;AND($X280&gt;170;$X280&lt;=190);0,7;AND($X280&gt;=100;$X280&lt;120);0,4;AND($X280&gt;190;$X280&lt;=210);0,4;TRUE;0,2)))));1);""))</f>
        <v/>
      </c>
      <c r="Z280">
        <f>IF($A280="";"";TEXTJOIN(", ";TRUE;IF($B280="";"Тренировка";"");IF($C280="";"Кардио";"");IF($D280="";"Шаги";"");IF($E280="";"Английский";"");IF($F280="";"Код-режим";"");IF($G280="";"Код-тема";"");IF($H280="";"Чтение";"");IF($L280="";"Сон";"");IF($M280="";"Режим";"");IF($N280="";"Продуктивность";"");IF($O280="";"Настроение";"");IF($P280="";"Энергия";"");IF($U280="";"Еда";"")))</f>
        <v/>
      </c>
    </row>
    <row r="281">
      <c r="B281" t="inlineStr"/>
      <c r="C281" t="inlineStr"/>
      <c r="D281" t="inlineStr"/>
      <c r="E281" t="inlineStr"/>
      <c r="F281" t="inlineStr"/>
      <c r="G281" t="inlineStr"/>
      <c r="H281" t="inlineStr"/>
      <c r="I281" t="inlineStr"/>
      <c r="J281" t="inlineStr"/>
      <c r="K281" t="inlineStr"/>
      <c r="L281" t="inlineStr"/>
      <c r="M281" t="inlineStr"/>
      <c r="N281" t="inlineStr"/>
      <c r="O281" t="inlineStr"/>
      <c r="P281" t="inlineStr"/>
      <c r="Q281" t="inlineStr"/>
      <c r="R281" t="inlineStr"/>
      <c r="S281" t="inlineStr"/>
      <c r="T281" t="inlineStr"/>
      <c r="U281">
        <f>IF($A281="";"";IF(SUMIF(FoodLog!$A:$A;$A281;FoodLog!$I:$I)=0;"";SUMIF(FoodLog!$A:$A;$A281;FoodLog!$I:$I)))</f>
        <v/>
      </c>
      <c r="V281">
        <f>IF($A281="";"";IF(SUMIF(FoodLog!$A:$A;$A281;FoodLog!$F:$F)=0;"";SUMIF(FoodLog!$A:$A;$A281;FoodLog!$F:$F)))</f>
        <v/>
      </c>
      <c r="W281">
        <f>IF($A281="";"";IF(SUMIF(FoodLog!$A:$A;$A281;FoodLog!$G:$G)=0;"";SUMIF(FoodLog!$A:$A;$A281;FoodLog!$G:$G)))</f>
        <v/>
      </c>
      <c r="X281">
        <f>IF($A281="";"";IF(SUMIF(FoodLog!$A:$A;$A281;FoodLog!$H:$H)=0;"";SUMIF(FoodLog!$A:$A;$A281;FoodLog!$H:$H)))</f>
        <v/>
      </c>
      <c r="Y281">
        <f>IF($A281="";"";IFERROR(ROUND(100*AVERAGE(IF($B281="";"";XLOOKUP($B281;FILTER(Dictionaries!$B:$B;Dictionaries!$A:$A="Тренировка");FILTER(Dictionaries!$C:$C;Dictionaries!$A:$A="Тренировка")));IF($C281="";"";MIN($C281/40;1));IF($D281="";"";XLOOKUP($D281;FILTER(Dictionaries!$B:$B;Dictionaries!$A:$A="Шаги");FILTER(Dictionaries!$C:$C;Dictionaries!$A:$A="Шаги")));IF($E281="";"";MIN($E281/120;1));IF(OR($F281&lt;&gt;"";$G281&lt;&gt;"");1;"");IF($H281="";"";MIN($H281/100;1));IF($L281="";"";XLOOKUP($L281;FILTER(Dictionaries!$B:$B;Dictionaries!$A:$A="Сон_часы");FILTER(Dictionaries!$C:$C;Dictionaries!$A:$A="Сон_часы")));IF($M281="";"";XLOOKUP($M281;FILTER(Dictionaries!$B:$B;Dictionaries!$A:$A="Режим");FILTER(Dictionaries!$C:$C;Dictionaries!$A:$A="Режим")));IF($N281="";"";MIN($N281/100;1));IF($O281="";"";XLOOKUP($O281;FILTER(Dictionaries!$B:$B;Dictionaries!$A:$A="Настроение");FILTER(Dictionaries!$C:$C;Dictionaries!$A:$A="Настроение")));IF($P281="";"";XLOOKUP($P281;FILTER(Dictionaries!$B:$B;Dictionaries!$A:$A="Энергия");FILTER(Dictionaries!$C:$C;Dictionaries!$A:$A="Энергия")));IF($U281="";"";AVERAGE(IF(OR($B281="Ноги";$B281="Верх");IFS(AND($U281&gt;=1900;$U281&lt;=2050);1;AND($U281&gt;=1850;$U281&lt;1900);0,7;AND($U281&gt;2050;$U281&lt;=2100);0,7;TRUE;0,2);IFS(AND($U281&gt;=1700;$U281&lt;=1850);1;AND($U281&gt;=1650;$U281&lt;1700);0,7;AND($U281&gt;1850;$U281&lt;=1900);0,7;TRUE;0,2));IF(OR($B281="Ноги";$B281="Верх");IFS(AND($V281&gt;=125;$V281&lt;=135);1;AND($V281&gt;=115;$V281&lt;125);0,7;AND($V281&gt;135;$V281&lt;=145);0,7;AND($V281&gt;=105;$V281&lt;115);0,4;AND($V281&gt;145;$V281&lt;=155);0,4;TRUE;0,2);IFS(AND($V281&gt;=120;$V281&lt;=130);1;AND($V281&gt;=110;$V281&lt;120);0,7;AND($V281&gt;130;$V281&lt;=140);0,7;AND($V281&gt;=100;$V281&lt;110);0,4;AND($V281&gt;140;$V281&lt;=150);0,4;TRUE;0,2));IFS(AND($W281&gt;=55;$W281&lt;=65);1;AND($W281&gt;=50;$W281&lt;55);0,7;AND($W281&gt;65;$W281&lt;=70);0,7;AND($W281&gt;=45;$W281&lt;50);0,4;AND($W281&gt;70;$W281&lt;=75);0,4;TRUE;0,2);IF(OR($B281="Ноги";$B281="Верх");IFS(AND($X281&gt;=180;$X281&lt;=210);1;AND($X281&gt;=160;$X281&lt;180);0,7;AND($X281&gt;210;$X281&lt;=230);0,7;AND($X281&gt;=140;$X281&lt;160);0,4;AND($X281&gt;230;$X281&lt;=250);0,4;TRUE;0,2);IFS(AND($X281&gt;=140;$X281&lt;=170);1;AND($X281&gt;=120;$X281&lt;140);0,7;AND($X281&gt;170;$X281&lt;=190);0,7;AND($X281&gt;=100;$X281&lt;120);0,4;AND($X281&gt;190;$X281&lt;=210);0,4;TRUE;0,2)))));1);""))</f>
        <v/>
      </c>
      <c r="Z281">
        <f>IF($A281="";"";TEXTJOIN(", ";TRUE;IF($B281="";"Тренировка";"");IF($C281="";"Кардио";"");IF($D281="";"Шаги";"");IF($E281="";"Английский";"");IF($F281="";"Код-режим";"");IF($G281="";"Код-тема";"");IF($H281="";"Чтение";"");IF($L281="";"Сон";"");IF($M281="";"Режим";"");IF($N281="";"Продуктивность";"");IF($O281="";"Настроение";"");IF($P281="";"Энергия";"");IF($U281="";"Еда";"")))</f>
        <v/>
      </c>
    </row>
    <row r="282">
      <c r="B282" t="inlineStr"/>
      <c r="C282" t="inlineStr"/>
      <c r="D282" t="inlineStr"/>
      <c r="E282" t="inlineStr"/>
      <c r="F282" t="inlineStr"/>
      <c r="G282" t="inlineStr"/>
      <c r="H282" t="inlineStr"/>
      <c r="I282" t="inlineStr"/>
      <c r="J282" t="inlineStr"/>
      <c r="K282" t="inlineStr"/>
      <c r="L282" t="inlineStr"/>
      <c r="M282" t="inlineStr"/>
      <c r="N282" t="inlineStr"/>
      <c r="O282" t="inlineStr"/>
      <c r="P282" t="inlineStr"/>
      <c r="Q282" t="inlineStr"/>
      <c r="R282" t="inlineStr"/>
      <c r="S282" t="inlineStr"/>
      <c r="T282" t="inlineStr"/>
      <c r="U282">
        <f>IF($A282="";"";IF(SUMIF(FoodLog!$A:$A;$A282;FoodLog!$I:$I)=0;"";SUMIF(FoodLog!$A:$A;$A282;FoodLog!$I:$I)))</f>
        <v/>
      </c>
      <c r="V282">
        <f>IF($A282="";"";IF(SUMIF(FoodLog!$A:$A;$A282;FoodLog!$F:$F)=0;"";SUMIF(FoodLog!$A:$A;$A282;FoodLog!$F:$F)))</f>
        <v/>
      </c>
      <c r="W282">
        <f>IF($A282="";"";IF(SUMIF(FoodLog!$A:$A;$A282;FoodLog!$G:$G)=0;"";SUMIF(FoodLog!$A:$A;$A282;FoodLog!$G:$G)))</f>
        <v/>
      </c>
      <c r="X282">
        <f>IF($A282="";"";IF(SUMIF(FoodLog!$A:$A;$A282;FoodLog!$H:$H)=0;"";SUMIF(FoodLog!$A:$A;$A282;FoodLog!$H:$H)))</f>
        <v/>
      </c>
      <c r="Y282">
        <f>IF($A282="";"";IFERROR(ROUND(100*AVERAGE(IF($B282="";"";XLOOKUP($B282;FILTER(Dictionaries!$B:$B;Dictionaries!$A:$A="Тренировка");FILTER(Dictionaries!$C:$C;Dictionaries!$A:$A="Тренировка")));IF($C282="";"";MIN($C282/40;1));IF($D282="";"";XLOOKUP($D282;FILTER(Dictionaries!$B:$B;Dictionaries!$A:$A="Шаги");FILTER(Dictionaries!$C:$C;Dictionaries!$A:$A="Шаги")));IF($E282="";"";MIN($E282/120;1));IF(OR($F282&lt;&gt;"";$G282&lt;&gt;"");1;"");IF($H282="";"";MIN($H282/100;1));IF($L282="";"";XLOOKUP($L282;FILTER(Dictionaries!$B:$B;Dictionaries!$A:$A="Сон_часы");FILTER(Dictionaries!$C:$C;Dictionaries!$A:$A="Сон_часы")));IF($M282="";"";XLOOKUP($M282;FILTER(Dictionaries!$B:$B;Dictionaries!$A:$A="Режим");FILTER(Dictionaries!$C:$C;Dictionaries!$A:$A="Режим")));IF($N282="";"";MIN($N282/100;1));IF($O282="";"";XLOOKUP($O282;FILTER(Dictionaries!$B:$B;Dictionaries!$A:$A="Настроение");FILTER(Dictionaries!$C:$C;Dictionaries!$A:$A="Настроение")));IF($P282="";"";XLOOKUP($P282;FILTER(Dictionaries!$B:$B;Dictionaries!$A:$A="Энергия");FILTER(Dictionaries!$C:$C;Dictionaries!$A:$A="Энергия")));IF($U282="";"";AVERAGE(IF(OR($B282="Ноги";$B282="Верх");IFS(AND($U282&gt;=1900;$U282&lt;=2050);1;AND($U282&gt;=1850;$U282&lt;1900);0,7;AND($U282&gt;2050;$U282&lt;=2100);0,7;TRUE;0,2);IFS(AND($U282&gt;=1700;$U282&lt;=1850);1;AND($U282&gt;=1650;$U282&lt;1700);0,7;AND($U282&gt;1850;$U282&lt;=1900);0,7;TRUE;0,2));IF(OR($B282="Ноги";$B282="Верх");IFS(AND($V282&gt;=125;$V282&lt;=135);1;AND($V282&gt;=115;$V282&lt;125);0,7;AND($V282&gt;135;$V282&lt;=145);0,7;AND($V282&gt;=105;$V282&lt;115);0,4;AND($V282&gt;145;$V282&lt;=155);0,4;TRUE;0,2);IFS(AND($V282&gt;=120;$V282&lt;=130);1;AND($V282&gt;=110;$V282&lt;120);0,7;AND($V282&gt;130;$V282&lt;=140);0,7;AND($V282&gt;=100;$V282&lt;110);0,4;AND($V282&gt;140;$V282&lt;=150);0,4;TRUE;0,2));IFS(AND($W282&gt;=55;$W282&lt;=65);1;AND($W282&gt;=50;$W282&lt;55);0,7;AND($W282&gt;65;$W282&lt;=70);0,7;AND($W282&gt;=45;$W282&lt;50);0,4;AND($W282&gt;70;$W282&lt;=75);0,4;TRUE;0,2);IF(OR($B282="Ноги";$B282="Верх");IFS(AND($X282&gt;=180;$X282&lt;=210);1;AND($X282&gt;=160;$X282&lt;180);0,7;AND($X282&gt;210;$X282&lt;=230);0,7;AND($X282&gt;=140;$X282&lt;160);0,4;AND($X282&gt;230;$X282&lt;=250);0,4;TRUE;0,2);IFS(AND($X282&gt;=140;$X282&lt;=170);1;AND($X282&gt;=120;$X282&lt;140);0,7;AND($X282&gt;170;$X282&lt;=190);0,7;AND($X282&gt;=100;$X282&lt;120);0,4;AND($X282&gt;190;$X282&lt;=210);0,4;TRUE;0,2)))));1);""))</f>
        <v/>
      </c>
      <c r="Z282">
        <f>IF($A282="";"";TEXTJOIN(", ";TRUE;IF($B282="";"Тренировка";"");IF($C282="";"Кардио";"");IF($D282="";"Шаги";"");IF($E282="";"Английский";"");IF($F282="";"Код-режим";"");IF($G282="";"Код-тема";"");IF($H282="";"Чтение";"");IF($L282="";"Сон";"");IF($M282="";"Режим";"");IF($N282="";"Продуктивность";"");IF($O282="";"Настроение";"");IF($P282="";"Энергия";"");IF($U282="";"Еда";"")))</f>
        <v/>
      </c>
    </row>
    <row r="283">
      <c r="B283" t="inlineStr"/>
      <c r="C283" t="inlineStr"/>
      <c r="D283" t="inlineStr"/>
      <c r="E283" t="inlineStr"/>
      <c r="F283" t="inlineStr"/>
      <c r="G283" t="inlineStr"/>
      <c r="H283" t="inlineStr"/>
      <c r="I283" t="inlineStr"/>
      <c r="J283" t="inlineStr"/>
      <c r="K283" t="inlineStr"/>
      <c r="L283" t="inlineStr"/>
      <c r="M283" t="inlineStr"/>
      <c r="N283" t="inlineStr"/>
      <c r="O283" t="inlineStr"/>
      <c r="P283" t="inlineStr"/>
      <c r="Q283" t="inlineStr"/>
      <c r="R283" t="inlineStr"/>
      <c r="S283" t="inlineStr"/>
      <c r="T283" t="inlineStr"/>
      <c r="U283">
        <f>IF($A283="";"";IF(SUMIF(FoodLog!$A:$A;$A283;FoodLog!$I:$I)=0;"";SUMIF(FoodLog!$A:$A;$A283;FoodLog!$I:$I)))</f>
        <v/>
      </c>
      <c r="V283">
        <f>IF($A283="";"";IF(SUMIF(FoodLog!$A:$A;$A283;FoodLog!$F:$F)=0;"";SUMIF(FoodLog!$A:$A;$A283;FoodLog!$F:$F)))</f>
        <v/>
      </c>
      <c r="W283">
        <f>IF($A283="";"";IF(SUMIF(FoodLog!$A:$A;$A283;FoodLog!$G:$G)=0;"";SUMIF(FoodLog!$A:$A;$A283;FoodLog!$G:$G)))</f>
        <v/>
      </c>
      <c r="X283">
        <f>IF($A283="";"";IF(SUMIF(FoodLog!$A:$A;$A283;FoodLog!$H:$H)=0;"";SUMIF(FoodLog!$A:$A;$A283;FoodLog!$H:$H)))</f>
        <v/>
      </c>
      <c r="Y283">
        <f>IF($A283="";"";IFERROR(ROUND(100*AVERAGE(IF($B283="";"";XLOOKUP($B283;FILTER(Dictionaries!$B:$B;Dictionaries!$A:$A="Тренировка");FILTER(Dictionaries!$C:$C;Dictionaries!$A:$A="Тренировка")));IF($C283="";"";MIN($C283/40;1));IF($D283="";"";XLOOKUP($D283;FILTER(Dictionaries!$B:$B;Dictionaries!$A:$A="Шаги");FILTER(Dictionaries!$C:$C;Dictionaries!$A:$A="Шаги")));IF($E283="";"";MIN($E283/120;1));IF(OR($F283&lt;&gt;"";$G283&lt;&gt;"");1;"");IF($H283="";"";MIN($H283/100;1));IF($L283="";"";XLOOKUP($L283;FILTER(Dictionaries!$B:$B;Dictionaries!$A:$A="Сон_часы");FILTER(Dictionaries!$C:$C;Dictionaries!$A:$A="Сон_часы")));IF($M283="";"";XLOOKUP($M283;FILTER(Dictionaries!$B:$B;Dictionaries!$A:$A="Режим");FILTER(Dictionaries!$C:$C;Dictionaries!$A:$A="Режим")));IF($N283="";"";MIN($N283/100;1));IF($O283="";"";XLOOKUP($O283;FILTER(Dictionaries!$B:$B;Dictionaries!$A:$A="Настроение");FILTER(Dictionaries!$C:$C;Dictionaries!$A:$A="Настроение")));IF($P283="";"";XLOOKUP($P283;FILTER(Dictionaries!$B:$B;Dictionaries!$A:$A="Энергия");FILTER(Dictionaries!$C:$C;Dictionaries!$A:$A="Энергия")));IF($U283="";"";AVERAGE(IF(OR($B283="Ноги";$B283="Верх");IFS(AND($U283&gt;=1900;$U283&lt;=2050);1;AND($U283&gt;=1850;$U283&lt;1900);0,7;AND($U283&gt;2050;$U283&lt;=2100);0,7;TRUE;0,2);IFS(AND($U283&gt;=1700;$U283&lt;=1850);1;AND($U283&gt;=1650;$U283&lt;1700);0,7;AND($U283&gt;1850;$U283&lt;=1900);0,7;TRUE;0,2));IF(OR($B283="Ноги";$B283="Верх");IFS(AND($V283&gt;=125;$V283&lt;=135);1;AND($V283&gt;=115;$V283&lt;125);0,7;AND($V283&gt;135;$V283&lt;=145);0,7;AND($V283&gt;=105;$V283&lt;115);0,4;AND($V283&gt;145;$V283&lt;=155);0,4;TRUE;0,2);IFS(AND($V283&gt;=120;$V283&lt;=130);1;AND($V283&gt;=110;$V283&lt;120);0,7;AND($V283&gt;130;$V283&lt;=140);0,7;AND($V283&gt;=100;$V283&lt;110);0,4;AND($V283&gt;140;$V283&lt;=150);0,4;TRUE;0,2));IFS(AND($W283&gt;=55;$W283&lt;=65);1;AND($W283&gt;=50;$W283&lt;55);0,7;AND($W283&gt;65;$W283&lt;=70);0,7;AND($W283&gt;=45;$W283&lt;50);0,4;AND($W283&gt;70;$W283&lt;=75);0,4;TRUE;0,2);IF(OR($B283="Ноги";$B283="Верх");IFS(AND($X283&gt;=180;$X283&lt;=210);1;AND($X283&gt;=160;$X283&lt;180);0,7;AND($X283&gt;210;$X283&lt;=230);0,7;AND($X283&gt;=140;$X283&lt;160);0,4;AND($X283&gt;230;$X283&lt;=250);0,4;TRUE;0,2);IFS(AND($X283&gt;=140;$X283&lt;=170);1;AND($X283&gt;=120;$X283&lt;140);0,7;AND($X283&gt;170;$X283&lt;=190);0,7;AND($X283&gt;=100;$X283&lt;120);0,4;AND($X283&gt;190;$X283&lt;=210);0,4;TRUE;0,2)))));1);""))</f>
        <v/>
      </c>
      <c r="Z283">
        <f>IF($A283="";"";TEXTJOIN(", ";TRUE;IF($B283="";"Тренировка";"");IF($C283="";"Кардио";"");IF($D283="";"Шаги";"");IF($E283="";"Английский";"");IF($F283="";"Код-режим";"");IF($G283="";"Код-тема";"");IF($H283="";"Чтение";"");IF($L283="";"Сон";"");IF($M283="";"Режим";"");IF($N283="";"Продуктивность";"");IF($O283="";"Настроение";"");IF($P283="";"Энергия";"");IF($U283="";"Еда";"")))</f>
        <v/>
      </c>
    </row>
    <row r="284">
      <c r="B284" t="inlineStr"/>
      <c r="C284" t="inlineStr"/>
      <c r="D284" t="inlineStr"/>
      <c r="E284" t="inlineStr"/>
      <c r="F284" t="inlineStr"/>
      <c r="G284" t="inlineStr"/>
      <c r="H284" t="inlineStr"/>
      <c r="I284" t="inlineStr"/>
      <c r="J284" t="inlineStr"/>
      <c r="K284" t="inlineStr"/>
      <c r="L284" t="inlineStr"/>
      <c r="M284" t="inlineStr"/>
      <c r="N284" t="inlineStr"/>
      <c r="O284" t="inlineStr"/>
      <c r="P284" t="inlineStr"/>
      <c r="Q284" t="inlineStr"/>
      <c r="R284" t="inlineStr"/>
      <c r="S284" t="inlineStr"/>
      <c r="T284" t="inlineStr"/>
      <c r="U284">
        <f>IF($A284="";"";IF(SUMIF(FoodLog!$A:$A;$A284;FoodLog!$I:$I)=0;"";SUMIF(FoodLog!$A:$A;$A284;FoodLog!$I:$I)))</f>
        <v/>
      </c>
      <c r="V284">
        <f>IF($A284="";"";IF(SUMIF(FoodLog!$A:$A;$A284;FoodLog!$F:$F)=0;"";SUMIF(FoodLog!$A:$A;$A284;FoodLog!$F:$F)))</f>
        <v/>
      </c>
      <c r="W284">
        <f>IF($A284="";"";IF(SUMIF(FoodLog!$A:$A;$A284;FoodLog!$G:$G)=0;"";SUMIF(FoodLog!$A:$A;$A284;FoodLog!$G:$G)))</f>
        <v/>
      </c>
      <c r="X284">
        <f>IF($A284="";"";IF(SUMIF(FoodLog!$A:$A;$A284;FoodLog!$H:$H)=0;"";SUMIF(FoodLog!$A:$A;$A284;FoodLog!$H:$H)))</f>
        <v/>
      </c>
      <c r="Y284">
        <f>IF($A284="";"";IFERROR(ROUND(100*AVERAGE(IF($B284="";"";XLOOKUP($B284;FILTER(Dictionaries!$B:$B;Dictionaries!$A:$A="Тренировка");FILTER(Dictionaries!$C:$C;Dictionaries!$A:$A="Тренировка")));IF($C284="";"";MIN($C284/40;1));IF($D284="";"";XLOOKUP($D284;FILTER(Dictionaries!$B:$B;Dictionaries!$A:$A="Шаги");FILTER(Dictionaries!$C:$C;Dictionaries!$A:$A="Шаги")));IF($E284="";"";MIN($E284/120;1));IF(OR($F284&lt;&gt;"";$G284&lt;&gt;"");1;"");IF($H284="";"";MIN($H284/100;1));IF($L284="";"";XLOOKUP($L284;FILTER(Dictionaries!$B:$B;Dictionaries!$A:$A="Сон_часы");FILTER(Dictionaries!$C:$C;Dictionaries!$A:$A="Сон_часы")));IF($M284="";"";XLOOKUP($M284;FILTER(Dictionaries!$B:$B;Dictionaries!$A:$A="Режим");FILTER(Dictionaries!$C:$C;Dictionaries!$A:$A="Режим")));IF($N284="";"";MIN($N284/100;1));IF($O284="";"";XLOOKUP($O284;FILTER(Dictionaries!$B:$B;Dictionaries!$A:$A="Настроение");FILTER(Dictionaries!$C:$C;Dictionaries!$A:$A="Настроение")));IF($P284="";"";XLOOKUP($P284;FILTER(Dictionaries!$B:$B;Dictionaries!$A:$A="Энергия");FILTER(Dictionaries!$C:$C;Dictionaries!$A:$A="Энергия")));IF($U284="";"";AVERAGE(IF(OR($B284="Ноги";$B284="Верх");IFS(AND($U284&gt;=1900;$U284&lt;=2050);1;AND($U284&gt;=1850;$U284&lt;1900);0,7;AND($U284&gt;2050;$U284&lt;=2100);0,7;TRUE;0,2);IFS(AND($U284&gt;=1700;$U284&lt;=1850);1;AND($U284&gt;=1650;$U284&lt;1700);0,7;AND($U284&gt;1850;$U284&lt;=1900);0,7;TRUE;0,2));IF(OR($B284="Ноги";$B284="Верх");IFS(AND($V284&gt;=125;$V284&lt;=135);1;AND($V284&gt;=115;$V284&lt;125);0,7;AND($V284&gt;135;$V284&lt;=145);0,7;AND($V284&gt;=105;$V284&lt;115);0,4;AND($V284&gt;145;$V284&lt;=155);0,4;TRUE;0,2);IFS(AND($V284&gt;=120;$V284&lt;=130);1;AND($V284&gt;=110;$V284&lt;120);0,7;AND($V284&gt;130;$V284&lt;=140);0,7;AND($V284&gt;=100;$V284&lt;110);0,4;AND($V284&gt;140;$V284&lt;=150);0,4;TRUE;0,2));IFS(AND($W284&gt;=55;$W284&lt;=65);1;AND($W284&gt;=50;$W284&lt;55);0,7;AND($W284&gt;65;$W284&lt;=70);0,7;AND($W284&gt;=45;$W284&lt;50);0,4;AND($W284&gt;70;$W284&lt;=75);0,4;TRUE;0,2);IF(OR($B284="Ноги";$B284="Верх");IFS(AND($X284&gt;=180;$X284&lt;=210);1;AND($X284&gt;=160;$X284&lt;180);0,7;AND($X284&gt;210;$X284&lt;=230);0,7;AND($X284&gt;=140;$X284&lt;160);0,4;AND($X284&gt;230;$X284&lt;=250);0,4;TRUE;0,2);IFS(AND($X284&gt;=140;$X284&lt;=170);1;AND($X284&gt;=120;$X284&lt;140);0,7;AND($X284&gt;170;$X284&lt;=190);0,7;AND($X284&gt;=100;$X284&lt;120);0,4;AND($X284&gt;190;$X284&lt;=210);0,4;TRUE;0,2)))));1);""))</f>
        <v/>
      </c>
      <c r="Z284">
        <f>IF($A284="";"";TEXTJOIN(", ";TRUE;IF($B284="";"Тренировка";"");IF($C284="";"Кардио";"");IF($D284="";"Шаги";"");IF($E284="";"Английский";"");IF($F284="";"Код-режим";"");IF($G284="";"Код-тема";"");IF($H284="";"Чтение";"");IF($L284="";"Сон";"");IF($M284="";"Режим";"");IF($N284="";"Продуктивность";"");IF($O284="";"Настроение";"");IF($P284="";"Энергия";"");IF($U284="";"Еда";"")))</f>
        <v/>
      </c>
    </row>
    <row r="285">
      <c r="B285" t="inlineStr"/>
      <c r="C285" t="inlineStr"/>
      <c r="D285" t="inlineStr"/>
      <c r="E285" t="inlineStr"/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  <c r="O285" t="inlineStr"/>
      <c r="P285" t="inlineStr"/>
      <c r="Q285" t="inlineStr"/>
      <c r="R285" t="inlineStr"/>
      <c r="S285" t="inlineStr"/>
      <c r="T285" t="inlineStr"/>
      <c r="U285">
        <f>IF($A285="";"";IF(SUMIF(FoodLog!$A:$A;$A285;FoodLog!$I:$I)=0;"";SUMIF(FoodLog!$A:$A;$A285;FoodLog!$I:$I)))</f>
        <v/>
      </c>
      <c r="V285">
        <f>IF($A285="";"";IF(SUMIF(FoodLog!$A:$A;$A285;FoodLog!$F:$F)=0;"";SUMIF(FoodLog!$A:$A;$A285;FoodLog!$F:$F)))</f>
        <v/>
      </c>
      <c r="W285">
        <f>IF($A285="";"";IF(SUMIF(FoodLog!$A:$A;$A285;FoodLog!$G:$G)=0;"";SUMIF(FoodLog!$A:$A;$A285;FoodLog!$G:$G)))</f>
        <v/>
      </c>
      <c r="X285">
        <f>IF($A285="";"";IF(SUMIF(FoodLog!$A:$A;$A285;FoodLog!$H:$H)=0;"";SUMIF(FoodLog!$A:$A;$A285;FoodLog!$H:$H)))</f>
        <v/>
      </c>
      <c r="Y285">
        <f>IF($A285="";"";IFERROR(ROUND(100*AVERAGE(IF($B285="";"";XLOOKUP($B285;FILTER(Dictionaries!$B:$B;Dictionaries!$A:$A="Тренировка");FILTER(Dictionaries!$C:$C;Dictionaries!$A:$A="Тренировка")));IF($C285="";"";MIN($C285/40;1));IF($D285="";"";XLOOKUP($D285;FILTER(Dictionaries!$B:$B;Dictionaries!$A:$A="Шаги");FILTER(Dictionaries!$C:$C;Dictionaries!$A:$A="Шаги")));IF($E285="";"";MIN($E285/120;1));IF(OR($F285&lt;&gt;"";$G285&lt;&gt;"");1;"");IF($H285="";"";MIN($H285/100;1));IF($L285="";"";XLOOKUP($L285;FILTER(Dictionaries!$B:$B;Dictionaries!$A:$A="Сон_часы");FILTER(Dictionaries!$C:$C;Dictionaries!$A:$A="Сон_часы")));IF($M285="";"";XLOOKUP($M285;FILTER(Dictionaries!$B:$B;Dictionaries!$A:$A="Режим");FILTER(Dictionaries!$C:$C;Dictionaries!$A:$A="Режим")));IF($N285="";"";MIN($N285/100;1));IF($O285="";"";XLOOKUP($O285;FILTER(Dictionaries!$B:$B;Dictionaries!$A:$A="Настроение");FILTER(Dictionaries!$C:$C;Dictionaries!$A:$A="Настроение")));IF($P285="";"";XLOOKUP($P285;FILTER(Dictionaries!$B:$B;Dictionaries!$A:$A="Энергия");FILTER(Dictionaries!$C:$C;Dictionaries!$A:$A="Энергия")));IF($U285="";"";AVERAGE(IF(OR($B285="Ноги";$B285="Верх");IFS(AND($U285&gt;=1900;$U285&lt;=2050);1;AND($U285&gt;=1850;$U285&lt;1900);0,7;AND($U285&gt;2050;$U285&lt;=2100);0,7;TRUE;0,2);IFS(AND($U285&gt;=1700;$U285&lt;=1850);1;AND($U285&gt;=1650;$U285&lt;1700);0,7;AND($U285&gt;1850;$U285&lt;=1900);0,7;TRUE;0,2));IF(OR($B285="Ноги";$B285="Верх");IFS(AND($V285&gt;=125;$V285&lt;=135);1;AND($V285&gt;=115;$V285&lt;125);0,7;AND($V285&gt;135;$V285&lt;=145);0,7;AND($V285&gt;=105;$V285&lt;115);0,4;AND($V285&gt;145;$V285&lt;=155);0,4;TRUE;0,2);IFS(AND($V285&gt;=120;$V285&lt;=130);1;AND($V285&gt;=110;$V285&lt;120);0,7;AND($V285&gt;130;$V285&lt;=140);0,7;AND($V285&gt;=100;$V285&lt;110);0,4;AND($V285&gt;140;$V285&lt;=150);0,4;TRUE;0,2));IFS(AND($W285&gt;=55;$W285&lt;=65);1;AND($W285&gt;=50;$W285&lt;55);0,7;AND($W285&gt;65;$W285&lt;=70);0,7;AND($W285&gt;=45;$W285&lt;50);0,4;AND($W285&gt;70;$W285&lt;=75);0,4;TRUE;0,2);IF(OR($B285="Ноги";$B285="Верх");IFS(AND($X285&gt;=180;$X285&lt;=210);1;AND($X285&gt;=160;$X285&lt;180);0,7;AND($X285&gt;210;$X285&lt;=230);0,7;AND($X285&gt;=140;$X285&lt;160);0,4;AND($X285&gt;230;$X285&lt;=250);0,4;TRUE;0,2);IFS(AND($X285&gt;=140;$X285&lt;=170);1;AND($X285&gt;=120;$X285&lt;140);0,7;AND($X285&gt;170;$X285&lt;=190);0,7;AND($X285&gt;=100;$X285&lt;120);0,4;AND($X285&gt;190;$X285&lt;=210);0,4;TRUE;0,2)))));1);""))</f>
        <v/>
      </c>
      <c r="Z285">
        <f>IF($A285="";"";TEXTJOIN(", ";TRUE;IF($B285="";"Тренировка";"");IF($C285="";"Кардио";"");IF($D285="";"Шаги";"");IF($E285="";"Английский";"");IF($F285="";"Код-режим";"");IF($G285="";"Код-тема";"");IF($H285="";"Чтение";"");IF($L285="";"Сон";"");IF($M285="";"Режим";"");IF($N285="";"Продуктивность";"");IF($O285="";"Настроение";"");IF($P285="";"Энергия";"");IF($U285="";"Еда";"")))</f>
        <v/>
      </c>
    </row>
    <row r="286">
      <c r="B286" t="inlineStr"/>
      <c r="C286" t="inlineStr"/>
      <c r="D286" t="inlineStr"/>
      <c r="E286" t="inlineStr"/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/>
      <c r="P286" t="inlineStr"/>
      <c r="Q286" t="inlineStr"/>
      <c r="R286" t="inlineStr"/>
      <c r="S286" t="inlineStr"/>
      <c r="T286" t="inlineStr"/>
      <c r="U286">
        <f>IF($A286="";"";IF(SUMIF(FoodLog!$A:$A;$A286;FoodLog!$I:$I)=0;"";SUMIF(FoodLog!$A:$A;$A286;FoodLog!$I:$I)))</f>
        <v/>
      </c>
      <c r="V286">
        <f>IF($A286="";"";IF(SUMIF(FoodLog!$A:$A;$A286;FoodLog!$F:$F)=0;"";SUMIF(FoodLog!$A:$A;$A286;FoodLog!$F:$F)))</f>
        <v/>
      </c>
      <c r="W286">
        <f>IF($A286="";"";IF(SUMIF(FoodLog!$A:$A;$A286;FoodLog!$G:$G)=0;"";SUMIF(FoodLog!$A:$A;$A286;FoodLog!$G:$G)))</f>
        <v/>
      </c>
      <c r="X286">
        <f>IF($A286="";"";IF(SUMIF(FoodLog!$A:$A;$A286;FoodLog!$H:$H)=0;"";SUMIF(FoodLog!$A:$A;$A286;FoodLog!$H:$H)))</f>
        <v/>
      </c>
      <c r="Y286">
        <f>IF($A286="";"";IFERROR(ROUND(100*AVERAGE(IF($B286="";"";XLOOKUP($B286;FILTER(Dictionaries!$B:$B;Dictionaries!$A:$A="Тренировка");FILTER(Dictionaries!$C:$C;Dictionaries!$A:$A="Тренировка")));IF($C286="";"";MIN($C286/40;1));IF($D286="";"";XLOOKUP($D286;FILTER(Dictionaries!$B:$B;Dictionaries!$A:$A="Шаги");FILTER(Dictionaries!$C:$C;Dictionaries!$A:$A="Шаги")));IF($E286="";"";MIN($E286/120;1));IF(OR($F286&lt;&gt;"";$G286&lt;&gt;"");1;"");IF($H286="";"";MIN($H286/100;1));IF($L286="";"";XLOOKUP($L286;FILTER(Dictionaries!$B:$B;Dictionaries!$A:$A="Сон_часы");FILTER(Dictionaries!$C:$C;Dictionaries!$A:$A="Сон_часы")));IF($M286="";"";XLOOKUP($M286;FILTER(Dictionaries!$B:$B;Dictionaries!$A:$A="Режим");FILTER(Dictionaries!$C:$C;Dictionaries!$A:$A="Режим")));IF($N286="";"";MIN($N286/100;1));IF($O286="";"";XLOOKUP($O286;FILTER(Dictionaries!$B:$B;Dictionaries!$A:$A="Настроение");FILTER(Dictionaries!$C:$C;Dictionaries!$A:$A="Настроение")));IF($P286="";"";XLOOKUP($P286;FILTER(Dictionaries!$B:$B;Dictionaries!$A:$A="Энергия");FILTER(Dictionaries!$C:$C;Dictionaries!$A:$A="Энергия")));IF($U286="";"";AVERAGE(IF(OR($B286="Ноги";$B286="Верх");IFS(AND($U286&gt;=1900;$U286&lt;=2050);1;AND($U286&gt;=1850;$U286&lt;1900);0,7;AND($U286&gt;2050;$U286&lt;=2100);0,7;TRUE;0,2);IFS(AND($U286&gt;=1700;$U286&lt;=1850);1;AND($U286&gt;=1650;$U286&lt;1700);0,7;AND($U286&gt;1850;$U286&lt;=1900);0,7;TRUE;0,2));IF(OR($B286="Ноги";$B286="Верх");IFS(AND($V286&gt;=125;$V286&lt;=135);1;AND($V286&gt;=115;$V286&lt;125);0,7;AND($V286&gt;135;$V286&lt;=145);0,7;AND($V286&gt;=105;$V286&lt;115);0,4;AND($V286&gt;145;$V286&lt;=155);0,4;TRUE;0,2);IFS(AND($V286&gt;=120;$V286&lt;=130);1;AND($V286&gt;=110;$V286&lt;120);0,7;AND($V286&gt;130;$V286&lt;=140);0,7;AND($V286&gt;=100;$V286&lt;110);0,4;AND($V286&gt;140;$V286&lt;=150);0,4;TRUE;0,2));IFS(AND($W286&gt;=55;$W286&lt;=65);1;AND($W286&gt;=50;$W286&lt;55);0,7;AND($W286&gt;65;$W286&lt;=70);0,7;AND($W286&gt;=45;$W286&lt;50);0,4;AND($W286&gt;70;$W286&lt;=75);0,4;TRUE;0,2);IF(OR($B286="Ноги";$B286="Верх");IFS(AND($X286&gt;=180;$X286&lt;=210);1;AND($X286&gt;=160;$X286&lt;180);0,7;AND($X286&gt;210;$X286&lt;=230);0,7;AND($X286&gt;=140;$X286&lt;160);0,4;AND($X286&gt;230;$X286&lt;=250);0,4;TRUE;0,2);IFS(AND($X286&gt;=140;$X286&lt;=170);1;AND($X286&gt;=120;$X286&lt;140);0,7;AND($X286&gt;170;$X286&lt;=190);0,7;AND($X286&gt;=100;$X286&lt;120);0,4;AND($X286&gt;190;$X286&lt;=210);0,4;TRUE;0,2)))));1);""))</f>
        <v/>
      </c>
      <c r="Z286">
        <f>IF($A286="";"";TEXTJOIN(", ";TRUE;IF($B286="";"Тренировка";"");IF($C286="";"Кардио";"");IF($D286="";"Шаги";"");IF($E286="";"Английский";"");IF($F286="";"Код-режим";"");IF($G286="";"Код-тема";"");IF($H286="";"Чтение";"");IF($L286="";"Сон";"");IF($M286="";"Режим";"");IF($N286="";"Продуктивность";"");IF($O286="";"Настроение";"");IF($P286="";"Энергия";"");IF($U286="";"Еда";"")))</f>
        <v/>
      </c>
    </row>
    <row r="287">
      <c r="B287" t="inlineStr"/>
      <c r="C287" t="inlineStr"/>
      <c r="D287" t="inlineStr"/>
      <c r="E287" t="inlineStr"/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/>
      <c r="P287" t="inlineStr"/>
      <c r="Q287" t="inlineStr"/>
      <c r="R287" t="inlineStr"/>
      <c r="S287" t="inlineStr"/>
      <c r="T287" t="inlineStr"/>
      <c r="U287">
        <f>IF($A287="";"";IF(SUMIF(FoodLog!$A:$A;$A287;FoodLog!$I:$I)=0;"";SUMIF(FoodLog!$A:$A;$A287;FoodLog!$I:$I)))</f>
        <v/>
      </c>
      <c r="V287">
        <f>IF($A287="";"";IF(SUMIF(FoodLog!$A:$A;$A287;FoodLog!$F:$F)=0;"";SUMIF(FoodLog!$A:$A;$A287;FoodLog!$F:$F)))</f>
        <v/>
      </c>
      <c r="W287">
        <f>IF($A287="";"";IF(SUMIF(FoodLog!$A:$A;$A287;FoodLog!$G:$G)=0;"";SUMIF(FoodLog!$A:$A;$A287;FoodLog!$G:$G)))</f>
        <v/>
      </c>
      <c r="X287">
        <f>IF($A287="";"";IF(SUMIF(FoodLog!$A:$A;$A287;FoodLog!$H:$H)=0;"";SUMIF(FoodLog!$A:$A;$A287;FoodLog!$H:$H)))</f>
        <v/>
      </c>
      <c r="Y287">
        <f>IF($A287="";"";IFERROR(ROUND(100*AVERAGE(IF($B287="";"";XLOOKUP($B287;FILTER(Dictionaries!$B:$B;Dictionaries!$A:$A="Тренировка");FILTER(Dictionaries!$C:$C;Dictionaries!$A:$A="Тренировка")));IF($C287="";"";MIN($C287/40;1));IF($D287="";"";XLOOKUP($D287;FILTER(Dictionaries!$B:$B;Dictionaries!$A:$A="Шаги");FILTER(Dictionaries!$C:$C;Dictionaries!$A:$A="Шаги")));IF($E287="";"";MIN($E287/120;1));IF(OR($F287&lt;&gt;"";$G287&lt;&gt;"");1;"");IF($H287="";"";MIN($H287/100;1));IF($L287="";"";XLOOKUP($L287;FILTER(Dictionaries!$B:$B;Dictionaries!$A:$A="Сон_часы");FILTER(Dictionaries!$C:$C;Dictionaries!$A:$A="Сон_часы")));IF($M287="";"";XLOOKUP($M287;FILTER(Dictionaries!$B:$B;Dictionaries!$A:$A="Режим");FILTER(Dictionaries!$C:$C;Dictionaries!$A:$A="Режим")));IF($N287="";"";MIN($N287/100;1));IF($O287="";"";XLOOKUP($O287;FILTER(Dictionaries!$B:$B;Dictionaries!$A:$A="Настроение");FILTER(Dictionaries!$C:$C;Dictionaries!$A:$A="Настроение")));IF($P287="";"";XLOOKUP($P287;FILTER(Dictionaries!$B:$B;Dictionaries!$A:$A="Энергия");FILTER(Dictionaries!$C:$C;Dictionaries!$A:$A="Энергия")));IF($U287="";"";AVERAGE(IF(OR($B287="Ноги";$B287="Верх");IFS(AND($U287&gt;=1900;$U287&lt;=2050);1;AND($U287&gt;=1850;$U287&lt;1900);0,7;AND($U287&gt;2050;$U287&lt;=2100);0,7;TRUE;0,2);IFS(AND($U287&gt;=1700;$U287&lt;=1850);1;AND($U287&gt;=1650;$U287&lt;1700);0,7;AND($U287&gt;1850;$U287&lt;=1900);0,7;TRUE;0,2));IF(OR($B287="Ноги";$B287="Верх");IFS(AND($V287&gt;=125;$V287&lt;=135);1;AND($V287&gt;=115;$V287&lt;125);0,7;AND($V287&gt;135;$V287&lt;=145);0,7;AND($V287&gt;=105;$V287&lt;115);0,4;AND($V287&gt;145;$V287&lt;=155);0,4;TRUE;0,2);IFS(AND($V287&gt;=120;$V287&lt;=130);1;AND($V287&gt;=110;$V287&lt;120);0,7;AND($V287&gt;130;$V287&lt;=140);0,7;AND($V287&gt;=100;$V287&lt;110);0,4;AND($V287&gt;140;$V287&lt;=150);0,4;TRUE;0,2));IFS(AND($W287&gt;=55;$W287&lt;=65);1;AND($W287&gt;=50;$W287&lt;55);0,7;AND($W287&gt;65;$W287&lt;=70);0,7;AND($W287&gt;=45;$W287&lt;50);0,4;AND($W287&gt;70;$W287&lt;=75);0,4;TRUE;0,2);IF(OR($B287="Ноги";$B287="Верх");IFS(AND($X287&gt;=180;$X287&lt;=210);1;AND($X287&gt;=160;$X287&lt;180);0,7;AND($X287&gt;210;$X287&lt;=230);0,7;AND($X287&gt;=140;$X287&lt;160);0,4;AND($X287&gt;230;$X287&lt;=250);0,4;TRUE;0,2);IFS(AND($X287&gt;=140;$X287&lt;=170);1;AND($X287&gt;=120;$X287&lt;140);0,7;AND($X287&gt;170;$X287&lt;=190);0,7;AND($X287&gt;=100;$X287&lt;120);0,4;AND($X287&gt;190;$X287&lt;=210);0,4;TRUE;0,2)))));1);""))</f>
        <v/>
      </c>
      <c r="Z287">
        <f>IF($A287="";"";TEXTJOIN(", ";TRUE;IF($B287="";"Тренировка";"");IF($C287="";"Кардио";"");IF($D287="";"Шаги";"");IF($E287="";"Английский";"");IF($F287="";"Код-режим";"");IF($G287="";"Код-тема";"");IF($H287="";"Чтение";"");IF($L287="";"Сон";"");IF($M287="";"Режим";"");IF($N287="";"Продуктивность";"");IF($O287="";"Настроение";"");IF($P287="";"Энергия";"");IF($U287="";"Еда";"")))</f>
        <v/>
      </c>
    </row>
    <row r="288">
      <c r="B288" t="inlineStr"/>
      <c r="C288" t="inlineStr"/>
      <c r="D288" t="inlineStr"/>
      <c r="E288" t="inlineStr"/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  <c r="O288" t="inlineStr"/>
      <c r="P288" t="inlineStr"/>
      <c r="Q288" t="inlineStr"/>
      <c r="R288" t="inlineStr"/>
      <c r="S288" t="inlineStr"/>
      <c r="T288" t="inlineStr"/>
      <c r="U288">
        <f>IF($A288="";"";IF(SUMIF(FoodLog!$A:$A;$A288;FoodLog!$I:$I)=0;"";SUMIF(FoodLog!$A:$A;$A288;FoodLog!$I:$I)))</f>
        <v/>
      </c>
      <c r="V288">
        <f>IF($A288="";"";IF(SUMIF(FoodLog!$A:$A;$A288;FoodLog!$F:$F)=0;"";SUMIF(FoodLog!$A:$A;$A288;FoodLog!$F:$F)))</f>
        <v/>
      </c>
      <c r="W288">
        <f>IF($A288="";"";IF(SUMIF(FoodLog!$A:$A;$A288;FoodLog!$G:$G)=0;"";SUMIF(FoodLog!$A:$A;$A288;FoodLog!$G:$G)))</f>
        <v/>
      </c>
      <c r="X288">
        <f>IF($A288="";"";IF(SUMIF(FoodLog!$A:$A;$A288;FoodLog!$H:$H)=0;"";SUMIF(FoodLog!$A:$A;$A288;FoodLog!$H:$H)))</f>
        <v/>
      </c>
      <c r="Y288">
        <f>IF($A288="";"";IFERROR(ROUND(100*AVERAGE(IF($B288="";"";XLOOKUP($B288;FILTER(Dictionaries!$B:$B;Dictionaries!$A:$A="Тренировка");FILTER(Dictionaries!$C:$C;Dictionaries!$A:$A="Тренировка")));IF($C288="";"";MIN($C288/40;1));IF($D288="";"";XLOOKUP($D288;FILTER(Dictionaries!$B:$B;Dictionaries!$A:$A="Шаги");FILTER(Dictionaries!$C:$C;Dictionaries!$A:$A="Шаги")));IF($E288="";"";MIN($E288/120;1));IF(OR($F288&lt;&gt;"";$G288&lt;&gt;"");1;"");IF($H288="";"";MIN($H288/100;1));IF($L288="";"";XLOOKUP($L288;FILTER(Dictionaries!$B:$B;Dictionaries!$A:$A="Сон_часы");FILTER(Dictionaries!$C:$C;Dictionaries!$A:$A="Сон_часы")));IF($M288="";"";XLOOKUP($M288;FILTER(Dictionaries!$B:$B;Dictionaries!$A:$A="Режим");FILTER(Dictionaries!$C:$C;Dictionaries!$A:$A="Режим")));IF($N288="";"";MIN($N288/100;1));IF($O288="";"";XLOOKUP($O288;FILTER(Dictionaries!$B:$B;Dictionaries!$A:$A="Настроение");FILTER(Dictionaries!$C:$C;Dictionaries!$A:$A="Настроение")));IF($P288="";"";XLOOKUP($P288;FILTER(Dictionaries!$B:$B;Dictionaries!$A:$A="Энергия");FILTER(Dictionaries!$C:$C;Dictionaries!$A:$A="Энергия")));IF($U288="";"";AVERAGE(IF(OR($B288="Ноги";$B288="Верх");IFS(AND($U288&gt;=1900;$U288&lt;=2050);1;AND($U288&gt;=1850;$U288&lt;1900);0,7;AND($U288&gt;2050;$U288&lt;=2100);0,7;TRUE;0,2);IFS(AND($U288&gt;=1700;$U288&lt;=1850);1;AND($U288&gt;=1650;$U288&lt;1700);0,7;AND($U288&gt;1850;$U288&lt;=1900);0,7;TRUE;0,2));IF(OR($B288="Ноги";$B288="Верх");IFS(AND($V288&gt;=125;$V288&lt;=135);1;AND($V288&gt;=115;$V288&lt;125);0,7;AND($V288&gt;135;$V288&lt;=145);0,7;AND($V288&gt;=105;$V288&lt;115);0,4;AND($V288&gt;145;$V288&lt;=155);0,4;TRUE;0,2);IFS(AND($V288&gt;=120;$V288&lt;=130);1;AND($V288&gt;=110;$V288&lt;120);0,7;AND($V288&gt;130;$V288&lt;=140);0,7;AND($V288&gt;=100;$V288&lt;110);0,4;AND($V288&gt;140;$V288&lt;=150);0,4;TRUE;0,2));IFS(AND($W288&gt;=55;$W288&lt;=65);1;AND($W288&gt;=50;$W288&lt;55);0,7;AND($W288&gt;65;$W288&lt;=70);0,7;AND($W288&gt;=45;$W288&lt;50);0,4;AND($W288&gt;70;$W288&lt;=75);0,4;TRUE;0,2);IF(OR($B288="Ноги";$B288="Верх");IFS(AND($X288&gt;=180;$X288&lt;=210);1;AND($X288&gt;=160;$X288&lt;180);0,7;AND($X288&gt;210;$X288&lt;=230);0,7;AND($X288&gt;=140;$X288&lt;160);0,4;AND($X288&gt;230;$X288&lt;=250);0,4;TRUE;0,2);IFS(AND($X288&gt;=140;$X288&lt;=170);1;AND($X288&gt;=120;$X288&lt;140);0,7;AND($X288&gt;170;$X288&lt;=190);0,7;AND($X288&gt;=100;$X288&lt;120);0,4;AND($X288&gt;190;$X288&lt;=210);0,4;TRUE;0,2)))));1);""))</f>
        <v/>
      </c>
      <c r="Z288">
        <f>IF($A288="";"";TEXTJOIN(", ";TRUE;IF($B288="";"Тренировка";"");IF($C288="";"Кардио";"");IF($D288="";"Шаги";"");IF($E288="";"Английский";"");IF($F288="";"Код-режим";"");IF($G288="";"Код-тема";"");IF($H288="";"Чтение";"");IF($L288="";"Сон";"");IF($M288="";"Режим";"");IF($N288="";"Продуктивность";"");IF($O288="";"Настроение";"");IF($P288="";"Энергия";"");IF($U288="";"Еда";"")))</f>
        <v/>
      </c>
    </row>
    <row r="289">
      <c r="B289" t="inlineStr"/>
      <c r="C289" t="inlineStr"/>
      <c r="D289" t="inlineStr"/>
      <c r="E289" t="inlineStr"/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/>
      <c r="P289" t="inlineStr"/>
      <c r="Q289" t="inlineStr"/>
      <c r="R289" t="inlineStr"/>
      <c r="S289" t="inlineStr"/>
      <c r="T289" t="inlineStr"/>
      <c r="U289">
        <f>IF($A289="";"";IF(SUMIF(FoodLog!$A:$A;$A289;FoodLog!$I:$I)=0;"";SUMIF(FoodLog!$A:$A;$A289;FoodLog!$I:$I)))</f>
        <v/>
      </c>
      <c r="V289">
        <f>IF($A289="";"";IF(SUMIF(FoodLog!$A:$A;$A289;FoodLog!$F:$F)=0;"";SUMIF(FoodLog!$A:$A;$A289;FoodLog!$F:$F)))</f>
        <v/>
      </c>
      <c r="W289">
        <f>IF($A289="";"";IF(SUMIF(FoodLog!$A:$A;$A289;FoodLog!$G:$G)=0;"";SUMIF(FoodLog!$A:$A;$A289;FoodLog!$G:$G)))</f>
        <v/>
      </c>
      <c r="X289">
        <f>IF($A289="";"";IF(SUMIF(FoodLog!$A:$A;$A289;FoodLog!$H:$H)=0;"";SUMIF(FoodLog!$A:$A;$A289;FoodLog!$H:$H)))</f>
        <v/>
      </c>
      <c r="Y289">
        <f>IF($A289="";"";IFERROR(ROUND(100*AVERAGE(IF($B289="";"";XLOOKUP($B289;FILTER(Dictionaries!$B:$B;Dictionaries!$A:$A="Тренировка");FILTER(Dictionaries!$C:$C;Dictionaries!$A:$A="Тренировка")));IF($C289="";"";MIN($C289/40;1));IF($D289="";"";XLOOKUP($D289;FILTER(Dictionaries!$B:$B;Dictionaries!$A:$A="Шаги");FILTER(Dictionaries!$C:$C;Dictionaries!$A:$A="Шаги")));IF($E289="";"";MIN($E289/120;1));IF(OR($F289&lt;&gt;"";$G289&lt;&gt;"");1;"");IF($H289="";"";MIN($H289/100;1));IF($L289="";"";XLOOKUP($L289;FILTER(Dictionaries!$B:$B;Dictionaries!$A:$A="Сон_часы");FILTER(Dictionaries!$C:$C;Dictionaries!$A:$A="Сон_часы")));IF($M289="";"";XLOOKUP($M289;FILTER(Dictionaries!$B:$B;Dictionaries!$A:$A="Режим");FILTER(Dictionaries!$C:$C;Dictionaries!$A:$A="Режим")));IF($N289="";"";MIN($N289/100;1));IF($O289="";"";XLOOKUP($O289;FILTER(Dictionaries!$B:$B;Dictionaries!$A:$A="Настроение");FILTER(Dictionaries!$C:$C;Dictionaries!$A:$A="Настроение")));IF($P289="";"";XLOOKUP($P289;FILTER(Dictionaries!$B:$B;Dictionaries!$A:$A="Энергия");FILTER(Dictionaries!$C:$C;Dictionaries!$A:$A="Энергия")));IF($U289="";"";AVERAGE(IF(OR($B289="Ноги";$B289="Верх");IFS(AND($U289&gt;=1900;$U289&lt;=2050);1;AND($U289&gt;=1850;$U289&lt;1900);0,7;AND($U289&gt;2050;$U289&lt;=2100);0,7;TRUE;0,2);IFS(AND($U289&gt;=1700;$U289&lt;=1850);1;AND($U289&gt;=1650;$U289&lt;1700);0,7;AND($U289&gt;1850;$U289&lt;=1900);0,7;TRUE;0,2));IF(OR($B289="Ноги";$B289="Верх");IFS(AND($V289&gt;=125;$V289&lt;=135);1;AND($V289&gt;=115;$V289&lt;125);0,7;AND($V289&gt;135;$V289&lt;=145);0,7;AND($V289&gt;=105;$V289&lt;115);0,4;AND($V289&gt;145;$V289&lt;=155);0,4;TRUE;0,2);IFS(AND($V289&gt;=120;$V289&lt;=130);1;AND($V289&gt;=110;$V289&lt;120);0,7;AND($V289&gt;130;$V289&lt;=140);0,7;AND($V289&gt;=100;$V289&lt;110);0,4;AND($V289&gt;140;$V289&lt;=150);0,4;TRUE;0,2));IFS(AND($W289&gt;=55;$W289&lt;=65);1;AND($W289&gt;=50;$W289&lt;55);0,7;AND($W289&gt;65;$W289&lt;=70);0,7;AND($W289&gt;=45;$W289&lt;50);0,4;AND($W289&gt;70;$W289&lt;=75);0,4;TRUE;0,2);IF(OR($B289="Ноги";$B289="Верх");IFS(AND($X289&gt;=180;$X289&lt;=210);1;AND($X289&gt;=160;$X289&lt;180);0,7;AND($X289&gt;210;$X289&lt;=230);0,7;AND($X289&gt;=140;$X289&lt;160);0,4;AND($X289&gt;230;$X289&lt;=250);0,4;TRUE;0,2);IFS(AND($X289&gt;=140;$X289&lt;=170);1;AND($X289&gt;=120;$X289&lt;140);0,7;AND($X289&gt;170;$X289&lt;=190);0,7;AND($X289&gt;=100;$X289&lt;120);0,4;AND($X289&gt;190;$X289&lt;=210);0,4;TRUE;0,2)))));1);""))</f>
        <v/>
      </c>
      <c r="Z289">
        <f>IF($A289="";"";TEXTJOIN(", ";TRUE;IF($B289="";"Тренировка";"");IF($C289="";"Кардио";"");IF($D289="";"Шаги";"");IF($E289="";"Английский";"");IF($F289="";"Код-режим";"");IF($G289="";"Код-тема";"");IF($H289="";"Чтение";"");IF($L289="";"Сон";"");IF($M289="";"Режим";"");IF($N289="";"Продуктивность";"");IF($O289="";"Настроение";"");IF($P289="";"Энергия";"");IF($U289="";"Еда";"")))</f>
        <v/>
      </c>
    </row>
    <row r="290">
      <c r="B290" t="inlineStr"/>
      <c r="C290" t="inlineStr"/>
      <c r="D290" t="inlineStr"/>
      <c r="E290" t="inlineStr"/>
      <c r="F290" t="inlineStr"/>
      <c r="G290" t="inlineStr"/>
      <c r="H290" t="inlineStr"/>
      <c r="I290" t="inlineStr"/>
      <c r="J290" t="inlineStr"/>
      <c r="K290" t="inlineStr"/>
      <c r="L290" t="inlineStr"/>
      <c r="M290" t="inlineStr"/>
      <c r="N290" t="inlineStr"/>
      <c r="O290" t="inlineStr"/>
      <c r="P290" t="inlineStr"/>
      <c r="Q290" t="inlineStr"/>
      <c r="R290" t="inlineStr"/>
      <c r="S290" t="inlineStr"/>
      <c r="T290" t="inlineStr"/>
      <c r="U290">
        <f>IF($A290="";"";IF(SUMIF(FoodLog!$A:$A;$A290;FoodLog!$I:$I)=0;"";SUMIF(FoodLog!$A:$A;$A290;FoodLog!$I:$I)))</f>
        <v/>
      </c>
      <c r="V290">
        <f>IF($A290="";"";IF(SUMIF(FoodLog!$A:$A;$A290;FoodLog!$F:$F)=0;"";SUMIF(FoodLog!$A:$A;$A290;FoodLog!$F:$F)))</f>
        <v/>
      </c>
      <c r="W290">
        <f>IF($A290="";"";IF(SUMIF(FoodLog!$A:$A;$A290;FoodLog!$G:$G)=0;"";SUMIF(FoodLog!$A:$A;$A290;FoodLog!$G:$G)))</f>
        <v/>
      </c>
      <c r="X290">
        <f>IF($A290="";"";IF(SUMIF(FoodLog!$A:$A;$A290;FoodLog!$H:$H)=0;"";SUMIF(FoodLog!$A:$A;$A290;FoodLog!$H:$H)))</f>
        <v/>
      </c>
      <c r="Y290">
        <f>IF($A290="";"";IFERROR(ROUND(100*AVERAGE(IF($B290="";"";XLOOKUP($B290;FILTER(Dictionaries!$B:$B;Dictionaries!$A:$A="Тренировка");FILTER(Dictionaries!$C:$C;Dictionaries!$A:$A="Тренировка")));IF($C290="";"";MIN($C290/40;1));IF($D290="";"";XLOOKUP($D290;FILTER(Dictionaries!$B:$B;Dictionaries!$A:$A="Шаги");FILTER(Dictionaries!$C:$C;Dictionaries!$A:$A="Шаги")));IF($E290="";"";MIN($E290/120;1));IF(OR($F290&lt;&gt;"";$G290&lt;&gt;"");1;"");IF($H290="";"";MIN($H290/100;1));IF($L290="";"";XLOOKUP($L290;FILTER(Dictionaries!$B:$B;Dictionaries!$A:$A="Сон_часы");FILTER(Dictionaries!$C:$C;Dictionaries!$A:$A="Сон_часы")));IF($M290="";"";XLOOKUP($M290;FILTER(Dictionaries!$B:$B;Dictionaries!$A:$A="Режим");FILTER(Dictionaries!$C:$C;Dictionaries!$A:$A="Режим")));IF($N290="";"";MIN($N290/100;1));IF($O290="";"";XLOOKUP($O290;FILTER(Dictionaries!$B:$B;Dictionaries!$A:$A="Настроение");FILTER(Dictionaries!$C:$C;Dictionaries!$A:$A="Настроение")));IF($P290="";"";XLOOKUP($P290;FILTER(Dictionaries!$B:$B;Dictionaries!$A:$A="Энергия");FILTER(Dictionaries!$C:$C;Dictionaries!$A:$A="Энергия")));IF($U290="";"";AVERAGE(IF(OR($B290="Ноги";$B290="Верх");IFS(AND($U290&gt;=1900;$U290&lt;=2050);1;AND($U290&gt;=1850;$U290&lt;1900);0,7;AND($U290&gt;2050;$U290&lt;=2100);0,7;TRUE;0,2);IFS(AND($U290&gt;=1700;$U290&lt;=1850);1;AND($U290&gt;=1650;$U290&lt;1700);0,7;AND($U290&gt;1850;$U290&lt;=1900);0,7;TRUE;0,2));IF(OR($B290="Ноги";$B290="Верх");IFS(AND($V290&gt;=125;$V290&lt;=135);1;AND($V290&gt;=115;$V290&lt;125);0,7;AND($V290&gt;135;$V290&lt;=145);0,7;AND($V290&gt;=105;$V290&lt;115);0,4;AND($V290&gt;145;$V290&lt;=155);0,4;TRUE;0,2);IFS(AND($V290&gt;=120;$V290&lt;=130);1;AND($V290&gt;=110;$V290&lt;120);0,7;AND($V290&gt;130;$V290&lt;=140);0,7;AND($V290&gt;=100;$V290&lt;110);0,4;AND($V290&gt;140;$V290&lt;=150);0,4;TRUE;0,2));IFS(AND($W290&gt;=55;$W290&lt;=65);1;AND($W290&gt;=50;$W290&lt;55);0,7;AND($W290&gt;65;$W290&lt;=70);0,7;AND($W290&gt;=45;$W290&lt;50);0,4;AND($W290&gt;70;$W290&lt;=75);0,4;TRUE;0,2);IF(OR($B290="Ноги";$B290="Верх");IFS(AND($X290&gt;=180;$X290&lt;=210);1;AND($X290&gt;=160;$X290&lt;180);0,7;AND($X290&gt;210;$X290&lt;=230);0,7;AND($X290&gt;=140;$X290&lt;160);0,4;AND($X290&gt;230;$X290&lt;=250);0,4;TRUE;0,2);IFS(AND($X290&gt;=140;$X290&lt;=170);1;AND($X290&gt;=120;$X290&lt;140);0,7;AND($X290&gt;170;$X290&lt;=190);0,7;AND($X290&gt;=100;$X290&lt;120);0,4;AND($X290&gt;190;$X290&lt;=210);0,4;TRUE;0,2)))));1);""))</f>
        <v/>
      </c>
      <c r="Z290">
        <f>IF($A290="";"";TEXTJOIN(", ";TRUE;IF($B290="";"Тренировка";"");IF($C290="";"Кардио";"");IF($D290="";"Шаги";"");IF($E290="";"Английский";"");IF($F290="";"Код-режим";"");IF($G290="";"Код-тема";"");IF($H290="";"Чтение";"");IF($L290="";"Сон";"");IF($M290="";"Режим";"");IF($N290="";"Продуктивность";"");IF($O290="";"Настроение";"");IF($P290="";"Энергия";"");IF($U290="";"Еда";"")))</f>
        <v/>
      </c>
    </row>
    <row r="291">
      <c r="B291" t="inlineStr"/>
      <c r="C291" t="inlineStr"/>
      <c r="D291" t="inlineStr"/>
      <c r="E291" t="inlineStr"/>
      <c r="F291" t="inlineStr"/>
      <c r="G291" t="inlineStr"/>
      <c r="H291" t="inlineStr"/>
      <c r="I291" t="inlineStr"/>
      <c r="J291" t="inlineStr"/>
      <c r="K291" t="inlineStr"/>
      <c r="L291" t="inlineStr"/>
      <c r="M291" t="inlineStr"/>
      <c r="N291" t="inlineStr"/>
      <c r="O291" t="inlineStr"/>
      <c r="P291" t="inlineStr"/>
      <c r="Q291" t="inlineStr"/>
      <c r="R291" t="inlineStr"/>
      <c r="S291" t="inlineStr"/>
      <c r="T291" t="inlineStr"/>
      <c r="U291">
        <f>IF($A291="";"";IF(SUMIF(FoodLog!$A:$A;$A291;FoodLog!$I:$I)=0;"";SUMIF(FoodLog!$A:$A;$A291;FoodLog!$I:$I)))</f>
        <v/>
      </c>
      <c r="V291">
        <f>IF($A291="";"";IF(SUMIF(FoodLog!$A:$A;$A291;FoodLog!$F:$F)=0;"";SUMIF(FoodLog!$A:$A;$A291;FoodLog!$F:$F)))</f>
        <v/>
      </c>
      <c r="W291">
        <f>IF($A291="";"";IF(SUMIF(FoodLog!$A:$A;$A291;FoodLog!$G:$G)=0;"";SUMIF(FoodLog!$A:$A;$A291;FoodLog!$G:$G)))</f>
        <v/>
      </c>
      <c r="X291">
        <f>IF($A291="";"";IF(SUMIF(FoodLog!$A:$A;$A291;FoodLog!$H:$H)=0;"";SUMIF(FoodLog!$A:$A;$A291;FoodLog!$H:$H)))</f>
        <v/>
      </c>
      <c r="Y291">
        <f>IF($A291="";"";IFERROR(ROUND(100*AVERAGE(IF($B291="";"";XLOOKUP($B291;FILTER(Dictionaries!$B:$B;Dictionaries!$A:$A="Тренировка");FILTER(Dictionaries!$C:$C;Dictionaries!$A:$A="Тренировка")));IF($C291="";"";MIN($C291/40;1));IF($D291="";"";XLOOKUP($D291;FILTER(Dictionaries!$B:$B;Dictionaries!$A:$A="Шаги");FILTER(Dictionaries!$C:$C;Dictionaries!$A:$A="Шаги")));IF($E291="";"";MIN($E291/120;1));IF(OR($F291&lt;&gt;"";$G291&lt;&gt;"");1;"");IF($H291="";"";MIN($H291/100;1));IF($L291="";"";XLOOKUP($L291;FILTER(Dictionaries!$B:$B;Dictionaries!$A:$A="Сон_часы");FILTER(Dictionaries!$C:$C;Dictionaries!$A:$A="Сон_часы")));IF($M291="";"";XLOOKUP($M291;FILTER(Dictionaries!$B:$B;Dictionaries!$A:$A="Режим");FILTER(Dictionaries!$C:$C;Dictionaries!$A:$A="Режим")));IF($N291="";"";MIN($N291/100;1));IF($O291="";"";XLOOKUP($O291;FILTER(Dictionaries!$B:$B;Dictionaries!$A:$A="Настроение");FILTER(Dictionaries!$C:$C;Dictionaries!$A:$A="Настроение")));IF($P291="";"";XLOOKUP($P291;FILTER(Dictionaries!$B:$B;Dictionaries!$A:$A="Энергия");FILTER(Dictionaries!$C:$C;Dictionaries!$A:$A="Энергия")));IF($U291="";"";AVERAGE(IF(OR($B291="Ноги";$B291="Верх");IFS(AND($U291&gt;=1900;$U291&lt;=2050);1;AND($U291&gt;=1850;$U291&lt;1900);0,7;AND($U291&gt;2050;$U291&lt;=2100);0,7;TRUE;0,2);IFS(AND($U291&gt;=1700;$U291&lt;=1850);1;AND($U291&gt;=1650;$U291&lt;1700);0,7;AND($U291&gt;1850;$U291&lt;=1900);0,7;TRUE;0,2));IF(OR($B291="Ноги";$B291="Верх");IFS(AND($V291&gt;=125;$V291&lt;=135);1;AND($V291&gt;=115;$V291&lt;125);0,7;AND($V291&gt;135;$V291&lt;=145);0,7;AND($V291&gt;=105;$V291&lt;115);0,4;AND($V291&gt;145;$V291&lt;=155);0,4;TRUE;0,2);IFS(AND($V291&gt;=120;$V291&lt;=130);1;AND($V291&gt;=110;$V291&lt;120);0,7;AND($V291&gt;130;$V291&lt;=140);0,7;AND($V291&gt;=100;$V291&lt;110);0,4;AND($V291&gt;140;$V291&lt;=150);0,4;TRUE;0,2));IFS(AND($W291&gt;=55;$W291&lt;=65);1;AND($W291&gt;=50;$W291&lt;55);0,7;AND($W291&gt;65;$W291&lt;=70);0,7;AND($W291&gt;=45;$W291&lt;50);0,4;AND($W291&gt;70;$W291&lt;=75);0,4;TRUE;0,2);IF(OR($B291="Ноги";$B291="Верх");IFS(AND($X291&gt;=180;$X291&lt;=210);1;AND($X291&gt;=160;$X291&lt;180);0,7;AND($X291&gt;210;$X291&lt;=230);0,7;AND($X291&gt;=140;$X291&lt;160);0,4;AND($X291&gt;230;$X291&lt;=250);0,4;TRUE;0,2);IFS(AND($X291&gt;=140;$X291&lt;=170);1;AND($X291&gt;=120;$X291&lt;140);0,7;AND($X291&gt;170;$X291&lt;=190);0,7;AND($X291&gt;=100;$X291&lt;120);0,4;AND($X291&gt;190;$X291&lt;=210);0,4;TRUE;0,2)))));1);""))</f>
        <v/>
      </c>
      <c r="Z291">
        <f>IF($A291="";"";TEXTJOIN(", ";TRUE;IF($B291="";"Тренировка";"");IF($C291="";"Кардио";"");IF($D291="";"Шаги";"");IF($E291="";"Английский";"");IF($F291="";"Код-режим";"");IF($G291="";"Код-тема";"");IF($H291="";"Чтение";"");IF($L291="";"Сон";"");IF($M291="";"Режим";"");IF($N291="";"Продуктивность";"");IF($O291="";"Настроение";"");IF($P291="";"Энергия";"");IF($U291="";"Еда";"")))</f>
        <v/>
      </c>
    </row>
    <row r="292">
      <c r="B292" t="inlineStr"/>
      <c r="C292" t="inlineStr"/>
      <c r="D292" t="inlineStr"/>
      <c r="E292" t="inlineStr"/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/>
      <c r="P292" t="inlineStr"/>
      <c r="Q292" t="inlineStr"/>
      <c r="R292" t="inlineStr"/>
      <c r="S292" t="inlineStr"/>
      <c r="T292" t="inlineStr"/>
      <c r="U292">
        <f>IF($A292="";"";IF(SUMIF(FoodLog!$A:$A;$A292;FoodLog!$I:$I)=0;"";SUMIF(FoodLog!$A:$A;$A292;FoodLog!$I:$I)))</f>
        <v/>
      </c>
      <c r="V292">
        <f>IF($A292="";"";IF(SUMIF(FoodLog!$A:$A;$A292;FoodLog!$F:$F)=0;"";SUMIF(FoodLog!$A:$A;$A292;FoodLog!$F:$F)))</f>
        <v/>
      </c>
      <c r="W292">
        <f>IF($A292="";"";IF(SUMIF(FoodLog!$A:$A;$A292;FoodLog!$G:$G)=0;"";SUMIF(FoodLog!$A:$A;$A292;FoodLog!$G:$G)))</f>
        <v/>
      </c>
      <c r="X292">
        <f>IF($A292="";"";IF(SUMIF(FoodLog!$A:$A;$A292;FoodLog!$H:$H)=0;"";SUMIF(FoodLog!$A:$A;$A292;FoodLog!$H:$H)))</f>
        <v/>
      </c>
      <c r="Y292">
        <f>IF($A292="";"";IFERROR(ROUND(100*AVERAGE(IF($B292="";"";XLOOKUP($B292;FILTER(Dictionaries!$B:$B;Dictionaries!$A:$A="Тренировка");FILTER(Dictionaries!$C:$C;Dictionaries!$A:$A="Тренировка")));IF($C292="";"";MIN($C292/40;1));IF($D292="";"";XLOOKUP($D292;FILTER(Dictionaries!$B:$B;Dictionaries!$A:$A="Шаги");FILTER(Dictionaries!$C:$C;Dictionaries!$A:$A="Шаги")));IF($E292="";"";MIN($E292/120;1));IF(OR($F292&lt;&gt;"";$G292&lt;&gt;"");1;"");IF($H292="";"";MIN($H292/100;1));IF($L292="";"";XLOOKUP($L292;FILTER(Dictionaries!$B:$B;Dictionaries!$A:$A="Сон_часы");FILTER(Dictionaries!$C:$C;Dictionaries!$A:$A="Сон_часы")));IF($M292="";"";XLOOKUP($M292;FILTER(Dictionaries!$B:$B;Dictionaries!$A:$A="Режим");FILTER(Dictionaries!$C:$C;Dictionaries!$A:$A="Режим")));IF($N292="";"";MIN($N292/100;1));IF($O292="";"";XLOOKUP($O292;FILTER(Dictionaries!$B:$B;Dictionaries!$A:$A="Настроение");FILTER(Dictionaries!$C:$C;Dictionaries!$A:$A="Настроение")));IF($P292="";"";XLOOKUP($P292;FILTER(Dictionaries!$B:$B;Dictionaries!$A:$A="Энергия");FILTER(Dictionaries!$C:$C;Dictionaries!$A:$A="Энергия")));IF($U292="";"";AVERAGE(IF(OR($B292="Ноги";$B292="Верх");IFS(AND($U292&gt;=1900;$U292&lt;=2050);1;AND($U292&gt;=1850;$U292&lt;1900);0,7;AND($U292&gt;2050;$U292&lt;=2100);0,7;TRUE;0,2);IFS(AND($U292&gt;=1700;$U292&lt;=1850);1;AND($U292&gt;=1650;$U292&lt;1700);0,7;AND($U292&gt;1850;$U292&lt;=1900);0,7;TRUE;0,2));IF(OR($B292="Ноги";$B292="Верх");IFS(AND($V292&gt;=125;$V292&lt;=135);1;AND($V292&gt;=115;$V292&lt;125);0,7;AND($V292&gt;135;$V292&lt;=145);0,7;AND($V292&gt;=105;$V292&lt;115);0,4;AND($V292&gt;145;$V292&lt;=155);0,4;TRUE;0,2);IFS(AND($V292&gt;=120;$V292&lt;=130);1;AND($V292&gt;=110;$V292&lt;120);0,7;AND($V292&gt;130;$V292&lt;=140);0,7;AND($V292&gt;=100;$V292&lt;110);0,4;AND($V292&gt;140;$V292&lt;=150);0,4;TRUE;0,2));IFS(AND($W292&gt;=55;$W292&lt;=65);1;AND($W292&gt;=50;$W292&lt;55);0,7;AND($W292&gt;65;$W292&lt;=70);0,7;AND($W292&gt;=45;$W292&lt;50);0,4;AND($W292&gt;70;$W292&lt;=75);0,4;TRUE;0,2);IF(OR($B292="Ноги";$B292="Верх");IFS(AND($X292&gt;=180;$X292&lt;=210);1;AND($X292&gt;=160;$X292&lt;180);0,7;AND($X292&gt;210;$X292&lt;=230);0,7;AND($X292&gt;=140;$X292&lt;160);0,4;AND($X292&gt;230;$X292&lt;=250);0,4;TRUE;0,2);IFS(AND($X292&gt;=140;$X292&lt;=170);1;AND($X292&gt;=120;$X292&lt;140);0,7;AND($X292&gt;170;$X292&lt;=190);0,7;AND($X292&gt;=100;$X292&lt;120);0,4;AND($X292&gt;190;$X292&lt;=210);0,4;TRUE;0,2)))));1);""))</f>
        <v/>
      </c>
      <c r="Z292">
        <f>IF($A292="";"";TEXTJOIN(", ";TRUE;IF($B292="";"Тренировка";"");IF($C292="";"Кардио";"");IF($D292="";"Шаги";"");IF($E292="";"Английский";"");IF($F292="";"Код-режим";"");IF($G292="";"Код-тема";"");IF($H292="";"Чтение";"");IF($L292="";"Сон";"");IF($M292="";"Режим";"");IF($N292="";"Продуктивность";"");IF($O292="";"Настроение";"");IF($P292="";"Энергия";"");IF($U292="";"Еда";"")))</f>
        <v/>
      </c>
    </row>
    <row r="293">
      <c r="B293" t="inlineStr"/>
      <c r="C293" t="inlineStr"/>
      <c r="D293" t="inlineStr"/>
      <c r="E293" t="inlineStr"/>
      <c r="F293" t="inlineStr"/>
      <c r="G293" t="inlineStr"/>
      <c r="H293" t="inlineStr"/>
      <c r="I293" t="inlineStr"/>
      <c r="J293" t="inlineStr"/>
      <c r="K293" t="inlineStr"/>
      <c r="L293" t="inlineStr"/>
      <c r="M293" t="inlineStr"/>
      <c r="N293" t="inlineStr"/>
      <c r="O293" t="inlineStr"/>
      <c r="P293" t="inlineStr"/>
      <c r="Q293" t="inlineStr"/>
      <c r="R293" t="inlineStr"/>
      <c r="S293" t="inlineStr"/>
      <c r="T293" t="inlineStr"/>
      <c r="U293">
        <f>IF($A293="";"";IF(SUMIF(FoodLog!$A:$A;$A293;FoodLog!$I:$I)=0;"";SUMIF(FoodLog!$A:$A;$A293;FoodLog!$I:$I)))</f>
        <v/>
      </c>
      <c r="V293">
        <f>IF($A293="";"";IF(SUMIF(FoodLog!$A:$A;$A293;FoodLog!$F:$F)=0;"";SUMIF(FoodLog!$A:$A;$A293;FoodLog!$F:$F)))</f>
        <v/>
      </c>
      <c r="W293">
        <f>IF($A293="";"";IF(SUMIF(FoodLog!$A:$A;$A293;FoodLog!$G:$G)=0;"";SUMIF(FoodLog!$A:$A;$A293;FoodLog!$G:$G)))</f>
        <v/>
      </c>
      <c r="X293">
        <f>IF($A293="";"";IF(SUMIF(FoodLog!$A:$A;$A293;FoodLog!$H:$H)=0;"";SUMIF(FoodLog!$A:$A;$A293;FoodLog!$H:$H)))</f>
        <v/>
      </c>
      <c r="Y293">
        <f>IF($A293="";"";IFERROR(ROUND(100*AVERAGE(IF($B293="";"";XLOOKUP($B293;FILTER(Dictionaries!$B:$B;Dictionaries!$A:$A="Тренировка");FILTER(Dictionaries!$C:$C;Dictionaries!$A:$A="Тренировка")));IF($C293="";"";MIN($C293/40;1));IF($D293="";"";XLOOKUP($D293;FILTER(Dictionaries!$B:$B;Dictionaries!$A:$A="Шаги");FILTER(Dictionaries!$C:$C;Dictionaries!$A:$A="Шаги")));IF($E293="";"";MIN($E293/120;1));IF(OR($F293&lt;&gt;"";$G293&lt;&gt;"");1;"");IF($H293="";"";MIN($H293/100;1));IF($L293="";"";XLOOKUP($L293;FILTER(Dictionaries!$B:$B;Dictionaries!$A:$A="Сон_часы");FILTER(Dictionaries!$C:$C;Dictionaries!$A:$A="Сон_часы")));IF($M293="";"";XLOOKUP($M293;FILTER(Dictionaries!$B:$B;Dictionaries!$A:$A="Режим");FILTER(Dictionaries!$C:$C;Dictionaries!$A:$A="Режим")));IF($N293="";"";MIN($N293/100;1));IF($O293="";"";XLOOKUP($O293;FILTER(Dictionaries!$B:$B;Dictionaries!$A:$A="Настроение");FILTER(Dictionaries!$C:$C;Dictionaries!$A:$A="Настроение")));IF($P293="";"";XLOOKUP($P293;FILTER(Dictionaries!$B:$B;Dictionaries!$A:$A="Энергия");FILTER(Dictionaries!$C:$C;Dictionaries!$A:$A="Энергия")));IF($U293="";"";AVERAGE(IF(OR($B293="Ноги";$B293="Верх");IFS(AND($U293&gt;=1900;$U293&lt;=2050);1;AND($U293&gt;=1850;$U293&lt;1900);0,7;AND($U293&gt;2050;$U293&lt;=2100);0,7;TRUE;0,2);IFS(AND($U293&gt;=1700;$U293&lt;=1850);1;AND($U293&gt;=1650;$U293&lt;1700);0,7;AND($U293&gt;1850;$U293&lt;=1900);0,7;TRUE;0,2));IF(OR($B293="Ноги";$B293="Верх");IFS(AND($V293&gt;=125;$V293&lt;=135);1;AND($V293&gt;=115;$V293&lt;125);0,7;AND($V293&gt;135;$V293&lt;=145);0,7;AND($V293&gt;=105;$V293&lt;115);0,4;AND($V293&gt;145;$V293&lt;=155);0,4;TRUE;0,2);IFS(AND($V293&gt;=120;$V293&lt;=130);1;AND($V293&gt;=110;$V293&lt;120);0,7;AND($V293&gt;130;$V293&lt;=140);0,7;AND($V293&gt;=100;$V293&lt;110);0,4;AND($V293&gt;140;$V293&lt;=150);0,4;TRUE;0,2));IFS(AND($W293&gt;=55;$W293&lt;=65);1;AND($W293&gt;=50;$W293&lt;55);0,7;AND($W293&gt;65;$W293&lt;=70);0,7;AND($W293&gt;=45;$W293&lt;50);0,4;AND($W293&gt;70;$W293&lt;=75);0,4;TRUE;0,2);IF(OR($B293="Ноги";$B293="Верх");IFS(AND($X293&gt;=180;$X293&lt;=210);1;AND($X293&gt;=160;$X293&lt;180);0,7;AND($X293&gt;210;$X293&lt;=230);0,7;AND($X293&gt;=140;$X293&lt;160);0,4;AND($X293&gt;230;$X293&lt;=250);0,4;TRUE;0,2);IFS(AND($X293&gt;=140;$X293&lt;=170);1;AND($X293&gt;=120;$X293&lt;140);0,7;AND($X293&gt;170;$X293&lt;=190);0,7;AND($X293&gt;=100;$X293&lt;120);0,4;AND($X293&gt;190;$X293&lt;=210);0,4;TRUE;0,2)))));1);""))</f>
        <v/>
      </c>
      <c r="Z293">
        <f>IF($A293="";"";TEXTJOIN(", ";TRUE;IF($B293="";"Тренировка";"");IF($C293="";"Кардио";"");IF($D293="";"Шаги";"");IF($E293="";"Английский";"");IF($F293="";"Код-режим";"");IF($G293="";"Код-тема";"");IF($H293="";"Чтение";"");IF($L293="";"Сон";"");IF($M293="";"Режим";"");IF($N293="";"Продуктивность";"");IF($O293="";"Настроение";"");IF($P293="";"Энергия";"");IF($U293="";"Еда";"")))</f>
        <v/>
      </c>
    </row>
    <row r="294">
      <c r="B294" t="inlineStr"/>
      <c r="C294" t="inlineStr"/>
      <c r="D294" t="inlineStr"/>
      <c r="E294" t="inlineStr"/>
      <c r="F294" t="inlineStr"/>
      <c r="G294" t="inlineStr"/>
      <c r="H294" t="inlineStr"/>
      <c r="I294" t="inlineStr"/>
      <c r="J294" t="inlineStr"/>
      <c r="K294" t="inlineStr"/>
      <c r="L294" t="inlineStr"/>
      <c r="M294" t="inlineStr"/>
      <c r="N294" t="inlineStr"/>
      <c r="O294" t="inlineStr"/>
      <c r="P294" t="inlineStr"/>
      <c r="Q294" t="inlineStr"/>
      <c r="R294" t="inlineStr"/>
      <c r="S294" t="inlineStr"/>
      <c r="T294" t="inlineStr"/>
      <c r="U294">
        <f>IF($A294="";"";IF(SUMIF(FoodLog!$A:$A;$A294;FoodLog!$I:$I)=0;"";SUMIF(FoodLog!$A:$A;$A294;FoodLog!$I:$I)))</f>
        <v/>
      </c>
      <c r="V294">
        <f>IF($A294="";"";IF(SUMIF(FoodLog!$A:$A;$A294;FoodLog!$F:$F)=0;"";SUMIF(FoodLog!$A:$A;$A294;FoodLog!$F:$F)))</f>
        <v/>
      </c>
      <c r="W294">
        <f>IF($A294="";"";IF(SUMIF(FoodLog!$A:$A;$A294;FoodLog!$G:$G)=0;"";SUMIF(FoodLog!$A:$A;$A294;FoodLog!$G:$G)))</f>
        <v/>
      </c>
      <c r="X294">
        <f>IF($A294="";"";IF(SUMIF(FoodLog!$A:$A;$A294;FoodLog!$H:$H)=0;"";SUMIF(FoodLog!$A:$A;$A294;FoodLog!$H:$H)))</f>
        <v/>
      </c>
      <c r="Y294">
        <f>IF($A294="";"";IFERROR(ROUND(100*AVERAGE(IF($B294="";"";XLOOKUP($B294;FILTER(Dictionaries!$B:$B;Dictionaries!$A:$A="Тренировка");FILTER(Dictionaries!$C:$C;Dictionaries!$A:$A="Тренировка")));IF($C294="";"";MIN($C294/40;1));IF($D294="";"";XLOOKUP($D294;FILTER(Dictionaries!$B:$B;Dictionaries!$A:$A="Шаги");FILTER(Dictionaries!$C:$C;Dictionaries!$A:$A="Шаги")));IF($E294="";"";MIN($E294/120;1));IF(OR($F294&lt;&gt;"";$G294&lt;&gt;"");1;"");IF($H294="";"";MIN($H294/100;1));IF($L294="";"";XLOOKUP($L294;FILTER(Dictionaries!$B:$B;Dictionaries!$A:$A="Сон_часы");FILTER(Dictionaries!$C:$C;Dictionaries!$A:$A="Сон_часы")));IF($M294="";"";XLOOKUP($M294;FILTER(Dictionaries!$B:$B;Dictionaries!$A:$A="Режим");FILTER(Dictionaries!$C:$C;Dictionaries!$A:$A="Режим")));IF($N294="";"";MIN($N294/100;1));IF($O294="";"";XLOOKUP($O294;FILTER(Dictionaries!$B:$B;Dictionaries!$A:$A="Настроение");FILTER(Dictionaries!$C:$C;Dictionaries!$A:$A="Настроение")));IF($P294="";"";XLOOKUP($P294;FILTER(Dictionaries!$B:$B;Dictionaries!$A:$A="Энергия");FILTER(Dictionaries!$C:$C;Dictionaries!$A:$A="Энергия")));IF($U294="";"";AVERAGE(IF(OR($B294="Ноги";$B294="Верх");IFS(AND($U294&gt;=1900;$U294&lt;=2050);1;AND($U294&gt;=1850;$U294&lt;1900);0,7;AND($U294&gt;2050;$U294&lt;=2100);0,7;TRUE;0,2);IFS(AND($U294&gt;=1700;$U294&lt;=1850);1;AND($U294&gt;=1650;$U294&lt;1700);0,7;AND($U294&gt;1850;$U294&lt;=1900);0,7;TRUE;0,2));IF(OR($B294="Ноги";$B294="Верх");IFS(AND($V294&gt;=125;$V294&lt;=135);1;AND($V294&gt;=115;$V294&lt;125);0,7;AND($V294&gt;135;$V294&lt;=145);0,7;AND($V294&gt;=105;$V294&lt;115);0,4;AND($V294&gt;145;$V294&lt;=155);0,4;TRUE;0,2);IFS(AND($V294&gt;=120;$V294&lt;=130);1;AND($V294&gt;=110;$V294&lt;120);0,7;AND($V294&gt;130;$V294&lt;=140);0,7;AND($V294&gt;=100;$V294&lt;110);0,4;AND($V294&gt;140;$V294&lt;=150);0,4;TRUE;0,2));IFS(AND($W294&gt;=55;$W294&lt;=65);1;AND($W294&gt;=50;$W294&lt;55);0,7;AND($W294&gt;65;$W294&lt;=70);0,7;AND($W294&gt;=45;$W294&lt;50);0,4;AND($W294&gt;70;$W294&lt;=75);0,4;TRUE;0,2);IF(OR($B294="Ноги";$B294="Верх");IFS(AND($X294&gt;=180;$X294&lt;=210);1;AND($X294&gt;=160;$X294&lt;180);0,7;AND($X294&gt;210;$X294&lt;=230);0,7;AND($X294&gt;=140;$X294&lt;160);0,4;AND($X294&gt;230;$X294&lt;=250);0,4;TRUE;0,2);IFS(AND($X294&gt;=140;$X294&lt;=170);1;AND($X294&gt;=120;$X294&lt;140);0,7;AND($X294&gt;170;$X294&lt;=190);0,7;AND($X294&gt;=100;$X294&lt;120);0,4;AND($X294&gt;190;$X294&lt;=210);0,4;TRUE;0,2)))));1);""))</f>
        <v/>
      </c>
      <c r="Z294">
        <f>IF($A294="";"";TEXTJOIN(", ";TRUE;IF($B294="";"Тренировка";"");IF($C294="";"Кардио";"");IF($D294="";"Шаги";"");IF($E294="";"Английский";"");IF($F294="";"Код-режим";"");IF($G294="";"Код-тема";"");IF($H294="";"Чтение";"");IF($L294="";"Сон";"");IF($M294="";"Режим";"");IF($N294="";"Продуктивность";"");IF($O294="";"Настроение";"");IF($P294="";"Энергия";"");IF($U294="";"Еда";"")))</f>
        <v/>
      </c>
    </row>
    <row r="295">
      <c r="B295" t="inlineStr"/>
      <c r="C295" t="inlineStr"/>
      <c r="D295" t="inlineStr"/>
      <c r="E295" t="inlineStr"/>
      <c r="F295" t="inlineStr"/>
      <c r="G295" t="inlineStr"/>
      <c r="H295" t="inlineStr"/>
      <c r="I295" t="inlineStr"/>
      <c r="J295" t="inlineStr"/>
      <c r="K295" t="inlineStr"/>
      <c r="L295" t="inlineStr"/>
      <c r="M295" t="inlineStr"/>
      <c r="N295" t="inlineStr"/>
      <c r="O295" t="inlineStr"/>
      <c r="P295" t="inlineStr"/>
      <c r="Q295" t="inlineStr"/>
      <c r="R295" t="inlineStr"/>
      <c r="S295" t="inlineStr"/>
      <c r="T295" t="inlineStr"/>
      <c r="U295">
        <f>IF($A295="";"";IF(SUMIF(FoodLog!$A:$A;$A295;FoodLog!$I:$I)=0;"";SUMIF(FoodLog!$A:$A;$A295;FoodLog!$I:$I)))</f>
        <v/>
      </c>
      <c r="V295">
        <f>IF($A295="";"";IF(SUMIF(FoodLog!$A:$A;$A295;FoodLog!$F:$F)=0;"";SUMIF(FoodLog!$A:$A;$A295;FoodLog!$F:$F)))</f>
        <v/>
      </c>
      <c r="W295">
        <f>IF($A295="";"";IF(SUMIF(FoodLog!$A:$A;$A295;FoodLog!$G:$G)=0;"";SUMIF(FoodLog!$A:$A;$A295;FoodLog!$G:$G)))</f>
        <v/>
      </c>
      <c r="X295">
        <f>IF($A295="";"";IF(SUMIF(FoodLog!$A:$A;$A295;FoodLog!$H:$H)=0;"";SUMIF(FoodLog!$A:$A;$A295;FoodLog!$H:$H)))</f>
        <v/>
      </c>
      <c r="Y295">
        <f>IF($A295="";"";IFERROR(ROUND(100*AVERAGE(IF($B295="";"";XLOOKUP($B295;FILTER(Dictionaries!$B:$B;Dictionaries!$A:$A="Тренировка");FILTER(Dictionaries!$C:$C;Dictionaries!$A:$A="Тренировка")));IF($C295="";"";MIN($C295/40;1));IF($D295="";"";XLOOKUP($D295;FILTER(Dictionaries!$B:$B;Dictionaries!$A:$A="Шаги");FILTER(Dictionaries!$C:$C;Dictionaries!$A:$A="Шаги")));IF($E295="";"";MIN($E295/120;1));IF(OR($F295&lt;&gt;"";$G295&lt;&gt;"");1;"");IF($H295="";"";MIN($H295/100;1));IF($L295="";"";XLOOKUP($L295;FILTER(Dictionaries!$B:$B;Dictionaries!$A:$A="Сон_часы");FILTER(Dictionaries!$C:$C;Dictionaries!$A:$A="Сон_часы")));IF($M295="";"";XLOOKUP($M295;FILTER(Dictionaries!$B:$B;Dictionaries!$A:$A="Режим");FILTER(Dictionaries!$C:$C;Dictionaries!$A:$A="Режим")));IF($N295="";"";MIN($N295/100;1));IF($O295="";"";XLOOKUP($O295;FILTER(Dictionaries!$B:$B;Dictionaries!$A:$A="Настроение");FILTER(Dictionaries!$C:$C;Dictionaries!$A:$A="Настроение")));IF($P295="";"";XLOOKUP($P295;FILTER(Dictionaries!$B:$B;Dictionaries!$A:$A="Энергия");FILTER(Dictionaries!$C:$C;Dictionaries!$A:$A="Энергия")));IF($U295="";"";AVERAGE(IF(OR($B295="Ноги";$B295="Верх");IFS(AND($U295&gt;=1900;$U295&lt;=2050);1;AND($U295&gt;=1850;$U295&lt;1900);0,7;AND($U295&gt;2050;$U295&lt;=2100);0,7;TRUE;0,2);IFS(AND($U295&gt;=1700;$U295&lt;=1850);1;AND($U295&gt;=1650;$U295&lt;1700);0,7;AND($U295&gt;1850;$U295&lt;=1900);0,7;TRUE;0,2));IF(OR($B295="Ноги";$B295="Верх");IFS(AND($V295&gt;=125;$V295&lt;=135);1;AND($V295&gt;=115;$V295&lt;125);0,7;AND($V295&gt;135;$V295&lt;=145);0,7;AND($V295&gt;=105;$V295&lt;115);0,4;AND($V295&gt;145;$V295&lt;=155);0,4;TRUE;0,2);IFS(AND($V295&gt;=120;$V295&lt;=130);1;AND($V295&gt;=110;$V295&lt;120);0,7;AND($V295&gt;130;$V295&lt;=140);0,7;AND($V295&gt;=100;$V295&lt;110);0,4;AND($V295&gt;140;$V295&lt;=150);0,4;TRUE;0,2));IFS(AND($W295&gt;=55;$W295&lt;=65);1;AND($W295&gt;=50;$W295&lt;55);0,7;AND($W295&gt;65;$W295&lt;=70);0,7;AND($W295&gt;=45;$W295&lt;50);0,4;AND($W295&gt;70;$W295&lt;=75);0,4;TRUE;0,2);IF(OR($B295="Ноги";$B295="Верх");IFS(AND($X295&gt;=180;$X295&lt;=210);1;AND($X295&gt;=160;$X295&lt;180);0,7;AND($X295&gt;210;$X295&lt;=230);0,7;AND($X295&gt;=140;$X295&lt;160);0,4;AND($X295&gt;230;$X295&lt;=250);0,4;TRUE;0,2);IFS(AND($X295&gt;=140;$X295&lt;=170);1;AND($X295&gt;=120;$X295&lt;140);0,7;AND($X295&gt;170;$X295&lt;=190);0,7;AND($X295&gt;=100;$X295&lt;120);0,4;AND($X295&gt;190;$X295&lt;=210);0,4;TRUE;0,2)))));1);""))</f>
        <v/>
      </c>
      <c r="Z295">
        <f>IF($A295="";"";TEXTJOIN(", ";TRUE;IF($B295="";"Тренировка";"");IF($C295="";"Кардио";"");IF($D295="";"Шаги";"");IF($E295="";"Английский";"");IF($F295="";"Код-режим";"");IF($G295="";"Код-тема";"");IF($H295="";"Чтение";"");IF($L295="";"Сон";"");IF($M295="";"Режим";"");IF($N295="";"Продуктивность";"");IF($O295="";"Настроение";"");IF($P295="";"Энергия";"");IF($U295="";"Еда";"")))</f>
        <v/>
      </c>
    </row>
    <row r="296">
      <c r="B296" t="inlineStr"/>
      <c r="C296" t="inlineStr"/>
      <c r="D296" t="inlineStr"/>
      <c r="E296" t="inlineStr"/>
      <c r="F296" t="inlineStr"/>
      <c r="G296" t="inlineStr"/>
      <c r="H296" t="inlineStr"/>
      <c r="I296" t="inlineStr"/>
      <c r="J296" t="inlineStr"/>
      <c r="K296" t="inlineStr"/>
      <c r="L296" t="inlineStr"/>
      <c r="M296" t="inlineStr"/>
      <c r="N296" t="inlineStr"/>
      <c r="O296" t="inlineStr"/>
      <c r="P296" t="inlineStr"/>
      <c r="Q296" t="inlineStr"/>
      <c r="R296" t="inlineStr"/>
      <c r="S296" t="inlineStr"/>
      <c r="T296" t="inlineStr"/>
      <c r="U296">
        <f>IF($A296="";"";IF(SUMIF(FoodLog!$A:$A;$A296;FoodLog!$I:$I)=0;"";SUMIF(FoodLog!$A:$A;$A296;FoodLog!$I:$I)))</f>
        <v/>
      </c>
      <c r="V296">
        <f>IF($A296="";"";IF(SUMIF(FoodLog!$A:$A;$A296;FoodLog!$F:$F)=0;"";SUMIF(FoodLog!$A:$A;$A296;FoodLog!$F:$F)))</f>
        <v/>
      </c>
      <c r="W296">
        <f>IF($A296="";"";IF(SUMIF(FoodLog!$A:$A;$A296;FoodLog!$G:$G)=0;"";SUMIF(FoodLog!$A:$A;$A296;FoodLog!$G:$G)))</f>
        <v/>
      </c>
      <c r="X296">
        <f>IF($A296="";"";IF(SUMIF(FoodLog!$A:$A;$A296;FoodLog!$H:$H)=0;"";SUMIF(FoodLog!$A:$A;$A296;FoodLog!$H:$H)))</f>
        <v/>
      </c>
      <c r="Y296">
        <f>IF($A296="";"";IFERROR(ROUND(100*AVERAGE(IF($B296="";"";XLOOKUP($B296;FILTER(Dictionaries!$B:$B;Dictionaries!$A:$A="Тренировка");FILTER(Dictionaries!$C:$C;Dictionaries!$A:$A="Тренировка")));IF($C296="";"";MIN($C296/40;1));IF($D296="";"";XLOOKUP($D296;FILTER(Dictionaries!$B:$B;Dictionaries!$A:$A="Шаги");FILTER(Dictionaries!$C:$C;Dictionaries!$A:$A="Шаги")));IF($E296="";"";MIN($E296/120;1));IF(OR($F296&lt;&gt;"";$G296&lt;&gt;"");1;"");IF($H296="";"";MIN($H296/100;1));IF($L296="";"";XLOOKUP($L296;FILTER(Dictionaries!$B:$B;Dictionaries!$A:$A="Сон_часы");FILTER(Dictionaries!$C:$C;Dictionaries!$A:$A="Сон_часы")));IF($M296="";"";XLOOKUP($M296;FILTER(Dictionaries!$B:$B;Dictionaries!$A:$A="Режим");FILTER(Dictionaries!$C:$C;Dictionaries!$A:$A="Режим")));IF($N296="";"";MIN($N296/100;1));IF($O296="";"";XLOOKUP($O296;FILTER(Dictionaries!$B:$B;Dictionaries!$A:$A="Настроение");FILTER(Dictionaries!$C:$C;Dictionaries!$A:$A="Настроение")));IF($P296="";"";XLOOKUP($P296;FILTER(Dictionaries!$B:$B;Dictionaries!$A:$A="Энергия");FILTER(Dictionaries!$C:$C;Dictionaries!$A:$A="Энергия")));IF($U296="";"";AVERAGE(IF(OR($B296="Ноги";$B296="Верх");IFS(AND($U296&gt;=1900;$U296&lt;=2050);1;AND($U296&gt;=1850;$U296&lt;1900);0,7;AND($U296&gt;2050;$U296&lt;=2100);0,7;TRUE;0,2);IFS(AND($U296&gt;=1700;$U296&lt;=1850);1;AND($U296&gt;=1650;$U296&lt;1700);0,7;AND($U296&gt;1850;$U296&lt;=1900);0,7;TRUE;0,2));IF(OR($B296="Ноги";$B296="Верх");IFS(AND($V296&gt;=125;$V296&lt;=135);1;AND($V296&gt;=115;$V296&lt;125);0,7;AND($V296&gt;135;$V296&lt;=145);0,7;AND($V296&gt;=105;$V296&lt;115);0,4;AND($V296&gt;145;$V296&lt;=155);0,4;TRUE;0,2);IFS(AND($V296&gt;=120;$V296&lt;=130);1;AND($V296&gt;=110;$V296&lt;120);0,7;AND($V296&gt;130;$V296&lt;=140);0,7;AND($V296&gt;=100;$V296&lt;110);0,4;AND($V296&gt;140;$V296&lt;=150);0,4;TRUE;0,2));IFS(AND($W296&gt;=55;$W296&lt;=65);1;AND($W296&gt;=50;$W296&lt;55);0,7;AND($W296&gt;65;$W296&lt;=70);0,7;AND($W296&gt;=45;$W296&lt;50);0,4;AND($W296&gt;70;$W296&lt;=75);0,4;TRUE;0,2);IF(OR($B296="Ноги";$B296="Верх");IFS(AND($X296&gt;=180;$X296&lt;=210);1;AND($X296&gt;=160;$X296&lt;180);0,7;AND($X296&gt;210;$X296&lt;=230);0,7;AND($X296&gt;=140;$X296&lt;160);0,4;AND($X296&gt;230;$X296&lt;=250);0,4;TRUE;0,2);IFS(AND($X296&gt;=140;$X296&lt;=170);1;AND($X296&gt;=120;$X296&lt;140);0,7;AND($X296&gt;170;$X296&lt;=190);0,7;AND($X296&gt;=100;$X296&lt;120);0,4;AND($X296&gt;190;$X296&lt;=210);0,4;TRUE;0,2)))));1);""))</f>
        <v/>
      </c>
      <c r="Z296">
        <f>IF($A296="";"";TEXTJOIN(", ";TRUE;IF($B296="";"Тренировка";"");IF($C296="";"Кардио";"");IF($D296="";"Шаги";"");IF($E296="";"Английский";"");IF($F296="";"Код-режим";"");IF($G296="";"Код-тема";"");IF($H296="";"Чтение";"");IF($L296="";"Сон";"");IF($M296="";"Режим";"");IF($N296="";"Продуктивность";"");IF($O296="";"Настроение";"");IF($P296="";"Энергия";"");IF($U296="";"Еда";"")))</f>
        <v/>
      </c>
    </row>
    <row r="297">
      <c r="B297" t="inlineStr"/>
      <c r="C297" t="inlineStr"/>
      <c r="D297" t="inlineStr"/>
      <c r="E297" t="inlineStr"/>
      <c r="F297" t="inlineStr"/>
      <c r="G297" t="inlineStr"/>
      <c r="H297" t="inlineStr"/>
      <c r="I297" t="inlineStr"/>
      <c r="J297" t="inlineStr"/>
      <c r="K297" t="inlineStr"/>
      <c r="L297" t="inlineStr"/>
      <c r="M297" t="inlineStr"/>
      <c r="N297" t="inlineStr"/>
      <c r="O297" t="inlineStr"/>
      <c r="P297" t="inlineStr"/>
      <c r="Q297" t="inlineStr"/>
      <c r="R297" t="inlineStr"/>
      <c r="S297" t="inlineStr"/>
      <c r="T297" t="inlineStr"/>
      <c r="U297">
        <f>IF($A297="";"";IF(SUMIF(FoodLog!$A:$A;$A297;FoodLog!$I:$I)=0;"";SUMIF(FoodLog!$A:$A;$A297;FoodLog!$I:$I)))</f>
        <v/>
      </c>
      <c r="V297">
        <f>IF($A297="";"";IF(SUMIF(FoodLog!$A:$A;$A297;FoodLog!$F:$F)=0;"";SUMIF(FoodLog!$A:$A;$A297;FoodLog!$F:$F)))</f>
        <v/>
      </c>
      <c r="W297">
        <f>IF($A297="";"";IF(SUMIF(FoodLog!$A:$A;$A297;FoodLog!$G:$G)=0;"";SUMIF(FoodLog!$A:$A;$A297;FoodLog!$G:$G)))</f>
        <v/>
      </c>
      <c r="X297">
        <f>IF($A297="";"";IF(SUMIF(FoodLog!$A:$A;$A297;FoodLog!$H:$H)=0;"";SUMIF(FoodLog!$A:$A;$A297;FoodLog!$H:$H)))</f>
        <v/>
      </c>
      <c r="Y297">
        <f>IF($A297="";"";IFERROR(ROUND(100*AVERAGE(IF($B297="";"";XLOOKUP($B297;FILTER(Dictionaries!$B:$B;Dictionaries!$A:$A="Тренировка");FILTER(Dictionaries!$C:$C;Dictionaries!$A:$A="Тренировка")));IF($C297="";"";MIN($C297/40;1));IF($D297="";"";XLOOKUP($D297;FILTER(Dictionaries!$B:$B;Dictionaries!$A:$A="Шаги");FILTER(Dictionaries!$C:$C;Dictionaries!$A:$A="Шаги")));IF($E297="";"";MIN($E297/120;1));IF(OR($F297&lt;&gt;"";$G297&lt;&gt;"");1;"");IF($H297="";"";MIN($H297/100;1));IF($L297="";"";XLOOKUP($L297;FILTER(Dictionaries!$B:$B;Dictionaries!$A:$A="Сон_часы");FILTER(Dictionaries!$C:$C;Dictionaries!$A:$A="Сон_часы")));IF($M297="";"";XLOOKUP($M297;FILTER(Dictionaries!$B:$B;Dictionaries!$A:$A="Режим");FILTER(Dictionaries!$C:$C;Dictionaries!$A:$A="Режим")));IF($N297="";"";MIN($N297/100;1));IF($O297="";"";XLOOKUP($O297;FILTER(Dictionaries!$B:$B;Dictionaries!$A:$A="Настроение");FILTER(Dictionaries!$C:$C;Dictionaries!$A:$A="Настроение")));IF($P297="";"";XLOOKUP($P297;FILTER(Dictionaries!$B:$B;Dictionaries!$A:$A="Энергия");FILTER(Dictionaries!$C:$C;Dictionaries!$A:$A="Энергия")));IF($U297="";"";AVERAGE(IF(OR($B297="Ноги";$B297="Верх");IFS(AND($U297&gt;=1900;$U297&lt;=2050);1;AND($U297&gt;=1850;$U297&lt;1900);0,7;AND($U297&gt;2050;$U297&lt;=2100);0,7;TRUE;0,2);IFS(AND($U297&gt;=1700;$U297&lt;=1850);1;AND($U297&gt;=1650;$U297&lt;1700);0,7;AND($U297&gt;1850;$U297&lt;=1900);0,7;TRUE;0,2));IF(OR($B297="Ноги";$B297="Верх");IFS(AND($V297&gt;=125;$V297&lt;=135);1;AND($V297&gt;=115;$V297&lt;125);0,7;AND($V297&gt;135;$V297&lt;=145);0,7;AND($V297&gt;=105;$V297&lt;115);0,4;AND($V297&gt;145;$V297&lt;=155);0,4;TRUE;0,2);IFS(AND($V297&gt;=120;$V297&lt;=130);1;AND($V297&gt;=110;$V297&lt;120);0,7;AND($V297&gt;130;$V297&lt;=140);0,7;AND($V297&gt;=100;$V297&lt;110);0,4;AND($V297&gt;140;$V297&lt;=150);0,4;TRUE;0,2));IFS(AND($W297&gt;=55;$W297&lt;=65);1;AND($W297&gt;=50;$W297&lt;55);0,7;AND($W297&gt;65;$W297&lt;=70);0,7;AND($W297&gt;=45;$W297&lt;50);0,4;AND($W297&gt;70;$W297&lt;=75);0,4;TRUE;0,2);IF(OR($B297="Ноги";$B297="Верх");IFS(AND($X297&gt;=180;$X297&lt;=210);1;AND($X297&gt;=160;$X297&lt;180);0,7;AND($X297&gt;210;$X297&lt;=230);0,7;AND($X297&gt;=140;$X297&lt;160);0,4;AND($X297&gt;230;$X297&lt;=250);0,4;TRUE;0,2);IFS(AND($X297&gt;=140;$X297&lt;=170);1;AND($X297&gt;=120;$X297&lt;140);0,7;AND($X297&gt;170;$X297&lt;=190);0,7;AND($X297&gt;=100;$X297&lt;120);0,4;AND($X297&gt;190;$X297&lt;=210);0,4;TRUE;0,2)))));1);""))</f>
        <v/>
      </c>
      <c r="Z297">
        <f>IF($A297="";"";TEXTJOIN(", ";TRUE;IF($B297="";"Тренировка";"");IF($C297="";"Кардио";"");IF($D297="";"Шаги";"");IF($E297="";"Английский";"");IF($F297="";"Код-режим";"");IF($G297="";"Код-тема";"");IF($H297="";"Чтение";"");IF($L297="";"Сон";"");IF($M297="";"Режим";"");IF($N297="";"Продуктивность";"");IF($O297="";"Настроение";"");IF($P297="";"Энергия";"");IF($U297="";"Еда";"")))</f>
        <v/>
      </c>
    </row>
    <row r="298">
      <c r="B298" t="inlineStr"/>
      <c r="C298" t="inlineStr"/>
      <c r="D298" t="inlineStr"/>
      <c r="E298" t="inlineStr"/>
      <c r="F298" t="inlineStr"/>
      <c r="G298" t="inlineStr"/>
      <c r="H298" t="inlineStr"/>
      <c r="I298" t="inlineStr"/>
      <c r="J298" t="inlineStr"/>
      <c r="K298" t="inlineStr"/>
      <c r="L298" t="inlineStr"/>
      <c r="M298" t="inlineStr"/>
      <c r="N298" t="inlineStr"/>
      <c r="O298" t="inlineStr"/>
      <c r="P298" t="inlineStr"/>
      <c r="Q298" t="inlineStr"/>
      <c r="R298" t="inlineStr"/>
      <c r="S298" t="inlineStr"/>
      <c r="T298" t="inlineStr"/>
      <c r="U298">
        <f>IF($A298="";"";IF(SUMIF(FoodLog!$A:$A;$A298;FoodLog!$I:$I)=0;"";SUMIF(FoodLog!$A:$A;$A298;FoodLog!$I:$I)))</f>
        <v/>
      </c>
      <c r="V298">
        <f>IF($A298="";"";IF(SUMIF(FoodLog!$A:$A;$A298;FoodLog!$F:$F)=0;"";SUMIF(FoodLog!$A:$A;$A298;FoodLog!$F:$F)))</f>
        <v/>
      </c>
      <c r="W298">
        <f>IF($A298="";"";IF(SUMIF(FoodLog!$A:$A;$A298;FoodLog!$G:$G)=0;"";SUMIF(FoodLog!$A:$A;$A298;FoodLog!$G:$G)))</f>
        <v/>
      </c>
      <c r="X298">
        <f>IF($A298="";"";IF(SUMIF(FoodLog!$A:$A;$A298;FoodLog!$H:$H)=0;"";SUMIF(FoodLog!$A:$A;$A298;FoodLog!$H:$H)))</f>
        <v/>
      </c>
      <c r="Y298">
        <f>IF($A298="";"";IFERROR(ROUND(100*AVERAGE(IF($B298="";"";XLOOKUP($B298;FILTER(Dictionaries!$B:$B;Dictionaries!$A:$A="Тренировка");FILTER(Dictionaries!$C:$C;Dictionaries!$A:$A="Тренировка")));IF($C298="";"";MIN($C298/40;1));IF($D298="";"";XLOOKUP($D298;FILTER(Dictionaries!$B:$B;Dictionaries!$A:$A="Шаги");FILTER(Dictionaries!$C:$C;Dictionaries!$A:$A="Шаги")));IF($E298="";"";MIN($E298/120;1));IF(OR($F298&lt;&gt;"";$G298&lt;&gt;"");1;"");IF($H298="";"";MIN($H298/100;1));IF($L298="";"";XLOOKUP($L298;FILTER(Dictionaries!$B:$B;Dictionaries!$A:$A="Сон_часы");FILTER(Dictionaries!$C:$C;Dictionaries!$A:$A="Сон_часы")));IF($M298="";"";XLOOKUP($M298;FILTER(Dictionaries!$B:$B;Dictionaries!$A:$A="Режим");FILTER(Dictionaries!$C:$C;Dictionaries!$A:$A="Режим")));IF($N298="";"";MIN($N298/100;1));IF($O298="";"";XLOOKUP($O298;FILTER(Dictionaries!$B:$B;Dictionaries!$A:$A="Настроение");FILTER(Dictionaries!$C:$C;Dictionaries!$A:$A="Настроение")));IF($P298="";"";XLOOKUP($P298;FILTER(Dictionaries!$B:$B;Dictionaries!$A:$A="Энергия");FILTER(Dictionaries!$C:$C;Dictionaries!$A:$A="Энергия")));IF($U298="";"";AVERAGE(IF(OR($B298="Ноги";$B298="Верх");IFS(AND($U298&gt;=1900;$U298&lt;=2050);1;AND($U298&gt;=1850;$U298&lt;1900);0,7;AND($U298&gt;2050;$U298&lt;=2100);0,7;TRUE;0,2);IFS(AND($U298&gt;=1700;$U298&lt;=1850);1;AND($U298&gt;=1650;$U298&lt;1700);0,7;AND($U298&gt;1850;$U298&lt;=1900);0,7;TRUE;0,2));IF(OR($B298="Ноги";$B298="Верх");IFS(AND($V298&gt;=125;$V298&lt;=135);1;AND($V298&gt;=115;$V298&lt;125);0,7;AND($V298&gt;135;$V298&lt;=145);0,7;AND($V298&gt;=105;$V298&lt;115);0,4;AND($V298&gt;145;$V298&lt;=155);0,4;TRUE;0,2);IFS(AND($V298&gt;=120;$V298&lt;=130);1;AND($V298&gt;=110;$V298&lt;120);0,7;AND($V298&gt;130;$V298&lt;=140);0,7;AND($V298&gt;=100;$V298&lt;110);0,4;AND($V298&gt;140;$V298&lt;=150);0,4;TRUE;0,2));IFS(AND($W298&gt;=55;$W298&lt;=65);1;AND($W298&gt;=50;$W298&lt;55);0,7;AND($W298&gt;65;$W298&lt;=70);0,7;AND($W298&gt;=45;$W298&lt;50);0,4;AND($W298&gt;70;$W298&lt;=75);0,4;TRUE;0,2);IF(OR($B298="Ноги";$B298="Верх");IFS(AND($X298&gt;=180;$X298&lt;=210);1;AND($X298&gt;=160;$X298&lt;180);0,7;AND($X298&gt;210;$X298&lt;=230);0,7;AND($X298&gt;=140;$X298&lt;160);0,4;AND($X298&gt;230;$X298&lt;=250);0,4;TRUE;0,2);IFS(AND($X298&gt;=140;$X298&lt;=170);1;AND($X298&gt;=120;$X298&lt;140);0,7;AND($X298&gt;170;$X298&lt;=190);0,7;AND($X298&gt;=100;$X298&lt;120);0,4;AND($X298&gt;190;$X298&lt;=210);0,4;TRUE;0,2)))));1);""))</f>
        <v/>
      </c>
      <c r="Z298">
        <f>IF($A298="";"";TEXTJOIN(", ";TRUE;IF($B298="";"Тренировка";"");IF($C298="";"Кардио";"");IF($D298="";"Шаги";"");IF($E298="";"Английский";"");IF($F298="";"Код-режим";"");IF($G298="";"Код-тема";"");IF($H298="";"Чтение";"");IF($L298="";"Сон";"");IF($M298="";"Режим";"");IF($N298="";"Продуктивность";"");IF($O298="";"Настроение";"");IF($P298="";"Энергия";"");IF($U298="";"Еда";"")))</f>
        <v/>
      </c>
    </row>
    <row r="299">
      <c r="B299" t="inlineStr"/>
      <c r="C299" t="inlineStr"/>
      <c r="D299" t="inlineStr"/>
      <c r="E299" t="inlineStr"/>
      <c r="F299" t="inlineStr"/>
      <c r="G299" t="inlineStr"/>
      <c r="H299" t="inlineStr"/>
      <c r="I299" t="inlineStr"/>
      <c r="J299" t="inlineStr"/>
      <c r="K299" t="inlineStr"/>
      <c r="L299" t="inlineStr"/>
      <c r="M299" t="inlineStr"/>
      <c r="N299" t="inlineStr"/>
      <c r="O299" t="inlineStr"/>
      <c r="P299" t="inlineStr"/>
      <c r="Q299" t="inlineStr"/>
      <c r="R299" t="inlineStr"/>
      <c r="S299" t="inlineStr"/>
      <c r="T299" t="inlineStr"/>
      <c r="U299">
        <f>IF($A299="";"";IF(SUMIF(FoodLog!$A:$A;$A299;FoodLog!$I:$I)=0;"";SUMIF(FoodLog!$A:$A;$A299;FoodLog!$I:$I)))</f>
        <v/>
      </c>
      <c r="V299">
        <f>IF($A299="";"";IF(SUMIF(FoodLog!$A:$A;$A299;FoodLog!$F:$F)=0;"";SUMIF(FoodLog!$A:$A;$A299;FoodLog!$F:$F)))</f>
        <v/>
      </c>
      <c r="W299">
        <f>IF($A299="";"";IF(SUMIF(FoodLog!$A:$A;$A299;FoodLog!$G:$G)=0;"";SUMIF(FoodLog!$A:$A;$A299;FoodLog!$G:$G)))</f>
        <v/>
      </c>
      <c r="X299">
        <f>IF($A299="";"";IF(SUMIF(FoodLog!$A:$A;$A299;FoodLog!$H:$H)=0;"";SUMIF(FoodLog!$A:$A;$A299;FoodLog!$H:$H)))</f>
        <v/>
      </c>
      <c r="Y299">
        <f>IF($A299="";"";IFERROR(ROUND(100*AVERAGE(IF($B299="";"";XLOOKUP($B299;FILTER(Dictionaries!$B:$B;Dictionaries!$A:$A="Тренировка");FILTER(Dictionaries!$C:$C;Dictionaries!$A:$A="Тренировка")));IF($C299="";"";MIN($C299/40;1));IF($D299="";"";XLOOKUP($D299;FILTER(Dictionaries!$B:$B;Dictionaries!$A:$A="Шаги");FILTER(Dictionaries!$C:$C;Dictionaries!$A:$A="Шаги")));IF($E299="";"";MIN($E299/120;1));IF(OR($F299&lt;&gt;"";$G299&lt;&gt;"");1;"");IF($H299="";"";MIN($H299/100;1));IF($L299="";"";XLOOKUP($L299;FILTER(Dictionaries!$B:$B;Dictionaries!$A:$A="Сон_часы");FILTER(Dictionaries!$C:$C;Dictionaries!$A:$A="Сон_часы")));IF($M299="";"";XLOOKUP($M299;FILTER(Dictionaries!$B:$B;Dictionaries!$A:$A="Режим");FILTER(Dictionaries!$C:$C;Dictionaries!$A:$A="Режим")));IF($N299="";"";MIN($N299/100;1));IF($O299="";"";XLOOKUP($O299;FILTER(Dictionaries!$B:$B;Dictionaries!$A:$A="Настроение");FILTER(Dictionaries!$C:$C;Dictionaries!$A:$A="Настроение")));IF($P299="";"";XLOOKUP($P299;FILTER(Dictionaries!$B:$B;Dictionaries!$A:$A="Энергия");FILTER(Dictionaries!$C:$C;Dictionaries!$A:$A="Энергия")));IF($U299="";"";AVERAGE(IF(OR($B299="Ноги";$B299="Верх");IFS(AND($U299&gt;=1900;$U299&lt;=2050);1;AND($U299&gt;=1850;$U299&lt;1900);0,7;AND($U299&gt;2050;$U299&lt;=2100);0,7;TRUE;0,2);IFS(AND($U299&gt;=1700;$U299&lt;=1850);1;AND($U299&gt;=1650;$U299&lt;1700);0,7;AND($U299&gt;1850;$U299&lt;=1900);0,7;TRUE;0,2));IF(OR($B299="Ноги";$B299="Верх");IFS(AND($V299&gt;=125;$V299&lt;=135);1;AND($V299&gt;=115;$V299&lt;125);0,7;AND($V299&gt;135;$V299&lt;=145);0,7;AND($V299&gt;=105;$V299&lt;115);0,4;AND($V299&gt;145;$V299&lt;=155);0,4;TRUE;0,2);IFS(AND($V299&gt;=120;$V299&lt;=130);1;AND($V299&gt;=110;$V299&lt;120);0,7;AND($V299&gt;130;$V299&lt;=140);0,7;AND($V299&gt;=100;$V299&lt;110);0,4;AND($V299&gt;140;$V299&lt;=150);0,4;TRUE;0,2));IFS(AND($W299&gt;=55;$W299&lt;=65);1;AND($W299&gt;=50;$W299&lt;55);0,7;AND($W299&gt;65;$W299&lt;=70);0,7;AND($W299&gt;=45;$W299&lt;50);0,4;AND($W299&gt;70;$W299&lt;=75);0,4;TRUE;0,2);IF(OR($B299="Ноги";$B299="Верх");IFS(AND($X299&gt;=180;$X299&lt;=210);1;AND($X299&gt;=160;$X299&lt;180);0,7;AND($X299&gt;210;$X299&lt;=230);0,7;AND($X299&gt;=140;$X299&lt;160);0,4;AND($X299&gt;230;$X299&lt;=250);0,4;TRUE;0,2);IFS(AND($X299&gt;=140;$X299&lt;=170);1;AND($X299&gt;=120;$X299&lt;140);0,7;AND($X299&gt;170;$X299&lt;=190);0,7;AND($X299&gt;=100;$X299&lt;120);0,4;AND($X299&gt;190;$X299&lt;=210);0,4;TRUE;0,2)))));1);""))</f>
        <v/>
      </c>
      <c r="Z299">
        <f>IF($A299="";"";TEXTJOIN(", ";TRUE;IF($B299="";"Тренировка";"");IF($C299="";"Кардио";"");IF($D299="";"Шаги";"");IF($E299="";"Английский";"");IF($F299="";"Код-режим";"");IF($G299="";"Код-тема";"");IF($H299="";"Чтение";"");IF($L299="";"Сон";"");IF($M299="";"Режим";"");IF($N299="";"Продуктивность";"");IF($O299="";"Настроение";"");IF($P299="";"Энергия";"");IF($U299="";"Еда";"")))</f>
        <v/>
      </c>
    </row>
    <row r="300">
      <c r="B300" t="inlineStr"/>
      <c r="C300" t="inlineStr"/>
      <c r="D300" t="inlineStr"/>
      <c r="E300" t="inlineStr"/>
      <c r="F300" t="inlineStr"/>
      <c r="G300" t="inlineStr"/>
      <c r="H300" t="inlineStr"/>
      <c r="I300" t="inlineStr"/>
      <c r="J300" t="inlineStr"/>
      <c r="K300" t="inlineStr"/>
      <c r="L300" t="inlineStr"/>
      <c r="M300" t="inlineStr"/>
      <c r="N300" t="inlineStr"/>
      <c r="O300" t="inlineStr"/>
      <c r="P300" t="inlineStr"/>
      <c r="Q300" t="inlineStr"/>
      <c r="R300" t="inlineStr"/>
      <c r="S300" t="inlineStr"/>
      <c r="T300" t="inlineStr"/>
      <c r="U300">
        <f>IF($A300="";"";IF(SUMIF(FoodLog!$A:$A;$A300;FoodLog!$I:$I)=0;"";SUMIF(FoodLog!$A:$A;$A300;FoodLog!$I:$I)))</f>
        <v/>
      </c>
      <c r="V300">
        <f>IF($A300="";"";IF(SUMIF(FoodLog!$A:$A;$A300;FoodLog!$F:$F)=0;"";SUMIF(FoodLog!$A:$A;$A300;FoodLog!$F:$F)))</f>
        <v/>
      </c>
      <c r="W300">
        <f>IF($A300="";"";IF(SUMIF(FoodLog!$A:$A;$A300;FoodLog!$G:$G)=0;"";SUMIF(FoodLog!$A:$A;$A300;FoodLog!$G:$G)))</f>
        <v/>
      </c>
      <c r="X300">
        <f>IF($A300="";"";IF(SUMIF(FoodLog!$A:$A;$A300;FoodLog!$H:$H)=0;"";SUMIF(FoodLog!$A:$A;$A300;FoodLog!$H:$H)))</f>
        <v/>
      </c>
      <c r="Y300">
        <f>IF($A300="";"";IFERROR(ROUND(100*AVERAGE(IF($B300="";"";XLOOKUP($B300;FILTER(Dictionaries!$B:$B;Dictionaries!$A:$A="Тренировка");FILTER(Dictionaries!$C:$C;Dictionaries!$A:$A="Тренировка")));IF($C300="";"";MIN($C300/40;1));IF($D300="";"";XLOOKUP($D300;FILTER(Dictionaries!$B:$B;Dictionaries!$A:$A="Шаги");FILTER(Dictionaries!$C:$C;Dictionaries!$A:$A="Шаги")));IF($E300="";"";MIN($E300/120;1));IF(OR($F300&lt;&gt;"";$G300&lt;&gt;"");1;"");IF($H300="";"";MIN($H300/100;1));IF($L300="";"";XLOOKUP($L300;FILTER(Dictionaries!$B:$B;Dictionaries!$A:$A="Сон_часы");FILTER(Dictionaries!$C:$C;Dictionaries!$A:$A="Сон_часы")));IF($M300="";"";XLOOKUP($M300;FILTER(Dictionaries!$B:$B;Dictionaries!$A:$A="Режим");FILTER(Dictionaries!$C:$C;Dictionaries!$A:$A="Режим")));IF($N300="";"";MIN($N300/100;1));IF($O300="";"";XLOOKUP($O300;FILTER(Dictionaries!$B:$B;Dictionaries!$A:$A="Настроение");FILTER(Dictionaries!$C:$C;Dictionaries!$A:$A="Настроение")));IF($P300="";"";XLOOKUP($P300;FILTER(Dictionaries!$B:$B;Dictionaries!$A:$A="Энергия");FILTER(Dictionaries!$C:$C;Dictionaries!$A:$A="Энергия")));IF($U300="";"";AVERAGE(IF(OR($B300="Ноги";$B300="Верх");IFS(AND($U300&gt;=1900;$U300&lt;=2050);1;AND($U300&gt;=1850;$U300&lt;1900);0,7;AND($U300&gt;2050;$U300&lt;=2100);0,7;TRUE;0,2);IFS(AND($U300&gt;=1700;$U300&lt;=1850);1;AND($U300&gt;=1650;$U300&lt;1700);0,7;AND($U300&gt;1850;$U300&lt;=1900);0,7;TRUE;0,2));IF(OR($B300="Ноги";$B300="Верх");IFS(AND($V300&gt;=125;$V300&lt;=135);1;AND($V300&gt;=115;$V300&lt;125);0,7;AND($V300&gt;135;$V300&lt;=145);0,7;AND($V300&gt;=105;$V300&lt;115);0,4;AND($V300&gt;145;$V300&lt;=155);0,4;TRUE;0,2);IFS(AND($V300&gt;=120;$V300&lt;=130);1;AND($V300&gt;=110;$V300&lt;120);0,7;AND($V300&gt;130;$V300&lt;=140);0,7;AND($V300&gt;=100;$V300&lt;110);0,4;AND($V300&gt;140;$V300&lt;=150);0,4;TRUE;0,2));IFS(AND($W300&gt;=55;$W300&lt;=65);1;AND($W300&gt;=50;$W300&lt;55);0,7;AND($W300&gt;65;$W300&lt;=70);0,7;AND($W300&gt;=45;$W300&lt;50);0,4;AND($W300&gt;70;$W300&lt;=75);0,4;TRUE;0,2);IF(OR($B300="Ноги";$B300="Верх");IFS(AND($X300&gt;=180;$X300&lt;=210);1;AND($X300&gt;=160;$X300&lt;180);0,7;AND($X300&gt;210;$X300&lt;=230);0,7;AND($X300&gt;=140;$X300&lt;160);0,4;AND($X300&gt;230;$X300&lt;=250);0,4;TRUE;0,2);IFS(AND($X300&gt;=140;$X300&lt;=170);1;AND($X300&gt;=120;$X300&lt;140);0,7;AND($X300&gt;170;$X300&lt;=190);0,7;AND($X300&gt;=100;$X300&lt;120);0,4;AND($X300&gt;190;$X300&lt;=210);0,4;TRUE;0,2)))));1);""))</f>
        <v/>
      </c>
      <c r="Z300">
        <f>IF($A300="";"";TEXTJOIN(", ";TRUE;IF($B300="";"Тренировка";"");IF($C300="";"Кардио";"");IF($D300="";"Шаги";"");IF($E300="";"Английский";"");IF($F300="";"Код-режим";"");IF($G300="";"Код-тема";"");IF($H300="";"Чтение";"");IF($L300="";"Сон";"");IF($M300="";"Режим";"");IF($N300="";"Продуктивность";"");IF($O300="";"Настроение";"");IF($P300="";"Энергия";"");IF($U300="";"Еда";"")))</f>
        <v/>
      </c>
    </row>
    <row r="301">
      <c r="B301" t="inlineStr"/>
      <c r="C301" t="inlineStr"/>
      <c r="D301" t="inlineStr"/>
      <c r="E301" t="inlineStr"/>
      <c r="F301" t="inlineStr"/>
      <c r="G301" t="inlineStr"/>
      <c r="H301" t="inlineStr"/>
      <c r="I301" t="inlineStr"/>
      <c r="J301" t="inlineStr"/>
      <c r="K301" t="inlineStr"/>
      <c r="L301" t="inlineStr"/>
      <c r="M301" t="inlineStr"/>
      <c r="N301" t="inlineStr"/>
      <c r="O301" t="inlineStr"/>
      <c r="P301" t="inlineStr"/>
      <c r="Q301" t="inlineStr"/>
      <c r="R301" t="inlineStr"/>
      <c r="S301" t="inlineStr"/>
      <c r="T301" t="inlineStr"/>
      <c r="U301">
        <f>IF($A301="";"";IF(SUMIF(FoodLog!$A:$A;$A301;FoodLog!$I:$I)=0;"";SUMIF(FoodLog!$A:$A;$A301;FoodLog!$I:$I)))</f>
        <v/>
      </c>
      <c r="V301">
        <f>IF($A301="";"";IF(SUMIF(FoodLog!$A:$A;$A301;FoodLog!$F:$F)=0;"";SUMIF(FoodLog!$A:$A;$A301;FoodLog!$F:$F)))</f>
        <v/>
      </c>
      <c r="W301">
        <f>IF($A301="";"";IF(SUMIF(FoodLog!$A:$A;$A301;FoodLog!$G:$G)=0;"";SUMIF(FoodLog!$A:$A;$A301;FoodLog!$G:$G)))</f>
        <v/>
      </c>
      <c r="X301">
        <f>IF($A301="";"";IF(SUMIF(FoodLog!$A:$A;$A301;FoodLog!$H:$H)=0;"";SUMIF(FoodLog!$A:$A;$A301;FoodLog!$H:$H)))</f>
        <v/>
      </c>
      <c r="Y301">
        <f>IF($A301="";"";IFERROR(ROUND(100*AVERAGE(IF($B301="";"";XLOOKUP($B301;FILTER(Dictionaries!$B:$B;Dictionaries!$A:$A="Тренировка");FILTER(Dictionaries!$C:$C;Dictionaries!$A:$A="Тренировка")));IF($C301="";"";MIN($C301/40;1));IF($D301="";"";XLOOKUP($D301;FILTER(Dictionaries!$B:$B;Dictionaries!$A:$A="Шаги");FILTER(Dictionaries!$C:$C;Dictionaries!$A:$A="Шаги")));IF($E301="";"";MIN($E301/120;1));IF(OR($F301&lt;&gt;"";$G301&lt;&gt;"");1;"");IF($H301="";"";MIN($H301/100;1));IF($L301="";"";XLOOKUP($L301;FILTER(Dictionaries!$B:$B;Dictionaries!$A:$A="Сон_часы");FILTER(Dictionaries!$C:$C;Dictionaries!$A:$A="Сон_часы")));IF($M301="";"";XLOOKUP($M301;FILTER(Dictionaries!$B:$B;Dictionaries!$A:$A="Режим");FILTER(Dictionaries!$C:$C;Dictionaries!$A:$A="Режим")));IF($N301="";"";MIN($N301/100;1));IF($O301="";"";XLOOKUP($O301;FILTER(Dictionaries!$B:$B;Dictionaries!$A:$A="Настроение");FILTER(Dictionaries!$C:$C;Dictionaries!$A:$A="Настроение")));IF($P301="";"";XLOOKUP($P301;FILTER(Dictionaries!$B:$B;Dictionaries!$A:$A="Энергия");FILTER(Dictionaries!$C:$C;Dictionaries!$A:$A="Энергия")));IF($U301="";"";AVERAGE(IF(OR($B301="Ноги";$B301="Верх");IFS(AND($U301&gt;=1900;$U301&lt;=2050);1;AND($U301&gt;=1850;$U301&lt;1900);0,7;AND($U301&gt;2050;$U301&lt;=2100);0,7;TRUE;0,2);IFS(AND($U301&gt;=1700;$U301&lt;=1850);1;AND($U301&gt;=1650;$U301&lt;1700);0,7;AND($U301&gt;1850;$U301&lt;=1900);0,7;TRUE;0,2));IF(OR($B301="Ноги";$B301="Верх");IFS(AND($V301&gt;=125;$V301&lt;=135);1;AND($V301&gt;=115;$V301&lt;125);0,7;AND($V301&gt;135;$V301&lt;=145);0,7;AND($V301&gt;=105;$V301&lt;115);0,4;AND($V301&gt;145;$V301&lt;=155);0,4;TRUE;0,2);IFS(AND($V301&gt;=120;$V301&lt;=130);1;AND($V301&gt;=110;$V301&lt;120);0,7;AND($V301&gt;130;$V301&lt;=140);0,7;AND($V301&gt;=100;$V301&lt;110);0,4;AND($V301&gt;140;$V301&lt;=150);0,4;TRUE;0,2));IFS(AND($W301&gt;=55;$W301&lt;=65);1;AND($W301&gt;=50;$W301&lt;55);0,7;AND($W301&gt;65;$W301&lt;=70);0,7;AND($W301&gt;=45;$W301&lt;50);0,4;AND($W301&gt;70;$W301&lt;=75);0,4;TRUE;0,2);IF(OR($B301="Ноги";$B301="Верх");IFS(AND($X301&gt;=180;$X301&lt;=210);1;AND($X301&gt;=160;$X301&lt;180);0,7;AND($X301&gt;210;$X301&lt;=230);0,7;AND($X301&gt;=140;$X301&lt;160);0,4;AND($X301&gt;230;$X301&lt;=250);0,4;TRUE;0,2);IFS(AND($X301&gt;=140;$X301&lt;=170);1;AND($X301&gt;=120;$X301&lt;140);0,7;AND($X301&gt;170;$X301&lt;=190);0,7;AND($X301&gt;=100;$X301&lt;120);0,4;AND($X301&gt;190;$X301&lt;=210);0,4;TRUE;0,2)))));1);""))</f>
        <v/>
      </c>
      <c r="Z301">
        <f>IF($A301="";"";TEXTJOIN(", ";TRUE;IF($B301="";"Тренировка";"");IF($C301="";"Кардио";"");IF($D301="";"Шаги";"");IF($E301="";"Английский";"");IF($F301="";"Код-режим";"");IF($G301="";"Код-тема";"");IF($H301="";"Чтение";"");IF($L301="";"Сон";"");IF($M301="";"Режим";"");IF($N301="";"Продуктивность";"");IF($O301="";"Настроение";"");IF($P301="";"Энергия";"");IF($U301="";"Еда";"")))</f>
        <v/>
      </c>
    </row>
    <row r="302">
      <c r="B302" t="inlineStr"/>
      <c r="C302" t="inlineStr"/>
      <c r="D302" t="inlineStr"/>
      <c r="E302" t="inlineStr"/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  <c r="O302" t="inlineStr"/>
      <c r="P302" t="inlineStr"/>
      <c r="Q302" t="inlineStr"/>
      <c r="R302" t="inlineStr"/>
      <c r="S302" t="inlineStr"/>
      <c r="T302" t="inlineStr"/>
      <c r="U302">
        <f>IF($A302="";"";IF(SUMIF(FoodLog!$A:$A;$A302;FoodLog!$I:$I)=0;"";SUMIF(FoodLog!$A:$A;$A302;FoodLog!$I:$I)))</f>
        <v/>
      </c>
      <c r="V302">
        <f>IF($A302="";"";IF(SUMIF(FoodLog!$A:$A;$A302;FoodLog!$F:$F)=0;"";SUMIF(FoodLog!$A:$A;$A302;FoodLog!$F:$F)))</f>
        <v/>
      </c>
      <c r="W302">
        <f>IF($A302="";"";IF(SUMIF(FoodLog!$A:$A;$A302;FoodLog!$G:$G)=0;"";SUMIF(FoodLog!$A:$A;$A302;FoodLog!$G:$G)))</f>
        <v/>
      </c>
      <c r="X302">
        <f>IF($A302="";"";IF(SUMIF(FoodLog!$A:$A;$A302;FoodLog!$H:$H)=0;"";SUMIF(FoodLog!$A:$A;$A302;FoodLog!$H:$H)))</f>
        <v/>
      </c>
      <c r="Y302">
        <f>IF($A302="";"";IFERROR(ROUND(100*AVERAGE(IF($B302="";"";XLOOKUP($B302;FILTER(Dictionaries!$B:$B;Dictionaries!$A:$A="Тренировка");FILTER(Dictionaries!$C:$C;Dictionaries!$A:$A="Тренировка")));IF($C302="";"";MIN($C302/40;1));IF($D302="";"";XLOOKUP($D302;FILTER(Dictionaries!$B:$B;Dictionaries!$A:$A="Шаги");FILTER(Dictionaries!$C:$C;Dictionaries!$A:$A="Шаги")));IF($E302="";"";MIN($E302/120;1));IF(OR($F302&lt;&gt;"";$G302&lt;&gt;"");1;"");IF($H302="";"";MIN($H302/100;1));IF($L302="";"";XLOOKUP($L302;FILTER(Dictionaries!$B:$B;Dictionaries!$A:$A="Сон_часы");FILTER(Dictionaries!$C:$C;Dictionaries!$A:$A="Сон_часы")));IF($M302="";"";XLOOKUP($M302;FILTER(Dictionaries!$B:$B;Dictionaries!$A:$A="Режим");FILTER(Dictionaries!$C:$C;Dictionaries!$A:$A="Режим")));IF($N302="";"";MIN($N302/100;1));IF($O302="";"";XLOOKUP($O302;FILTER(Dictionaries!$B:$B;Dictionaries!$A:$A="Настроение");FILTER(Dictionaries!$C:$C;Dictionaries!$A:$A="Настроение")));IF($P302="";"";XLOOKUP($P302;FILTER(Dictionaries!$B:$B;Dictionaries!$A:$A="Энергия");FILTER(Dictionaries!$C:$C;Dictionaries!$A:$A="Энергия")));IF($U302="";"";AVERAGE(IF(OR($B302="Ноги";$B302="Верх");IFS(AND($U302&gt;=1900;$U302&lt;=2050);1;AND($U302&gt;=1850;$U302&lt;1900);0,7;AND($U302&gt;2050;$U302&lt;=2100);0,7;TRUE;0,2);IFS(AND($U302&gt;=1700;$U302&lt;=1850);1;AND($U302&gt;=1650;$U302&lt;1700);0,7;AND($U302&gt;1850;$U302&lt;=1900);0,7;TRUE;0,2));IF(OR($B302="Ноги";$B302="Верх");IFS(AND($V302&gt;=125;$V302&lt;=135);1;AND($V302&gt;=115;$V302&lt;125);0,7;AND($V302&gt;135;$V302&lt;=145);0,7;AND($V302&gt;=105;$V302&lt;115);0,4;AND($V302&gt;145;$V302&lt;=155);0,4;TRUE;0,2);IFS(AND($V302&gt;=120;$V302&lt;=130);1;AND($V302&gt;=110;$V302&lt;120);0,7;AND($V302&gt;130;$V302&lt;=140);0,7;AND($V302&gt;=100;$V302&lt;110);0,4;AND($V302&gt;140;$V302&lt;=150);0,4;TRUE;0,2));IFS(AND($W302&gt;=55;$W302&lt;=65);1;AND($W302&gt;=50;$W302&lt;55);0,7;AND($W302&gt;65;$W302&lt;=70);0,7;AND($W302&gt;=45;$W302&lt;50);0,4;AND($W302&gt;70;$W302&lt;=75);0,4;TRUE;0,2);IF(OR($B302="Ноги";$B302="Верх");IFS(AND($X302&gt;=180;$X302&lt;=210);1;AND($X302&gt;=160;$X302&lt;180);0,7;AND($X302&gt;210;$X302&lt;=230);0,7;AND($X302&gt;=140;$X302&lt;160);0,4;AND($X302&gt;230;$X302&lt;=250);0,4;TRUE;0,2);IFS(AND($X302&gt;=140;$X302&lt;=170);1;AND($X302&gt;=120;$X302&lt;140);0,7;AND($X302&gt;170;$X302&lt;=190);0,7;AND($X302&gt;=100;$X302&lt;120);0,4;AND($X302&gt;190;$X302&lt;=210);0,4;TRUE;0,2)))));1);""))</f>
        <v/>
      </c>
      <c r="Z302">
        <f>IF($A302="";"";TEXTJOIN(", ";TRUE;IF($B302="";"Тренировка";"");IF($C302="";"Кардио";"");IF($D302="";"Шаги";"");IF($E302="";"Английский";"");IF($F302="";"Код-режим";"");IF($G302="";"Код-тема";"");IF($H302="";"Чтение";"");IF($L302="";"Сон";"");IF($M302="";"Режим";"");IF($N302="";"Продуктивность";"");IF($O302="";"Настроение";"");IF($P302="";"Энергия";"");IF($U302="";"Еда";"")))</f>
        <v/>
      </c>
    </row>
    <row r="303">
      <c r="B303" t="inlineStr"/>
      <c r="C303" t="inlineStr"/>
      <c r="D303" t="inlineStr"/>
      <c r="E303" t="inlineStr"/>
      <c r="F303" t="inlineStr"/>
      <c r="G303" t="inlineStr"/>
      <c r="H303" t="inlineStr"/>
      <c r="I303" t="inlineStr"/>
      <c r="J303" t="inlineStr"/>
      <c r="K303" t="inlineStr"/>
      <c r="L303" t="inlineStr"/>
      <c r="M303" t="inlineStr"/>
      <c r="N303" t="inlineStr"/>
      <c r="O303" t="inlineStr"/>
      <c r="P303" t="inlineStr"/>
      <c r="Q303" t="inlineStr"/>
      <c r="R303" t="inlineStr"/>
      <c r="S303" t="inlineStr"/>
      <c r="T303" t="inlineStr"/>
      <c r="U303">
        <f>IF($A303="";"";IF(SUMIF(FoodLog!$A:$A;$A303;FoodLog!$I:$I)=0;"";SUMIF(FoodLog!$A:$A;$A303;FoodLog!$I:$I)))</f>
        <v/>
      </c>
      <c r="V303">
        <f>IF($A303="";"";IF(SUMIF(FoodLog!$A:$A;$A303;FoodLog!$F:$F)=0;"";SUMIF(FoodLog!$A:$A;$A303;FoodLog!$F:$F)))</f>
        <v/>
      </c>
      <c r="W303">
        <f>IF($A303="";"";IF(SUMIF(FoodLog!$A:$A;$A303;FoodLog!$G:$G)=0;"";SUMIF(FoodLog!$A:$A;$A303;FoodLog!$G:$G)))</f>
        <v/>
      </c>
      <c r="X303">
        <f>IF($A303="";"";IF(SUMIF(FoodLog!$A:$A;$A303;FoodLog!$H:$H)=0;"";SUMIF(FoodLog!$A:$A;$A303;FoodLog!$H:$H)))</f>
        <v/>
      </c>
      <c r="Y303">
        <f>IF($A303="";"";IFERROR(ROUND(100*AVERAGE(IF($B303="";"";XLOOKUP($B303;FILTER(Dictionaries!$B:$B;Dictionaries!$A:$A="Тренировка");FILTER(Dictionaries!$C:$C;Dictionaries!$A:$A="Тренировка")));IF($C303="";"";MIN($C303/40;1));IF($D303="";"";XLOOKUP($D303;FILTER(Dictionaries!$B:$B;Dictionaries!$A:$A="Шаги");FILTER(Dictionaries!$C:$C;Dictionaries!$A:$A="Шаги")));IF($E303="";"";MIN($E303/120;1));IF(OR($F303&lt;&gt;"";$G303&lt;&gt;"");1;"");IF($H303="";"";MIN($H303/100;1));IF($L303="";"";XLOOKUP($L303;FILTER(Dictionaries!$B:$B;Dictionaries!$A:$A="Сон_часы");FILTER(Dictionaries!$C:$C;Dictionaries!$A:$A="Сон_часы")));IF($M303="";"";XLOOKUP($M303;FILTER(Dictionaries!$B:$B;Dictionaries!$A:$A="Режим");FILTER(Dictionaries!$C:$C;Dictionaries!$A:$A="Режим")));IF($N303="";"";MIN($N303/100;1));IF($O303="";"";XLOOKUP($O303;FILTER(Dictionaries!$B:$B;Dictionaries!$A:$A="Настроение");FILTER(Dictionaries!$C:$C;Dictionaries!$A:$A="Настроение")));IF($P303="";"";XLOOKUP($P303;FILTER(Dictionaries!$B:$B;Dictionaries!$A:$A="Энергия");FILTER(Dictionaries!$C:$C;Dictionaries!$A:$A="Энергия")));IF($U303="";"";AVERAGE(IF(OR($B303="Ноги";$B303="Верх");IFS(AND($U303&gt;=1900;$U303&lt;=2050);1;AND($U303&gt;=1850;$U303&lt;1900);0,7;AND($U303&gt;2050;$U303&lt;=2100);0,7;TRUE;0,2);IFS(AND($U303&gt;=1700;$U303&lt;=1850);1;AND($U303&gt;=1650;$U303&lt;1700);0,7;AND($U303&gt;1850;$U303&lt;=1900);0,7;TRUE;0,2));IF(OR($B303="Ноги";$B303="Верх");IFS(AND($V303&gt;=125;$V303&lt;=135);1;AND($V303&gt;=115;$V303&lt;125);0,7;AND($V303&gt;135;$V303&lt;=145);0,7;AND($V303&gt;=105;$V303&lt;115);0,4;AND($V303&gt;145;$V303&lt;=155);0,4;TRUE;0,2);IFS(AND($V303&gt;=120;$V303&lt;=130);1;AND($V303&gt;=110;$V303&lt;120);0,7;AND($V303&gt;130;$V303&lt;=140);0,7;AND($V303&gt;=100;$V303&lt;110);0,4;AND($V303&gt;140;$V303&lt;=150);0,4;TRUE;0,2));IFS(AND($W303&gt;=55;$W303&lt;=65);1;AND($W303&gt;=50;$W303&lt;55);0,7;AND($W303&gt;65;$W303&lt;=70);0,7;AND($W303&gt;=45;$W303&lt;50);0,4;AND($W303&gt;70;$W303&lt;=75);0,4;TRUE;0,2);IF(OR($B303="Ноги";$B303="Верх");IFS(AND($X303&gt;=180;$X303&lt;=210);1;AND($X303&gt;=160;$X303&lt;180);0,7;AND($X303&gt;210;$X303&lt;=230);0,7;AND($X303&gt;=140;$X303&lt;160);0,4;AND($X303&gt;230;$X303&lt;=250);0,4;TRUE;0,2);IFS(AND($X303&gt;=140;$X303&lt;=170);1;AND($X303&gt;=120;$X303&lt;140);0,7;AND($X303&gt;170;$X303&lt;=190);0,7;AND($X303&gt;=100;$X303&lt;120);0,4;AND($X303&gt;190;$X303&lt;=210);0,4;TRUE;0,2)))));1);""))</f>
        <v/>
      </c>
      <c r="Z303">
        <f>IF($A303="";"";TEXTJOIN(", ";TRUE;IF($B303="";"Тренировка";"");IF($C303="";"Кардио";"");IF($D303="";"Шаги";"");IF($E303="";"Английский";"");IF($F303="";"Код-режим";"");IF($G303="";"Код-тема";"");IF($H303="";"Чтение";"");IF($L303="";"Сон";"");IF($M303="";"Режим";"");IF($N303="";"Продуктивность";"");IF($O303="";"Настроение";"");IF($P303="";"Энергия";"");IF($U303="";"Еда";"")))</f>
        <v/>
      </c>
    </row>
    <row r="304">
      <c r="B304" t="inlineStr"/>
      <c r="C304" t="inlineStr"/>
      <c r="D304" t="inlineStr"/>
      <c r="E304" t="inlineStr"/>
      <c r="F304" t="inlineStr"/>
      <c r="G304" t="inlineStr"/>
      <c r="H304" t="inlineStr"/>
      <c r="I304" t="inlineStr"/>
      <c r="J304" t="inlineStr"/>
      <c r="K304" t="inlineStr"/>
      <c r="L304" t="inlineStr"/>
      <c r="M304" t="inlineStr"/>
      <c r="N304" t="inlineStr"/>
      <c r="O304" t="inlineStr"/>
      <c r="P304" t="inlineStr"/>
      <c r="Q304" t="inlineStr"/>
      <c r="R304" t="inlineStr"/>
      <c r="S304" t="inlineStr"/>
      <c r="T304" t="inlineStr"/>
      <c r="U304">
        <f>IF($A304="";"";IF(SUMIF(FoodLog!$A:$A;$A304;FoodLog!$I:$I)=0;"";SUMIF(FoodLog!$A:$A;$A304;FoodLog!$I:$I)))</f>
        <v/>
      </c>
      <c r="V304">
        <f>IF($A304="";"";IF(SUMIF(FoodLog!$A:$A;$A304;FoodLog!$F:$F)=0;"";SUMIF(FoodLog!$A:$A;$A304;FoodLog!$F:$F)))</f>
        <v/>
      </c>
      <c r="W304">
        <f>IF($A304="";"";IF(SUMIF(FoodLog!$A:$A;$A304;FoodLog!$G:$G)=0;"";SUMIF(FoodLog!$A:$A;$A304;FoodLog!$G:$G)))</f>
        <v/>
      </c>
      <c r="X304">
        <f>IF($A304="";"";IF(SUMIF(FoodLog!$A:$A;$A304;FoodLog!$H:$H)=0;"";SUMIF(FoodLog!$A:$A;$A304;FoodLog!$H:$H)))</f>
        <v/>
      </c>
      <c r="Y304">
        <f>IF($A304="";"";IFERROR(ROUND(100*AVERAGE(IF($B304="";"";XLOOKUP($B304;FILTER(Dictionaries!$B:$B;Dictionaries!$A:$A="Тренировка");FILTER(Dictionaries!$C:$C;Dictionaries!$A:$A="Тренировка")));IF($C304="";"";MIN($C304/40;1));IF($D304="";"";XLOOKUP($D304;FILTER(Dictionaries!$B:$B;Dictionaries!$A:$A="Шаги");FILTER(Dictionaries!$C:$C;Dictionaries!$A:$A="Шаги")));IF($E304="";"";MIN($E304/120;1));IF(OR($F304&lt;&gt;"";$G304&lt;&gt;"");1;"");IF($H304="";"";MIN($H304/100;1));IF($L304="";"";XLOOKUP($L304;FILTER(Dictionaries!$B:$B;Dictionaries!$A:$A="Сон_часы");FILTER(Dictionaries!$C:$C;Dictionaries!$A:$A="Сон_часы")));IF($M304="";"";XLOOKUP($M304;FILTER(Dictionaries!$B:$B;Dictionaries!$A:$A="Режим");FILTER(Dictionaries!$C:$C;Dictionaries!$A:$A="Режим")));IF($N304="";"";MIN($N304/100;1));IF($O304="";"";XLOOKUP($O304;FILTER(Dictionaries!$B:$B;Dictionaries!$A:$A="Настроение");FILTER(Dictionaries!$C:$C;Dictionaries!$A:$A="Настроение")));IF($P304="";"";XLOOKUP($P304;FILTER(Dictionaries!$B:$B;Dictionaries!$A:$A="Энергия");FILTER(Dictionaries!$C:$C;Dictionaries!$A:$A="Энергия")));IF($U304="";"";AVERAGE(IF(OR($B304="Ноги";$B304="Верх");IFS(AND($U304&gt;=1900;$U304&lt;=2050);1;AND($U304&gt;=1850;$U304&lt;1900);0,7;AND($U304&gt;2050;$U304&lt;=2100);0,7;TRUE;0,2);IFS(AND($U304&gt;=1700;$U304&lt;=1850);1;AND($U304&gt;=1650;$U304&lt;1700);0,7;AND($U304&gt;1850;$U304&lt;=1900);0,7;TRUE;0,2));IF(OR($B304="Ноги";$B304="Верх");IFS(AND($V304&gt;=125;$V304&lt;=135);1;AND($V304&gt;=115;$V304&lt;125);0,7;AND($V304&gt;135;$V304&lt;=145);0,7;AND($V304&gt;=105;$V304&lt;115);0,4;AND($V304&gt;145;$V304&lt;=155);0,4;TRUE;0,2);IFS(AND($V304&gt;=120;$V304&lt;=130);1;AND($V304&gt;=110;$V304&lt;120);0,7;AND($V304&gt;130;$V304&lt;=140);0,7;AND($V304&gt;=100;$V304&lt;110);0,4;AND($V304&gt;140;$V304&lt;=150);0,4;TRUE;0,2));IFS(AND($W304&gt;=55;$W304&lt;=65);1;AND($W304&gt;=50;$W304&lt;55);0,7;AND($W304&gt;65;$W304&lt;=70);0,7;AND($W304&gt;=45;$W304&lt;50);0,4;AND($W304&gt;70;$W304&lt;=75);0,4;TRUE;0,2);IF(OR($B304="Ноги";$B304="Верх");IFS(AND($X304&gt;=180;$X304&lt;=210);1;AND($X304&gt;=160;$X304&lt;180);0,7;AND($X304&gt;210;$X304&lt;=230);0,7;AND($X304&gt;=140;$X304&lt;160);0,4;AND($X304&gt;230;$X304&lt;=250);0,4;TRUE;0,2);IFS(AND($X304&gt;=140;$X304&lt;=170);1;AND($X304&gt;=120;$X304&lt;140);0,7;AND($X304&gt;170;$X304&lt;=190);0,7;AND($X304&gt;=100;$X304&lt;120);0,4;AND($X304&gt;190;$X304&lt;=210);0,4;TRUE;0,2)))));1);""))</f>
        <v/>
      </c>
      <c r="Z304">
        <f>IF($A304="";"";TEXTJOIN(", ";TRUE;IF($B304="";"Тренировка";"");IF($C304="";"Кардио";"");IF($D304="";"Шаги";"");IF($E304="";"Английский";"");IF($F304="";"Код-режим";"");IF($G304="";"Код-тема";"");IF($H304="";"Чтение";"");IF($L304="";"Сон";"");IF($M304="";"Режим";"");IF($N304="";"Продуктивность";"");IF($O304="";"Настроение";"");IF($P304="";"Энергия";"");IF($U304="";"Еда";"")))</f>
        <v/>
      </c>
    </row>
    <row r="305">
      <c r="B305" t="inlineStr"/>
      <c r="C305" t="inlineStr"/>
      <c r="D305" t="inlineStr"/>
      <c r="E305" t="inlineStr"/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  <c r="O305" t="inlineStr"/>
      <c r="P305" t="inlineStr"/>
      <c r="Q305" t="inlineStr"/>
      <c r="R305" t="inlineStr"/>
      <c r="S305" t="inlineStr"/>
      <c r="T305" t="inlineStr"/>
      <c r="U305">
        <f>IF($A305="";"";IF(SUMIF(FoodLog!$A:$A;$A305;FoodLog!$I:$I)=0;"";SUMIF(FoodLog!$A:$A;$A305;FoodLog!$I:$I)))</f>
        <v/>
      </c>
      <c r="V305">
        <f>IF($A305="";"";IF(SUMIF(FoodLog!$A:$A;$A305;FoodLog!$F:$F)=0;"";SUMIF(FoodLog!$A:$A;$A305;FoodLog!$F:$F)))</f>
        <v/>
      </c>
      <c r="W305">
        <f>IF($A305="";"";IF(SUMIF(FoodLog!$A:$A;$A305;FoodLog!$G:$G)=0;"";SUMIF(FoodLog!$A:$A;$A305;FoodLog!$G:$G)))</f>
        <v/>
      </c>
      <c r="X305">
        <f>IF($A305="";"";IF(SUMIF(FoodLog!$A:$A;$A305;FoodLog!$H:$H)=0;"";SUMIF(FoodLog!$A:$A;$A305;FoodLog!$H:$H)))</f>
        <v/>
      </c>
      <c r="Y305">
        <f>IF($A305="";"";IFERROR(ROUND(100*AVERAGE(IF($B305="";"";XLOOKUP($B305;FILTER(Dictionaries!$B:$B;Dictionaries!$A:$A="Тренировка");FILTER(Dictionaries!$C:$C;Dictionaries!$A:$A="Тренировка")));IF($C305="";"";MIN($C305/40;1));IF($D305="";"";XLOOKUP($D305;FILTER(Dictionaries!$B:$B;Dictionaries!$A:$A="Шаги");FILTER(Dictionaries!$C:$C;Dictionaries!$A:$A="Шаги")));IF($E305="";"";MIN($E305/120;1));IF(OR($F305&lt;&gt;"";$G305&lt;&gt;"");1;"");IF($H305="";"";MIN($H305/100;1));IF($L305="";"";XLOOKUP($L305;FILTER(Dictionaries!$B:$B;Dictionaries!$A:$A="Сон_часы");FILTER(Dictionaries!$C:$C;Dictionaries!$A:$A="Сон_часы")));IF($M305="";"";XLOOKUP($M305;FILTER(Dictionaries!$B:$B;Dictionaries!$A:$A="Режим");FILTER(Dictionaries!$C:$C;Dictionaries!$A:$A="Режим")));IF($N305="";"";MIN($N305/100;1));IF($O305="";"";XLOOKUP($O305;FILTER(Dictionaries!$B:$B;Dictionaries!$A:$A="Настроение");FILTER(Dictionaries!$C:$C;Dictionaries!$A:$A="Настроение")));IF($P305="";"";XLOOKUP($P305;FILTER(Dictionaries!$B:$B;Dictionaries!$A:$A="Энергия");FILTER(Dictionaries!$C:$C;Dictionaries!$A:$A="Энергия")));IF($U305="";"";AVERAGE(IF(OR($B305="Ноги";$B305="Верх");IFS(AND($U305&gt;=1900;$U305&lt;=2050);1;AND($U305&gt;=1850;$U305&lt;1900);0,7;AND($U305&gt;2050;$U305&lt;=2100);0,7;TRUE;0,2);IFS(AND($U305&gt;=1700;$U305&lt;=1850);1;AND($U305&gt;=1650;$U305&lt;1700);0,7;AND($U305&gt;1850;$U305&lt;=1900);0,7;TRUE;0,2));IF(OR($B305="Ноги";$B305="Верх");IFS(AND($V305&gt;=125;$V305&lt;=135);1;AND($V305&gt;=115;$V305&lt;125);0,7;AND($V305&gt;135;$V305&lt;=145);0,7;AND($V305&gt;=105;$V305&lt;115);0,4;AND($V305&gt;145;$V305&lt;=155);0,4;TRUE;0,2);IFS(AND($V305&gt;=120;$V305&lt;=130);1;AND($V305&gt;=110;$V305&lt;120);0,7;AND($V305&gt;130;$V305&lt;=140);0,7;AND($V305&gt;=100;$V305&lt;110);0,4;AND($V305&gt;140;$V305&lt;=150);0,4;TRUE;0,2));IFS(AND($W305&gt;=55;$W305&lt;=65);1;AND($W305&gt;=50;$W305&lt;55);0,7;AND($W305&gt;65;$W305&lt;=70);0,7;AND($W305&gt;=45;$W305&lt;50);0,4;AND($W305&gt;70;$W305&lt;=75);0,4;TRUE;0,2);IF(OR($B305="Ноги";$B305="Верх");IFS(AND($X305&gt;=180;$X305&lt;=210);1;AND($X305&gt;=160;$X305&lt;180);0,7;AND($X305&gt;210;$X305&lt;=230);0,7;AND($X305&gt;=140;$X305&lt;160);0,4;AND($X305&gt;230;$X305&lt;=250);0,4;TRUE;0,2);IFS(AND($X305&gt;=140;$X305&lt;=170);1;AND($X305&gt;=120;$X305&lt;140);0,7;AND($X305&gt;170;$X305&lt;=190);0,7;AND($X305&gt;=100;$X305&lt;120);0,4;AND($X305&gt;190;$X305&lt;=210);0,4;TRUE;0,2)))));1);""))</f>
        <v/>
      </c>
      <c r="Z305">
        <f>IF($A305="";"";TEXTJOIN(", ";TRUE;IF($B305="";"Тренировка";"");IF($C305="";"Кардио";"");IF($D305="";"Шаги";"");IF($E305="";"Английский";"");IF($F305="";"Код-режим";"");IF($G305="";"Код-тема";"");IF($H305="";"Чтение";"");IF($L305="";"Сон";"");IF($M305="";"Режим";"");IF($N305="";"Продуктивность";"");IF($O305="";"Настроение";"");IF($P305="";"Энергия";"");IF($U305="";"Еда";"")))</f>
        <v/>
      </c>
    </row>
    <row r="306">
      <c r="B306" t="inlineStr"/>
      <c r="C306" t="inlineStr"/>
      <c r="D306" t="inlineStr"/>
      <c r="E306" t="inlineStr"/>
      <c r="F306" t="inlineStr"/>
      <c r="G306" t="inlineStr"/>
      <c r="H306" t="inlineStr"/>
      <c r="I306" t="inlineStr"/>
      <c r="J306" t="inlineStr"/>
      <c r="K306" t="inlineStr"/>
      <c r="L306" t="inlineStr"/>
      <c r="M306" t="inlineStr"/>
      <c r="N306" t="inlineStr"/>
      <c r="O306" t="inlineStr"/>
      <c r="P306" t="inlineStr"/>
      <c r="Q306" t="inlineStr"/>
      <c r="R306" t="inlineStr"/>
      <c r="S306" t="inlineStr"/>
      <c r="T306" t="inlineStr"/>
      <c r="U306">
        <f>IF($A306="";"";IF(SUMIF(FoodLog!$A:$A;$A306;FoodLog!$I:$I)=0;"";SUMIF(FoodLog!$A:$A;$A306;FoodLog!$I:$I)))</f>
        <v/>
      </c>
      <c r="V306">
        <f>IF($A306="";"";IF(SUMIF(FoodLog!$A:$A;$A306;FoodLog!$F:$F)=0;"";SUMIF(FoodLog!$A:$A;$A306;FoodLog!$F:$F)))</f>
        <v/>
      </c>
      <c r="W306">
        <f>IF($A306="";"";IF(SUMIF(FoodLog!$A:$A;$A306;FoodLog!$G:$G)=0;"";SUMIF(FoodLog!$A:$A;$A306;FoodLog!$G:$G)))</f>
        <v/>
      </c>
      <c r="X306">
        <f>IF($A306="";"";IF(SUMIF(FoodLog!$A:$A;$A306;FoodLog!$H:$H)=0;"";SUMIF(FoodLog!$A:$A;$A306;FoodLog!$H:$H)))</f>
        <v/>
      </c>
      <c r="Y306">
        <f>IF($A306="";"";IFERROR(ROUND(100*AVERAGE(IF($B306="";"";XLOOKUP($B306;FILTER(Dictionaries!$B:$B;Dictionaries!$A:$A="Тренировка");FILTER(Dictionaries!$C:$C;Dictionaries!$A:$A="Тренировка")));IF($C306="";"";MIN($C306/40;1));IF($D306="";"";XLOOKUP($D306;FILTER(Dictionaries!$B:$B;Dictionaries!$A:$A="Шаги");FILTER(Dictionaries!$C:$C;Dictionaries!$A:$A="Шаги")));IF($E306="";"";MIN($E306/120;1));IF(OR($F306&lt;&gt;"";$G306&lt;&gt;"");1;"");IF($H306="";"";MIN($H306/100;1));IF($L306="";"";XLOOKUP($L306;FILTER(Dictionaries!$B:$B;Dictionaries!$A:$A="Сон_часы");FILTER(Dictionaries!$C:$C;Dictionaries!$A:$A="Сон_часы")));IF($M306="";"";XLOOKUP($M306;FILTER(Dictionaries!$B:$B;Dictionaries!$A:$A="Режим");FILTER(Dictionaries!$C:$C;Dictionaries!$A:$A="Режим")));IF($N306="";"";MIN($N306/100;1));IF($O306="";"";XLOOKUP($O306;FILTER(Dictionaries!$B:$B;Dictionaries!$A:$A="Настроение");FILTER(Dictionaries!$C:$C;Dictionaries!$A:$A="Настроение")));IF($P306="";"";XLOOKUP($P306;FILTER(Dictionaries!$B:$B;Dictionaries!$A:$A="Энергия");FILTER(Dictionaries!$C:$C;Dictionaries!$A:$A="Энергия")));IF($U306="";"";AVERAGE(IF(OR($B306="Ноги";$B306="Верх");IFS(AND($U306&gt;=1900;$U306&lt;=2050);1;AND($U306&gt;=1850;$U306&lt;1900);0,7;AND($U306&gt;2050;$U306&lt;=2100);0,7;TRUE;0,2);IFS(AND($U306&gt;=1700;$U306&lt;=1850);1;AND($U306&gt;=1650;$U306&lt;1700);0,7;AND($U306&gt;1850;$U306&lt;=1900);0,7;TRUE;0,2));IF(OR($B306="Ноги";$B306="Верх");IFS(AND($V306&gt;=125;$V306&lt;=135);1;AND($V306&gt;=115;$V306&lt;125);0,7;AND($V306&gt;135;$V306&lt;=145);0,7;AND($V306&gt;=105;$V306&lt;115);0,4;AND($V306&gt;145;$V306&lt;=155);0,4;TRUE;0,2);IFS(AND($V306&gt;=120;$V306&lt;=130);1;AND($V306&gt;=110;$V306&lt;120);0,7;AND($V306&gt;130;$V306&lt;=140);0,7;AND($V306&gt;=100;$V306&lt;110);0,4;AND($V306&gt;140;$V306&lt;=150);0,4;TRUE;0,2));IFS(AND($W306&gt;=55;$W306&lt;=65);1;AND($W306&gt;=50;$W306&lt;55);0,7;AND($W306&gt;65;$W306&lt;=70);0,7;AND($W306&gt;=45;$W306&lt;50);0,4;AND($W306&gt;70;$W306&lt;=75);0,4;TRUE;0,2);IF(OR($B306="Ноги";$B306="Верх");IFS(AND($X306&gt;=180;$X306&lt;=210);1;AND($X306&gt;=160;$X306&lt;180);0,7;AND($X306&gt;210;$X306&lt;=230);0,7;AND($X306&gt;=140;$X306&lt;160);0,4;AND($X306&gt;230;$X306&lt;=250);0,4;TRUE;0,2);IFS(AND($X306&gt;=140;$X306&lt;=170);1;AND($X306&gt;=120;$X306&lt;140);0,7;AND($X306&gt;170;$X306&lt;=190);0,7;AND($X306&gt;=100;$X306&lt;120);0,4;AND($X306&gt;190;$X306&lt;=210);0,4;TRUE;0,2)))));1);""))</f>
        <v/>
      </c>
      <c r="Z306">
        <f>IF($A306="";"";TEXTJOIN(", ";TRUE;IF($B306="";"Тренировка";"");IF($C306="";"Кардио";"");IF($D306="";"Шаги";"");IF($E306="";"Английский";"");IF($F306="";"Код-режим";"");IF($G306="";"Код-тема";"");IF($H306="";"Чтение";"");IF($L306="";"Сон";"");IF($M306="";"Режим";"");IF($N306="";"Продуктивность";"");IF($O306="";"Настроение";"");IF($P306="";"Энергия";"");IF($U306="";"Еда";"")))</f>
        <v/>
      </c>
    </row>
    <row r="307">
      <c r="B307" t="inlineStr"/>
      <c r="C307" t="inlineStr"/>
      <c r="D307" t="inlineStr"/>
      <c r="E307" t="inlineStr"/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/>
      <c r="P307" t="inlineStr"/>
      <c r="Q307" t="inlineStr"/>
      <c r="R307" t="inlineStr"/>
      <c r="S307" t="inlineStr"/>
      <c r="T307" t="inlineStr"/>
      <c r="U307">
        <f>IF($A307="";"";IF(SUMIF(FoodLog!$A:$A;$A307;FoodLog!$I:$I)=0;"";SUMIF(FoodLog!$A:$A;$A307;FoodLog!$I:$I)))</f>
        <v/>
      </c>
      <c r="V307">
        <f>IF($A307="";"";IF(SUMIF(FoodLog!$A:$A;$A307;FoodLog!$F:$F)=0;"";SUMIF(FoodLog!$A:$A;$A307;FoodLog!$F:$F)))</f>
        <v/>
      </c>
      <c r="W307">
        <f>IF($A307="";"";IF(SUMIF(FoodLog!$A:$A;$A307;FoodLog!$G:$G)=0;"";SUMIF(FoodLog!$A:$A;$A307;FoodLog!$G:$G)))</f>
        <v/>
      </c>
      <c r="X307">
        <f>IF($A307="";"";IF(SUMIF(FoodLog!$A:$A;$A307;FoodLog!$H:$H)=0;"";SUMIF(FoodLog!$A:$A;$A307;FoodLog!$H:$H)))</f>
        <v/>
      </c>
      <c r="Y307">
        <f>IF($A307="";"";IFERROR(ROUND(100*AVERAGE(IF($B307="";"";XLOOKUP($B307;FILTER(Dictionaries!$B:$B;Dictionaries!$A:$A="Тренировка");FILTER(Dictionaries!$C:$C;Dictionaries!$A:$A="Тренировка")));IF($C307="";"";MIN($C307/40;1));IF($D307="";"";XLOOKUP($D307;FILTER(Dictionaries!$B:$B;Dictionaries!$A:$A="Шаги");FILTER(Dictionaries!$C:$C;Dictionaries!$A:$A="Шаги")));IF($E307="";"";MIN($E307/120;1));IF(OR($F307&lt;&gt;"";$G307&lt;&gt;"");1;"");IF($H307="";"";MIN($H307/100;1));IF($L307="";"";XLOOKUP($L307;FILTER(Dictionaries!$B:$B;Dictionaries!$A:$A="Сон_часы");FILTER(Dictionaries!$C:$C;Dictionaries!$A:$A="Сон_часы")));IF($M307="";"";XLOOKUP($M307;FILTER(Dictionaries!$B:$B;Dictionaries!$A:$A="Режим");FILTER(Dictionaries!$C:$C;Dictionaries!$A:$A="Режим")));IF($N307="";"";MIN($N307/100;1));IF($O307="";"";XLOOKUP($O307;FILTER(Dictionaries!$B:$B;Dictionaries!$A:$A="Настроение");FILTER(Dictionaries!$C:$C;Dictionaries!$A:$A="Настроение")));IF($P307="";"";XLOOKUP($P307;FILTER(Dictionaries!$B:$B;Dictionaries!$A:$A="Энергия");FILTER(Dictionaries!$C:$C;Dictionaries!$A:$A="Энергия")));IF($U307="";"";AVERAGE(IF(OR($B307="Ноги";$B307="Верх");IFS(AND($U307&gt;=1900;$U307&lt;=2050);1;AND($U307&gt;=1850;$U307&lt;1900);0,7;AND($U307&gt;2050;$U307&lt;=2100);0,7;TRUE;0,2);IFS(AND($U307&gt;=1700;$U307&lt;=1850);1;AND($U307&gt;=1650;$U307&lt;1700);0,7;AND($U307&gt;1850;$U307&lt;=1900);0,7;TRUE;0,2));IF(OR($B307="Ноги";$B307="Верх");IFS(AND($V307&gt;=125;$V307&lt;=135);1;AND($V307&gt;=115;$V307&lt;125);0,7;AND($V307&gt;135;$V307&lt;=145);0,7;AND($V307&gt;=105;$V307&lt;115);0,4;AND($V307&gt;145;$V307&lt;=155);0,4;TRUE;0,2);IFS(AND($V307&gt;=120;$V307&lt;=130);1;AND($V307&gt;=110;$V307&lt;120);0,7;AND($V307&gt;130;$V307&lt;=140);0,7;AND($V307&gt;=100;$V307&lt;110);0,4;AND($V307&gt;140;$V307&lt;=150);0,4;TRUE;0,2));IFS(AND($W307&gt;=55;$W307&lt;=65);1;AND($W307&gt;=50;$W307&lt;55);0,7;AND($W307&gt;65;$W307&lt;=70);0,7;AND($W307&gt;=45;$W307&lt;50);0,4;AND($W307&gt;70;$W307&lt;=75);0,4;TRUE;0,2);IF(OR($B307="Ноги";$B307="Верх");IFS(AND($X307&gt;=180;$X307&lt;=210);1;AND($X307&gt;=160;$X307&lt;180);0,7;AND($X307&gt;210;$X307&lt;=230);0,7;AND($X307&gt;=140;$X307&lt;160);0,4;AND($X307&gt;230;$X307&lt;=250);0,4;TRUE;0,2);IFS(AND($X307&gt;=140;$X307&lt;=170);1;AND($X307&gt;=120;$X307&lt;140);0,7;AND($X307&gt;170;$X307&lt;=190);0,7;AND($X307&gt;=100;$X307&lt;120);0,4;AND($X307&gt;190;$X307&lt;=210);0,4;TRUE;0,2)))));1);""))</f>
        <v/>
      </c>
      <c r="Z307">
        <f>IF($A307="";"";TEXTJOIN(", ";TRUE;IF($B307="";"Тренировка";"");IF($C307="";"Кардио";"");IF($D307="";"Шаги";"");IF($E307="";"Английский";"");IF($F307="";"Код-режим";"");IF($G307="";"Код-тема";"");IF($H307="";"Чтение";"");IF($L307="";"Сон";"");IF($M307="";"Режим";"");IF($N307="";"Продуктивность";"");IF($O307="";"Настроение";"");IF($P307="";"Энергия";"");IF($U307="";"Еда";"")))</f>
        <v/>
      </c>
    </row>
    <row r="308">
      <c r="B308" t="inlineStr"/>
      <c r="C308" t="inlineStr"/>
      <c r="D308" t="inlineStr"/>
      <c r="E308" t="inlineStr"/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/>
      <c r="P308" t="inlineStr"/>
      <c r="Q308" t="inlineStr"/>
      <c r="R308" t="inlineStr"/>
      <c r="S308" t="inlineStr"/>
      <c r="T308" t="inlineStr"/>
      <c r="U308">
        <f>IF($A308="";"";IF(SUMIF(FoodLog!$A:$A;$A308;FoodLog!$I:$I)=0;"";SUMIF(FoodLog!$A:$A;$A308;FoodLog!$I:$I)))</f>
        <v/>
      </c>
      <c r="V308">
        <f>IF($A308="";"";IF(SUMIF(FoodLog!$A:$A;$A308;FoodLog!$F:$F)=0;"";SUMIF(FoodLog!$A:$A;$A308;FoodLog!$F:$F)))</f>
        <v/>
      </c>
      <c r="W308">
        <f>IF($A308="";"";IF(SUMIF(FoodLog!$A:$A;$A308;FoodLog!$G:$G)=0;"";SUMIF(FoodLog!$A:$A;$A308;FoodLog!$G:$G)))</f>
        <v/>
      </c>
      <c r="X308">
        <f>IF($A308="";"";IF(SUMIF(FoodLog!$A:$A;$A308;FoodLog!$H:$H)=0;"";SUMIF(FoodLog!$A:$A;$A308;FoodLog!$H:$H)))</f>
        <v/>
      </c>
      <c r="Y308">
        <f>IF($A308="";"";IFERROR(ROUND(100*AVERAGE(IF($B308="";"";XLOOKUP($B308;FILTER(Dictionaries!$B:$B;Dictionaries!$A:$A="Тренировка");FILTER(Dictionaries!$C:$C;Dictionaries!$A:$A="Тренировка")));IF($C308="";"";MIN($C308/40;1));IF($D308="";"";XLOOKUP($D308;FILTER(Dictionaries!$B:$B;Dictionaries!$A:$A="Шаги");FILTER(Dictionaries!$C:$C;Dictionaries!$A:$A="Шаги")));IF($E308="";"";MIN($E308/120;1));IF(OR($F308&lt;&gt;"";$G308&lt;&gt;"");1;"");IF($H308="";"";MIN($H308/100;1));IF($L308="";"";XLOOKUP($L308;FILTER(Dictionaries!$B:$B;Dictionaries!$A:$A="Сон_часы");FILTER(Dictionaries!$C:$C;Dictionaries!$A:$A="Сон_часы")));IF($M308="";"";XLOOKUP($M308;FILTER(Dictionaries!$B:$B;Dictionaries!$A:$A="Режим");FILTER(Dictionaries!$C:$C;Dictionaries!$A:$A="Режим")));IF($N308="";"";MIN($N308/100;1));IF($O308="";"";XLOOKUP($O308;FILTER(Dictionaries!$B:$B;Dictionaries!$A:$A="Настроение");FILTER(Dictionaries!$C:$C;Dictionaries!$A:$A="Настроение")));IF($P308="";"";XLOOKUP($P308;FILTER(Dictionaries!$B:$B;Dictionaries!$A:$A="Энергия");FILTER(Dictionaries!$C:$C;Dictionaries!$A:$A="Энергия")));IF($U308="";"";AVERAGE(IF(OR($B308="Ноги";$B308="Верх");IFS(AND($U308&gt;=1900;$U308&lt;=2050);1;AND($U308&gt;=1850;$U308&lt;1900);0,7;AND($U308&gt;2050;$U308&lt;=2100);0,7;TRUE;0,2);IFS(AND($U308&gt;=1700;$U308&lt;=1850);1;AND($U308&gt;=1650;$U308&lt;1700);0,7;AND($U308&gt;1850;$U308&lt;=1900);0,7;TRUE;0,2));IF(OR($B308="Ноги";$B308="Верх");IFS(AND($V308&gt;=125;$V308&lt;=135);1;AND($V308&gt;=115;$V308&lt;125);0,7;AND($V308&gt;135;$V308&lt;=145);0,7;AND($V308&gt;=105;$V308&lt;115);0,4;AND($V308&gt;145;$V308&lt;=155);0,4;TRUE;0,2);IFS(AND($V308&gt;=120;$V308&lt;=130);1;AND($V308&gt;=110;$V308&lt;120);0,7;AND($V308&gt;130;$V308&lt;=140);0,7;AND($V308&gt;=100;$V308&lt;110);0,4;AND($V308&gt;140;$V308&lt;=150);0,4;TRUE;0,2));IFS(AND($W308&gt;=55;$W308&lt;=65);1;AND($W308&gt;=50;$W308&lt;55);0,7;AND($W308&gt;65;$W308&lt;=70);0,7;AND($W308&gt;=45;$W308&lt;50);0,4;AND($W308&gt;70;$W308&lt;=75);0,4;TRUE;0,2);IF(OR($B308="Ноги";$B308="Верх");IFS(AND($X308&gt;=180;$X308&lt;=210);1;AND($X308&gt;=160;$X308&lt;180);0,7;AND($X308&gt;210;$X308&lt;=230);0,7;AND($X308&gt;=140;$X308&lt;160);0,4;AND($X308&gt;230;$X308&lt;=250);0,4;TRUE;0,2);IFS(AND($X308&gt;=140;$X308&lt;=170);1;AND($X308&gt;=120;$X308&lt;140);0,7;AND($X308&gt;170;$X308&lt;=190);0,7;AND($X308&gt;=100;$X308&lt;120);0,4;AND($X308&gt;190;$X308&lt;=210);0,4;TRUE;0,2)))));1);""))</f>
        <v/>
      </c>
      <c r="Z308">
        <f>IF($A308="";"";TEXTJOIN(", ";TRUE;IF($B308="";"Тренировка";"");IF($C308="";"Кардио";"");IF($D308="";"Шаги";"");IF($E308="";"Английский";"");IF($F308="";"Код-режим";"");IF($G308="";"Код-тема";"");IF($H308="";"Чтение";"");IF($L308="";"Сон";"");IF($M308="";"Режим";"");IF($N308="";"Продуктивность";"");IF($O308="";"Настроение";"");IF($P308="";"Энергия";"");IF($U308="";"Еда";"")))</f>
        <v/>
      </c>
    </row>
    <row r="309">
      <c r="B309" t="inlineStr"/>
      <c r="C309" t="inlineStr"/>
      <c r="D309" t="inlineStr"/>
      <c r="E309" t="inlineStr"/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/>
      <c r="P309" t="inlineStr"/>
      <c r="Q309" t="inlineStr"/>
      <c r="R309" t="inlineStr"/>
      <c r="S309" t="inlineStr"/>
      <c r="T309" t="inlineStr"/>
      <c r="U309">
        <f>IF($A309="";"";IF(SUMIF(FoodLog!$A:$A;$A309;FoodLog!$I:$I)=0;"";SUMIF(FoodLog!$A:$A;$A309;FoodLog!$I:$I)))</f>
        <v/>
      </c>
      <c r="V309">
        <f>IF($A309="";"";IF(SUMIF(FoodLog!$A:$A;$A309;FoodLog!$F:$F)=0;"";SUMIF(FoodLog!$A:$A;$A309;FoodLog!$F:$F)))</f>
        <v/>
      </c>
      <c r="W309">
        <f>IF($A309="";"";IF(SUMIF(FoodLog!$A:$A;$A309;FoodLog!$G:$G)=0;"";SUMIF(FoodLog!$A:$A;$A309;FoodLog!$G:$G)))</f>
        <v/>
      </c>
      <c r="X309">
        <f>IF($A309="";"";IF(SUMIF(FoodLog!$A:$A;$A309;FoodLog!$H:$H)=0;"";SUMIF(FoodLog!$A:$A;$A309;FoodLog!$H:$H)))</f>
        <v/>
      </c>
      <c r="Y309">
        <f>IF($A309="";"";IFERROR(ROUND(100*AVERAGE(IF($B309="";"";XLOOKUP($B309;FILTER(Dictionaries!$B:$B;Dictionaries!$A:$A="Тренировка");FILTER(Dictionaries!$C:$C;Dictionaries!$A:$A="Тренировка")));IF($C309="";"";MIN($C309/40;1));IF($D309="";"";XLOOKUP($D309;FILTER(Dictionaries!$B:$B;Dictionaries!$A:$A="Шаги");FILTER(Dictionaries!$C:$C;Dictionaries!$A:$A="Шаги")));IF($E309="";"";MIN($E309/120;1));IF(OR($F309&lt;&gt;"";$G309&lt;&gt;"");1;"");IF($H309="";"";MIN($H309/100;1));IF($L309="";"";XLOOKUP($L309;FILTER(Dictionaries!$B:$B;Dictionaries!$A:$A="Сон_часы");FILTER(Dictionaries!$C:$C;Dictionaries!$A:$A="Сон_часы")));IF($M309="";"";XLOOKUP($M309;FILTER(Dictionaries!$B:$B;Dictionaries!$A:$A="Режим");FILTER(Dictionaries!$C:$C;Dictionaries!$A:$A="Режим")));IF($N309="";"";MIN($N309/100;1));IF($O309="";"";XLOOKUP($O309;FILTER(Dictionaries!$B:$B;Dictionaries!$A:$A="Настроение");FILTER(Dictionaries!$C:$C;Dictionaries!$A:$A="Настроение")));IF($P309="";"";XLOOKUP($P309;FILTER(Dictionaries!$B:$B;Dictionaries!$A:$A="Энергия");FILTER(Dictionaries!$C:$C;Dictionaries!$A:$A="Энергия")));IF($U309="";"";AVERAGE(IF(OR($B309="Ноги";$B309="Верх");IFS(AND($U309&gt;=1900;$U309&lt;=2050);1;AND($U309&gt;=1850;$U309&lt;1900);0,7;AND($U309&gt;2050;$U309&lt;=2100);0,7;TRUE;0,2);IFS(AND($U309&gt;=1700;$U309&lt;=1850);1;AND($U309&gt;=1650;$U309&lt;1700);0,7;AND($U309&gt;1850;$U309&lt;=1900);0,7;TRUE;0,2));IF(OR($B309="Ноги";$B309="Верх");IFS(AND($V309&gt;=125;$V309&lt;=135);1;AND($V309&gt;=115;$V309&lt;125);0,7;AND($V309&gt;135;$V309&lt;=145);0,7;AND($V309&gt;=105;$V309&lt;115);0,4;AND($V309&gt;145;$V309&lt;=155);0,4;TRUE;0,2);IFS(AND($V309&gt;=120;$V309&lt;=130);1;AND($V309&gt;=110;$V309&lt;120);0,7;AND($V309&gt;130;$V309&lt;=140);0,7;AND($V309&gt;=100;$V309&lt;110);0,4;AND($V309&gt;140;$V309&lt;=150);0,4;TRUE;0,2));IFS(AND($W309&gt;=55;$W309&lt;=65);1;AND($W309&gt;=50;$W309&lt;55);0,7;AND($W309&gt;65;$W309&lt;=70);0,7;AND($W309&gt;=45;$W309&lt;50);0,4;AND($W309&gt;70;$W309&lt;=75);0,4;TRUE;0,2);IF(OR($B309="Ноги";$B309="Верх");IFS(AND($X309&gt;=180;$X309&lt;=210);1;AND($X309&gt;=160;$X309&lt;180);0,7;AND($X309&gt;210;$X309&lt;=230);0,7;AND($X309&gt;=140;$X309&lt;160);0,4;AND($X309&gt;230;$X309&lt;=250);0,4;TRUE;0,2);IFS(AND($X309&gt;=140;$X309&lt;=170);1;AND($X309&gt;=120;$X309&lt;140);0,7;AND($X309&gt;170;$X309&lt;=190);0,7;AND($X309&gt;=100;$X309&lt;120);0,4;AND($X309&gt;190;$X309&lt;=210);0,4;TRUE;0,2)))));1);""))</f>
        <v/>
      </c>
      <c r="Z309">
        <f>IF($A309="";"";TEXTJOIN(", ";TRUE;IF($B309="";"Тренировка";"");IF($C309="";"Кардио";"");IF($D309="";"Шаги";"");IF($E309="";"Английский";"");IF($F309="";"Код-режим";"");IF($G309="";"Код-тема";"");IF($H309="";"Чтение";"");IF($L309="";"Сон";"");IF($M309="";"Режим";"");IF($N309="";"Продуктивность";"");IF($O309="";"Настроение";"");IF($P309="";"Энергия";"");IF($U309="";"Еда";"")))</f>
        <v/>
      </c>
    </row>
    <row r="310">
      <c r="B310" t="inlineStr"/>
      <c r="C310" t="inlineStr"/>
      <c r="D310" t="inlineStr"/>
      <c r="E310" t="inlineStr"/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/>
      <c r="P310" t="inlineStr"/>
      <c r="Q310" t="inlineStr"/>
      <c r="R310" t="inlineStr"/>
      <c r="S310" t="inlineStr"/>
      <c r="T310" t="inlineStr"/>
      <c r="U310">
        <f>IF($A310="";"";IF(SUMIF(FoodLog!$A:$A;$A310;FoodLog!$I:$I)=0;"";SUMIF(FoodLog!$A:$A;$A310;FoodLog!$I:$I)))</f>
        <v/>
      </c>
      <c r="V310">
        <f>IF($A310="";"";IF(SUMIF(FoodLog!$A:$A;$A310;FoodLog!$F:$F)=0;"";SUMIF(FoodLog!$A:$A;$A310;FoodLog!$F:$F)))</f>
        <v/>
      </c>
      <c r="W310">
        <f>IF($A310="";"";IF(SUMIF(FoodLog!$A:$A;$A310;FoodLog!$G:$G)=0;"";SUMIF(FoodLog!$A:$A;$A310;FoodLog!$G:$G)))</f>
        <v/>
      </c>
      <c r="X310">
        <f>IF($A310="";"";IF(SUMIF(FoodLog!$A:$A;$A310;FoodLog!$H:$H)=0;"";SUMIF(FoodLog!$A:$A;$A310;FoodLog!$H:$H)))</f>
        <v/>
      </c>
      <c r="Y310">
        <f>IF($A310="";"";IFERROR(ROUND(100*AVERAGE(IF($B310="";"";XLOOKUP($B310;FILTER(Dictionaries!$B:$B;Dictionaries!$A:$A="Тренировка");FILTER(Dictionaries!$C:$C;Dictionaries!$A:$A="Тренировка")));IF($C310="";"";MIN($C310/40;1));IF($D310="";"";XLOOKUP($D310;FILTER(Dictionaries!$B:$B;Dictionaries!$A:$A="Шаги");FILTER(Dictionaries!$C:$C;Dictionaries!$A:$A="Шаги")));IF($E310="";"";MIN($E310/120;1));IF(OR($F310&lt;&gt;"";$G310&lt;&gt;"");1;"");IF($H310="";"";MIN($H310/100;1));IF($L310="";"";XLOOKUP($L310;FILTER(Dictionaries!$B:$B;Dictionaries!$A:$A="Сон_часы");FILTER(Dictionaries!$C:$C;Dictionaries!$A:$A="Сон_часы")));IF($M310="";"";XLOOKUP($M310;FILTER(Dictionaries!$B:$B;Dictionaries!$A:$A="Режим");FILTER(Dictionaries!$C:$C;Dictionaries!$A:$A="Режим")));IF($N310="";"";MIN($N310/100;1));IF($O310="";"";XLOOKUP($O310;FILTER(Dictionaries!$B:$B;Dictionaries!$A:$A="Настроение");FILTER(Dictionaries!$C:$C;Dictionaries!$A:$A="Настроение")));IF($P310="";"";XLOOKUP($P310;FILTER(Dictionaries!$B:$B;Dictionaries!$A:$A="Энергия");FILTER(Dictionaries!$C:$C;Dictionaries!$A:$A="Энергия")));IF($U310="";"";AVERAGE(IF(OR($B310="Ноги";$B310="Верх");IFS(AND($U310&gt;=1900;$U310&lt;=2050);1;AND($U310&gt;=1850;$U310&lt;1900);0,7;AND($U310&gt;2050;$U310&lt;=2100);0,7;TRUE;0,2);IFS(AND($U310&gt;=1700;$U310&lt;=1850);1;AND($U310&gt;=1650;$U310&lt;1700);0,7;AND($U310&gt;1850;$U310&lt;=1900);0,7;TRUE;0,2));IF(OR($B310="Ноги";$B310="Верх");IFS(AND($V310&gt;=125;$V310&lt;=135);1;AND($V310&gt;=115;$V310&lt;125);0,7;AND($V310&gt;135;$V310&lt;=145);0,7;AND($V310&gt;=105;$V310&lt;115);0,4;AND($V310&gt;145;$V310&lt;=155);0,4;TRUE;0,2);IFS(AND($V310&gt;=120;$V310&lt;=130);1;AND($V310&gt;=110;$V310&lt;120);0,7;AND($V310&gt;130;$V310&lt;=140);0,7;AND($V310&gt;=100;$V310&lt;110);0,4;AND($V310&gt;140;$V310&lt;=150);0,4;TRUE;0,2));IFS(AND($W310&gt;=55;$W310&lt;=65);1;AND($W310&gt;=50;$W310&lt;55);0,7;AND($W310&gt;65;$W310&lt;=70);0,7;AND($W310&gt;=45;$W310&lt;50);0,4;AND($W310&gt;70;$W310&lt;=75);0,4;TRUE;0,2);IF(OR($B310="Ноги";$B310="Верх");IFS(AND($X310&gt;=180;$X310&lt;=210);1;AND($X310&gt;=160;$X310&lt;180);0,7;AND($X310&gt;210;$X310&lt;=230);0,7;AND($X310&gt;=140;$X310&lt;160);0,4;AND($X310&gt;230;$X310&lt;=250);0,4;TRUE;0,2);IFS(AND($X310&gt;=140;$X310&lt;=170);1;AND($X310&gt;=120;$X310&lt;140);0,7;AND($X310&gt;170;$X310&lt;=190);0,7;AND($X310&gt;=100;$X310&lt;120);0,4;AND($X310&gt;190;$X310&lt;=210);0,4;TRUE;0,2)))));1);""))</f>
        <v/>
      </c>
      <c r="Z310">
        <f>IF($A310="";"";TEXTJOIN(", ";TRUE;IF($B310="";"Тренировка";"");IF($C310="";"Кардио";"");IF($D310="";"Шаги";"");IF($E310="";"Английский";"");IF($F310="";"Код-режим";"");IF($G310="";"Код-тема";"");IF($H310="";"Чтение";"");IF($L310="";"Сон";"");IF($M310="";"Режим";"");IF($N310="";"Продуктивность";"");IF($O310="";"Настроение";"");IF($P310="";"Энергия";"");IF($U310="";"Еда";"")))</f>
        <v/>
      </c>
    </row>
    <row r="311">
      <c r="B311" t="inlineStr"/>
      <c r="C311" t="inlineStr"/>
      <c r="D311" t="inlineStr"/>
      <c r="E311" t="inlineStr"/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/>
      <c r="P311" t="inlineStr"/>
      <c r="Q311" t="inlineStr"/>
      <c r="R311" t="inlineStr"/>
      <c r="S311" t="inlineStr"/>
      <c r="T311" t="inlineStr"/>
      <c r="U311">
        <f>IF($A311="";"";IF(SUMIF(FoodLog!$A:$A;$A311;FoodLog!$I:$I)=0;"";SUMIF(FoodLog!$A:$A;$A311;FoodLog!$I:$I)))</f>
        <v/>
      </c>
      <c r="V311">
        <f>IF($A311="";"";IF(SUMIF(FoodLog!$A:$A;$A311;FoodLog!$F:$F)=0;"";SUMIF(FoodLog!$A:$A;$A311;FoodLog!$F:$F)))</f>
        <v/>
      </c>
      <c r="W311">
        <f>IF($A311="";"";IF(SUMIF(FoodLog!$A:$A;$A311;FoodLog!$G:$G)=0;"";SUMIF(FoodLog!$A:$A;$A311;FoodLog!$G:$G)))</f>
        <v/>
      </c>
      <c r="X311">
        <f>IF($A311="";"";IF(SUMIF(FoodLog!$A:$A;$A311;FoodLog!$H:$H)=0;"";SUMIF(FoodLog!$A:$A;$A311;FoodLog!$H:$H)))</f>
        <v/>
      </c>
      <c r="Y311">
        <f>IF($A311="";"";IFERROR(ROUND(100*AVERAGE(IF($B311="";"";XLOOKUP($B311;FILTER(Dictionaries!$B:$B;Dictionaries!$A:$A="Тренировка");FILTER(Dictionaries!$C:$C;Dictionaries!$A:$A="Тренировка")));IF($C311="";"";MIN($C311/40;1));IF($D311="";"";XLOOKUP($D311;FILTER(Dictionaries!$B:$B;Dictionaries!$A:$A="Шаги");FILTER(Dictionaries!$C:$C;Dictionaries!$A:$A="Шаги")));IF($E311="";"";MIN($E311/120;1));IF(OR($F311&lt;&gt;"";$G311&lt;&gt;"");1;"");IF($H311="";"";MIN($H311/100;1));IF($L311="";"";XLOOKUP($L311;FILTER(Dictionaries!$B:$B;Dictionaries!$A:$A="Сон_часы");FILTER(Dictionaries!$C:$C;Dictionaries!$A:$A="Сон_часы")));IF($M311="";"";XLOOKUP($M311;FILTER(Dictionaries!$B:$B;Dictionaries!$A:$A="Режим");FILTER(Dictionaries!$C:$C;Dictionaries!$A:$A="Режим")));IF($N311="";"";MIN($N311/100;1));IF($O311="";"";XLOOKUP($O311;FILTER(Dictionaries!$B:$B;Dictionaries!$A:$A="Настроение");FILTER(Dictionaries!$C:$C;Dictionaries!$A:$A="Настроение")));IF($P311="";"";XLOOKUP($P311;FILTER(Dictionaries!$B:$B;Dictionaries!$A:$A="Энергия");FILTER(Dictionaries!$C:$C;Dictionaries!$A:$A="Энергия")));IF($U311="";"";AVERAGE(IF(OR($B311="Ноги";$B311="Верх");IFS(AND($U311&gt;=1900;$U311&lt;=2050);1;AND($U311&gt;=1850;$U311&lt;1900);0,7;AND($U311&gt;2050;$U311&lt;=2100);0,7;TRUE;0,2);IFS(AND($U311&gt;=1700;$U311&lt;=1850);1;AND($U311&gt;=1650;$U311&lt;1700);0,7;AND($U311&gt;1850;$U311&lt;=1900);0,7;TRUE;0,2));IF(OR($B311="Ноги";$B311="Верх");IFS(AND($V311&gt;=125;$V311&lt;=135);1;AND($V311&gt;=115;$V311&lt;125);0,7;AND($V311&gt;135;$V311&lt;=145);0,7;AND($V311&gt;=105;$V311&lt;115);0,4;AND($V311&gt;145;$V311&lt;=155);0,4;TRUE;0,2);IFS(AND($V311&gt;=120;$V311&lt;=130);1;AND($V311&gt;=110;$V311&lt;120);0,7;AND($V311&gt;130;$V311&lt;=140);0,7;AND($V311&gt;=100;$V311&lt;110);0,4;AND($V311&gt;140;$V311&lt;=150);0,4;TRUE;0,2));IFS(AND($W311&gt;=55;$W311&lt;=65);1;AND($W311&gt;=50;$W311&lt;55);0,7;AND($W311&gt;65;$W311&lt;=70);0,7;AND($W311&gt;=45;$W311&lt;50);0,4;AND($W311&gt;70;$W311&lt;=75);0,4;TRUE;0,2);IF(OR($B311="Ноги";$B311="Верх");IFS(AND($X311&gt;=180;$X311&lt;=210);1;AND($X311&gt;=160;$X311&lt;180);0,7;AND($X311&gt;210;$X311&lt;=230);0,7;AND($X311&gt;=140;$X311&lt;160);0,4;AND($X311&gt;230;$X311&lt;=250);0,4;TRUE;0,2);IFS(AND($X311&gt;=140;$X311&lt;=170);1;AND($X311&gt;=120;$X311&lt;140);0,7;AND($X311&gt;170;$X311&lt;=190);0,7;AND($X311&gt;=100;$X311&lt;120);0,4;AND($X311&gt;190;$X311&lt;=210);0,4;TRUE;0,2)))));1);""))</f>
        <v/>
      </c>
      <c r="Z311">
        <f>IF($A311="";"";TEXTJOIN(", ";TRUE;IF($B311="";"Тренировка";"");IF($C311="";"Кардио";"");IF($D311="";"Шаги";"");IF($E311="";"Английский";"");IF($F311="";"Код-режим";"");IF($G311="";"Код-тема";"");IF($H311="";"Чтение";"");IF($L311="";"Сон";"");IF($M311="";"Режим";"");IF($N311="";"Продуктивность";"");IF($O311="";"Настроение";"");IF($P311="";"Энергия";"");IF($U311="";"Еда";"")))</f>
        <v/>
      </c>
    </row>
    <row r="312">
      <c r="B312" t="inlineStr"/>
      <c r="C312" t="inlineStr"/>
      <c r="D312" t="inlineStr"/>
      <c r="E312" t="inlineStr"/>
      <c r="F312" t="inlineStr"/>
      <c r="G312" t="inlineStr"/>
      <c r="H312" t="inlineStr"/>
      <c r="I312" t="inlineStr"/>
      <c r="J312" t="inlineStr"/>
      <c r="K312" t="inlineStr"/>
      <c r="L312" t="inlineStr"/>
      <c r="M312" t="inlineStr"/>
      <c r="N312" t="inlineStr"/>
      <c r="O312" t="inlineStr"/>
      <c r="P312" t="inlineStr"/>
      <c r="Q312" t="inlineStr"/>
      <c r="R312" t="inlineStr"/>
      <c r="S312" t="inlineStr"/>
      <c r="T312" t="inlineStr"/>
      <c r="U312">
        <f>IF($A312="";"";IF(SUMIF(FoodLog!$A:$A;$A312;FoodLog!$I:$I)=0;"";SUMIF(FoodLog!$A:$A;$A312;FoodLog!$I:$I)))</f>
        <v/>
      </c>
      <c r="V312">
        <f>IF($A312="";"";IF(SUMIF(FoodLog!$A:$A;$A312;FoodLog!$F:$F)=0;"";SUMIF(FoodLog!$A:$A;$A312;FoodLog!$F:$F)))</f>
        <v/>
      </c>
      <c r="W312">
        <f>IF($A312="";"";IF(SUMIF(FoodLog!$A:$A;$A312;FoodLog!$G:$G)=0;"";SUMIF(FoodLog!$A:$A;$A312;FoodLog!$G:$G)))</f>
        <v/>
      </c>
      <c r="X312">
        <f>IF($A312="";"";IF(SUMIF(FoodLog!$A:$A;$A312;FoodLog!$H:$H)=0;"";SUMIF(FoodLog!$A:$A;$A312;FoodLog!$H:$H)))</f>
        <v/>
      </c>
      <c r="Y312">
        <f>IF($A312="";"";IFERROR(ROUND(100*AVERAGE(IF($B312="";"";XLOOKUP($B312;FILTER(Dictionaries!$B:$B;Dictionaries!$A:$A="Тренировка");FILTER(Dictionaries!$C:$C;Dictionaries!$A:$A="Тренировка")));IF($C312="";"";MIN($C312/40;1));IF($D312="";"";XLOOKUP($D312;FILTER(Dictionaries!$B:$B;Dictionaries!$A:$A="Шаги");FILTER(Dictionaries!$C:$C;Dictionaries!$A:$A="Шаги")));IF($E312="";"";MIN($E312/120;1));IF(OR($F312&lt;&gt;"";$G312&lt;&gt;"");1;"");IF($H312="";"";MIN($H312/100;1));IF($L312="";"";XLOOKUP($L312;FILTER(Dictionaries!$B:$B;Dictionaries!$A:$A="Сон_часы");FILTER(Dictionaries!$C:$C;Dictionaries!$A:$A="Сон_часы")));IF($M312="";"";XLOOKUP($M312;FILTER(Dictionaries!$B:$B;Dictionaries!$A:$A="Режим");FILTER(Dictionaries!$C:$C;Dictionaries!$A:$A="Режим")));IF($N312="";"";MIN($N312/100;1));IF($O312="";"";XLOOKUP($O312;FILTER(Dictionaries!$B:$B;Dictionaries!$A:$A="Настроение");FILTER(Dictionaries!$C:$C;Dictionaries!$A:$A="Настроение")));IF($P312="";"";XLOOKUP($P312;FILTER(Dictionaries!$B:$B;Dictionaries!$A:$A="Энергия");FILTER(Dictionaries!$C:$C;Dictionaries!$A:$A="Энергия")));IF($U312="";"";AVERAGE(IF(OR($B312="Ноги";$B312="Верх");IFS(AND($U312&gt;=1900;$U312&lt;=2050);1;AND($U312&gt;=1850;$U312&lt;1900);0,7;AND($U312&gt;2050;$U312&lt;=2100);0,7;TRUE;0,2);IFS(AND($U312&gt;=1700;$U312&lt;=1850);1;AND($U312&gt;=1650;$U312&lt;1700);0,7;AND($U312&gt;1850;$U312&lt;=1900);0,7;TRUE;0,2));IF(OR($B312="Ноги";$B312="Верх");IFS(AND($V312&gt;=125;$V312&lt;=135);1;AND($V312&gt;=115;$V312&lt;125);0,7;AND($V312&gt;135;$V312&lt;=145);0,7;AND($V312&gt;=105;$V312&lt;115);0,4;AND($V312&gt;145;$V312&lt;=155);0,4;TRUE;0,2);IFS(AND($V312&gt;=120;$V312&lt;=130);1;AND($V312&gt;=110;$V312&lt;120);0,7;AND($V312&gt;130;$V312&lt;=140);0,7;AND($V312&gt;=100;$V312&lt;110);0,4;AND($V312&gt;140;$V312&lt;=150);0,4;TRUE;0,2));IFS(AND($W312&gt;=55;$W312&lt;=65);1;AND($W312&gt;=50;$W312&lt;55);0,7;AND($W312&gt;65;$W312&lt;=70);0,7;AND($W312&gt;=45;$W312&lt;50);0,4;AND($W312&gt;70;$W312&lt;=75);0,4;TRUE;0,2);IF(OR($B312="Ноги";$B312="Верх");IFS(AND($X312&gt;=180;$X312&lt;=210);1;AND($X312&gt;=160;$X312&lt;180);0,7;AND($X312&gt;210;$X312&lt;=230);0,7;AND($X312&gt;=140;$X312&lt;160);0,4;AND($X312&gt;230;$X312&lt;=250);0,4;TRUE;0,2);IFS(AND($X312&gt;=140;$X312&lt;=170);1;AND($X312&gt;=120;$X312&lt;140);0,7;AND($X312&gt;170;$X312&lt;=190);0,7;AND($X312&gt;=100;$X312&lt;120);0,4;AND($X312&gt;190;$X312&lt;=210);0,4;TRUE;0,2)))));1);""))</f>
        <v/>
      </c>
      <c r="Z312">
        <f>IF($A312="";"";TEXTJOIN(", ";TRUE;IF($B312="";"Тренировка";"");IF($C312="";"Кардио";"");IF($D312="";"Шаги";"");IF($E312="";"Английский";"");IF($F312="";"Код-режим";"");IF($G312="";"Код-тема";"");IF($H312="";"Чтение";"");IF($L312="";"Сон";"");IF($M312="";"Режим";"");IF($N312="";"Продуктивность";"");IF($O312="";"Настроение";"");IF($P312="";"Энергия";"");IF($U312="";"Еда";"")))</f>
        <v/>
      </c>
    </row>
    <row r="313">
      <c r="B313" t="inlineStr"/>
      <c r="C313" t="inlineStr"/>
      <c r="D313" t="inlineStr"/>
      <c r="E313" t="inlineStr"/>
      <c r="F313" t="inlineStr"/>
      <c r="G313" t="inlineStr"/>
      <c r="H313" t="inlineStr"/>
      <c r="I313" t="inlineStr"/>
      <c r="J313" t="inlineStr"/>
      <c r="K313" t="inlineStr"/>
      <c r="L313" t="inlineStr"/>
      <c r="M313" t="inlineStr"/>
      <c r="N313" t="inlineStr"/>
      <c r="O313" t="inlineStr"/>
      <c r="P313" t="inlineStr"/>
      <c r="Q313" t="inlineStr"/>
      <c r="R313" t="inlineStr"/>
      <c r="S313" t="inlineStr"/>
      <c r="T313" t="inlineStr"/>
      <c r="U313">
        <f>IF($A313="";"";IF(SUMIF(FoodLog!$A:$A;$A313;FoodLog!$I:$I)=0;"";SUMIF(FoodLog!$A:$A;$A313;FoodLog!$I:$I)))</f>
        <v/>
      </c>
      <c r="V313">
        <f>IF($A313="";"";IF(SUMIF(FoodLog!$A:$A;$A313;FoodLog!$F:$F)=0;"";SUMIF(FoodLog!$A:$A;$A313;FoodLog!$F:$F)))</f>
        <v/>
      </c>
      <c r="W313">
        <f>IF($A313="";"";IF(SUMIF(FoodLog!$A:$A;$A313;FoodLog!$G:$G)=0;"";SUMIF(FoodLog!$A:$A;$A313;FoodLog!$G:$G)))</f>
        <v/>
      </c>
      <c r="X313">
        <f>IF($A313="";"";IF(SUMIF(FoodLog!$A:$A;$A313;FoodLog!$H:$H)=0;"";SUMIF(FoodLog!$A:$A;$A313;FoodLog!$H:$H)))</f>
        <v/>
      </c>
      <c r="Y313">
        <f>IF($A313="";"";IFERROR(ROUND(100*AVERAGE(IF($B313="";"";XLOOKUP($B313;FILTER(Dictionaries!$B:$B;Dictionaries!$A:$A="Тренировка");FILTER(Dictionaries!$C:$C;Dictionaries!$A:$A="Тренировка")));IF($C313="";"";MIN($C313/40;1));IF($D313="";"";XLOOKUP($D313;FILTER(Dictionaries!$B:$B;Dictionaries!$A:$A="Шаги");FILTER(Dictionaries!$C:$C;Dictionaries!$A:$A="Шаги")));IF($E313="";"";MIN($E313/120;1));IF(OR($F313&lt;&gt;"";$G313&lt;&gt;"");1;"");IF($H313="";"";MIN($H313/100;1));IF($L313="";"";XLOOKUP($L313;FILTER(Dictionaries!$B:$B;Dictionaries!$A:$A="Сон_часы");FILTER(Dictionaries!$C:$C;Dictionaries!$A:$A="Сон_часы")));IF($M313="";"";XLOOKUP($M313;FILTER(Dictionaries!$B:$B;Dictionaries!$A:$A="Режим");FILTER(Dictionaries!$C:$C;Dictionaries!$A:$A="Режим")));IF($N313="";"";MIN($N313/100;1));IF($O313="";"";XLOOKUP($O313;FILTER(Dictionaries!$B:$B;Dictionaries!$A:$A="Настроение");FILTER(Dictionaries!$C:$C;Dictionaries!$A:$A="Настроение")));IF($P313="";"";XLOOKUP($P313;FILTER(Dictionaries!$B:$B;Dictionaries!$A:$A="Энергия");FILTER(Dictionaries!$C:$C;Dictionaries!$A:$A="Энергия")));IF($U313="";"";AVERAGE(IF(OR($B313="Ноги";$B313="Верх");IFS(AND($U313&gt;=1900;$U313&lt;=2050);1;AND($U313&gt;=1850;$U313&lt;1900);0,7;AND($U313&gt;2050;$U313&lt;=2100);0,7;TRUE;0,2);IFS(AND($U313&gt;=1700;$U313&lt;=1850);1;AND($U313&gt;=1650;$U313&lt;1700);0,7;AND($U313&gt;1850;$U313&lt;=1900);0,7;TRUE;0,2));IF(OR($B313="Ноги";$B313="Верх");IFS(AND($V313&gt;=125;$V313&lt;=135);1;AND($V313&gt;=115;$V313&lt;125);0,7;AND($V313&gt;135;$V313&lt;=145);0,7;AND($V313&gt;=105;$V313&lt;115);0,4;AND($V313&gt;145;$V313&lt;=155);0,4;TRUE;0,2);IFS(AND($V313&gt;=120;$V313&lt;=130);1;AND($V313&gt;=110;$V313&lt;120);0,7;AND($V313&gt;130;$V313&lt;=140);0,7;AND($V313&gt;=100;$V313&lt;110);0,4;AND($V313&gt;140;$V313&lt;=150);0,4;TRUE;0,2));IFS(AND($W313&gt;=55;$W313&lt;=65);1;AND($W313&gt;=50;$W313&lt;55);0,7;AND($W313&gt;65;$W313&lt;=70);0,7;AND($W313&gt;=45;$W313&lt;50);0,4;AND($W313&gt;70;$W313&lt;=75);0,4;TRUE;0,2);IF(OR($B313="Ноги";$B313="Верх");IFS(AND($X313&gt;=180;$X313&lt;=210);1;AND($X313&gt;=160;$X313&lt;180);0,7;AND($X313&gt;210;$X313&lt;=230);0,7;AND($X313&gt;=140;$X313&lt;160);0,4;AND($X313&gt;230;$X313&lt;=250);0,4;TRUE;0,2);IFS(AND($X313&gt;=140;$X313&lt;=170);1;AND($X313&gt;=120;$X313&lt;140);0,7;AND($X313&gt;170;$X313&lt;=190);0,7;AND($X313&gt;=100;$X313&lt;120);0,4;AND($X313&gt;190;$X313&lt;=210);0,4;TRUE;0,2)))));1);""))</f>
        <v/>
      </c>
      <c r="Z313">
        <f>IF($A313="";"";TEXTJOIN(", ";TRUE;IF($B313="";"Тренировка";"");IF($C313="";"Кардио";"");IF($D313="";"Шаги";"");IF($E313="";"Английский";"");IF($F313="";"Код-режим";"");IF($G313="";"Код-тема";"");IF($H313="";"Чтение";"");IF($L313="";"Сон";"");IF($M313="";"Режим";"");IF($N313="";"Продуктивность";"");IF($O313="";"Настроение";"");IF($P313="";"Энергия";"");IF($U313="";"Еда";"")))</f>
        <v/>
      </c>
    </row>
    <row r="314">
      <c r="B314" t="inlineStr"/>
      <c r="C314" t="inlineStr"/>
      <c r="D314" t="inlineStr"/>
      <c r="E314" t="inlineStr"/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/>
      <c r="P314" t="inlineStr"/>
      <c r="Q314" t="inlineStr"/>
      <c r="R314" t="inlineStr"/>
      <c r="S314" t="inlineStr"/>
      <c r="T314" t="inlineStr"/>
      <c r="U314">
        <f>IF($A314="";"";IF(SUMIF(FoodLog!$A:$A;$A314;FoodLog!$I:$I)=0;"";SUMIF(FoodLog!$A:$A;$A314;FoodLog!$I:$I)))</f>
        <v/>
      </c>
      <c r="V314">
        <f>IF($A314="";"";IF(SUMIF(FoodLog!$A:$A;$A314;FoodLog!$F:$F)=0;"";SUMIF(FoodLog!$A:$A;$A314;FoodLog!$F:$F)))</f>
        <v/>
      </c>
      <c r="W314">
        <f>IF($A314="";"";IF(SUMIF(FoodLog!$A:$A;$A314;FoodLog!$G:$G)=0;"";SUMIF(FoodLog!$A:$A;$A314;FoodLog!$G:$G)))</f>
        <v/>
      </c>
      <c r="X314">
        <f>IF($A314="";"";IF(SUMIF(FoodLog!$A:$A;$A314;FoodLog!$H:$H)=0;"";SUMIF(FoodLog!$A:$A;$A314;FoodLog!$H:$H)))</f>
        <v/>
      </c>
      <c r="Y314">
        <f>IF($A314="";"";IFERROR(ROUND(100*AVERAGE(IF($B314="";"";XLOOKUP($B314;FILTER(Dictionaries!$B:$B;Dictionaries!$A:$A="Тренировка");FILTER(Dictionaries!$C:$C;Dictionaries!$A:$A="Тренировка")));IF($C314="";"";MIN($C314/40;1));IF($D314="";"";XLOOKUP($D314;FILTER(Dictionaries!$B:$B;Dictionaries!$A:$A="Шаги");FILTER(Dictionaries!$C:$C;Dictionaries!$A:$A="Шаги")));IF($E314="";"";MIN($E314/120;1));IF(OR($F314&lt;&gt;"";$G314&lt;&gt;"");1;"");IF($H314="";"";MIN($H314/100;1));IF($L314="";"";XLOOKUP($L314;FILTER(Dictionaries!$B:$B;Dictionaries!$A:$A="Сон_часы");FILTER(Dictionaries!$C:$C;Dictionaries!$A:$A="Сон_часы")));IF($M314="";"";XLOOKUP($M314;FILTER(Dictionaries!$B:$B;Dictionaries!$A:$A="Режим");FILTER(Dictionaries!$C:$C;Dictionaries!$A:$A="Режим")));IF($N314="";"";MIN($N314/100;1));IF($O314="";"";XLOOKUP($O314;FILTER(Dictionaries!$B:$B;Dictionaries!$A:$A="Настроение");FILTER(Dictionaries!$C:$C;Dictionaries!$A:$A="Настроение")));IF($P314="";"";XLOOKUP($P314;FILTER(Dictionaries!$B:$B;Dictionaries!$A:$A="Энергия");FILTER(Dictionaries!$C:$C;Dictionaries!$A:$A="Энергия")));IF($U314="";"";AVERAGE(IF(OR($B314="Ноги";$B314="Верх");IFS(AND($U314&gt;=1900;$U314&lt;=2050);1;AND($U314&gt;=1850;$U314&lt;1900);0,7;AND($U314&gt;2050;$U314&lt;=2100);0,7;TRUE;0,2);IFS(AND($U314&gt;=1700;$U314&lt;=1850);1;AND($U314&gt;=1650;$U314&lt;1700);0,7;AND($U314&gt;1850;$U314&lt;=1900);0,7;TRUE;0,2));IF(OR($B314="Ноги";$B314="Верх");IFS(AND($V314&gt;=125;$V314&lt;=135);1;AND($V314&gt;=115;$V314&lt;125);0,7;AND($V314&gt;135;$V314&lt;=145);0,7;AND($V314&gt;=105;$V314&lt;115);0,4;AND($V314&gt;145;$V314&lt;=155);0,4;TRUE;0,2);IFS(AND($V314&gt;=120;$V314&lt;=130);1;AND($V314&gt;=110;$V314&lt;120);0,7;AND($V314&gt;130;$V314&lt;=140);0,7;AND($V314&gt;=100;$V314&lt;110);0,4;AND($V314&gt;140;$V314&lt;=150);0,4;TRUE;0,2));IFS(AND($W314&gt;=55;$W314&lt;=65);1;AND($W314&gt;=50;$W314&lt;55);0,7;AND($W314&gt;65;$W314&lt;=70);0,7;AND($W314&gt;=45;$W314&lt;50);0,4;AND($W314&gt;70;$W314&lt;=75);0,4;TRUE;0,2);IF(OR($B314="Ноги";$B314="Верх");IFS(AND($X314&gt;=180;$X314&lt;=210);1;AND($X314&gt;=160;$X314&lt;180);0,7;AND($X314&gt;210;$X314&lt;=230);0,7;AND($X314&gt;=140;$X314&lt;160);0,4;AND($X314&gt;230;$X314&lt;=250);0,4;TRUE;0,2);IFS(AND($X314&gt;=140;$X314&lt;=170);1;AND($X314&gt;=120;$X314&lt;140);0,7;AND($X314&gt;170;$X314&lt;=190);0,7;AND($X314&gt;=100;$X314&lt;120);0,4;AND($X314&gt;190;$X314&lt;=210);0,4;TRUE;0,2)))));1);""))</f>
        <v/>
      </c>
      <c r="Z314">
        <f>IF($A314="";"";TEXTJOIN(", ";TRUE;IF($B314="";"Тренировка";"");IF($C314="";"Кардио";"");IF($D314="";"Шаги";"");IF($E314="";"Английский";"");IF($F314="";"Код-режим";"");IF($G314="";"Код-тема";"");IF($H314="";"Чтение";"");IF($L314="";"Сон";"");IF($M314="";"Режим";"");IF($N314="";"Продуктивность";"");IF($O314="";"Настроение";"");IF($P314="";"Энергия";"");IF($U314="";"Еда";"")))</f>
        <v/>
      </c>
    </row>
    <row r="315">
      <c r="B315" t="inlineStr"/>
      <c r="C315" t="inlineStr"/>
      <c r="D315" t="inlineStr"/>
      <c r="E315" t="inlineStr"/>
      <c r="F315" t="inlineStr"/>
      <c r="G315" t="inlineStr"/>
      <c r="H315" t="inlineStr"/>
      <c r="I315" t="inlineStr"/>
      <c r="J315" t="inlineStr"/>
      <c r="K315" t="inlineStr"/>
      <c r="L315" t="inlineStr"/>
      <c r="M315" t="inlineStr"/>
      <c r="N315" t="inlineStr"/>
      <c r="O315" t="inlineStr"/>
      <c r="P315" t="inlineStr"/>
      <c r="Q315" t="inlineStr"/>
      <c r="R315" t="inlineStr"/>
      <c r="S315" t="inlineStr"/>
      <c r="T315" t="inlineStr"/>
      <c r="U315">
        <f>IF($A315="";"";IF(SUMIF(FoodLog!$A:$A;$A315;FoodLog!$I:$I)=0;"";SUMIF(FoodLog!$A:$A;$A315;FoodLog!$I:$I)))</f>
        <v/>
      </c>
      <c r="V315">
        <f>IF($A315="";"";IF(SUMIF(FoodLog!$A:$A;$A315;FoodLog!$F:$F)=0;"";SUMIF(FoodLog!$A:$A;$A315;FoodLog!$F:$F)))</f>
        <v/>
      </c>
      <c r="W315">
        <f>IF($A315="";"";IF(SUMIF(FoodLog!$A:$A;$A315;FoodLog!$G:$G)=0;"";SUMIF(FoodLog!$A:$A;$A315;FoodLog!$G:$G)))</f>
        <v/>
      </c>
      <c r="X315">
        <f>IF($A315="";"";IF(SUMIF(FoodLog!$A:$A;$A315;FoodLog!$H:$H)=0;"";SUMIF(FoodLog!$A:$A;$A315;FoodLog!$H:$H)))</f>
        <v/>
      </c>
      <c r="Y315">
        <f>IF($A315="";"";IFERROR(ROUND(100*AVERAGE(IF($B315="";"";XLOOKUP($B315;FILTER(Dictionaries!$B:$B;Dictionaries!$A:$A="Тренировка");FILTER(Dictionaries!$C:$C;Dictionaries!$A:$A="Тренировка")));IF($C315="";"";MIN($C315/40;1));IF($D315="";"";XLOOKUP($D315;FILTER(Dictionaries!$B:$B;Dictionaries!$A:$A="Шаги");FILTER(Dictionaries!$C:$C;Dictionaries!$A:$A="Шаги")));IF($E315="";"";MIN($E315/120;1));IF(OR($F315&lt;&gt;"";$G315&lt;&gt;"");1;"");IF($H315="";"";MIN($H315/100;1));IF($L315="";"";XLOOKUP($L315;FILTER(Dictionaries!$B:$B;Dictionaries!$A:$A="Сон_часы");FILTER(Dictionaries!$C:$C;Dictionaries!$A:$A="Сон_часы")));IF($M315="";"";XLOOKUP($M315;FILTER(Dictionaries!$B:$B;Dictionaries!$A:$A="Режим");FILTER(Dictionaries!$C:$C;Dictionaries!$A:$A="Режим")));IF($N315="";"";MIN($N315/100;1));IF($O315="";"";XLOOKUP($O315;FILTER(Dictionaries!$B:$B;Dictionaries!$A:$A="Настроение");FILTER(Dictionaries!$C:$C;Dictionaries!$A:$A="Настроение")));IF($P315="";"";XLOOKUP($P315;FILTER(Dictionaries!$B:$B;Dictionaries!$A:$A="Энергия");FILTER(Dictionaries!$C:$C;Dictionaries!$A:$A="Энергия")));IF($U315="";"";AVERAGE(IF(OR($B315="Ноги";$B315="Верх");IFS(AND($U315&gt;=1900;$U315&lt;=2050);1;AND($U315&gt;=1850;$U315&lt;1900);0,7;AND($U315&gt;2050;$U315&lt;=2100);0,7;TRUE;0,2);IFS(AND($U315&gt;=1700;$U315&lt;=1850);1;AND($U315&gt;=1650;$U315&lt;1700);0,7;AND($U315&gt;1850;$U315&lt;=1900);0,7;TRUE;0,2));IF(OR($B315="Ноги";$B315="Верх");IFS(AND($V315&gt;=125;$V315&lt;=135);1;AND($V315&gt;=115;$V315&lt;125);0,7;AND($V315&gt;135;$V315&lt;=145);0,7;AND($V315&gt;=105;$V315&lt;115);0,4;AND($V315&gt;145;$V315&lt;=155);0,4;TRUE;0,2);IFS(AND($V315&gt;=120;$V315&lt;=130);1;AND($V315&gt;=110;$V315&lt;120);0,7;AND($V315&gt;130;$V315&lt;=140);0,7;AND($V315&gt;=100;$V315&lt;110);0,4;AND($V315&gt;140;$V315&lt;=150);0,4;TRUE;0,2));IFS(AND($W315&gt;=55;$W315&lt;=65);1;AND($W315&gt;=50;$W315&lt;55);0,7;AND($W315&gt;65;$W315&lt;=70);0,7;AND($W315&gt;=45;$W315&lt;50);0,4;AND($W315&gt;70;$W315&lt;=75);0,4;TRUE;0,2);IF(OR($B315="Ноги";$B315="Верх");IFS(AND($X315&gt;=180;$X315&lt;=210);1;AND($X315&gt;=160;$X315&lt;180);0,7;AND($X315&gt;210;$X315&lt;=230);0,7;AND($X315&gt;=140;$X315&lt;160);0,4;AND($X315&gt;230;$X315&lt;=250);0,4;TRUE;0,2);IFS(AND($X315&gt;=140;$X315&lt;=170);1;AND($X315&gt;=120;$X315&lt;140);0,7;AND($X315&gt;170;$X315&lt;=190);0,7;AND($X315&gt;=100;$X315&lt;120);0,4;AND($X315&gt;190;$X315&lt;=210);0,4;TRUE;0,2)))));1);""))</f>
        <v/>
      </c>
      <c r="Z315">
        <f>IF($A315="";"";TEXTJOIN(", ";TRUE;IF($B315="";"Тренировка";"");IF($C315="";"Кардио";"");IF($D315="";"Шаги";"");IF($E315="";"Английский";"");IF($F315="";"Код-режим";"");IF($G315="";"Код-тема";"");IF($H315="";"Чтение";"");IF($L315="";"Сон";"");IF($M315="";"Режим";"");IF($N315="";"Продуктивность";"");IF($O315="";"Настроение";"");IF($P315="";"Энергия";"");IF($U315="";"Еда";"")))</f>
        <v/>
      </c>
    </row>
    <row r="316">
      <c r="B316" t="inlineStr"/>
      <c r="C316" t="inlineStr"/>
      <c r="D316" t="inlineStr"/>
      <c r="E316" t="inlineStr"/>
      <c r="F316" t="inlineStr"/>
      <c r="G316" t="inlineStr"/>
      <c r="H316" t="inlineStr"/>
      <c r="I316" t="inlineStr"/>
      <c r="J316" t="inlineStr"/>
      <c r="K316" t="inlineStr"/>
      <c r="L316" t="inlineStr"/>
      <c r="M316" t="inlineStr"/>
      <c r="N316" t="inlineStr"/>
      <c r="O316" t="inlineStr"/>
      <c r="P316" t="inlineStr"/>
      <c r="Q316" t="inlineStr"/>
      <c r="R316" t="inlineStr"/>
      <c r="S316" t="inlineStr"/>
      <c r="T316" t="inlineStr"/>
      <c r="U316">
        <f>IF($A316="";"";IF(SUMIF(FoodLog!$A:$A;$A316;FoodLog!$I:$I)=0;"";SUMIF(FoodLog!$A:$A;$A316;FoodLog!$I:$I)))</f>
        <v/>
      </c>
      <c r="V316">
        <f>IF($A316="";"";IF(SUMIF(FoodLog!$A:$A;$A316;FoodLog!$F:$F)=0;"";SUMIF(FoodLog!$A:$A;$A316;FoodLog!$F:$F)))</f>
        <v/>
      </c>
      <c r="W316">
        <f>IF($A316="";"";IF(SUMIF(FoodLog!$A:$A;$A316;FoodLog!$G:$G)=0;"";SUMIF(FoodLog!$A:$A;$A316;FoodLog!$G:$G)))</f>
        <v/>
      </c>
      <c r="X316">
        <f>IF($A316="";"";IF(SUMIF(FoodLog!$A:$A;$A316;FoodLog!$H:$H)=0;"";SUMIF(FoodLog!$A:$A;$A316;FoodLog!$H:$H)))</f>
        <v/>
      </c>
      <c r="Y316">
        <f>IF($A316="";"";IFERROR(ROUND(100*AVERAGE(IF($B316="";"";XLOOKUP($B316;FILTER(Dictionaries!$B:$B;Dictionaries!$A:$A="Тренировка");FILTER(Dictionaries!$C:$C;Dictionaries!$A:$A="Тренировка")));IF($C316="";"";MIN($C316/40;1));IF($D316="";"";XLOOKUP($D316;FILTER(Dictionaries!$B:$B;Dictionaries!$A:$A="Шаги");FILTER(Dictionaries!$C:$C;Dictionaries!$A:$A="Шаги")));IF($E316="";"";MIN($E316/120;1));IF(OR($F316&lt;&gt;"";$G316&lt;&gt;"");1;"");IF($H316="";"";MIN($H316/100;1));IF($L316="";"";XLOOKUP($L316;FILTER(Dictionaries!$B:$B;Dictionaries!$A:$A="Сон_часы");FILTER(Dictionaries!$C:$C;Dictionaries!$A:$A="Сон_часы")));IF($M316="";"";XLOOKUP($M316;FILTER(Dictionaries!$B:$B;Dictionaries!$A:$A="Режим");FILTER(Dictionaries!$C:$C;Dictionaries!$A:$A="Режим")));IF($N316="";"";MIN($N316/100;1));IF($O316="";"";XLOOKUP($O316;FILTER(Dictionaries!$B:$B;Dictionaries!$A:$A="Настроение");FILTER(Dictionaries!$C:$C;Dictionaries!$A:$A="Настроение")));IF($P316="";"";XLOOKUP($P316;FILTER(Dictionaries!$B:$B;Dictionaries!$A:$A="Энергия");FILTER(Dictionaries!$C:$C;Dictionaries!$A:$A="Энергия")));IF($U316="";"";AVERAGE(IF(OR($B316="Ноги";$B316="Верх");IFS(AND($U316&gt;=1900;$U316&lt;=2050);1;AND($U316&gt;=1850;$U316&lt;1900);0,7;AND($U316&gt;2050;$U316&lt;=2100);0,7;TRUE;0,2);IFS(AND($U316&gt;=1700;$U316&lt;=1850);1;AND($U316&gt;=1650;$U316&lt;1700);0,7;AND($U316&gt;1850;$U316&lt;=1900);0,7;TRUE;0,2));IF(OR($B316="Ноги";$B316="Верх");IFS(AND($V316&gt;=125;$V316&lt;=135);1;AND($V316&gt;=115;$V316&lt;125);0,7;AND($V316&gt;135;$V316&lt;=145);0,7;AND($V316&gt;=105;$V316&lt;115);0,4;AND($V316&gt;145;$V316&lt;=155);0,4;TRUE;0,2);IFS(AND($V316&gt;=120;$V316&lt;=130);1;AND($V316&gt;=110;$V316&lt;120);0,7;AND($V316&gt;130;$V316&lt;=140);0,7;AND($V316&gt;=100;$V316&lt;110);0,4;AND($V316&gt;140;$V316&lt;=150);0,4;TRUE;0,2));IFS(AND($W316&gt;=55;$W316&lt;=65);1;AND($W316&gt;=50;$W316&lt;55);0,7;AND($W316&gt;65;$W316&lt;=70);0,7;AND($W316&gt;=45;$W316&lt;50);0,4;AND($W316&gt;70;$W316&lt;=75);0,4;TRUE;0,2);IF(OR($B316="Ноги";$B316="Верх");IFS(AND($X316&gt;=180;$X316&lt;=210);1;AND($X316&gt;=160;$X316&lt;180);0,7;AND($X316&gt;210;$X316&lt;=230);0,7;AND($X316&gt;=140;$X316&lt;160);0,4;AND($X316&gt;230;$X316&lt;=250);0,4;TRUE;0,2);IFS(AND($X316&gt;=140;$X316&lt;=170);1;AND($X316&gt;=120;$X316&lt;140);0,7;AND($X316&gt;170;$X316&lt;=190);0,7;AND($X316&gt;=100;$X316&lt;120);0,4;AND($X316&gt;190;$X316&lt;=210);0,4;TRUE;0,2)))));1);""))</f>
        <v/>
      </c>
      <c r="Z316">
        <f>IF($A316="";"";TEXTJOIN(", ";TRUE;IF($B316="";"Тренировка";"");IF($C316="";"Кардио";"");IF($D316="";"Шаги";"");IF($E316="";"Английский";"");IF($F316="";"Код-режим";"");IF($G316="";"Код-тема";"");IF($H316="";"Чтение";"");IF($L316="";"Сон";"");IF($M316="";"Режим";"");IF($N316="";"Продуктивность";"");IF($O316="";"Настроение";"");IF($P316="";"Энергия";"");IF($U316="";"Еда";"")))</f>
        <v/>
      </c>
    </row>
    <row r="317">
      <c r="B317" t="inlineStr"/>
      <c r="C317" t="inlineStr"/>
      <c r="D317" t="inlineStr"/>
      <c r="E317" t="inlineStr"/>
      <c r="F317" t="inlineStr"/>
      <c r="G317" t="inlineStr"/>
      <c r="H317" t="inlineStr"/>
      <c r="I317" t="inlineStr"/>
      <c r="J317" t="inlineStr"/>
      <c r="K317" t="inlineStr"/>
      <c r="L317" t="inlineStr"/>
      <c r="M317" t="inlineStr"/>
      <c r="N317" t="inlineStr"/>
      <c r="O317" t="inlineStr"/>
      <c r="P317" t="inlineStr"/>
      <c r="Q317" t="inlineStr"/>
      <c r="R317" t="inlineStr"/>
      <c r="S317" t="inlineStr"/>
      <c r="T317" t="inlineStr"/>
      <c r="U317">
        <f>IF($A317="";"";IF(SUMIF(FoodLog!$A:$A;$A317;FoodLog!$I:$I)=0;"";SUMIF(FoodLog!$A:$A;$A317;FoodLog!$I:$I)))</f>
        <v/>
      </c>
      <c r="V317">
        <f>IF($A317="";"";IF(SUMIF(FoodLog!$A:$A;$A317;FoodLog!$F:$F)=0;"";SUMIF(FoodLog!$A:$A;$A317;FoodLog!$F:$F)))</f>
        <v/>
      </c>
      <c r="W317">
        <f>IF($A317="";"";IF(SUMIF(FoodLog!$A:$A;$A317;FoodLog!$G:$G)=0;"";SUMIF(FoodLog!$A:$A;$A317;FoodLog!$G:$G)))</f>
        <v/>
      </c>
      <c r="X317">
        <f>IF($A317="";"";IF(SUMIF(FoodLog!$A:$A;$A317;FoodLog!$H:$H)=0;"";SUMIF(FoodLog!$A:$A;$A317;FoodLog!$H:$H)))</f>
        <v/>
      </c>
      <c r="Y317">
        <f>IF($A317="";"";IFERROR(ROUND(100*AVERAGE(IF($B317="";"";XLOOKUP($B317;FILTER(Dictionaries!$B:$B;Dictionaries!$A:$A="Тренировка");FILTER(Dictionaries!$C:$C;Dictionaries!$A:$A="Тренировка")));IF($C317="";"";MIN($C317/40;1));IF($D317="";"";XLOOKUP($D317;FILTER(Dictionaries!$B:$B;Dictionaries!$A:$A="Шаги");FILTER(Dictionaries!$C:$C;Dictionaries!$A:$A="Шаги")));IF($E317="";"";MIN($E317/120;1));IF(OR($F317&lt;&gt;"";$G317&lt;&gt;"");1;"");IF($H317="";"";MIN($H317/100;1));IF($L317="";"";XLOOKUP($L317;FILTER(Dictionaries!$B:$B;Dictionaries!$A:$A="Сон_часы");FILTER(Dictionaries!$C:$C;Dictionaries!$A:$A="Сон_часы")));IF($M317="";"";XLOOKUP($M317;FILTER(Dictionaries!$B:$B;Dictionaries!$A:$A="Режим");FILTER(Dictionaries!$C:$C;Dictionaries!$A:$A="Режим")));IF($N317="";"";MIN($N317/100;1));IF($O317="";"";XLOOKUP($O317;FILTER(Dictionaries!$B:$B;Dictionaries!$A:$A="Настроение");FILTER(Dictionaries!$C:$C;Dictionaries!$A:$A="Настроение")));IF($P317="";"";XLOOKUP($P317;FILTER(Dictionaries!$B:$B;Dictionaries!$A:$A="Энергия");FILTER(Dictionaries!$C:$C;Dictionaries!$A:$A="Энергия")));IF($U317="";"";AVERAGE(IF(OR($B317="Ноги";$B317="Верх");IFS(AND($U317&gt;=1900;$U317&lt;=2050);1;AND($U317&gt;=1850;$U317&lt;1900);0,7;AND($U317&gt;2050;$U317&lt;=2100);0,7;TRUE;0,2);IFS(AND($U317&gt;=1700;$U317&lt;=1850);1;AND($U317&gt;=1650;$U317&lt;1700);0,7;AND($U317&gt;1850;$U317&lt;=1900);0,7;TRUE;0,2));IF(OR($B317="Ноги";$B317="Верх");IFS(AND($V317&gt;=125;$V317&lt;=135);1;AND($V317&gt;=115;$V317&lt;125);0,7;AND($V317&gt;135;$V317&lt;=145);0,7;AND($V317&gt;=105;$V317&lt;115);0,4;AND($V317&gt;145;$V317&lt;=155);0,4;TRUE;0,2);IFS(AND($V317&gt;=120;$V317&lt;=130);1;AND($V317&gt;=110;$V317&lt;120);0,7;AND($V317&gt;130;$V317&lt;=140);0,7;AND($V317&gt;=100;$V317&lt;110);0,4;AND($V317&gt;140;$V317&lt;=150);0,4;TRUE;0,2));IFS(AND($W317&gt;=55;$W317&lt;=65);1;AND($W317&gt;=50;$W317&lt;55);0,7;AND($W317&gt;65;$W317&lt;=70);0,7;AND($W317&gt;=45;$W317&lt;50);0,4;AND($W317&gt;70;$W317&lt;=75);0,4;TRUE;0,2);IF(OR($B317="Ноги";$B317="Верх");IFS(AND($X317&gt;=180;$X317&lt;=210);1;AND($X317&gt;=160;$X317&lt;180);0,7;AND($X317&gt;210;$X317&lt;=230);0,7;AND($X317&gt;=140;$X317&lt;160);0,4;AND($X317&gt;230;$X317&lt;=250);0,4;TRUE;0,2);IFS(AND($X317&gt;=140;$X317&lt;=170);1;AND($X317&gt;=120;$X317&lt;140);0,7;AND($X317&gt;170;$X317&lt;=190);0,7;AND($X317&gt;=100;$X317&lt;120);0,4;AND($X317&gt;190;$X317&lt;=210);0,4;TRUE;0,2)))));1);""))</f>
        <v/>
      </c>
      <c r="Z317">
        <f>IF($A317="";"";TEXTJOIN(", ";TRUE;IF($B317="";"Тренировка";"");IF($C317="";"Кардио";"");IF($D317="";"Шаги";"");IF($E317="";"Английский";"");IF($F317="";"Код-режим";"");IF($G317="";"Код-тема";"");IF($H317="";"Чтение";"");IF($L317="";"Сон";"");IF($M317="";"Режим";"");IF($N317="";"Продуктивность";"");IF($O317="";"Настроение";"");IF($P317="";"Энергия";"");IF($U317="";"Еда";"")))</f>
        <v/>
      </c>
    </row>
    <row r="318">
      <c r="B318" t="inlineStr"/>
      <c r="C318" t="inlineStr"/>
      <c r="D318" t="inlineStr"/>
      <c r="E318" t="inlineStr"/>
      <c r="F318" t="inlineStr"/>
      <c r="G318" t="inlineStr"/>
      <c r="H318" t="inlineStr"/>
      <c r="I318" t="inlineStr"/>
      <c r="J318" t="inlineStr"/>
      <c r="K318" t="inlineStr"/>
      <c r="L318" t="inlineStr"/>
      <c r="M318" t="inlineStr"/>
      <c r="N318" t="inlineStr"/>
      <c r="O318" t="inlineStr"/>
      <c r="P318" t="inlineStr"/>
      <c r="Q318" t="inlineStr"/>
      <c r="R318" t="inlineStr"/>
      <c r="S318" t="inlineStr"/>
      <c r="T318" t="inlineStr"/>
      <c r="U318">
        <f>IF($A318="";"";IF(SUMIF(FoodLog!$A:$A;$A318;FoodLog!$I:$I)=0;"";SUMIF(FoodLog!$A:$A;$A318;FoodLog!$I:$I)))</f>
        <v/>
      </c>
      <c r="V318">
        <f>IF($A318="";"";IF(SUMIF(FoodLog!$A:$A;$A318;FoodLog!$F:$F)=0;"";SUMIF(FoodLog!$A:$A;$A318;FoodLog!$F:$F)))</f>
        <v/>
      </c>
      <c r="W318">
        <f>IF($A318="";"";IF(SUMIF(FoodLog!$A:$A;$A318;FoodLog!$G:$G)=0;"";SUMIF(FoodLog!$A:$A;$A318;FoodLog!$G:$G)))</f>
        <v/>
      </c>
      <c r="X318">
        <f>IF($A318="";"";IF(SUMIF(FoodLog!$A:$A;$A318;FoodLog!$H:$H)=0;"";SUMIF(FoodLog!$A:$A;$A318;FoodLog!$H:$H)))</f>
        <v/>
      </c>
      <c r="Y318">
        <f>IF($A318="";"";IFERROR(ROUND(100*AVERAGE(IF($B318="";"";XLOOKUP($B318;FILTER(Dictionaries!$B:$B;Dictionaries!$A:$A="Тренировка");FILTER(Dictionaries!$C:$C;Dictionaries!$A:$A="Тренировка")));IF($C318="";"";MIN($C318/40;1));IF($D318="";"";XLOOKUP($D318;FILTER(Dictionaries!$B:$B;Dictionaries!$A:$A="Шаги");FILTER(Dictionaries!$C:$C;Dictionaries!$A:$A="Шаги")));IF($E318="";"";MIN($E318/120;1));IF(OR($F318&lt;&gt;"";$G318&lt;&gt;"");1;"");IF($H318="";"";MIN($H318/100;1));IF($L318="";"";XLOOKUP($L318;FILTER(Dictionaries!$B:$B;Dictionaries!$A:$A="Сон_часы");FILTER(Dictionaries!$C:$C;Dictionaries!$A:$A="Сон_часы")));IF($M318="";"";XLOOKUP($M318;FILTER(Dictionaries!$B:$B;Dictionaries!$A:$A="Режим");FILTER(Dictionaries!$C:$C;Dictionaries!$A:$A="Режим")));IF($N318="";"";MIN($N318/100;1));IF($O318="";"";XLOOKUP($O318;FILTER(Dictionaries!$B:$B;Dictionaries!$A:$A="Настроение");FILTER(Dictionaries!$C:$C;Dictionaries!$A:$A="Настроение")));IF($P318="";"";XLOOKUP($P318;FILTER(Dictionaries!$B:$B;Dictionaries!$A:$A="Энергия");FILTER(Dictionaries!$C:$C;Dictionaries!$A:$A="Энергия")));IF($U318="";"";AVERAGE(IF(OR($B318="Ноги";$B318="Верх");IFS(AND($U318&gt;=1900;$U318&lt;=2050);1;AND($U318&gt;=1850;$U318&lt;1900);0,7;AND($U318&gt;2050;$U318&lt;=2100);0,7;TRUE;0,2);IFS(AND($U318&gt;=1700;$U318&lt;=1850);1;AND($U318&gt;=1650;$U318&lt;1700);0,7;AND($U318&gt;1850;$U318&lt;=1900);0,7;TRUE;0,2));IF(OR($B318="Ноги";$B318="Верх");IFS(AND($V318&gt;=125;$V318&lt;=135);1;AND($V318&gt;=115;$V318&lt;125);0,7;AND($V318&gt;135;$V318&lt;=145);0,7;AND($V318&gt;=105;$V318&lt;115);0,4;AND($V318&gt;145;$V318&lt;=155);0,4;TRUE;0,2);IFS(AND($V318&gt;=120;$V318&lt;=130);1;AND($V318&gt;=110;$V318&lt;120);0,7;AND($V318&gt;130;$V318&lt;=140);0,7;AND($V318&gt;=100;$V318&lt;110);0,4;AND($V318&gt;140;$V318&lt;=150);0,4;TRUE;0,2));IFS(AND($W318&gt;=55;$W318&lt;=65);1;AND($W318&gt;=50;$W318&lt;55);0,7;AND($W318&gt;65;$W318&lt;=70);0,7;AND($W318&gt;=45;$W318&lt;50);0,4;AND($W318&gt;70;$W318&lt;=75);0,4;TRUE;0,2);IF(OR($B318="Ноги";$B318="Верх");IFS(AND($X318&gt;=180;$X318&lt;=210);1;AND($X318&gt;=160;$X318&lt;180);0,7;AND($X318&gt;210;$X318&lt;=230);0,7;AND($X318&gt;=140;$X318&lt;160);0,4;AND($X318&gt;230;$X318&lt;=250);0,4;TRUE;0,2);IFS(AND($X318&gt;=140;$X318&lt;=170);1;AND($X318&gt;=120;$X318&lt;140);0,7;AND($X318&gt;170;$X318&lt;=190);0,7;AND($X318&gt;=100;$X318&lt;120);0,4;AND($X318&gt;190;$X318&lt;=210);0,4;TRUE;0,2)))));1);""))</f>
        <v/>
      </c>
      <c r="Z318">
        <f>IF($A318="";"";TEXTJOIN(", ";TRUE;IF($B318="";"Тренировка";"");IF($C318="";"Кардио";"");IF($D318="";"Шаги";"");IF($E318="";"Английский";"");IF($F318="";"Код-режим";"");IF($G318="";"Код-тема";"");IF($H318="";"Чтение";"");IF($L318="";"Сон";"");IF($M318="";"Режим";"");IF($N318="";"Продуктивность";"");IF($O318="";"Настроение";"");IF($P318="";"Энергия";"");IF($U318="";"Еда";"")))</f>
        <v/>
      </c>
    </row>
    <row r="319">
      <c r="B319" t="inlineStr"/>
      <c r="C319" t="inlineStr"/>
      <c r="D319" t="inlineStr"/>
      <c r="E319" t="inlineStr"/>
      <c r="F319" t="inlineStr"/>
      <c r="G319" t="inlineStr"/>
      <c r="H319" t="inlineStr"/>
      <c r="I319" t="inlineStr"/>
      <c r="J319" t="inlineStr"/>
      <c r="K319" t="inlineStr"/>
      <c r="L319" t="inlineStr"/>
      <c r="M319" t="inlineStr"/>
      <c r="N319" t="inlineStr"/>
      <c r="O319" t="inlineStr"/>
      <c r="P319" t="inlineStr"/>
      <c r="Q319" t="inlineStr"/>
      <c r="R319" t="inlineStr"/>
      <c r="S319" t="inlineStr"/>
      <c r="T319" t="inlineStr"/>
      <c r="U319">
        <f>IF($A319="";"";IF(SUMIF(FoodLog!$A:$A;$A319;FoodLog!$I:$I)=0;"";SUMIF(FoodLog!$A:$A;$A319;FoodLog!$I:$I)))</f>
        <v/>
      </c>
      <c r="V319">
        <f>IF($A319="";"";IF(SUMIF(FoodLog!$A:$A;$A319;FoodLog!$F:$F)=0;"";SUMIF(FoodLog!$A:$A;$A319;FoodLog!$F:$F)))</f>
        <v/>
      </c>
      <c r="W319">
        <f>IF($A319="";"";IF(SUMIF(FoodLog!$A:$A;$A319;FoodLog!$G:$G)=0;"";SUMIF(FoodLog!$A:$A;$A319;FoodLog!$G:$G)))</f>
        <v/>
      </c>
      <c r="X319">
        <f>IF($A319="";"";IF(SUMIF(FoodLog!$A:$A;$A319;FoodLog!$H:$H)=0;"";SUMIF(FoodLog!$A:$A;$A319;FoodLog!$H:$H)))</f>
        <v/>
      </c>
      <c r="Y319">
        <f>IF($A319="";"";IFERROR(ROUND(100*AVERAGE(IF($B319="";"";XLOOKUP($B319;FILTER(Dictionaries!$B:$B;Dictionaries!$A:$A="Тренировка");FILTER(Dictionaries!$C:$C;Dictionaries!$A:$A="Тренировка")));IF($C319="";"";MIN($C319/40;1));IF($D319="";"";XLOOKUP($D319;FILTER(Dictionaries!$B:$B;Dictionaries!$A:$A="Шаги");FILTER(Dictionaries!$C:$C;Dictionaries!$A:$A="Шаги")));IF($E319="";"";MIN($E319/120;1));IF(OR($F319&lt;&gt;"";$G319&lt;&gt;"");1;"");IF($H319="";"";MIN($H319/100;1));IF($L319="";"";XLOOKUP($L319;FILTER(Dictionaries!$B:$B;Dictionaries!$A:$A="Сон_часы");FILTER(Dictionaries!$C:$C;Dictionaries!$A:$A="Сон_часы")));IF($M319="";"";XLOOKUP($M319;FILTER(Dictionaries!$B:$B;Dictionaries!$A:$A="Режим");FILTER(Dictionaries!$C:$C;Dictionaries!$A:$A="Режим")));IF($N319="";"";MIN($N319/100;1));IF($O319="";"";XLOOKUP($O319;FILTER(Dictionaries!$B:$B;Dictionaries!$A:$A="Настроение");FILTER(Dictionaries!$C:$C;Dictionaries!$A:$A="Настроение")));IF($P319="";"";XLOOKUP($P319;FILTER(Dictionaries!$B:$B;Dictionaries!$A:$A="Энергия");FILTER(Dictionaries!$C:$C;Dictionaries!$A:$A="Энергия")));IF($U319="";"";AVERAGE(IF(OR($B319="Ноги";$B319="Верх");IFS(AND($U319&gt;=1900;$U319&lt;=2050);1;AND($U319&gt;=1850;$U319&lt;1900);0,7;AND($U319&gt;2050;$U319&lt;=2100);0,7;TRUE;0,2);IFS(AND($U319&gt;=1700;$U319&lt;=1850);1;AND($U319&gt;=1650;$U319&lt;1700);0,7;AND($U319&gt;1850;$U319&lt;=1900);0,7;TRUE;0,2));IF(OR($B319="Ноги";$B319="Верх");IFS(AND($V319&gt;=125;$V319&lt;=135);1;AND($V319&gt;=115;$V319&lt;125);0,7;AND($V319&gt;135;$V319&lt;=145);0,7;AND($V319&gt;=105;$V319&lt;115);0,4;AND($V319&gt;145;$V319&lt;=155);0,4;TRUE;0,2);IFS(AND($V319&gt;=120;$V319&lt;=130);1;AND($V319&gt;=110;$V319&lt;120);0,7;AND($V319&gt;130;$V319&lt;=140);0,7;AND($V319&gt;=100;$V319&lt;110);0,4;AND($V319&gt;140;$V319&lt;=150);0,4;TRUE;0,2));IFS(AND($W319&gt;=55;$W319&lt;=65);1;AND($W319&gt;=50;$W319&lt;55);0,7;AND($W319&gt;65;$W319&lt;=70);0,7;AND($W319&gt;=45;$W319&lt;50);0,4;AND($W319&gt;70;$W319&lt;=75);0,4;TRUE;0,2);IF(OR($B319="Ноги";$B319="Верх");IFS(AND($X319&gt;=180;$X319&lt;=210);1;AND($X319&gt;=160;$X319&lt;180);0,7;AND($X319&gt;210;$X319&lt;=230);0,7;AND($X319&gt;=140;$X319&lt;160);0,4;AND($X319&gt;230;$X319&lt;=250);0,4;TRUE;0,2);IFS(AND($X319&gt;=140;$X319&lt;=170);1;AND($X319&gt;=120;$X319&lt;140);0,7;AND($X319&gt;170;$X319&lt;=190);0,7;AND($X319&gt;=100;$X319&lt;120);0,4;AND($X319&gt;190;$X319&lt;=210);0,4;TRUE;0,2)))));1);""))</f>
        <v/>
      </c>
      <c r="Z319">
        <f>IF($A319="";"";TEXTJOIN(", ";TRUE;IF($B319="";"Тренировка";"");IF($C319="";"Кардио";"");IF($D319="";"Шаги";"");IF($E319="";"Английский";"");IF($F319="";"Код-режим";"");IF($G319="";"Код-тема";"");IF($H319="";"Чтение";"");IF($L319="";"Сон";"");IF($M319="";"Режим";"");IF($N319="";"Продуктивность";"");IF($O319="";"Настроение";"");IF($P319="";"Энергия";"");IF($U319="";"Еда";"")))</f>
        <v/>
      </c>
    </row>
    <row r="320">
      <c r="B320" t="inlineStr"/>
      <c r="C320" t="inlineStr"/>
      <c r="D320" t="inlineStr"/>
      <c r="E320" t="inlineStr"/>
      <c r="F320" t="inlineStr"/>
      <c r="G320" t="inlineStr"/>
      <c r="H320" t="inlineStr"/>
      <c r="I320" t="inlineStr"/>
      <c r="J320" t="inlineStr"/>
      <c r="K320" t="inlineStr"/>
      <c r="L320" t="inlineStr"/>
      <c r="M320" t="inlineStr"/>
      <c r="N320" t="inlineStr"/>
      <c r="O320" t="inlineStr"/>
      <c r="P320" t="inlineStr"/>
      <c r="Q320" t="inlineStr"/>
      <c r="R320" t="inlineStr"/>
      <c r="S320" t="inlineStr"/>
      <c r="T320" t="inlineStr"/>
      <c r="U320">
        <f>IF($A320="";"";IF(SUMIF(FoodLog!$A:$A;$A320;FoodLog!$I:$I)=0;"";SUMIF(FoodLog!$A:$A;$A320;FoodLog!$I:$I)))</f>
        <v/>
      </c>
      <c r="V320">
        <f>IF($A320="";"";IF(SUMIF(FoodLog!$A:$A;$A320;FoodLog!$F:$F)=0;"";SUMIF(FoodLog!$A:$A;$A320;FoodLog!$F:$F)))</f>
        <v/>
      </c>
      <c r="W320">
        <f>IF($A320="";"";IF(SUMIF(FoodLog!$A:$A;$A320;FoodLog!$G:$G)=0;"";SUMIF(FoodLog!$A:$A;$A320;FoodLog!$G:$G)))</f>
        <v/>
      </c>
      <c r="X320">
        <f>IF($A320="";"";IF(SUMIF(FoodLog!$A:$A;$A320;FoodLog!$H:$H)=0;"";SUMIF(FoodLog!$A:$A;$A320;FoodLog!$H:$H)))</f>
        <v/>
      </c>
      <c r="Y320">
        <f>IF($A320="";"";IFERROR(ROUND(100*AVERAGE(IF($B320="";"";XLOOKUP($B320;FILTER(Dictionaries!$B:$B;Dictionaries!$A:$A="Тренировка");FILTER(Dictionaries!$C:$C;Dictionaries!$A:$A="Тренировка")));IF($C320="";"";MIN($C320/40;1));IF($D320="";"";XLOOKUP($D320;FILTER(Dictionaries!$B:$B;Dictionaries!$A:$A="Шаги");FILTER(Dictionaries!$C:$C;Dictionaries!$A:$A="Шаги")));IF($E320="";"";MIN($E320/120;1));IF(OR($F320&lt;&gt;"";$G320&lt;&gt;"");1;"");IF($H320="";"";MIN($H320/100;1));IF($L320="";"";XLOOKUP($L320;FILTER(Dictionaries!$B:$B;Dictionaries!$A:$A="Сон_часы");FILTER(Dictionaries!$C:$C;Dictionaries!$A:$A="Сон_часы")));IF($M320="";"";XLOOKUP($M320;FILTER(Dictionaries!$B:$B;Dictionaries!$A:$A="Режим");FILTER(Dictionaries!$C:$C;Dictionaries!$A:$A="Режим")));IF($N320="";"";MIN($N320/100;1));IF($O320="";"";XLOOKUP($O320;FILTER(Dictionaries!$B:$B;Dictionaries!$A:$A="Настроение");FILTER(Dictionaries!$C:$C;Dictionaries!$A:$A="Настроение")));IF($P320="";"";XLOOKUP($P320;FILTER(Dictionaries!$B:$B;Dictionaries!$A:$A="Энергия");FILTER(Dictionaries!$C:$C;Dictionaries!$A:$A="Энергия")));IF($U320="";"";AVERAGE(IF(OR($B320="Ноги";$B320="Верх");IFS(AND($U320&gt;=1900;$U320&lt;=2050);1;AND($U320&gt;=1850;$U320&lt;1900);0,7;AND($U320&gt;2050;$U320&lt;=2100);0,7;TRUE;0,2);IFS(AND($U320&gt;=1700;$U320&lt;=1850);1;AND($U320&gt;=1650;$U320&lt;1700);0,7;AND($U320&gt;1850;$U320&lt;=1900);0,7;TRUE;0,2));IF(OR($B320="Ноги";$B320="Верх");IFS(AND($V320&gt;=125;$V320&lt;=135);1;AND($V320&gt;=115;$V320&lt;125);0,7;AND($V320&gt;135;$V320&lt;=145);0,7;AND($V320&gt;=105;$V320&lt;115);0,4;AND($V320&gt;145;$V320&lt;=155);0,4;TRUE;0,2);IFS(AND($V320&gt;=120;$V320&lt;=130);1;AND($V320&gt;=110;$V320&lt;120);0,7;AND($V320&gt;130;$V320&lt;=140);0,7;AND($V320&gt;=100;$V320&lt;110);0,4;AND($V320&gt;140;$V320&lt;=150);0,4;TRUE;0,2));IFS(AND($W320&gt;=55;$W320&lt;=65);1;AND($W320&gt;=50;$W320&lt;55);0,7;AND($W320&gt;65;$W320&lt;=70);0,7;AND($W320&gt;=45;$W320&lt;50);0,4;AND($W320&gt;70;$W320&lt;=75);0,4;TRUE;0,2);IF(OR($B320="Ноги";$B320="Верх");IFS(AND($X320&gt;=180;$X320&lt;=210);1;AND($X320&gt;=160;$X320&lt;180);0,7;AND($X320&gt;210;$X320&lt;=230);0,7;AND($X320&gt;=140;$X320&lt;160);0,4;AND($X320&gt;230;$X320&lt;=250);0,4;TRUE;0,2);IFS(AND($X320&gt;=140;$X320&lt;=170);1;AND($X320&gt;=120;$X320&lt;140);0,7;AND($X320&gt;170;$X320&lt;=190);0,7;AND($X320&gt;=100;$X320&lt;120);0,4;AND($X320&gt;190;$X320&lt;=210);0,4;TRUE;0,2)))));1);""))</f>
        <v/>
      </c>
      <c r="Z320">
        <f>IF($A320="";"";TEXTJOIN(", ";TRUE;IF($B320="";"Тренировка";"");IF($C320="";"Кардио";"");IF($D320="";"Шаги";"");IF($E320="";"Английский";"");IF($F320="";"Код-режим";"");IF($G320="";"Код-тема";"");IF($H320="";"Чтение";"");IF($L320="";"Сон";"");IF($M320="";"Режим";"");IF($N320="";"Продуктивность";"");IF($O320="";"Настроение";"");IF($P320="";"Энергия";"");IF($U320="";"Еда";"")))</f>
        <v/>
      </c>
    </row>
    <row r="321">
      <c r="B321" t="inlineStr"/>
      <c r="C321" t="inlineStr"/>
      <c r="D321" t="inlineStr"/>
      <c r="E321" t="inlineStr"/>
      <c r="F321" t="inlineStr"/>
      <c r="G321" t="inlineStr"/>
      <c r="H321" t="inlineStr"/>
      <c r="I321" t="inlineStr"/>
      <c r="J321" t="inlineStr"/>
      <c r="K321" t="inlineStr"/>
      <c r="L321" t="inlineStr"/>
      <c r="M321" t="inlineStr"/>
      <c r="N321" t="inlineStr"/>
      <c r="O321" t="inlineStr"/>
      <c r="P321" t="inlineStr"/>
      <c r="Q321" t="inlineStr"/>
      <c r="R321" t="inlineStr"/>
      <c r="S321" t="inlineStr"/>
      <c r="T321" t="inlineStr"/>
      <c r="U321">
        <f>IF($A321="";"";IF(SUMIF(FoodLog!$A:$A;$A321;FoodLog!$I:$I)=0;"";SUMIF(FoodLog!$A:$A;$A321;FoodLog!$I:$I)))</f>
        <v/>
      </c>
      <c r="V321">
        <f>IF($A321="";"";IF(SUMIF(FoodLog!$A:$A;$A321;FoodLog!$F:$F)=0;"";SUMIF(FoodLog!$A:$A;$A321;FoodLog!$F:$F)))</f>
        <v/>
      </c>
      <c r="W321">
        <f>IF($A321="";"";IF(SUMIF(FoodLog!$A:$A;$A321;FoodLog!$G:$G)=0;"";SUMIF(FoodLog!$A:$A;$A321;FoodLog!$G:$G)))</f>
        <v/>
      </c>
      <c r="X321">
        <f>IF($A321="";"";IF(SUMIF(FoodLog!$A:$A;$A321;FoodLog!$H:$H)=0;"";SUMIF(FoodLog!$A:$A;$A321;FoodLog!$H:$H)))</f>
        <v/>
      </c>
      <c r="Y321">
        <f>IF($A321="";"";IFERROR(ROUND(100*AVERAGE(IF($B321="";"";XLOOKUP($B321;FILTER(Dictionaries!$B:$B;Dictionaries!$A:$A="Тренировка");FILTER(Dictionaries!$C:$C;Dictionaries!$A:$A="Тренировка")));IF($C321="";"";MIN($C321/40;1));IF($D321="";"";XLOOKUP($D321;FILTER(Dictionaries!$B:$B;Dictionaries!$A:$A="Шаги");FILTER(Dictionaries!$C:$C;Dictionaries!$A:$A="Шаги")));IF($E321="";"";MIN($E321/120;1));IF(OR($F321&lt;&gt;"";$G321&lt;&gt;"");1;"");IF($H321="";"";MIN($H321/100;1));IF($L321="";"";XLOOKUP($L321;FILTER(Dictionaries!$B:$B;Dictionaries!$A:$A="Сон_часы");FILTER(Dictionaries!$C:$C;Dictionaries!$A:$A="Сон_часы")));IF($M321="";"";XLOOKUP($M321;FILTER(Dictionaries!$B:$B;Dictionaries!$A:$A="Режим");FILTER(Dictionaries!$C:$C;Dictionaries!$A:$A="Режим")));IF($N321="";"";MIN($N321/100;1));IF($O321="";"";XLOOKUP($O321;FILTER(Dictionaries!$B:$B;Dictionaries!$A:$A="Настроение");FILTER(Dictionaries!$C:$C;Dictionaries!$A:$A="Настроение")));IF($P321="";"";XLOOKUP($P321;FILTER(Dictionaries!$B:$B;Dictionaries!$A:$A="Энергия");FILTER(Dictionaries!$C:$C;Dictionaries!$A:$A="Энергия")));IF($U321="";"";AVERAGE(IF(OR($B321="Ноги";$B321="Верх");IFS(AND($U321&gt;=1900;$U321&lt;=2050);1;AND($U321&gt;=1850;$U321&lt;1900);0,7;AND($U321&gt;2050;$U321&lt;=2100);0,7;TRUE;0,2);IFS(AND($U321&gt;=1700;$U321&lt;=1850);1;AND($U321&gt;=1650;$U321&lt;1700);0,7;AND($U321&gt;1850;$U321&lt;=1900);0,7;TRUE;0,2));IF(OR($B321="Ноги";$B321="Верх");IFS(AND($V321&gt;=125;$V321&lt;=135);1;AND($V321&gt;=115;$V321&lt;125);0,7;AND($V321&gt;135;$V321&lt;=145);0,7;AND($V321&gt;=105;$V321&lt;115);0,4;AND($V321&gt;145;$V321&lt;=155);0,4;TRUE;0,2);IFS(AND($V321&gt;=120;$V321&lt;=130);1;AND($V321&gt;=110;$V321&lt;120);0,7;AND($V321&gt;130;$V321&lt;=140);0,7;AND($V321&gt;=100;$V321&lt;110);0,4;AND($V321&gt;140;$V321&lt;=150);0,4;TRUE;0,2));IFS(AND($W321&gt;=55;$W321&lt;=65);1;AND($W321&gt;=50;$W321&lt;55);0,7;AND($W321&gt;65;$W321&lt;=70);0,7;AND($W321&gt;=45;$W321&lt;50);0,4;AND($W321&gt;70;$W321&lt;=75);0,4;TRUE;0,2);IF(OR($B321="Ноги";$B321="Верх");IFS(AND($X321&gt;=180;$X321&lt;=210);1;AND($X321&gt;=160;$X321&lt;180);0,7;AND($X321&gt;210;$X321&lt;=230);0,7;AND($X321&gt;=140;$X321&lt;160);0,4;AND($X321&gt;230;$X321&lt;=250);0,4;TRUE;0,2);IFS(AND($X321&gt;=140;$X321&lt;=170);1;AND($X321&gt;=120;$X321&lt;140);0,7;AND($X321&gt;170;$X321&lt;=190);0,7;AND($X321&gt;=100;$X321&lt;120);0,4;AND($X321&gt;190;$X321&lt;=210);0,4;TRUE;0,2)))));1);""))</f>
        <v/>
      </c>
      <c r="Z321">
        <f>IF($A321="";"";TEXTJOIN(", ";TRUE;IF($B321="";"Тренировка";"");IF($C321="";"Кардио";"");IF($D321="";"Шаги";"");IF($E321="";"Английский";"");IF($F321="";"Код-режим";"");IF($G321="";"Код-тема";"");IF($H321="";"Чтение";"");IF($L321="";"Сон";"");IF($M321="";"Режим";"");IF($N321="";"Продуктивность";"");IF($O321="";"Настроение";"");IF($P321="";"Энергия";"");IF($U321="";"Еда";"")))</f>
        <v/>
      </c>
    </row>
    <row r="322">
      <c r="B322" t="inlineStr"/>
      <c r="C322" t="inlineStr"/>
      <c r="D322" t="inlineStr"/>
      <c r="E322" t="inlineStr"/>
      <c r="F322" t="inlineStr"/>
      <c r="G322" t="inlineStr"/>
      <c r="H322" t="inlineStr"/>
      <c r="I322" t="inlineStr"/>
      <c r="J322" t="inlineStr"/>
      <c r="K322" t="inlineStr"/>
      <c r="L322" t="inlineStr"/>
      <c r="M322" t="inlineStr"/>
      <c r="N322" t="inlineStr"/>
      <c r="O322" t="inlineStr"/>
      <c r="P322" t="inlineStr"/>
      <c r="Q322" t="inlineStr"/>
      <c r="R322" t="inlineStr"/>
      <c r="S322" t="inlineStr"/>
      <c r="T322" t="inlineStr"/>
      <c r="U322">
        <f>IF($A322="";"";IF(SUMIF(FoodLog!$A:$A;$A322;FoodLog!$I:$I)=0;"";SUMIF(FoodLog!$A:$A;$A322;FoodLog!$I:$I)))</f>
        <v/>
      </c>
      <c r="V322">
        <f>IF($A322="";"";IF(SUMIF(FoodLog!$A:$A;$A322;FoodLog!$F:$F)=0;"";SUMIF(FoodLog!$A:$A;$A322;FoodLog!$F:$F)))</f>
        <v/>
      </c>
      <c r="W322">
        <f>IF($A322="";"";IF(SUMIF(FoodLog!$A:$A;$A322;FoodLog!$G:$G)=0;"";SUMIF(FoodLog!$A:$A;$A322;FoodLog!$G:$G)))</f>
        <v/>
      </c>
      <c r="X322">
        <f>IF($A322="";"";IF(SUMIF(FoodLog!$A:$A;$A322;FoodLog!$H:$H)=0;"";SUMIF(FoodLog!$A:$A;$A322;FoodLog!$H:$H)))</f>
        <v/>
      </c>
      <c r="Y322">
        <f>IF($A322="";"";IFERROR(ROUND(100*AVERAGE(IF($B322="";"";XLOOKUP($B322;FILTER(Dictionaries!$B:$B;Dictionaries!$A:$A="Тренировка");FILTER(Dictionaries!$C:$C;Dictionaries!$A:$A="Тренировка")));IF($C322="";"";MIN($C322/40;1));IF($D322="";"";XLOOKUP($D322;FILTER(Dictionaries!$B:$B;Dictionaries!$A:$A="Шаги");FILTER(Dictionaries!$C:$C;Dictionaries!$A:$A="Шаги")));IF($E322="";"";MIN($E322/120;1));IF(OR($F322&lt;&gt;"";$G322&lt;&gt;"");1;"");IF($H322="";"";MIN($H322/100;1));IF($L322="";"";XLOOKUP($L322;FILTER(Dictionaries!$B:$B;Dictionaries!$A:$A="Сон_часы");FILTER(Dictionaries!$C:$C;Dictionaries!$A:$A="Сон_часы")));IF($M322="";"";XLOOKUP($M322;FILTER(Dictionaries!$B:$B;Dictionaries!$A:$A="Режим");FILTER(Dictionaries!$C:$C;Dictionaries!$A:$A="Режим")));IF($N322="";"";MIN($N322/100;1));IF($O322="";"";XLOOKUP($O322;FILTER(Dictionaries!$B:$B;Dictionaries!$A:$A="Настроение");FILTER(Dictionaries!$C:$C;Dictionaries!$A:$A="Настроение")));IF($P322="";"";XLOOKUP($P322;FILTER(Dictionaries!$B:$B;Dictionaries!$A:$A="Энергия");FILTER(Dictionaries!$C:$C;Dictionaries!$A:$A="Энергия")));IF($U322="";"";AVERAGE(IF(OR($B322="Ноги";$B322="Верх");IFS(AND($U322&gt;=1900;$U322&lt;=2050);1;AND($U322&gt;=1850;$U322&lt;1900);0,7;AND($U322&gt;2050;$U322&lt;=2100);0,7;TRUE;0,2);IFS(AND($U322&gt;=1700;$U322&lt;=1850);1;AND($U322&gt;=1650;$U322&lt;1700);0,7;AND($U322&gt;1850;$U322&lt;=1900);0,7;TRUE;0,2));IF(OR($B322="Ноги";$B322="Верх");IFS(AND($V322&gt;=125;$V322&lt;=135);1;AND($V322&gt;=115;$V322&lt;125);0,7;AND($V322&gt;135;$V322&lt;=145);0,7;AND($V322&gt;=105;$V322&lt;115);0,4;AND($V322&gt;145;$V322&lt;=155);0,4;TRUE;0,2);IFS(AND($V322&gt;=120;$V322&lt;=130);1;AND($V322&gt;=110;$V322&lt;120);0,7;AND($V322&gt;130;$V322&lt;=140);0,7;AND($V322&gt;=100;$V322&lt;110);0,4;AND($V322&gt;140;$V322&lt;=150);0,4;TRUE;0,2));IFS(AND($W322&gt;=55;$W322&lt;=65);1;AND($W322&gt;=50;$W322&lt;55);0,7;AND($W322&gt;65;$W322&lt;=70);0,7;AND($W322&gt;=45;$W322&lt;50);0,4;AND($W322&gt;70;$W322&lt;=75);0,4;TRUE;0,2);IF(OR($B322="Ноги";$B322="Верх");IFS(AND($X322&gt;=180;$X322&lt;=210);1;AND($X322&gt;=160;$X322&lt;180);0,7;AND($X322&gt;210;$X322&lt;=230);0,7;AND($X322&gt;=140;$X322&lt;160);0,4;AND($X322&gt;230;$X322&lt;=250);0,4;TRUE;0,2);IFS(AND($X322&gt;=140;$X322&lt;=170);1;AND($X322&gt;=120;$X322&lt;140);0,7;AND($X322&gt;170;$X322&lt;=190);0,7;AND($X322&gt;=100;$X322&lt;120);0,4;AND($X322&gt;190;$X322&lt;=210);0,4;TRUE;0,2)))));1);""))</f>
        <v/>
      </c>
      <c r="Z322">
        <f>IF($A322="";"";TEXTJOIN(", ";TRUE;IF($B322="";"Тренировка";"");IF($C322="";"Кардио";"");IF($D322="";"Шаги";"");IF($E322="";"Английский";"");IF($F322="";"Код-режим";"");IF($G322="";"Код-тема";"");IF($H322="";"Чтение";"");IF($L322="";"Сон";"");IF($M322="";"Режим";"");IF($N322="";"Продуктивность";"");IF($O322="";"Настроение";"");IF($P322="";"Энергия";"");IF($U322="";"Еда";"")))</f>
        <v/>
      </c>
    </row>
    <row r="323">
      <c r="B323" t="inlineStr"/>
      <c r="C323" t="inlineStr"/>
      <c r="D323" t="inlineStr"/>
      <c r="E323" t="inlineStr"/>
      <c r="F323" t="inlineStr"/>
      <c r="G323" t="inlineStr"/>
      <c r="H323" t="inlineStr"/>
      <c r="I323" t="inlineStr"/>
      <c r="J323" t="inlineStr"/>
      <c r="K323" t="inlineStr"/>
      <c r="L323" t="inlineStr"/>
      <c r="M323" t="inlineStr"/>
      <c r="N323" t="inlineStr"/>
      <c r="O323" t="inlineStr"/>
      <c r="P323" t="inlineStr"/>
      <c r="Q323" t="inlineStr"/>
      <c r="R323" t="inlineStr"/>
      <c r="S323" t="inlineStr"/>
      <c r="T323" t="inlineStr"/>
      <c r="U323">
        <f>IF($A323="";"";IF(SUMIF(FoodLog!$A:$A;$A323;FoodLog!$I:$I)=0;"";SUMIF(FoodLog!$A:$A;$A323;FoodLog!$I:$I)))</f>
        <v/>
      </c>
      <c r="V323">
        <f>IF($A323="";"";IF(SUMIF(FoodLog!$A:$A;$A323;FoodLog!$F:$F)=0;"";SUMIF(FoodLog!$A:$A;$A323;FoodLog!$F:$F)))</f>
        <v/>
      </c>
      <c r="W323">
        <f>IF($A323="";"";IF(SUMIF(FoodLog!$A:$A;$A323;FoodLog!$G:$G)=0;"";SUMIF(FoodLog!$A:$A;$A323;FoodLog!$G:$G)))</f>
        <v/>
      </c>
      <c r="X323">
        <f>IF($A323="";"";IF(SUMIF(FoodLog!$A:$A;$A323;FoodLog!$H:$H)=0;"";SUMIF(FoodLog!$A:$A;$A323;FoodLog!$H:$H)))</f>
        <v/>
      </c>
      <c r="Y323">
        <f>IF($A323="";"";IFERROR(ROUND(100*AVERAGE(IF($B323="";"";XLOOKUP($B323;FILTER(Dictionaries!$B:$B;Dictionaries!$A:$A="Тренировка");FILTER(Dictionaries!$C:$C;Dictionaries!$A:$A="Тренировка")));IF($C323="";"";MIN($C323/40;1));IF($D323="";"";XLOOKUP($D323;FILTER(Dictionaries!$B:$B;Dictionaries!$A:$A="Шаги");FILTER(Dictionaries!$C:$C;Dictionaries!$A:$A="Шаги")));IF($E323="";"";MIN($E323/120;1));IF(OR($F323&lt;&gt;"";$G323&lt;&gt;"");1;"");IF($H323="";"";MIN($H323/100;1));IF($L323="";"";XLOOKUP($L323;FILTER(Dictionaries!$B:$B;Dictionaries!$A:$A="Сон_часы");FILTER(Dictionaries!$C:$C;Dictionaries!$A:$A="Сон_часы")));IF($M323="";"";XLOOKUP($M323;FILTER(Dictionaries!$B:$B;Dictionaries!$A:$A="Режим");FILTER(Dictionaries!$C:$C;Dictionaries!$A:$A="Режим")));IF($N323="";"";MIN($N323/100;1));IF($O323="";"";XLOOKUP($O323;FILTER(Dictionaries!$B:$B;Dictionaries!$A:$A="Настроение");FILTER(Dictionaries!$C:$C;Dictionaries!$A:$A="Настроение")));IF($P323="";"";XLOOKUP($P323;FILTER(Dictionaries!$B:$B;Dictionaries!$A:$A="Энергия");FILTER(Dictionaries!$C:$C;Dictionaries!$A:$A="Энергия")));IF($U323="";"";AVERAGE(IF(OR($B323="Ноги";$B323="Верх");IFS(AND($U323&gt;=1900;$U323&lt;=2050);1;AND($U323&gt;=1850;$U323&lt;1900);0,7;AND($U323&gt;2050;$U323&lt;=2100);0,7;TRUE;0,2);IFS(AND($U323&gt;=1700;$U323&lt;=1850);1;AND($U323&gt;=1650;$U323&lt;1700);0,7;AND($U323&gt;1850;$U323&lt;=1900);0,7;TRUE;0,2));IF(OR($B323="Ноги";$B323="Верх");IFS(AND($V323&gt;=125;$V323&lt;=135);1;AND($V323&gt;=115;$V323&lt;125);0,7;AND($V323&gt;135;$V323&lt;=145);0,7;AND($V323&gt;=105;$V323&lt;115);0,4;AND($V323&gt;145;$V323&lt;=155);0,4;TRUE;0,2);IFS(AND($V323&gt;=120;$V323&lt;=130);1;AND($V323&gt;=110;$V323&lt;120);0,7;AND($V323&gt;130;$V323&lt;=140);0,7;AND($V323&gt;=100;$V323&lt;110);0,4;AND($V323&gt;140;$V323&lt;=150);0,4;TRUE;0,2));IFS(AND($W323&gt;=55;$W323&lt;=65);1;AND($W323&gt;=50;$W323&lt;55);0,7;AND($W323&gt;65;$W323&lt;=70);0,7;AND($W323&gt;=45;$W323&lt;50);0,4;AND($W323&gt;70;$W323&lt;=75);0,4;TRUE;0,2);IF(OR($B323="Ноги";$B323="Верх");IFS(AND($X323&gt;=180;$X323&lt;=210);1;AND($X323&gt;=160;$X323&lt;180);0,7;AND($X323&gt;210;$X323&lt;=230);0,7;AND($X323&gt;=140;$X323&lt;160);0,4;AND($X323&gt;230;$X323&lt;=250);0,4;TRUE;0,2);IFS(AND($X323&gt;=140;$X323&lt;=170);1;AND($X323&gt;=120;$X323&lt;140);0,7;AND($X323&gt;170;$X323&lt;=190);0,7;AND($X323&gt;=100;$X323&lt;120);0,4;AND($X323&gt;190;$X323&lt;=210);0,4;TRUE;0,2)))));1);""))</f>
        <v/>
      </c>
      <c r="Z323">
        <f>IF($A323="";"";TEXTJOIN(", ";TRUE;IF($B323="";"Тренировка";"");IF($C323="";"Кардио";"");IF($D323="";"Шаги";"");IF($E323="";"Английский";"");IF($F323="";"Код-режим";"");IF($G323="";"Код-тема";"");IF($H323="";"Чтение";"");IF($L323="";"Сон";"");IF($M323="";"Режим";"");IF($N323="";"Продуктивность";"");IF($O323="";"Настроение";"");IF($P323="";"Энергия";"");IF($U323="";"Еда";"")))</f>
        <v/>
      </c>
    </row>
    <row r="324">
      <c r="B324" t="inlineStr"/>
      <c r="C324" t="inlineStr"/>
      <c r="D324" t="inlineStr"/>
      <c r="E324" t="inlineStr"/>
      <c r="F324" t="inlineStr"/>
      <c r="G324" t="inlineStr"/>
      <c r="H324" t="inlineStr"/>
      <c r="I324" t="inlineStr"/>
      <c r="J324" t="inlineStr"/>
      <c r="K324" t="inlineStr"/>
      <c r="L324" t="inlineStr"/>
      <c r="M324" t="inlineStr"/>
      <c r="N324" t="inlineStr"/>
      <c r="O324" t="inlineStr"/>
      <c r="P324" t="inlineStr"/>
      <c r="Q324" t="inlineStr"/>
      <c r="R324" t="inlineStr"/>
      <c r="S324" t="inlineStr"/>
      <c r="T324" t="inlineStr"/>
      <c r="U324">
        <f>IF($A324="";"";IF(SUMIF(FoodLog!$A:$A;$A324;FoodLog!$I:$I)=0;"";SUMIF(FoodLog!$A:$A;$A324;FoodLog!$I:$I)))</f>
        <v/>
      </c>
      <c r="V324">
        <f>IF($A324="";"";IF(SUMIF(FoodLog!$A:$A;$A324;FoodLog!$F:$F)=0;"";SUMIF(FoodLog!$A:$A;$A324;FoodLog!$F:$F)))</f>
        <v/>
      </c>
      <c r="W324">
        <f>IF($A324="";"";IF(SUMIF(FoodLog!$A:$A;$A324;FoodLog!$G:$G)=0;"";SUMIF(FoodLog!$A:$A;$A324;FoodLog!$G:$G)))</f>
        <v/>
      </c>
      <c r="X324">
        <f>IF($A324="";"";IF(SUMIF(FoodLog!$A:$A;$A324;FoodLog!$H:$H)=0;"";SUMIF(FoodLog!$A:$A;$A324;FoodLog!$H:$H)))</f>
        <v/>
      </c>
      <c r="Y324">
        <f>IF($A324="";"";IFERROR(ROUND(100*AVERAGE(IF($B324="";"";XLOOKUP($B324;FILTER(Dictionaries!$B:$B;Dictionaries!$A:$A="Тренировка");FILTER(Dictionaries!$C:$C;Dictionaries!$A:$A="Тренировка")));IF($C324="";"";MIN($C324/40;1));IF($D324="";"";XLOOKUP($D324;FILTER(Dictionaries!$B:$B;Dictionaries!$A:$A="Шаги");FILTER(Dictionaries!$C:$C;Dictionaries!$A:$A="Шаги")));IF($E324="";"";MIN($E324/120;1));IF(OR($F324&lt;&gt;"";$G324&lt;&gt;"");1;"");IF($H324="";"";MIN($H324/100;1));IF($L324="";"";XLOOKUP($L324;FILTER(Dictionaries!$B:$B;Dictionaries!$A:$A="Сон_часы");FILTER(Dictionaries!$C:$C;Dictionaries!$A:$A="Сон_часы")));IF($M324="";"";XLOOKUP($M324;FILTER(Dictionaries!$B:$B;Dictionaries!$A:$A="Режим");FILTER(Dictionaries!$C:$C;Dictionaries!$A:$A="Режим")));IF($N324="";"";MIN($N324/100;1));IF($O324="";"";XLOOKUP($O324;FILTER(Dictionaries!$B:$B;Dictionaries!$A:$A="Настроение");FILTER(Dictionaries!$C:$C;Dictionaries!$A:$A="Настроение")));IF($P324="";"";XLOOKUP($P324;FILTER(Dictionaries!$B:$B;Dictionaries!$A:$A="Энергия");FILTER(Dictionaries!$C:$C;Dictionaries!$A:$A="Энергия")));IF($U324="";"";AVERAGE(IF(OR($B324="Ноги";$B324="Верх");IFS(AND($U324&gt;=1900;$U324&lt;=2050);1;AND($U324&gt;=1850;$U324&lt;1900);0,7;AND($U324&gt;2050;$U324&lt;=2100);0,7;TRUE;0,2);IFS(AND($U324&gt;=1700;$U324&lt;=1850);1;AND($U324&gt;=1650;$U324&lt;1700);0,7;AND($U324&gt;1850;$U324&lt;=1900);0,7;TRUE;0,2));IF(OR($B324="Ноги";$B324="Верх");IFS(AND($V324&gt;=125;$V324&lt;=135);1;AND($V324&gt;=115;$V324&lt;125);0,7;AND($V324&gt;135;$V324&lt;=145);0,7;AND($V324&gt;=105;$V324&lt;115);0,4;AND($V324&gt;145;$V324&lt;=155);0,4;TRUE;0,2);IFS(AND($V324&gt;=120;$V324&lt;=130);1;AND($V324&gt;=110;$V324&lt;120);0,7;AND($V324&gt;130;$V324&lt;=140);0,7;AND($V324&gt;=100;$V324&lt;110);0,4;AND($V324&gt;140;$V324&lt;=150);0,4;TRUE;0,2));IFS(AND($W324&gt;=55;$W324&lt;=65);1;AND($W324&gt;=50;$W324&lt;55);0,7;AND($W324&gt;65;$W324&lt;=70);0,7;AND($W324&gt;=45;$W324&lt;50);0,4;AND($W324&gt;70;$W324&lt;=75);0,4;TRUE;0,2);IF(OR($B324="Ноги";$B324="Верх");IFS(AND($X324&gt;=180;$X324&lt;=210);1;AND($X324&gt;=160;$X324&lt;180);0,7;AND($X324&gt;210;$X324&lt;=230);0,7;AND($X324&gt;=140;$X324&lt;160);0,4;AND($X324&gt;230;$X324&lt;=250);0,4;TRUE;0,2);IFS(AND($X324&gt;=140;$X324&lt;=170);1;AND($X324&gt;=120;$X324&lt;140);0,7;AND($X324&gt;170;$X324&lt;=190);0,7;AND($X324&gt;=100;$X324&lt;120);0,4;AND($X324&gt;190;$X324&lt;=210);0,4;TRUE;0,2)))));1);""))</f>
        <v/>
      </c>
      <c r="Z324">
        <f>IF($A324="";"";TEXTJOIN(", ";TRUE;IF($B324="";"Тренировка";"");IF($C324="";"Кардио";"");IF($D324="";"Шаги";"");IF($E324="";"Английский";"");IF($F324="";"Код-режим";"");IF($G324="";"Код-тема";"");IF($H324="";"Чтение";"");IF($L324="";"Сон";"");IF($M324="";"Режим";"");IF($N324="";"Продуктивность";"");IF($O324="";"Настроение";"");IF($P324="";"Энергия";"");IF($U324="";"Еда";"")))</f>
        <v/>
      </c>
    </row>
    <row r="325">
      <c r="B325" t="inlineStr"/>
      <c r="C325" t="inlineStr"/>
      <c r="D325" t="inlineStr"/>
      <c r="E325" t="inlineStr"/>
      <c r="F325" t="inlineStr"/>
      <c r="G325" t="inlineStr"/>
      <c r="H325" t="inlineStr"/>
      <c r="I325" t="inlineStr"/>
      <c r="J325" t="inlineStr"/>
      <c r="K325" t="inlineStr"/>
      <c r="L325" t="inlineStr"/>
      <c r="M325" t="inlineStr"/>
      <c r="N325" t="inlineStr"/>
      <c r="O325" t="inlineStr"/>
      <c r="P325" t="inlineStr"/>
      <c r="Q325" t="inlineStr"/>
      <c r="R325" t="inlineStr"/>
      <c r="S325" t="inlineStr"/>
      <c r="T325" t="inlineStr"/>
      <c r="U325">
        <f>IF($A325="";"";IF(SUMIF(FoodLog!$A:$A;$A325;FoodLog!$I:$I)=0;"";SUMIF(FoodLog!$A:$A;$A325;FoodLog!$I:$I)))</f>
        <v/>
      </c>
      <c r="V325">
        <f>IF($A325="";"";IF(SUMIF(FoodLog!$A:$A;$A325;FoodLog!$F:$F)=0;"";SUMIF(FoodLog!$A:$A;$A325;FoodLog!$F:$F)))</f>
        <v/>
      </c>
      <c r="W325">
        <f>IF($A325="";"";IF(SUMIF(FoodLog!$A:$A;$A325;FoodLog!$G:$G)=0;"";SUMIF(FoodLog!$A:$A;$A325;FoodLog!$G:$G)))</f>
        <v/>
      </c>
      <c r="X325">
        <f>IF($A325="";"";IF(SUMIF(FoodLog!$A:$A;$A325;FoodLog!$H:$H)=0;"";SUMIF(FoodLog!$A:$A;$A325;FoodLog!$H:$H)))</f>
        <v/>
      </c>
      <c r="Y325">
        <f>IF($A325="";"";IFERROR(ROUND(100*AVERAGE(IF($B325="";"";XLOOKUP($B325;FILTER(Dictionaries!$B:$B;Dictionaries!$A:$A="Тренировка");FILTER(Dictionaries!$C:$C;Dictionaries!$A:$A="Тренировка")));IF($C325="";"";MIN($C325/40;1));IF($D325="";"";XLOOKUP($D325;FILTER(Dictionaries!$B:$B;Dictionaries!$A:$A="Шаги");FILTER(Dictionaries!$C:$C;Dictionaries!$A:$A="Шаги")));IF($E325="";"";MIN($E325/120;1));IF(OR($F325&lt;&gt;"";$G325&lt;&gt;"");1;"");IF($H325="";"";MIN($H325/100;1));IF($L325="";"";XLOOKUP($L325;FILTER(Dictionaries!$B:$B;Dictionaries!$A:$A="Сон_часы");FILTER(Dictionaries!$C:$C;Dictionaries!$A:$A="Сон_часы")));IF($M325="";"";XLOOKUP($M325;FILTER(Dictionaries!$B:$B;Dictionaries!$A:$A="Режим");FILTER(Dictionaries!$C:$C;Dictionaries!$A:$A="Режим")));IF($N325="";"";MIN($N325/100;1));IF($O325="";"";XLOOKUP($O325;FILTER(Dictionaries!$B:$B;Dictionaries!$A:$A="Настроение");FILTER(Dictionaries!$C:$C;Dictionaries!$A:$A="Настроение")));IF($P325="";"";XLOOKUP($P325;FILTER(Dictionaries!$B:$B;Dictionaries!$A:$A="Энергия");FILTER(Dictionaries!$C:$C;Dictionaries!$A:$A="Энергия")));IF($U325="";"";AVERAGE(IF(OR($B325="Ноги";$B325="Верх");IFS(AND($U325&gt;=1900;$U325&lt;=2050);1;AND($U325&gt;=1850;$U325&lt;1900);0,7;AND($U325&gt;2050;$U325&lt;=2100);0,7;TRUE;0,2);IFS(AND($U325&gt;=1700;$U325&lt;=1850);1;AND($U325&gt;=1650;$U325&lt;1700);0,7;AND($U325&gt;1850;$U325&lt;=1900);0,7;TRUE;0,2));IF(OR($B325="Ноги";$B325="Верх");IFS(AND($V325&gt;=125;$V325&lt;=135);1;AND($V325&gt;=115;$V325&lt;125);0,7;AND($V325&gt;135;$V325&lt;=145);0,7;AND($V325&gt;=105;$V325&lt;115);0,4;AND($V325&gt;145;$V325&lt;=155);0,4;TRUE;0,2);IFS(AND($V325&gt;=120;$V325&lt;=130);1;AND($V325&gt;=110;$V325&lt;120);0,7;AND($V325&gt;130;$V325&lt;=140);0,7;AND($V325&gt;=100;$V325&lt;110);0,4;AND($V325&gt;140;$V325&lt;=150);0,4;TRUE;0,2));IFS(AND($W325&gt;=55;$W325&lt;=65);1;AND($W325&gt;=50;$W325&lt;55);0,7;AND($W325&gt;65;$W325&lt;=70);0,7;AND($W325&gt;=45;$W325&lt;50);0,4;AND($W325&gt;70;$W325&lt;=75);0,4;TRUE;0,2);IF(OR($B325="Ноги";$B325="Верх");IFS(AND($X325&gt;=180;$X325&lt;=210);1;AND($X325&gt;=160;$X325&lt;180);0,7;AND($X325&gt;210;$X325&lt;=230);0,7;AND($X325&gt;=140;$X325&lt;160);0,4;AND($X325&gt;230;$X325&lt;=250);0,4;TRUE;0,2);IFS(AND($X325&gt;=140;$X325&lt;=170);1;AND($X325&gt;=120;$X325&lt;140);0,7;AND($X325&gt;170;$X325&lt;=190);0,7;AND($X325&gt;=100;$X325&lt;120);0,4;AND($X325&gt;190;$X325&lt;=210);0,4;TRUE;0,2)))));1);""))</f>
        <v/>
      </c>
      <c r="Z325">
        <f>IF($A325="";"";TEXTJOIN(", ";TRUE;IF($B325="";"Тренировка";"");IF($C325="";"Кардио";"");IF($D325="";"Шаги";"");IF($E325="";"Английский";"");IF($F325="";"Код-режим";"");IF($G325="";"Код-тема";"");IF($H325="";"Чтение";"");IF($L325="";"Сон";"");IF($M325="";"Режим";"");IF($N325="";"Продуктивность";"");IF($O325="";"Настроение";"");IF($P325="";"Энергия";"");IF($U325="";"Еда";"")))</f>
        <v/>
      </c>
    </row>
    <row r="326">
      <c r="B326" t="inlineStr"/>
      <c r="C326" t="inlineStr"/>
      <c r="D326" t="inlineStr"/>
      <c r="E326" t="inlineStr"/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/>
      <c r="O326" t="inlineStr"/>
      <c r="P326" t="inlineStr"/>
      <c r="Q326" t="inlineStr"/>
      <c r="R326" t="inlineStr"/>
      <c r="S326" t="inlineStr"/>
      <c r="T326" t="inlineStr"/>
      <c r="U326">
        <f>IF($A326="";"";IF(SUMIF(FoodLog!$A:$A;$A326;FoodLog!$I:$I)=0;"";SUMIF(FoodLog!$A:$A;$A326;FoodLog!$I:$I)))</f>
        <v/>
      </c>
      <c r="V326">
        <f>IF($A326="";"";IF(SUMIF(FoodLog!$A:$A;$A326;FoodLog!$F:$F)=0;"";SUMIF(FoodLog!$A:$A;$A326;FoodLog!$F:$F)))</f>
        <v/>
      </c>
      <c r="W326">
        <f>IF($A326="";"";IF(SUMIF(FoodLog!$A:$A;$A326;FoodLog!$G:$G)=0;"";SUMIF(FoodLog!$A:$A;$A326;FoodLog!$G:$G)))</f>
        <v/>
      </c>
      <c r="X326">
        <f>IF($A326="";"";IF(SUMIF(FoodLog!$A:$A;$A326;FoodLog!$H:$H)=0;"";SUMIF(FoodLog!$A:$A;$A326;FoodLog!$H:$H)))</f>
        <v/>
      </c>
      <c r="Y326">
        <f>IF($A326="";"";IFERROR(ROUND(100*AVERAGE(IF($B326="";"";XLOOKUP($B326;FILTER(Dictionaries!$B:$B;Dictionaries!$A:$A="Тренировка");FILTER(Dictionaries!$C:$C;Dictionaries!$A:$A="Тренировка")));IF($C326="";"";MIN($C326/40;1));IF($D326="";"";XLOOKUP($D326;FILTER(Dictionaries!$B:$B;Dictionaries!$A:$A="Шаги");FILTER(Dictionaries!$C:$C;Dictionaries!$A:$A="Шаги")));IF($E326="";"";MIN($E326/120;1));IF(OR($F326&lt;&gt;"";$G326&lt;&gt;"");1;"");IF($H326="";"";MIN($H326/100;1));IF($L326="";"";XLOOKUP($L326;FILTER(Dictionaries!$B:$B;Dictionaries!$A:$A="Сон_часы");FILTER(Dictionaries!$C:$C;Dictionaries!$A:$A="Сон_часы")));IF($M326="";"";XLOOKUP($M326;FILTER(Dictionaries!$B:$B;Dictionaries!$A:$A="Режим");FILTER(Dictionaries!$C:$C;Dictionaries!$A:$A="Режим")));IF($N326="";"";MIN($N326/100;1));IF($O326="";"";XLOOKUP($O326;FILTER(Dictionaries!$B:$B;Dictionaries!$A:$A="Настроение");FILTER(Dictionaries!$C:$C;Dictionaries!$A:$A="Настроение")));IF($P326="";"";XLOOKUP($P326;FILTER(Dictionaries!$B:$B;Dictionaries!$A:$A="Энергия");FILTER(Dictionaries!$C:$C;Dictionaries!$A:$A="Энергия")));IF($U326="";"";AVERAGE(IF(OR($B326="Ноги";$B326="Верх");IFS(AND($U326&gt;=1900;$U326&lt;=2050);1;AND($U326&gt;=1850;$U326&lt;1900);0,7;AND($U326&gt;2050;$U326&lt;=2100);0,7;TRUE;0,2);IFS(AND($U326&gt;=1700;$U326&lt;=1850);1;AND($U326&gt;=1650;$U326&lt;1700);0,7;AND($U326&gt;1850;$U326&lt;=1900);0,7;TRUE;0,2));IF(OR($B326="Ноги";$B326="Верх");IFS(AND($V326&gt;=125;$V326&lt;=135);1;AND($V326&gt;=115;$V326&lt;125);0,7;AND($V326&gt;135;$V326&lt;=145);0,7;AND($V326&gt;=105;$V326&lt;115);0,4;AND($V326&gt;145;$V326&lt;=155);0,4;TRUE;0,2);IFS(AND($V326&gt;=120;$V326&lt;=130);1;AND($V326&gt;=110;$V326&lt;120);0,7;AND($V326&gt;130;$V326&lt;=140);0,7;AND($V326&gt;=100;$V326&lt;110);0,4;AND($V326&gt;140;$V326&lt;=150);0,4;TRUE;0,2));IFS(AND($W326&gt;=55;$W326&lt;=65);1;AND($W326&gt;=50;$W326&lt;55);0,7;AND($W326&gt;65;$W326&lt;=70);0,7;AND($W326&gt;=45;$W326&lt;50);0,4;AND($W326&gt;70;$W326&lt;=75);0,4;TRUE;0,2);IF(OR($B326="Ноги";$B326="Верх");IFS(AND($X326&gt;=180;$X326&lt;=210);1;AND($X326&gt;=160;$X326&lt;180);0,7;AND($X326&gt;210;$X326&lt;=230);0,7;AND($X326&gt;=140;$X326&lt;160);0,4;AND($X326&gt;230;$X326&lt;=250);0,4;TRUE;0,2);IFS(AND($X326&gt;=140;$X326&lt;=170);1;AND($X326&gt;=120;$X326&lt;140);0,7;AND($X326&gt;170;$X326&lt;=190);0,7;AND($X326&gt;=100;$X326&lt;120);0,4;AND($X326&gt;190;$X326&lt;=210);0,4;TRUE;0,2)))));1);""))</f>
        <v/>
      </c>
      <c r="Z326">
        <f>IF($A326="";"";TEXTJOIN(", ";TRUE;IF($B326="";"Тренировка";"");IF($C326="";"Кардио";"");IF($D326="";"Шаги";"");IF($E326="";"Английский";"");IF($F326="";"Код-режим";"");IF($G326="";"Код-тема";"");IF($H326="";"Чтение";"");IF($L326="";"Сон";"");IF($M326="";"Режим";"");IF($N326="";"Продуктивность";"");IF($O326="";"Настроение";"");IF($P326="";"Энергия";"");IF($U326="";"Еда";"")))</f>
        <v/>
      </c>
    </row>
    <row r="327">
      <c r="B327" t="inlineStr"/>
      <c r="C327" t="inlineStr"/>
      <c r="D327" t="inlineStr"/>
      <c r="E327" t="inlineStr"/>
      <c r="F327" t="inlineStr"/>
      <c r="G327" t="inlineStr"/>
      <c r="H327" t="inlineStr"/>
      <c r="I327" t="inlineStr"/>
      <c r="J327" t="inlineStr"/>
      <c r="K327" t="inlineStr"/>
      <c r="L327" t="inlineStr"/>
      <c r="M327" t="inlineStr"/>
      <c r="N327" t="inlineStr"/>
      <c r="O327" t="inlineStr"/>
      <c r="P327" t="inlineStr"/>
      <c r="Q327" t="inlineStr"/>
      <c r="R327" t="inlineStr"/>
      <c r="S327" t="inlineStr"/>
      <c r="T327" t="inlineStr"/>
      <c r="U327">
        <f>IF($A327="";"";IF(SUMIF(FoodLog!$A:$A;$A327;FoodLog!$I:$I)=0;"";SUMIF(FoodLog!$A:$A;$A327;FoodLog!$I:$I)))</f>
        <v/>
      </c>
      <c r="V327">
        <f>IF($A327="";"";IF(SUMIF(FoodLog!$A:$A;$A327;FoodLog!$F:$F)=0;"";SUMIF(FoodLog!$A:$A;$A327;FoodLog!$F:$F)))</f>
        <v/>
      </c>
      <c r="W327">
        <f>IF($A327="";"";IF(SUMIF(FoodLog!$A:$A;$A327;FoodLog!$G:$G)=0;"";SUMIF(FoodLog!$A:$A;$A327;FoodLog!$G:$G)))</f>
        <v/>
      </c>
      <c r="X327">
        <f>IF($A327="";"";IF(SUMIF(FoodLog!$A:$A;$A327;FoodLog!$H:$H)=0;"";SUMIF(FoodLog!$A:$A;$A327;FoodLog!$H:$H)))</f>
        <v/>
      </c>
      <c r="Y327">
        <f>IF($A327="";"";IFERROR(ROUND(100*AVERAGE(IF($B327="";"";XLOOKUP($B327;FILTER(Dictionaries!$B:$B;Dictionaries!$A:$A="Тренировка");FILTER(Dictionaries!$C:$C;Dictionaries!$A:$A="Тренировка")));IF($C327="";"";MIN($C327/40;1));IF($D327="";"";XLOOKUP($D327;FILTER(Dictionaries!$B:$B;Dictionaries!$A:$A="Шаги");FILTER(Dictionaries!$C:$C;Dictionaries!$A:$A="Шаги")));IF($E327="";"";MIN($E327/120;1));IF(OR($F327&lt;&gt;"";$G327&lt;&gt;"");1;"");IF($H327="";"";MIN($H327/100;1));IF($L327="";"";XLOOKUP($L327;FILTER(Dictionaries!$B:$B;Dictionaries!$A:$A="Сон_часы");FILTER(Dictionaries!$C:$C;Dictionaries!$A:$A="Сон_часы")));IF($M327="";"";XLOOKUP($M327;FILTER(Dictionaries!$B:$B;Dictionaries!$A:$A="Режим");FILTER(Dictionaries!$C:$C;Dictionaries!$A:$A="Режим")));IF($N327="";"";MIN($N327/100;1));IF($O327="";"";XLOOKUP($O327;FILTER(Dictionaries!$B:$B;Dictionaries!$A:$A="Настроение");FILTER(Dictionaries!$C:$C;Dictionaries!$A:$A="Настроение")));IF($P327="";"";XLOOKUP($P327;FILTER(Dictionaries!$B:$B;Dictionaries!$A:$A="Энергия");FILTER(Dictionaries!$C:$C;Dictionaries!$A:$A="Энергия")));IF($U327="";"";AVERAGE(IF(OR($B327="Ноги";$B327="Верх");IFS(AND($U327&gt;=1900;$U327&lt;=2050);1;AND($U327&gt;=1850;$U327&lt;1900);0,7;AND($U327&gt;2050;$U327&lt;=2100);0,7;TRUE;0,2);IFS(AND($U327&gt;=1700;$U327&lt;=1850);1;AND($U327&gt;=1650;$U327&lt;1700);0,7;AND($U327&gt;1850;$U327&lt;=1900);0,7;TRUE;0,2));IF(OR($B327="Ноги";$B327="Верх");IFS(AND($V327&gt;=125;$V327&lt;=135);1;AND($V327&gt;=115;$V327&lt;125);0,7;AND($V327&gt;135;$V327&lt;=145);0,7;AND($V327&gt;=105;$V327&lt;115);0,4;AND($V327&gt;145;$V327&lt;=155);0,4;TRUE;0,2);IFS(AND($V327&gt;=120;$V327&lt;=130);1;AND($V327&gt;=110;$V327&lt;120);0,7;AND($V327&gt;130;$V327&lt;=140);0,7;AND($V327&gt;=100;$V327&lt;110);0,4;AND($V327&gt;140;$V327&lt;=150);0,4;TRUE;0,2));IFS(AND($W327&gt;=55;$W327&lt;=65);1;AND($W327&gt;=50;$W327&lt;55);0,7;AND($W327&gt;65;$W327&lt;=70);0,7;AND($W327&gt;=45;$W327&lt;50);0,4;AND($W327&gt;70;$W327&lt;=75);0,4;TRUE;0,2);IF(OR($B327="Ноги";$B327="Верх");IFS(AND($X327&gt;=180;$X327&lt;=210);1;AND($X327&gt;=160;$X327&lt;180);0,7;AND($X327&gt;210;$X327&lt;=230);0,7;AND($X327&gt;=140;$X327&lt;160);0,4;AND($X327&gt;230;$X327&lt;=250);0,4;TRUE;0,2);IFS(AND($X327&gt;=140;$X327&lt;=170);1;AND($X327&gt;=120;$X327&lt;140);0,7;AND($X327&gt;170;$X327&lt;=190);0,7;AND($X327&gt;=100;$X327&lt;120);0,4;AND($X327&gt;190;$X327&lt;=210);0,4;TRUE;0,2)))));1);""))</f>
        <v/>
      </c>
      <c r="Z327">
        <f>IF($A327="";"";TEXTJOIN(", ";TRUE;IF($B327="";"Тренировка";"");IF($C327="";"Кардио";"");IF($D327="";"Шаги";"");IF($E327="";"Английский";"");IF($F327="";"Код-режим";"");IF($G327="";"Код-тема";"");IF($H327="";"Чтение";"");IF($L327="";"Сон";"");IF($M327="";"Режим";"");IF($N327="";"Продуктивность";"");IF($O327="";"Настроение";"");IF($P327="";"Энергия";"");IF($U327="";"Еда";"")))</f>
        <v/>
      </c>
    </row>
    <row r="328">
      <c r="B328" t="inlineStr"/>
      <c r="C328" t="inlineStr"/>
      <c r="D328" t="inlineStr"/>
      <c r="E328" t="inlineStr"/>
      <c r="F328" t="inlineStr"/>
      <c r="G328" t="inlineStr"/>
      <c r="H328" t="inlineStr"/>
      <c r="I328" t="inlineStr"/>
      <c r="J328" t="inlineStr"/>
      <c r="K328" t="inlineStr"/>
      <c r="L328" t="inlineStr"/>
      <c r="M328" t="inlineStr"/>
      <c r="N328" t="inlineStr"/>
      <c r="O328" t="inlineStr"/>
      <c r="P328" t="inlineStr"/>
      <c r="Q328" t="inlineStr"/>
      <c r="R328" t="inlineStr"/>
      <c r="S328" t="inlineStr"/>
      <c r="T328" t="inlineStr"/>
      <c r="U328">
        <f>IF($A328="";"";IF(SUMIF(FoodLog!$A:$A;$A328;FoodLog!$I:$I)=0;"";SUMIF(FoodLog!$A:$A;$A328;FoodLog!$I:$I)))</f>
        <v/>
      </c>
      <c r="V328">
        <f>IF($A328="";"";IF(SUMIF(FoodLog!$A:$A;$A328;FoodLog!$F:$F)=0;"";SUMIF(FoodLog!$A:$A;$A328;FoodLog!$F:$F)))</f>
        <v/>
      </c>
      <c r="W328">
        <f>IF($A328="";"";IF(SUMIF(FoodLog!$A:$A;$A328;FoodLog!$G:$G)=0;"";SUMIF(FoodLog!$A:$A;$A328;FoodLog!$G:$G)))</f>
        <v/>
      </c>
      <c r="X328">
        <f>IF($A328="";"";IF(SUMIF(FoodLog!$A:$A;$A328;FoodLog!$H:$H)=0;"";SUMIF(FoodLog!$A:$A;$A328;FoodLog!$H:$H)))</f>
        <v/>
      </c>
      <c r="Y328">
        <f>IF($A328="";"";IFERROR(ROUND(100*AVERAGE(IF($B328="";"";XLOOKUP($B328;FILTER(Dictionaries!$B:$B;Dictionaries!$A:$A="Тренировка");FILTER(Dictionaries!$C:$C;Dictionaries!$A:$A="Тренировка")));IF($C328="";"";MIN($C328/40;1));IF($D328="";"";XLOOKUP($D328;FILTER(Dictionaries!$B:$B;Dictionaries!$A:$A="Шаги");FILTER(Dictionaries!$C:$C;Dictionaries!$A:$A="Шаги")));IF($E328="";"";MIN($E328/120;1));IF(OR($F328&lt;&gt;"";$G328&lt;&gt;"");1;"");IF($H328="";"";MIN($H328/100;1));IF($L328="";"";XLOOKUP($L328;FILTER(Dictionaries!$B:$B;Dictionaries!$A:$A="Сон_часы");FILTER(Dictionaries!$C:$C;Dictionaries!$A:$A="Сон_часы")));IF($M328="";"";XLOOKUP($M328;FILTER(Dictionaries!$B:$B;Dictionaries!$A:$A="Режим");FILTER(Dictionaries!$C:$C;Dictionaries!$A:$A="Режим")));IF($N328="";"";MIN($N328/100;1));IF($O328="";"";XLOOKUP($O328;FILTER(Dictionaries!$B:$B;Dictionaries!$A:$A="Настроение");FILTER(Dictionaries!$C:$C;Dictionaries!$A:$A="Настроение")));IF($P328="";"";XLOOKUP($P328;FILTER(Dictionaries!$B:$B;Dictionaries!$A:$A="Энергия");FILTER(Dictionaries!$C:$C;Dictionaries!$A:$A="Энергия")));IF($U328="";"";AVERAGE(IF(OR($B328="Ноги";$B328="Верх");IFS(AND($U328&gt;=1900;$U328&lt;=2050);1;AND($U328&gt;=1850;$U328&lt;1900);0,7;AND($U328&gt;2050;$U328&lt;=2100);0,7;TRUE;0,2);IFS(AND($U328&gt;=1700;$U328&lt;=1850);1;AND($U328&gt;=1650;$U328&lt;1700);0,7;AND($U328&gt;1850;$U328&lt;=1900);0,7;TRUE;0,2));IF(OR($B328="Ноги";$B328="Верх");IFS(AND($V328&gt;=125;$V328&lt;=135);1;AND($V328&gt;=115;$V328&lt;125);0,7;AND($V328&gt;135;$V328&lt;=145);0,7;AND($V328&gt;=105;$V328&lt;115);0,4;AND($V328&gt;145;$V328&lt;=155);0,4;TRUE;0,2);IFS(AND($V328&gt;=120;$V328&lt;=130);1;AND($V328&gt;=110;$V328&lt;120);0,7;AND($V328&gt;130;$V328&lt;=140);0,7;AND($V328&gt;=100;$V328&lt;110);0,4;AND($V328&gt;140;$V328&lt;=150);0,4;TRUE;0,2));IFS(AND($W328&gt;=55;$W328&lt;=65);1;AND($W328&gt;=50;$W328&lt;55);0,7;AND($W328&gt;65;$W328&lt;=70);0,7;AND($W328&gt;=45;$W328&lt;50);0,4;AND($W328&gt;70;$W328&lt;=75);0,4;TRUE;0,2);IF(OR($B328="Ноги";$B328="Верх");IFS(AND($X328&gt;=180;$X328&lt;=210);1;AND($X328&gt;=160;$X328&lt;180);0,7;AND($X328&gt;210;$X328&lt;=230);0,7;AND($X328&gt;=140;$X328&lt;160);0,4;AND($X328&gt;230;$X328&lt;=250);0,4;TRUE;0,2);IFS(AND($X328&gt;=140;$X328&lt;=170);1;AND($X328&gt;=120;$X328&lt;140);0,7;AND($X328&gt;170;$X328&lt;=190);0,7;AND($X328&gt;=100;$X328&lt;120);0,4;AND($X328&gt;190;$X328&lt;=210);0,4;TRUE;0,2)))));1);""))</f>
        <v/>
      </c>
      <c r="Z328">
        <f>IF($A328="";"";TEXTJOIN(", ";TRUE;IF($B328="";"Тренировка";"");IF($C328="";"Кардио";"");IF($D328="";"Шаги";"");IF($E328="";"Английский";"");IF($F328="";"Код-режим";"");IF($G328="";"Код-тема";"");IF($H328="";"Чтение";"");IF($L328="";"Сон";"");IF($M328="";"Режим";"");IF($N328="";"Продуктивность";"");IF($O328="";"Настроение";"");IF($P328="";"Энергия";"");IF($U328="";"Еда";"")))</f>
        <v/>
      </c>
    </row>
    <row r="329">
      <c r="B329" t="inlineStr"/>
      <c r="C329" t="inlineStr"/>
      <c r="D329" t="inlineStr"/>
      <c r="E329" t="inlineStr"/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/>
      <c r="P329" t="inlineStr"/>
      <c r="Q329" t="inlineStr"/>
      <c r="R329" t="inlineStr"/>
      <c r="S329" t="inlineStr"/>
      <c r="T329" t="inlineStr"/>
      <c r="U329">
        <f>IF($A329="";"";IF(SUMIF(FoodLog!$A:$A;$A329;FoodLog!$I:$I)=0;"";SUMIF(FoodLog!$A:$A;$A329;FoodLog!$I:$I)))</f>
        <v/>
      </c>
      <c r="V329">
        <f>IF($A329="";"";IF(SUMIF(FoodLog!$A:$A;$A329;FoodLog!$F:$F)=0;"";SUMIF(FoodLog!$A:$A;$A329;FoodLog!$F:$F)))</f>
        <v/>
      </c>
      <c r="W329">
        <f>IF($A329="";"";IF(SUMIF(FoodLog!$A:$A;$A329;FoodLog!$G:$G)=0;"";SUMIF(FoodLog!$A:$A;$A329;FoodLog!$G:$G)))</f>
        <v/>
      </c>
      <c r="X329">
        <f>IF($A329="";"";IF(SUMIF(FoodLog!$A:$A;$A329;FoodLog!$H:$H)=0;"";SUMIF(FoodLog!$A:$A;$A329;FoodLog!$H:$H)))</f>
        <v/>
      </c>
      <c r="Y329">
        <f>IF($A329="";"";IFERROR(ROUND(100*AVERAGE(IF($B329="";"";XLOOKUP($B329;FILTER(Dictionaries!$B:$B;Dictionaries!$A:$A="Тренировка");FILTER(Dictionaries!$C:$C;Dictionaries!$A:$A="Тренировка")));IF($C329="";"";MIN($C329/40;1));IF($D329="";"";XLOOKUP($D329;FILTER(Dictionaries!$B:$B;Dictionaries!$A:$A="Шаги");FILTER(Dictionaries!$C:$C;Dictionaries!$A:$A="Шаги")));IF($E329="";"";MIN($E329/120;1));IF(OR($F329&lt;&gt;"";$G329&lt;&gt;"");1;"");IF($H329="";"";MIN($H329/100;1));IF($L329="";"";XLOOKUP($L329;FILTER(Dictionaries!$B:$B;Dictionaries!$A:$A="Сон_часы");FILTER(Dictionaries!$C:$C;Dictionaries!$A:$A="Сон_часы")));IF($M329="";"";XLOOKUP($M329;FILTER(Dictionaries!$B:$B;Dictionaries!$A:$A="Режим");FILTER(Dictionaries!$C:$C;Dictionaries!$A:$A="Режим")));IF($N329="";"";MIN($N329/100;1));IF($O329="";"";XLOOKUP($O329;FILTER(Dictionaries!$B:$B;Dictionaries!$A:$A="Настроение");FILTER(Dictionaries!$C:$C;Dictionaries!$A:$A="Настроение")));IF($P329="";"";XLOOKUP($P329;FILTER(Dictionaries!$B:$B;Dictionaries!$A:$A="Энергия");FILTER(Dictionaries!$C:$C;Dictionaries!$A:$A="Энергия")));IF($U329="";"";AVERAGE(IF(OR($B329="Ноги";$B329="Верх");IFS(AND($U329&gt;=1900;$U329&lt;=2050);1;AND($U329&gt;=1850;$U329&lt;1900);0,7;AND($U329&gt;2050;$U329&lt;=2100);0,7;TRUE;0,2);IFS(AND($U329&gt;=1700;$U329&lt;=1850);1;AND($U329&gt;=1650;$U329&lt;1700);0,7;AND($U329&gt;1850;$U329&lt;=1900);0,7;TRUE;0,2));IF(OR($B329="Ноги";$B329="Верх");IFS(AND($V329&gt;=125;$V329&lt;=135);1;AND($V329&gt;=115;$V329&lt;125);0,7;AND($V329&gt;135;$V329&lt;=145);0,7;AND($V329&gt;=105;$V329&lt;115);0,4;AND($V329&gt;145;$V329&lt;=155);0,4;TRUE;0,2);IFS(AND($V329&gt;=120;$V329&lt;=130);1;AND($V329&gt;=110;$V329&lt;120);0,7;AND($V329&gt;130;$V329&lt;=140);0,7;AND($V329&gt;=100;$V329&lt;110);0,4;AND($V329&gt;140;$V329&lt;=150);0,4;TRUE;0,2));IFS(AND($W329&gt;=55;$W329&lt;=65);1;AND($W329&gt;=50;$W329&lt;55);0,7;AND($W329&gt;65;$W329&lt;=70);0,7;AND($W329&gt;=45;$W329&lt;50);0,4;AND($W329&gt;70;$W329&lt;=75);0,4;TRUE;0,2);IF(OR($B329="Ноги";$B329="Верх");IFS(AND($X329&gt;=180;$X329&lt;=210);1;AND($X329&gt;=160;$X329&lt;180);0,7;AND($X329&gt;210;$X329&lt;=230);0,7;AND($X329&gt;=140;$X329&lt;160);0,4;AND($X329&gt;230;$X329&lt;=250);0,4;TRUE;0,2);IFS(AND($X329&gt;=140;$X329&lt;=170);1;AND($X329&gt;=120;$X329&lt;140);0,7;AND($X329&gt;170;$X329&lt;=190);0,7;AND($X329&gt;=100;$X329&lt;120);0,4;AND($X329&gt;190;$X329&lt;=210);0,4;TRUE;0,2)))));1);""))</f>
        <v/>
      </c>
      <c r="Z329">
        <f>IF($A329="";"";TEXTJOIN(", ";TRUE;IF($B329="";"Тренировка";"");IF($C329="";"Кардио";"");IF($D329="";"Шаги";"");IF($E329="";"Английский";"");IF($F329="";"Код-режим";"");IF($G329="";"Код-тема";"");IF($H329="";"Чтение";"");IF($L329="";"Сон";"");IF($M329="";"Режим";"");IF($N329="";"Продуктивность";"");IF($O329="";"Настроение";"");IF($P329="";"Энергия";"");IF($U329="";"Еда";"")))</f>
        <v/>
      </c>
    </row>
    <row r="330">
      <c r="B330" t="inlineStr"/>
      <c r="C330" t="inlineStr"/>
      <c r="D330" t="inlineStr"/>
      <c r="E330" t="inlineStr"/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/>
      <c r="P330" t="inlineStr"/>
      <c r="Q330" t="inlineStr"/>
      <c r="R330" t="inlineStr"/>
      <c r="S330" t="inlineStr"/>
      <c r="T330" t="inlineStr"/>
      <c r="U330">
        <f>IF($A330="";"";IF(SUMIF(FoodLog!$A:$A;$A330;FoodLog!$I:$I)=0;"";SUMIF(FoodLog!$A:$A;$A330;FoodLog!$I:$I)))</f>
        <v/>
      </c>
      <c r="V330">
        <f>IF($A330="";"";IF(SUMIF(FoodLog!$A:$A;$A330;FoodLog!$F:$F)=0;"";SUMIF(FoodLog!$A:$A;$A330;FoodLog!$F:$F)))</f>
        <v/>
      </c>
      <c r="W330">
        <f>IF($A330="";"";IF(SUMIF(FoodLog!$A:$A;$A330;FoodLog!$G:$G)=0;"";SUMIF(FoodLog!$A:$A;$A330;FoodLog!$G:$G)))</f>
        <v/>
      </c>
      <c r="X330">
        <f>IF($A330="";"";IF(SUMIF(FoodLog!$A:$A;$A330;FoodLog!$H:$H)=0;"";SUMIF(FoodLog!$A:$A;$A330;FoodLog!$H:$H)))</f>
        <v/>
      </c>
      <c r="Y330">
        <f>IF($A330="";"";IFERROR(ROUND(100*AVERAGE(IF($B330="";"";XLOOKUP($B330;FILTER(Dictionaries!$B:$B;Dictionaries!$A:$A="Тренировка");FILTER(Dictionaries!$C:$C;Dictionaries!$A:$A="Тренировка")));IF($C330="";"";MIN($C330/40;1));IF($D330="";"";XLOOKUP($D330;FILTER(Dictionaries!$B:$B;Dictionaries!$A:$A="Шаги");FILTER(Dictionaries!$C:$C;Dictionaries!$A:$A="Шаги")));IF($E330="";"";MIN($E330/120;1));IF(OR($F330&lt;&gt;"";$G330&lt;&gt;"");1;"");IF($H330="";"";MIN($H330/100;1));IF($L330="";"";XLOOKUP($L330;FILTER(Dictionaries!$B:$B;Dictionaries!$A:$A="Сон_часы");FILTER(Dictionaries!$C:$C;Dictionaries!$A:$A="Сон_часы")));IF($M330="";"";XLOOKUP($M330;FILTER(Dictionaries!$B:$B;Dictionaries!$A:$A="Режим");FILTER(Dictionaries!$C:$C;Dictionaries!$A:$A="Режим")));IF($N330="";"";MIN($N330/100;1));IF($O330="";"";XLOOKUP($O330;FILTER(Dictionaries!$B:$B;Dictionaries!$A:$A="Настроение");FILTER(Dictionaries!$C:$C;Dictionaries!$A:$A="Настроение")));IF($P330="";"";XLOOKUP($P330;FILTER(Dictionaries!$B:$B;Dictionaries!$A:$A="Энергия");FILTER(Dictionaries!$C:$C;Dictionaries!$A:$A="Энергия")));IF($U330="";"";AVERAGE(IF(OR($B330="Ноги";$B330="Верх");IFS(AND($U330&gt;=1900;$U330&lt;=2050);1;AND($U330&gt;=1850;$U330&lt;1900);0,7;AND($U330&gt;2050;$U330&lt;=2100);0,7;TRUE;0,2);IFS(AND($U330&gt;=1700;$U330&lt;=1850);1;AND($U330&gt;=1650;$U330&lt;1700);0,7;AND($U330&gt;1850;$U330&lt;=1900);0,7;TRUE;0,2));IF(OR($B330="Ноги";$B330="Верх");IFS(AND($V330&gt;=125;$V330&lt;=135);1;AND($V330&gt;=115;$V330&lt;125);0,7;AND($V330&gt;135;$V330&lt;=145);0,7;AND($V330&gt;=105;$V330&lt;115);0,4;AND($V330&gt;145;$V330&lt;=155);0,4;TRUE;0,2);IFS(AND($V330&gt;=120;$V330&lt;=130);1;AND($V330&gt;=110;$V330&lt;120);0,7;AND($V330&gt;130;$V330&lt;=140);0,7;AND($V330&gt;=100;$V330&lt;110);0,4;AND($V330&gt;140;$V330&lt;=150);0,4;TRUE;0,2));IFS(AND($W330&gt;=55;$W330&lt;=65);1;AND($W330&gt;=50;$W330&lt;55);0,7;AND($W330&gt;65;$W330&lt;=70);0,7;AND($W330&gt;=45;$W330&lt;50);0,4;AND($W330&gt;70;$W330&lt;=75);0,4;TRUE;0,2);IF(OR($B330="Ноги";$B330="Верх");IFS(AND($X330&gt;=180;$X330&lt;=210);1;AND($X330&gt;=160;$X330&lt;180);0,7;AND($X330&gt;210;$X330&lt;=230);0,7;AND($X330&gt;=140;$X330&lt;160);0,4;AND($X330&gt;230;$X330&lt;=250);0,4;TRUE;0,2);IFS(AND($X330&gt;=140;$X330&lt;=170);1;AND($X330&gt;=120;$X330&lt;140);0,7;AND($X330&gt;170;$X330&lt;=190);0,7;AND($X330&gt;=100;$X330&lt;120);0,4;AND($X330&gt;190;$X330&lt;=210);0,4;TRUE;0,2)))));1);""))</f>
        <v/>
      </c>
      <c r="Z330">
        <f>IF($A330="";"";TEXTJOIN(", ";TRUE;IF($B330="";"Тренировка";"");IF($C330="";"Кардио";"");IF($D330="";"Шаги";"");IF($E330="";"Английский";"");IF($F330="";"Код-режим";"");IF($G330="";"Код-тема";"");IF($H330="";"Чтение";"");IF($L330="";"Сон";"");IF($M330="";"Режим";"");IF($N330="";"Продуктивность";"");IF($O330="";"Настроение";"");IF($P330="";"Энергия";"");IF($U330="";"Еда";"")))</f>
        <v/>
      </c>
    </row>
    <row r="331">
      <c r="B331" t="inlineStr"/>
      <c r="C331" t="inlineStr"/>
      <c r="D331" t="inlineStr"/>
      <c r="E331" t="inlineStr"/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/>
      <c r="P331" t="inlineStr"/>
      <c r="Q331" t="inlineStr"/>
      <c r="R331" t="inlineStr"/>
      <c r="S331" t="inlineStr"/>
      <c r="T331" t="inlineStr"/>
      <c r="U331">
        <f>IF($A331="";"";IF(SUMIF(FoodLog!$A:$A;$A331;FoodLog!$I:$I)=0;"";SUMIF(FoodLog!$A:$A;$A331;FoodLog!$I:$I)))</f>
        <v/>
      </c>
      <c r="V331">
        <f>IF($A331="";"";IF(SUMIF(FoodLog!$A:$A;$A331;FoodLog!$F:$F)=0;"";SUMIF(FoodLog!$A:$A;$A331;FoodLog!$F:$F)))</f>
        <v/>
      </c>
      <c r="W331">
        <f>IF($A331="";"";IF(SUMIF(FoodLog!$A:$A;$A331;FoodLog!$G:$G)=0;"";SUMIF(FoodLog!$A:$A;$A331;FoodLog!$G:$G)))</f>
        <v/>
      </c>
      <c r="X331">
        <f>IF($A331="";"";IF(SUMIF(FoodLog!$A:$A;$A331;FoodLog!$H:$H)=0;"";SUMIF(FoodLog!$A:$A;$A331;FoodLog!$H:$H)))</f>
        <v/>
      </c>
      <c r="Y331">
        <f>IF($A331="";"";IFERROR(ROUND(100*AVERAGE(IF($B331="";"";XLOOKUP($B331;FILTER(Dictionaries!$B:$B;Dictionaries!$A:$A="Тренировка");FILTER(Dictionaries!$C:$C;Dictionaries!$A:$A="Тренировка")));IF($C331="";"";MIN($C331/40;1));IF($D331="";"";XLOOKUP($D331;FILTER(Dictionaries!$B:$B;Dictionaries!$A:$A="Шаги");FILTER(Dictionaries!$C:$C;Dictionaries!$A:$A="Шаги")));IF($E331="";"";MIN($E331/120;1));IF(OR($F331&lt;&gt;"";$G331&lt;&gt;"");1;"");IF($H331="";"";MIN($H331/100;1));IF($L331="";"";XLOOKUP($L331;FILTER(Dictionaries!$B:$B;Dictionaries!$A:$A="Сон_часы");FILTER(Dictionaries!$C:$C;Dictionaries!$A:$A="Сон_часы")));IF($M331="";"";XLOOKUP($M331;FILTER(Dictionaries!$B:$B;Dictionaries!$A:$A="Режим");FILTER(Dictionaries!$C:$C;Dictionaries!$A:$A="Режим")));IF($N331="";"";MIN($N331/100;1));IF($O331="";"";XLOOKUP($O331;FILTER(Dictionaries!$B:$B;Dictionaries!$A:$A="Настроение");FILTER(Dictionaries!$C:$C;Dictionaries!$A:$A="Настроение")));IF($P331="";"";XLOOKUP($P331;FILTER(Dictionaries!$B:$B;Dictionaries!$A:$A="Энергия");FILTER(Dictionaries!$C:$C;Dictionaries!$A:$A="Энергия")));IF($U331="";"";AVERAGE(IF(OR($B331="Ноги";$B331="Верх");IFS(AND($U331&gt;=1900;$U331&lt;=2050);1;AND($U331&gt;=1850;$U331&lt;1900);0,7;AND($U331&gt;2050;$U331&lt;=2100);0,7;TRUE;0,2);IFS(AND($U331&gt;=1700;$U331&lt;=1850);1;AND($U331&gt;=1650;$U331&lt;1700);0,7;AND($U331&gt;1850;$U331&lt;=1900);0,7;TRUE;0,2));IF(OR($B331="Ноги";$B331="Верх");IFS(AND($V331&gt;=125;$V331&lt;=135);1;AND($V331&gt;=115;$V331&lt;125);0,7;AND($V331&gt;135;$V331&lt;=145);0,7;AND($V331&gt;=105;$V331&lt;115);0,4;AND($V331&gt;145;$V331&lt;=155);0,4;TRUE;0,2);IFS(AND($V331&gt;=120;$V331&lt;=130);1;AND($V331&gt;=110;$V331&lt;120);0,7;AND($V331&gt;130;$V331&lt;=140);0,7;AND($V331&gt;=100;$V331&lt;110);0,4;AND($V331&gt;140;$V331&lt;=150);0,4;TRUE;0,2));IFS(AND($W331&gt;=55;$W331&lt;=65);1;AND($W331&gt;=50;$W331&lt;55);0,7;AND($W331&gt;65;$W331&lt;=70);0,7;AND($W331&gt;=45;$W331&lt;50);0,4;AND($W331&gt;70;$W331&lt;=75);0,4;TRUE;0,2);IF(OR($B331="Ноги";$B331="Верх");IFS(AND($X331&gt;=180;$X331&lt;=210);1;AND($X331&gt;=160;$X331&lt;180);0,7;AND($X331&gt;210;$X331&lt;=230);0,7;AND($X331&gt;=140;$X331&lt;160);0,4;AND($X331&gt;230;$X331&lt;=250);0,4;TRUE;0,2);IFS(AND($X331&gt;=140;$X331&lt;=170);1;AND($X331&gt;=120;$X331&lt;140);0,7;AND($X331&gt;170;$X331&lt;=190);0,7;AND($X331&gt;=100;$X331&lt;120);0,4;AND($X331&gt;190;$X331&lt;=210);0,4;TRUE;0,2)))));1);""))</f>
        <v/>
      </c>
      <c r="Z331">
        <f>IF($A331="";"";TEXTJOIN(", ";TRUE;IF($B331="";"Тренировка";"");IF($C331="";"Кардио";"");IF($D331="";"Шаги";"");IF($E331="";"Английский";"");IF($F331="";"Код-режим";"");IF($G331="";"Код-тема";"");IF($H331="";"Чтение";"");IF($L331="";"Сон";"");IF($M331="";"Режим";"");IF($N331="";"Продуктивность";"");IF($O331="";"Настроение";"");IF($P331="";"Энергия";"");IF($U331="";"Еда";"")))</f>
        <v/>
      </c>
    </row>
    <row r="332">
      <c r="B332" t="inlineStr"/>
      <c r="C332" t="inlineStr"/>
      <c r="D332" t="inlineStr"/>
      <c r="E332" t="inlineStr"/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/>
      <c r="P332" t="inlineStr"/>
      <c r="Q332" t="inlineStr"/>
      <c r="R332" t="inlineStr"/>
      <c r="S332" t="inlineStr"/>
      <c r="T332" t="inlineStr"/>
      <c r="U332">
        <f>IF($A332="";"";IF(SUMIF(FoodLog!$A:$A;$A332;FoodLog!$I:$I)=0;"";SUMIF(FoodLog!$A:$A;$A332;FoodLog!$I:$I)))</f>
        <v/>
      </c>
      <c r="V332">
        <f>IF($A332="";"";IF(SUMIF(FoodLog!$A:$A;$A332;FoodLog!$F:$F)=0;"";SUMIF(FoodLog!$A:$A;$A332;FoodLog!$F:$F)))</f>
        <v/>
      </c>
      <c r="W332">
        <f>IF($A332="";"";IF(SUMIF(FoodLog!$A:$A;$A332;FoodLog!$G:$G)=0;"";SUMIF(FoodLog!$A:$A;$A332;FoodLog!$G:$G)))</f>
        <v/>
      </c>
      <c r="X332">
        <f>IF($A332="";"";IF(SUMIF(FoodLog!$A:$A;$A332;FoodLog!$H:$H)=0;"";SUMIF(FoodLog!$A:$A;$A332;FoodLog!$H:$H)))</f>
        <v/>
      </c>
      <c r="Y332">
        <f>IF($A332="";"";IFERROR(ROUND(100*AVERAGE(IF($B332="";"";XLOOKUP($B332;FILTER(Dictionaries!$B:$B;Dictionaries!$A:$A="Тренировка");FILTER(Dictionaries!$C:$C;Dictionaries!$A:$A="Тренировка")));IF($C332="";"";MIN($C332/40;1));IF($D332="";"";XLOOKUP($D332;FILTER(Dictionaries!$B:$B;Dictionaries!$A:$A="Шаги");FILTER(Dictionaries!$C:$C;Dictionaries!$A:$A="Шаги")));IF($E332="";"";MIN($E332/120;1));IF(OR($F332&lt;&gt;"";$G332&lt;&gt;"");1;"");IF($H332="";"";MIN($H332/100;1));IF($L332="";"";XLOOKUP($L332;FILTER(Dictionaries!$B:$B;Dictionaries!$A:$A="Сон_часы");FILTER(Dictionaries!$C:$C;Dictionaries!$A:$A="Сон_часы")));IF($M332="";"";XLOOKUP($M332;FILTER(Dictionaries!$B:$B;Dictionaries!$A:$A="Режим");FILTER(Dictionaries!$C:$C;Dictionaries!$A:$A="Режим")));IF($N332="";"";MIN($N332/100;1));IF($O332="";"";XLOOKUP($O332;FILTER(Dictionaries!$B:$B;Dictionaries!$A:$A="Настроение");FILTER(Dictionaries!$C:$C;Dictionaries!$A:$A="Настроение")));IF($P332="";"";XLOOKUP($P332;FILTER(Dictionaries!$B:$B;Dictionaries!$A:$A="Энергия");FILTER(Dictionaries!$C:$C;Dictionaries!$A:$A="Энергия")));IF($U332="";"";AVERAGE(IF(OR($B332="Ноги";$B332="Верх");IFS(AND($U332&gt;=1900;$U332&lt;=2050);1;AND($U332&gt;=1850;$U332&lt;1900);0,7;AND($U332&gt;2050;$U332&lt;=2100);0,7;TRUE;0,2);IFS(AND($U332&gt;=1700;$U332&lt;=1850);1;AND($U332&gt;=1650;$U332&lt;1700);0,7;AND($U332&gt;1850;$U332&lt;=1900);0,7;TRUE;0,2));IF(OR($B332="Ноги";$B332="Верх");IFS(AND($V332&gt;=125;$V332&lt;=135);1;AND($V332&gt;=115;$V332&lt;125);0,7;AND($V332&gt;135;$V332&lt;=145);0,7;AND($V332&gt;=105;$V332&lt;115);0,4;AND($V332&gt;145;$V332&lt;=155);0,4;TRUE;0,2);IFS(AND($V332&gt;=120;$V332&lt;=130);1;AND($V332&gt;=110;$V332&lt;120);0,7;AND($V332&gt;130;$V332&lt;=140);0,7;AND($V332&gt;=100;$V332&lt;110);0,4;AND($V332&gt;140;$V332&lt;=150);0,4;TRUE;0,2));IFS(AND($W332&gt;=55;$W332&lt;=65);1;AND($W332&gt;=50;$W332&lt;55);0,7;AND($W332&gt;65;$W332&lt;=70);0,7;AND($W332&gt;=45;$W332&lt;50);0,4;AND($W332&gt;70;$W332&lt;=75);0,4;TRUE;0,2);IF(OR($B332="Ноги";$B332="Верх");IFS(AND($X332&gt;=180;$X332&lt;=210);1;AND($X332&gt;=160;$X332&lt;180);0,7;AND($X332&gt;210;$X332&lt;=230);0,7;AND($X332&gt;=140;$X332&lt;160);0,4;AND($X332&gt;230;$X332&lt;=250);0,4;TRUE;0,2);IFS(AND($X332&gt;=140;$X332&lt;=170);1;AND($X332&gt;=120;$X332&lt;140);0,7;AND($X332&gt;170;$X332&lt;=190);0,7;AND($X332&gt;=100;$X332&lt;120);0,4;AND($X332&gt;190;$X332&lt;=210);0,4;TRUE;0,2)))));1);""))</f>
        <v/>
      </c>
      <c r="Z332">
        <f>IF($A332="";"";TEXTJOIN(", ";TRUE;IF($B332="";"Тренировка";"");IF($C332="";"Кардио";"");IF($D332="";"Шаги";"");IF($E332="";"Английский";"");IF($F332="";"Код-режим";"");IF($G332="";"Код-тема";"");IF($H332="";"Чтение";"");IF($L332="";"Сон";"");IF($M332="";"Режим";"");IF($N332="";"Продуктивность";"");IF($O332="";"Настроение";"");IF($P332="";"Энергия";"");IF($U332="";"Еда";"")))</f>
        <v/>
      </c>
    </row>
    <row r="333">
      <c r="B333" t="inlineStr"/>
      <c r="C333" t="inlineStr"/>
      <c r="D333" t="inlineStr"/>
      <c r="E333" t="inlineStr"/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/>
      <c r="P333" t="inlineStr"/>
      <c r="Q333" t="inlineStr"/>
      <c r="R333" t="inlineStr"/>
      <c r="S333" t="inlineStr"/>
      <c r="T333" t="inlineStr"/>
      <c r="U333">
        <f>IF($A333="";"";IF(SUMIF(FoodLog!$A:$A;$A333;FoodLog!$I:$I)=0;"";SUMIF(FoodLog!$A:$A;$A333;FoodLog!$I:$I)))</f>
        <v/>
      </c>
      <c r="V333">
        <f>IF($A333="";"";IF(SUMIF(FoodLog!$A:$A;$A333;FoodLog!$F:$F)=0;"";SUMIF(FoodLog!$A:$A;$A333;FoodLog!$F:$F)))</f>
        <v/>
      </c>
      <c r="W333">
        <f>IF($A333="";"";IF(SUMIF(FoodLog!$A:$A;$A333;FoodLog!$G:$G)=0;"";SUMIF(FoodLog!$A:$A;$A333;FoodLog!$G:$G)))</f>
        <v/>
      </c>
      <c r="X333">
        <f>IF($A333="";"";IF(SUMIF(FoodLog!$A:$A;$A333;FoodLog!$H:$H)=0;"";SUMIF(FoodLog!$A:$A;$A333;FoodLog!$H:$H)))</f>
        <v/>
      </c>
      <c r="Y333">
        <f>IF($A333="";"";IFERROR(ROUND(100*AVERAGE(IF($B333="";"";XLOOKUP($B333;FILTER(Dictionaries!$B:$B;Dictionaries!$A:$A="Тренировка");FILTER(Dictionaries!$C:$C;Dictionaries!$A:$A="Тренировка")));IF($C333="";"";MIN($C333/40;1));IF($D333="";"";XLOOKUP($D333;FILTER(Dictionaries!$B:$B;Dictionaries!$A:$A="Шаги");FILTER(Dictionaries!$C:$C;Dictionaries!$A:$A="Шаги")));IF($E333="";"";MIN($E333/120;1));IF(OR($F333&lt;&gt;"";$G333&lt;&gt;"");1;"");IF($H333="";"";MIN($H333/100;1));IF($L333="";"";XLOOKUP($L333;FILTER(Dictionaries!$B:$B;Dictionaries!$A:$A="Сон_часы");FILTER(Dictionaries!$C:$C;Dictionaries!$A:$A="Сон_часы")));IF($M333="";"";XLOOKUP($M333;FILTER(Dictionaries!$B:$B;Dictionaries!$A:$A="Режим");FILTER(Dictionaries!$C:$C;Dictionaries!$A:$A="Режим")));IF($N333="";"";MIN($N333/100;1));IF($O333="";"";XLOOKUP($O333;FILTER(Dictionaries!$B:$B;Dictionaries!$A:$A="Настроение");FILTER(Dictionaries!$C:$C;Dictionaries!$A:$A="Настроение")));IF($P333="";"";XLOOKUP($P333;FILTER(Dictionaries!$B:$B;Dictionaries!$A:$A="Энергия");FILTER(Dictionaries!$C:$C;Dictionaries!$A:$A="Энергия")));IF($U333="";"";AVERAGE(IF(OR($B333="Ноги";$B333="Верх");IFS(AND($U333&gt;=1900;$U333&lt;=2050);1;AND($U333&gt;=1850;$U333&lt;1900);0,7;AND($U333&gt;2050;$U333&lt;=2100);0,7;TRUE;0,2);IFS(AND($U333&gt;=1700;$U333&lt;=1850);1;AND($U333&gt;=1650;$U333&lt;1700);0,7;AND($U333&gt;1850;$U333&lt;=1900);0,7;TRUE;0,2));IF(OR($B333="Ноги";$B333="Верх");IFS(AND($V333&gt;=125;$V333&lt;=135);1;AND($V333&gt;=115;$V333&lt;125);0,7;AND($V333&gt;135;$V333&lt;=145);0,7;AND($V333&gt;=105;$V333&lt;115);0,4;AND($V333&gt;145;$V333&lt;=155);0,4;TRUE;0,2);IFS(AND($V333&gt;=120;$V333&lt;=130);1;AND($V333&gt;=110;$V333&lt;120);0,7;AND($V333&gt;130;$V333&lt;=140);0,7;AND($V333&gt;=100;$V333&lt;110);0,4;AND($V333&gt;140;$V333&lt;=150);0,4;TRUE;0,2));IFS(AND($W333&gt;=55;$W333&lt;=65);1;AND($W333&gt;=50;$W333&lt;55);0,7;AND($W333&gt;65;$W333&lt;=70);0,7;AND($W333&gt;=45;$W333&lt;50);0,4;AND($W333&gt;70;$W333&lt;=75);0,4;TRUE;0,2);IF(OR($B333="Ноги";$B333="Верх");IFS(AND($X333&gt;=180;$X333&lt;=210);1;AND($X333&gt;=160;$X333&lt;180);0,7;AND($X333&gt;210;$X333&lt;=230);0,7;AND($X333&gt;=140;$X333&lt;160);0,4;AND($X333&gt;230;$X333&lt;=250);0,4;TRUE;0,2);IFS(AND($X333&gt;=140;$X333&lt;=170);1;AND($X333&gt;=120;$X333&lt;140);0,7;AND($X333&gt;170;$X333&lt;=190);0,7;AND($X333&gt;=100;$X333&lt;120);0,4;AND($X333&gt;190;$X333&lt;=210);0,4;TRUE;0,2)))));1);""))</f>
        <v/>
      </c>
      <c r="Z333">
        <f>IF($A333="";"";TEXTJOIN(", ";TRUE;IF($B333="";"Тренировка";"");IF($C333="";"Кардио";"");IF($D333="";"Шаги";"");IF($E333="";"Английский";"");IF($F333="";"Код-режим";"");IF($G333="";"Код-тема";"");IF($H333="";"Чтение";"");IF($L333="";"Сон";"");IF($M333="";"Режим";"");IF($N333="";"Продуктивность";"");IF($O333="";"Настроение";"");IF($P333="";"Энергия";"");IF($U333="";"Еда";"")))</f>
        <v/>
      </c>
    </row>
    <row r="334">
      <c r="B334" t="inlineStr"/>
      <c r="C334" t="inlineStr"/>
      <c r="D334" t="inlineStr"/>
      <c r="E334" t="inlineStr"/>
      <c r="F334" t="inlineStr"/>
      <c r="G334" t="inlineStr"/>
      <c r="H334" t="inlineStr"/>
      <c r="I334" t="inlineStr"/>
      <c r="J334" t="inlineStr"/>
      <c r="K334" t="inlineStr"/>
      <c r="L334" t="inlineStr"/>
      <c r="M334" t="inlineStr"/>
      <c r="N334" t="inlineStr"/>
      <c r="O334" t="inlineStr"/>
      <c r="P334" t="inlineStr"/>
      <c r="Q334" t="inlineStr"/>
      <c r="R334" t="inlineStr"/>
      <c r="S334" t="inlineStr"/>
      <c r="T334" t="inlineStr"/>
      <c r="U334">
        <f>IF($A334="";"";IF(SUMIF(FoodLog!$A:$A;$A334;FoodLog!$I:$I)=0;"";SUMIF(FoodLog!$A:$A;$A334;FoodLog!$I:$I)))</f>
        <v/>
      </c>
      <c r="V334">
        <f>IF($A334="";"";IF(SUMIF(FoodLog!$A:$A;$A334;FoodLog!$F:$F)=0;"";SUMIF(FoodLog!$A:$A;$A334;FoodLog!$F:$F)))</f>
        <v/>
      </c>
      <c r="W334">
        <f>IF($A334="";"";IF(SUMIF(FoodLog!$A:$A;$A334;FoodLog!$G:$G)=0;"";SUMIF(FoodLog!$A:$A;$A334;FoodLog!$G:$G)))</f>
        <v/>
      </c>
      <c r="X334">
        <f>IF($A334="";"";IF(SUMIF(FoodLog!$A:$A;$A334;FoodLog!$H:$H)=0;"";SUMIF(FoodLog!$A:$A;$A334;FoodLog!$H:$H)))</f>
        <v/>
      </c>
      <c r="Y334">
        <f>IF($A334="";"";IFERROR(ROUND(100*AVERAGE(IF($B334="";"";XLOOKUP($B334;FILTER(Dictionaries!$B:$B;Dictionaries!$A:$A="Тренировка");FILTER(Dictionaries!$C:$C;Dictionaries!$A:$A="Тренировка")));IF($C334="";"";MIN($C334/40;1));IF($D334="";"";XLOOKUP($D334;FILTER(Dictionaries!$B:$B;Dictionaries!$A:$A="Шаги");FILTER(Dictionaries!$C:$C;Dictionaries!$A:$A="Шаги")));IF($E334="";"";MIN($E334/120;1));IF(OR($F334&lt;&gt;"";$G334&lt;&gt;"");1;"");IF($H334="";"";MIN($H334/100;1));IF($L334="";"";XLOOKUP($L334;FILTER(Dictionaries!$B:$B;Dictionaries!$A:$A="Сон_часы");FILTER(Dictionaries!$C:$C;Dictionaries!$A:$A="Сон_часы")));IF($M334="";"";XLOOKUP($M334;FILTER(Dictionaries!$B:$B;Dictionaries!$A:$A="Режим");FILTER(Dictionaries!$C:$C;Dictionaries!$A:$A="Режим")));IF($N334="";"";MIN($N334/100;1));IF($O334="";"";XLOOKUP($O334;FILTER(Dictionaries!$B:$B;Dictionaries!$A:$A="Настроение");FILTER(Dictionaries!$C:$C;Dictionaries!$A:$A="Настроение")));IF($P334="";"";XLOOKUP($P334;FILTER(Dictionaries!$B:$B;Dictionaries!$A:$A="Энергия");FILTER(Dictionaries!$C:$C;Dictionaries!$A:$A="Энергия")));IF($U334="";"";AVERAGE(IF(OR($B334="Ноги";$B334="Верх");IFS(AND($U334&gt;=1900;$U334&lt;=2050);1;AND($U334&gt;=1850;$U334&lt;1900);0,7;AND($U334&gt;2050;$U334&lt;=2100);0,7;TRUE;0,2);IFS(AND($U334&gt;=1700;$U334&lt;=1850);1;AND($U334&gt;=1650;$U334&lt;1700);0,7;AND($U334&gt;1850;$U334&lt;=1900);0,7;TRUE;0,2));IF(OR($B334="Ноги";$B334="Верх");IFS(AND($V334&gt;=125;$V334&lt;=135);1;AND($V334&gt;=115;$V334&lt;125);0,7;AND($V334&gt;135;$V334&lt;=145);0,7;AND($V334&gt;=105;$V334&lt;115);0,4;AND($V334&gt;145;$V334&lt;=155);0,4;TRUE;0,2);IFS(AND($V334&gt;=120;$V334&lt;=130);1;AND($V334&gt;=110;$V334&lt;120);0,7;AND($V334&gt;130;$V334&lt;=140);0,7;AND($V334&gt;=100;$V334&lt;110);0,4;AND($V334&gt;140;$V334&lt;=150);0,4;TRUE;0,2));IFS(AND($W334&gt;=55;$W334&lt;=65);1;AND($W334&gt;=50;$W334&lt;55);0,7;AND($W334&gt;65;$W334&lt;=70);0,7;AND($W334&gt;=45;$W334&lt;50);0,4;AND($W334&gt;70;$W334&lt;=75);0,4;TRUE;0,2);IF(OR($B334="Ноги";$B334="Верх");IFS(AND($X334&gt;=180;$X334&lt;=210);1;AND($X334&gt;=160;$X334&lt;180);0,7;AND($X334&gt;210;$X334&lt;=230);0,7;AND($X334&gt;=140;$X334&lt;160);0,4;AND($X334&gt;230;$X334&lt;=250);0,4;TRUE;0,2);IFS(AND($X334&gt;=140;$X334&lt;=170);1;AND($X334&gt;=120;$X334&lt;140);0,7;AND($X334&gt;170;$X334&lt;=190);0,7;AND($X334&gt;=100;$X334&lt;120);0,4;AND($X334&gt;190;$X334&lt;=210);0,4;TRUE;0,2)))));1);""))</f>
        <v/>
      </c>
      <c r="Z334">
        <f>IF($A334="";"";TEXTJOIN(", ";TRUE;IF($B334="";"Тренировка";"");IF($C334="";"Кардио";"");IF($D334="";"Шаги";"");IF($E334="";"Английский";"");IF($F334="";"Код-режим";"");IF($G334="";"Код-тема";"");IF($H334="";"Чтение";"");IF($L334="";"Сон";"");IF($M334="";"Режим";"");IF($N334="";"Продуктивность";"");IF($O334="";"Настроение";"");IF($P334="";"Энергия";"");IF($U334="";"Еда";"")))</f>
        <v/>
      </c>
    </row>
    <row r="335">
      <c r="B335" t="inlineStr"/>
      <c r="C335" t="inlineStr"/>
      <c r="D335" t="inlineStr"/>
      <c r="E335" t="inlineStr"/>
      <c r="F335" t="inlineStr"/>
      <c r="G335" t="inlineStr"/>
      <c r="H335" t="inlineStr"/>
      <c r="I335" t="inlineStr"/>
      <c r="J335" t="inlineStr"/>
      <c r="K335" t="inlineStr"/>
      <c r="L335" t="inlineStr"/>
      <c r="M335" t="inlineStr"/>
      <c r="N335" t="inlineStr"/>
      <c r="O335" t="inlineStr"/>
      <c r="P335" t="inlineStr"/>
      <c r="Q335" t="inlineStr"/>
      <c r="R335" t="inlineStr"/>
      <c r="S335" t="inlineStr"/>
      <c r="T335" t="inlineStr"/>
      <c r="U335">
        <f>IF($A335="";"";IF(SUMIF(FoodLog!$A:$A;$A335;FoodLog!$I:$I)=0;"";SUMIF(FoodLog!$A:$A;$A335;FoodLog!$I:$I)))</f>
        <v/>
      </c>
      <c r="V335">
        <f>IF($A335="";"";IF(SUMIF(FoodLog!$A:$A;$A335;FoodLog!$F:$F)=0;"";SUMIF(FoodLog!$A:$A;$A335;FoodLog!$F:$F)))</f>
        <v/>
      </c>
      <c r="W335">
        <f>IF($A335="";"";IF(SUMIF(FoodLog!$A:$A;$A335;FoodLog!$G:$G)=0;"";SUMIF(FoodLog!$A:$A;$A335;FoodLog!$G:$G)))</f>
        <v/>
      </c>
      <c r="X335">
        <f>IF($A335="";"";IF(SUMIF(FoodLog!$A:$A;$A335;FoodLog!$H:$H)=0;"";SUMIF(FoodLog!$A:$A;$A335;FoodLog!$H:$H)))</f>
        <v/>
      </c>
      <c r="Y335">
        <f>IF($A335="";"";IFERROR(ROUND(100*AVERAGE(IF($B335="";"";XLOOKUP($B335;FILTER(Dictionaries!$B:$B;Dictionaries!$A:$A="Тренировка");FILTER(Dictionaries!$C:$C;Dictionaries!$A:$A="Тренировка")));IF($C335="";"";MIN($C335/40;1));IF($D335="";"";XLOOKUP($D335;FILTER(Dictionaries!$B:$B;Dictionaries!$A:$A="Шаги");FILTER(Dictionaries!$C:$C;Dictionaries!$A:$A="Шаги")));IF($E335="";"";MIN($E335/120;1));IF(OR($F335&lt;&gt;"";$G335&lt;&gt;"");1;"");IF($H335="";"";MIN($H335/100;1));IF($L335="";"";XLOOKUP($L335;FILTER(Dictionaries!$B:$B;Dictionaries!$A:$A="Сон_часы");FILTER(Dictionaries!$C:$C;Dictionaries!$A:$A="Сон_часы")));IF($M335="";"";XLOOKUP($M335;FILTER(Dictionaries!$B:$B;Dictionaries!$A:$A="Режим");FILTER(Dictionaries!$C:$C;Dictionaries!$A:$A="Режим")));IF($N335="";"";MIN($N335/100;1));IF($O335="";"";XLOOKUP($O335;FILTER(Dictionaries!$B:$B;Dictionaries!$A:$A="Настроение");FILTER(Dictionaries!$C:$C;Dictionaries!$A:$A="Настроение")));IF($P335="";"";XLOOKUP($P335;FILTER(Dictionaries!$B:$B;Dictionaries!$A:$A="Энергия");FILTER(Dictionaries!$C:$C;Dictionaries!$A:$A="Энергия")));IF($U335="";"";AVERAGE(IF(OR($B335="Ноги";$B335="Верх");IFS(AND($U335&gt;=1900;$U335&lt;=2050);1;AND($U335&gt;=1850;$U335&lt;1900);0,7;AND($U335&gt;2050;$U335&lt;=2100);0,7;TRUE;0,2);IFS(AND($U335&gt;=1700;$U335&lt;=1850);1;AND($U335&gt;=1650;$U335&lt;1700);0,7;AND($U335&gt;1850;$U335&lt;=1900);0,7;TRUE;0,2));IF(OR($B335="Ноги";$B335="Верх");IFS(AND($V335&gt;=125;$V335&lt;=135);1;AND($V335&gt;=115;$V335&lt;125);0,7;AND($V335&gt;135;$V335&lt;=145);0,7;AND($V335&gt;=105;$V335&lt;115);0,4;AND($V335&gt;145;$V335&lt;=155);0,4;TRUE;0,2);IFS(AND($V335&gt;=120;$V335&lt;=130);1;AND($V335&gt;=110;$V335&lt;120);0,7;AND($V335&gt;130;$V335&lt;=140);0,7;AND($V335&gt;=100;$V335&lt;110);0,4;AND($V335&gt;140;$V335&lt;=150);0,4;TRUE;0,2));IFS(AND($W335&gt;=55;$W335&lt;=65);1;AND($W335&gt;=50;$W335&lt;55);0,7;AND($W335&gt;65;$W335&lt;=70);0,7;AND($W335&gt;=45;$W335&lt;50);0,4;AND($W335&gt;70;$W335&lt;=75);0,4;TRUE;0,2);IF(OR($B335="Ноги";$B335="Верх");IFS(AND($X335&gt;=180;$X335&lt;=210);1;AND($X335&gt;=160;$X335&lt;180);0,7;AND($X335&gt;210;$X335&lt;=230);0,7;AND($X335&gt;=140;$X335&lt;160);0,4;AND($X335&gt;230;$X335&lt;=250);0,4;TRUE;0,2);IFS(AND($X335&gt;=140;$X335&lt;=170);1;AND($X335&gt;=120;$X335&lt;140);0,7;AND($X335&gt;170;$X335&lt;=190);0,7;AND($X335&gt;=100;$X335&lt;120);0,4;AND($X335&gt;190;$X335&lt;=210);0,4;TRUE;0,2)))));1);""))</f>
        <v/>
      </c>
      <c r="Z335">
        <f>IF($A335="";"";TEXTJOIN(", ";TRUE;IF($B335="";"Тренировка";"");IF($C335="";"Кардио";"");IF($D335="";"Шаги";"");IF($E335="";"Английский";"");IF($F335="";"Код-режим";"");IF($G335="";"Код-тема";"");IF($H335="";"Чтение";"");IF($L335="";"Сон";"");IF($M335="";"Режим";"");IF($N335="";"Продуктивность";"");IF($O335="";"Настроение";"");IF($P335="";"Энергия";"");IF($U335="";"Еда";"")))</f>
        <v/>
      </c>
    </row>
    <row r="336">
      <c r="B336" t="inlineStr"/>
      <c r="C336" t="inlineStr"/>
      <c r="D336" t="inlineStr"/>
      <c r="E336" t="inlineStr"/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/>
      <c r="P336" t="inlineStr"/>
      <c r="Q336" t="inlineStr"/>
      <c r="R336" t="inlineStr"/>
      <c r="S336" t="inlineStr"/>
      <c r="T336" t="inlineStr"/>
      <c r="U336">
        <f>IF($A336="";"";IF(SUMIF(FoodLog!$A:$A;$A336;FoodLog!$I:$I)=0;"";SUMIF(FoodLog!$A:$A;$A336;FoodLog!$I:$I)))</f>
        <v/>
      </c>
      <c r="V336">
        <f>IF($A336="";"";IF(SUMIF(FoodLog!$A:$A;$A336;FoodLog!$F:$F)=0;"";SUMIF(FoodLog!$A:$A;$A336;FoodLog!$F:$F)))</f>
        <v/>
      </c>
      <c r="W336">
        <f>IF($A336="";"";IF(SUMIF(FoodLog!$A:$A;$A336;FoodLog!$G:$G)=0;"";SUMIF(FoodLog!$A:$A;$A336;FoodLog!$G:$G)))</f>
        <v/>
      </c>
      <c r="X336">
        <f>IF($A336="";"";IF(SUMIF(FoodLog!$A:$A;$A336;FoodLog!$H:$H)=0;"";SUMIF(FoodLog!$A:$A;$A336;FoodLog!$H:$H)))</f>
        <v/>
      </c>
      <c r="Y336">
        <f>IF($A336="";"";IFERROR(ROUND(100*AVERAGE(IF($B336="";"";XLOOKUP($B336;FILTER(Dictionaries!$B:$B;Dictionaries!$A:$A="Тренировка");FILTER(Dictionaries!$C:$C;Dictionaries!$A:$A="Тренировка")));IF($C336="";"";MIN($C336/40;1));IF($D336="";"";XLOOKUP($D336;FILTER(Dictionaries!$B:$B;Dictionaries!$A:$A="Шаги");FILTER(Dictionaries!$C:$C;Dictionaries!$A:$A="Шаги")));IF($E336="";"";MIN($E336/120;1));IF(OR($F336&lt;&gt;"";$G336&lt;&gt;"");1;"");IF($H336="";"";MIN($H336/100;1));IF($L336="";"";XLOOKUP($L336;FILTER(Dictionaries!$B:$B;Dictionaries!$A:$A="Сон_часы");FILTER(Dictionaries!$C:$C;Dictionaries!$A:$A="Сон_часы")));IF($M336="";"";XLOOKUP($M336;FILTER(Dictionaries!$B:$B;Dictionaries!$A:$A="Режим");FILTER(Dictionaries!$C:$C;Dictionaries!$A:$A="Режим")));IF($N336="";"";MIN($N336/100;1));IF($O336="";"";XLOOKUP($O336;FILTER(Dictionaries!$B:$B;Dictionaries!$A:$A="Настроение");FILTER(Dictionaries!$C:$C;Dictionaries!$A:$A="Настроение")));IF($P336="";"";XLOOKUP($P336;FILTER(Dictionaries!$B:$B;Dictionaries!$A:$A="Энергия");FILTER(Dictionaries!$C:$C;Dictionaries!$A:$A="Энергия")));IF($U336="";"";AVERAGE(IF(OR($B336="Ноги";$B336="Верх");IFS(AND($U336&gt;=1900;$U336&lt;=2050);1;AND($U336&gt;=1850;$U336&lt;1900);0,7;AND($U336&gt;2050;$U336&lt;=2100);0,7;TRUE;0,2);IFS(AND($U336&gt;=1700;$U336&lt;=1850);1;AND($U336&gt;=1650;$U336&lt;1700);0,7;AND($U336&gt;1850;$U336&lt;=1900);0,7;TRUE;0,2));IF(OR($B336="Ноги";$B336="Верх");IFS(AND($V336&gt;=125;$V336&lt;=135);1;AND($V336&gt;=115;$V336&lt;125);0,7;AND($V336&gt;135;$V336&lt;=145);0,7;AND($V336&gt;=105;$V336&lt;115);0,4;AND($V336&gt;145;$V336&lt;=155);0,4;TRUE;0,2);IFS(AND($V336&gt;=120;$V336&lt;=130);1;AND($V336&gt;=110;$V336&lt;120);0,7;AND($V336&gt;130;$V336&lt;=140);0,7;AND($V336&gt;=100;$V336&lt;110);0,4;AND($V336&gt;140;$V336&lt;=150);0,4;TRUE;0,2));IFS(AND($W336&gt;=55;$W336&lt;=65);1;AND($W336&gt;=50;$W336&lt;55);0,7;AND($W336&gt;65;$W336&lt;=70);0,7;AND($W336&gt;=45;$W336&lt;50);0,4;AND($W336&gt;70;$W336&lt;=75);0,4;TRUE;0,2);IF(OR($B336="Ноги";$B336="Верх");IFS(AND($X336&gt;=180;$X336&lt;=210);1;AND($X336&gt;=160;$X336&lt;180);0,7;AND($X336&gt;210;$X336&lt;=230);0,7;AND($X336&gt;=140;$X336&lt;160);0,4;AND($X336&gt;230;$X336&lt;=250);0,4;TRUE;0,2);IFS(AND($X336&gt;=140;$X336&lt;=170);1;AND($X336&gt;=120;$X336&lt;140);0,7;AND($X336&gt;170;$X336&lt;=190);0,7;AND($X336&gt;=100;$X336&lt;120);0,4;AND($X336&gt;190;$X336&lt;=210);0,4;TRUE;0,2)))));1);""))</f>
        <v/>
      </c>
      <c r="Z336">
        <f>IF($A336="";"";TEXTJOIN(", ";TRUE;IF($B336="";"Тренировка";"");IF($C336="";"Кардио";"");IF($D336="";"Шаги";"");IF($E336="";"Английский";"");IF($F336="";"Код-режим";"");IF($G336="";"Код-тема";"");IF($H336="";"Чтение";"");IF($L336="";"Сон";"");IF($M336="";"Режим";"");IF($N336="";"Продуктивность";"");IF($O336="";"Настроение";"");IF($P336="";"Энергия";"");IF($U336="";"Еда";"")))</f>
        <v/>
      </c>
    </row>
    <row r="337">
      <c r="B337" t="inlineStr"/>
      <c r="C337" t="inlineStr"/>
      <c r="D337" t="inlineStr"/>
      <c r="E337" t="inlineStr"/>
      <c r="F337" t="inlineStr"/>
      <c r="G337" t="inlineStr"/>
      <c r="H337" t="inlineStr"/>
      <c r="I337" t="inlineStr"/>
      <c r="J337" t="inlineStr"/>
      <c r="K337" t="inlineStr"/>
      <c r="L337" t="inlineStr"/>
      <c r="M337" t="inlineStr"/>
      <c r="N337" t="inlineStr"/>
      <c r="O337" t="inlineStr"/>
      <c r="P337" t="inlineStr"/>
      <c r="Q337" t="inlineStr"/>
      <c r="R337" t="inlineStr"/>
      <c r="S337" t="inlineStr"/>
      <c r="T337" t="inlineStr"/>
      <c r="U337">
        <f>IF($A337="";"";IF(SUMIF(FoodLog!$A:$A;$A337;FoodLog!$I:$I)=0;"";SUMIF(FoodLog!$A:$A;$A337;FoodLog!$I:$I)))</f>
        <v/>
      </c>
      <c r="V337">
        <f>IF($A337="";"";IF(SUMIF(FoodLog!$A:$A;$A337;FoodLog!$F:$F)=0;"";SUMIF(FoodLog!$A:$A;$A337;FoodLog!$F:$F)))</f>
        <v/>
      </c>
      <c r="W337">
        <f>IF($A337="";"";IF(SUMIF(FoodLog!$A:$A;$A337;FoodLog!$G:$G)=0;"";SUMIF(FoodLog!$A:$A;$A337;FoodLog!$G:$G)))</f>
        <v/>
      </c>
      <c r="X337">
        <f>IF($A337="";"";IF(SUMIF(FoodLog!$A:$A;$A337;FoodLog!$H:$H)=0;"";SUMIF(FoodLog!$A:$A;$A337;FoodLog!$H:$H)))</f>
        <v/>
      </c>
      <c r="Y337">
        <f>IF($A337="";"";IFERROR(ROUND(100*AVERAGE(IF($B337="";"";XLOOKUP($B337;FILTER(Dictionaries!$B:$B;Dictionaries!$A:$A="Тренировка");FILTER(Dictionaries!$C:$C;Dictionaries!$A:$A="Тренировка")));IF($C337="";"";MIN($C337/40;1));IF($D337="";"";XLOOKUP($D337;FILTER(Dictionaries!$B:$B;Dictionaries!$A:$A="Шаги");FILTER(Dictionaries!$C:$C;Dictionaries!$A:$A="Шаги")));IF($E337="";"";MIN($E337/120;1));IF(OR($F337&lt;&gt;"";$G337&lt;&gt;"");1;"");IF($H337="";"";MIN($H337/100;1));IF($L337="";"";XLOOKUP($L337;FILTER(Dictionaries!$B:$B;Dictionaries!$A:$A="Сон_часы");FILTER(Dictionaries!$C:$C;Dictionaries!$A:$A="Сон_часы")));IF($M337="";"";XLOOKUP($M337;FILTER(Dictionaries!$B:$B;Dictionaries!$A:$A="Режим");FILTER(Dictionaries!$C:$C;Dictionaries!$A:$A="Режим")));IF($N337="";"";MIN($N337/100;1));IF($O337="";"";XLOOKUP($O337;FILTER(Dictionaries!$B:$B;Dictionaries!$A:$A="Настроение");FILTER(Dictionaries!$C:$C;Dictionaries!$A:$A="Настроение")));IF($P337="";"";XLOOKUP($P337;FILTER(Dictionaries!$B:$B;Dictionaries!$A:$A="Энергия");FILTER(Dictionaries!$C:$C;Dictionaries!$A:$A="Энергия")));IF($U337="";"";AVERAGE(IF(OR($B337="Ноги";$B337="Верх");IFS(AND($U337&gt;=1900;$U337&lt;=2050);1;AND($U337&gt;=1850;$U337&lt;1900);0,7;AND($U337&gt;2050;$U337&lt;=2100);0,7;TRUE;0,2);IFS(AND($U337&gt;=1700;$U337&lt;=1850);1;AND($U337&gt;=1650;$U337&lt;1700);0,7;AND($U337&gt;1850;$U337&lt;=1900);0,7;TRUE;0,2));IF(OR($B337="Ноги";$B337="Верх");IFS(AND($V337&gt;=125;$V337&lt;=135);1;AND($V337&gt;=115;$V337&lt;125);0,7;AND($V337&gt;135;$V337&lt;=145);0,7;AND($V337&gt;=105;$V337&lt;115);0,4;AND($V337&gt;145;$V337&lt;=155);0,4;TRUE;0,2);IFS(AND($V337&gt;=120;$V337&lt;=130);1;AND($V337&gt;=110;$V337&lt;120);0,7;AND($V337&gt;130;$V337&lt;=140);0,7;AND($V337&gt;=100;$V337&lt;110);0,4;AND($V337&gt;140;$V337&lt;=150);0,4;TRUE;0,2));IFS(AND($W337&gt;=55;$W337&lt;=65);1;AND($W337&gt;=50;$W337&lt;55);0,7;AND($W337&gt;65;$W337&lt;=70);0,7;AND($W337&gt;=45;$W337&lt;50);0,4;AND($W337&gt;70;$W337&lt;=75);0,4;TRUE;0,2);IF(OR($B337="Ноги";$B337="Верх");IFS(AND($X337&gt;=180;$X337&lt;=210);1;AND($X337&gt;=160;$X337&lt;180);0,7;AND($X337&gt;210;$X337&lt;=230);0,7;AND($X337&gt;=140;$X337&lt;160);0,4;AND($X337&gt;230;$X337&lt;=250);0,4;TRUE;0,2);IFS(AND($X337&gt;=140;$X337&lt;=170);1;AND($X337&gt;=120;$X337&lt;140);0,7;AND($X337&gt;170;$X337&lt;=190);0,7;AND($X337&gt;=100;$X337&lt;120);0,4;AND($X337&gt;190;$X337&lt;=210);0,4;TRUE;0,2)))));1);""))</f>
        <v/>
      </c>
      <c r="Z337">
        <f>IF($A337="";"";TEXTJOIN(", ";TRUE;IF($B337="";"Тренировка";"");IF($C337="";"Кардио";"");IF($D337="";"Шаги";"");IF($E337="";"Английский";"");IF($F337="";"Код-режим";"");IF($G337="";"Код-тема";"");IF($H337="";"Чтение";"");IF($L337="";"Сон";"");IF($M337="";"Режим";"");IF($N337="";"Продуктивность";"");IF($O337="";"Настроение";"");IF($P337="";"Энергия";"");IF($U337="";"Еда";"")))</f>
        <v/>
      </c>
    </row>
    <row r="338">
      <c r="B338" t="inlineStr"/>
      <c r="C338" t="inlineStr"/>
      <c r="D338" t="inlineStr"/>
      <c r="E338" t="inlineStr"/>
      <c r="F338" t="inlineStr"/>
      <c r="G338" t="inlineStr"/>
      <c r="H338" t="inlineStr"/>
      <c r="I338" t="inlineStr"/>
      <c r="J338" t="inlineStr"/>
      <c r="K338" t="inlineStr"/>
      <c r="L338" t="inlineStr"/>
      <c r="M338" t="inlineStr"/>
      <c r="N338" t="inlineStr"/>
      <c r="O338" t="inlineStr"/>
      <c r="P338" t="inlineStr"/>
      <c r="Q338" t="inlineStr"/>
      <c r="R338" t="inlineStr"/>
      <c r="S338" t="inlineStr"/>
      <c r="T338" t="inlineStr"/>
      <c r="U338">
        <f>IF($A338="";"";IF(SUMIF(FoodLog!$A:$A;$A338;FoodLog!$I:$I)=0;"";SUMIF(FoodLog!$A:$A;$A338;FoodLog!$I:$I)))</f>
        <v/>
      </c>
      <c r="V338">
        <f>IF($A338="";"";IF(SUMIF(FoodLog!$A:$A;$A338;FoodLog!$F:$F)=0;"";SUMIF(FoodLog!$A:$A;$A338;FoodLog!$F:$F)))</f>
        <v/>
      </c>
      <c r="W338">
        <f>IF($A338="";"";IF(SUMIF(FoodLog!$A:$A;$A338;FoodLog!$G:$G)=0;"";SUMIF(FoodLog!$A:$A;$A338;FoodLog!$G:$G)))</f>
        <v/>
      </c>
      <c r="X338">
        <f>IF($A338="";"";IF(SUMIF(FoodLog!$A:$A;$A338;FoodLog!$H:$H)=0;"";SUMIF(FoodLog!$A:$A;$A338;FoodLog!$H:$H)))</f>
        <v/>
      </c>
      <c r="Y338">
        <f>IF($A338="";"";IFERROR(ROUND(100*AVERAGE(IF($B338="";"";XLOOKUP($B338;FILTER(Dictionaries!$B:$B;Dictionaries!$A:$A="Тренировка");FILTER(Dictionaries!$C:$C;Dictionaries!$A:$A="Тренировка")));IF($C338="";"";MIN($C338/40;1));IF($D338="";"";XLOOKUP($D338;FILTER(Dictionaries!$B:$B;Dictionaries!$A:$A="Шаги");FILTER(Dictionaries!$C:$C;Dictionaries!$A:$A="Шаги")));IF($E338="";"";MIN($E338/120;1));IF(OR($F338&lt;&gt;"";$G338&lt;&gt;"");1;"");IF($H338="";"";MIN($H338/100;1));IF($L338="";"";XLOOKUP($L338;FILTER(Dictionaries!$B:$B;Dictionaries!$A:$A="Сон_часы");FILTER(Dictionaries!$C:$C;Dictionaries!$A:$A="Сон_часы")));IF($M338="";"";XLOOKUP($M338;FILTER(Dictionaries!$B:$B;Dictionaries!$A:$A="Режим");FILTER(Dictionaries!$C:$C;Dictionaries!$A:$A="Режим")));IF($N338="";"";MIN($N338/100;1));IF($O338="";"";XLOOKUP($O338;FILTER(Dictionaries!$B:$B;Dictionaries!$A:$A="Настроение");FILTER(Dictionaries!$C:$C;Dictionaries!$A:$A="Настроение")));IF($P338="";"";XLOOKUP($P338;FILTER(Dictionaries!$B:$B;Dictionaries!$A:$A="Энергия");FILTER(Dictionaries!$C:$C;Dictionaries!$A:$A="Энергия")));IF($U338="";"";AVERAGE(IF(OR($B338="Ноги";$B338="Верх");IFS(AND($U338&gt;=1900;$U338&lt;=2050);1;AND($U338&gt;=1850;$U338&lt;1900);0,7;AND($U338&gt;2050;$U338&lt;=2100);0,7;TRUE;0,2);IFS(AND($U338&gt;=1700;$U338&lt;=1850);1;AND($U338&gt;=1650;$U338&lt;1700);0,7;AND($U338&gt;1850;$U338&lt;=1900);0,7;TRUE;0,2));IF(OR($B338="Ноги";$B338="Верх");IFS(AND($V338&gt;=125;$V338&lt;=135);1;AND($V338&gt;=115;$V338&lt;125);0,7;AND($V338&gt;135;$V338&lt;=145);0,7;AND($V338&gt;=105;$V338&lt;115);0,4;AND($V338&gt;145;$V338&lt;=155);0,4;TRUE;0,2);IFS(AND($V338&gt;=120;$V338&lt;=130);1;AND($V338&gt;=110;$V338&lt;120);0,7;AND($V338&gt;130;$V338&lt;=140);0,7;AND($V338&gt;=100;$V338&lt;110);0,4;AND($V338&gt;140;$V338&lt;=150);0,4;TRUE;0,2));IFS(AND($W338&gt;=55;$W338&lt;=65);1;AND($W338&gt;=50;$W338&lt;55);0,7;AND($W338&gt;65;$W338&lt;=70);0,7;AND($W338&gt;=45;$W338&lt;50);0,4;AND($W338&gt;70;$W338&lt;=75);0,4;TRUE;0,2);IF(OR($B338="Ноги";$B338="Верх");IFS(AND($X338&gt;=180;$X338&lt;=210);1;AND($X338&gt;=160;$X338&lt;180);0,7;AND($X338&gt;210;$X338&lt;=230);0,7;AND($X338&gt;=140;$X338&lt;160);0,4;AND($X338&gt;230;$X338&lt;=250);0,4;TRUE;0,2);IFS(AND($X338&gt;=140;$X338&lt;=170);1;AND($X338&gt;=120;$X338&lt;140);0,7;AND($X338&gt;170;$X338&lt;=190);0,7;AND($X338&gt;=100;$X338&lt;120);0,4;AND($X338&gt;190;$X338&lt;=210);0,4;TRUE;0,2)))));1);""))</f>
        <v/>
      </c>
      <c r="Z338">
        <f>IF($A338="";"";TEXTJOIN(", ";TRUE;IF($B338="";"Тренировка";"");IF($C338="";"Кардио";"");IF($D338="";"Шаги";"");IF($E338="";"Английский";"");IF($F338="";"Код-режим";"");IF($G338="";"Код-тема";"");IF($H338="";"Чтение";"");IF($L338="";"Сон";"");IF($M338="";"Режим";"");IF($N338="";"Продуктивность";"");IF($O338="";"Настроение";"");IF($P338="";"Энергия";"");IF($U338="";"Еда";"")))</f>
        <v/>
      </c>
    </row>
    <row r="339">
      <c r="B339" t="inlineStr"/>
      <c r="C339" t="inlineStr"/>
      <c r="D339" t="inlineStr"/>
      <c r="E339" t="inlineStr"/>
      <c r="F339" t="inlineStr"/>
      <c r="G339" t="inlineStr"/>
      <c r="H339" t="inlineStr"/>
      <c r="I339" t="inlineStr"/>
      <c r="J339" t="inlineStr"/>
      <c r="K339" t="inlineStr"/>
      <c r="L339" t="inlineStr"/>
      <c r="M339" t="inlineStr"/>
      <c r="N339" t="inlineStr"/>
      <c r="O339" t="inlineStr"/>
      <c r="P339" t="inlineStr"/>
      <c r="Q339" t="inlineStr"/>
      <c r="R339" t="inlineStr"/>
      <c r="S339" t="inlineStr"/>
      <c r="T339" t="inlineStr"/>
      <c r="U339">
        <f>IF($A339="";"";IF(SUMIF(FoodLog!$A:$A;$A339;FoodLog!$I:$I)=0;"";SUMIF(FoodLog!$A:$A;$A339;FoodLog!$I:$I)))</f>
        <v/>
      </c>
      <c r="V339">
        <f>IF($A339="";"";IF(SUMIF(FoodLog!$A:$A;$A339;FoodLog!$F:$F)=0;"";SUMIF(FoodLog!$A:$A;$A339;FoodLog!$F:$F)))</f>
        <v/>
      </c>
      <c r="W339">
        <f>IF($A339="";"";IF(SUMIF(FoodLog!$A:$A;$A339;FoodLog!$G:$G)=0;"";SUMIF(FoodLog!$A:$A;$A339;FoodLog!$G:$G)))</f>
        <v/>
      </c>
      <c r="X339">
        <f>IF($A339="";"";IF(SUMIF(FoodLog!$A:$A;$A339;FoodLog!$H:$H)=0;"";SUMIF(FoodLog!$A:$A;$A339;FoodLog!$H:$H)))</f>
        <v/>
      </c>
      <c r="Y339">
        <f>IF($A339="";"";IFERROR(ROUND(100*AVERAGE(IF($B339="";"";XLOOKUP($B339;FILTER(Dictionaries!$B:$B;Dictionaries!$A:$A="Тренировка");FILTER(Dictionaries!$C:$C;Dictionaries!$A:$A="Тренировка")));IF($C339="";"";MIN($C339/40;1));IF($D339="";"";XLOOKUP($D339;FILTER(Dictionaries!$B:$B;Dictionaries!$A:$A="Шаги");FILTER(Dictionaries!$C:$C;Dictionaries!$A:$A="Шаги")));IF($E339="";"";MIN($E339/120;1));IF(OR($F339&lt;&gt;"";$G339&lt;&gt;"");1;"");IF($H339="";"";MIN($H339/100;1));IF($L339="";"";XLOOKUP($L339;FILTER(Dictionaries!$B:$B;Dictionaries!$A:$A="Сон_часы");FILTER(Dictionaries!$C:$C;Dictionaries!$A:$A="Сон_часы")));IF($M339="";"";XLOOKUP($M339;FILTER(Dictionaries!$B:$B;Dictionaries!$A:$A="Режим");FILTER(Dictionaries!$C:$C;Dictionaries!$A:$A="Режим")));IF($N339="";"";MIN($N339/100;1));IF($O339="";"";XLOOKUP($O339;FILTER(Dictionaries!$B:$B;Dictionaries!$A:$A="Настроение");FILTER(Dictionaries!$C:$C;Dictionaries!$A:$A="Настроение")));IF($P339="";"";XLOOKUP($P339;FILTER(Dictionaries!$B:$B;Dictionaries!$A:$A="Энергия");FILTER(Dictionaries!$C:$C;Dictionaries!$A:$A="Энергия")));IF($U339="";"";AVERAGE(IF(OR($B339="Ноги";$B339="Верх");IFS(AND($U339&gt;=1900;$U339&lt;=2050);1;AND($U339&gt;=1850;$U339&lt;1900);0,7;AND($U339&gt;2050;$U339&lt;=2100);0,7;TRUE;0,2);IFS(AND($U339&gt;=1700;$U339&lt;=1850);1;AND($U339&gt;=1650;$U339&lt;1700);0,7;AND($U339&gt;1850;$U339&lt;=1900);0,7;TRUE;0,2));IF(OR($B339="Ноги";$B339="Верх");IFS(AND($V339&gt;=125;$V339&lt;=135);1;AND($V339&gt;=115;$V339&lt;125);0,7;AND($V339&gt;135;$V339&lt;=145);0,7;AND($V339&gt;=105;$V339&lt;115);0,4;AND($V339&gt;145;$V339&lt;=155);0,4;TRUE;0,2);IFS(AND($V339&gt;=120;$V339&lt;=130);1;AND($V339&gt;=110;$V339&lt;120);0,7;AND($V339&gt;130;$V339&lt;=140);0,7;AND($V339&gt;=100;$V339&lt;110);0,4;AND($V339&gt;140;$V339&lt;=150);0,4;TRUE;0,2));IFS(AND($W339&gt;=55;$W339&lt;=65);1;AND($W339&gt;=50;$W339&lt;55);0,7;AND($W339&gt;65;$W339&lt;=70);0,7;AND($W339&gt;=45;$W339&lt;50);0,4;AND($W339&gt;70;$W339&lt;=75);0,4;TRUE;0,2);IF(OR($B339="Ноги";$B339="Верх");IFS(AND($X339&gt;=180;$X339&lt;=210);1;AND($X339&gt;=160;$X339&lt;180);0,7;AND($X339&gt;210;$X339&lt;=230);0,7;AND($X339&gt;=140;$X339&lt;160);0,4;AND($X339&gt;230;$X339&lt;=250);0,4;TRUE;0,2);IFS(AND($X339&gt;=140;$X339&lt;=170);1;AND($X339&gt;=120;$X339&lt;140);0,7;AND($X339&gt;170;$X339&lt;=190);0,7;AND($X339&gt;=100;$X339&lt;120);0,4;AND($X339&gt;190;$X339&lt;=210);0,4;TRUE;0,2)))));1);""))</f>
        <v/>
      </c>
      <c r="Z339">
        <f>IF($A339="";"";TEXTJOIN(", ";TRUE;IF($B339="";"Тренировка";"");IF($C339="";"Кардио";"");IF($D339="";"Шаги";"");IF($E339="";"Английский";"");IF($F339="";"Код-режим";"");IF($G339="";"Код-тема";"");IF($H339="";"Чтение";"");IF($L339="";"Сон";"");IF($M339="";"Режим";"");IF($N339="";"Продуктивность";"");IF($O339="";"Настроение";"");IF($P339="";"Энергия";"");IF($U339="";"Еда";"")))</f>
        <v/>
      </c>
    </row>
    <row r="340">
      <c r="B340" t="inlineStr"/>
      <c r="C340" t="inlineStr"/>
      <c r="D340" t="inlineStr"/>
      <c r="E340" t="inlineStr"/>
      <c r="F340" t="inlineStr"/>
      <c r="G340" t="inlineStr"/>
      <c r="H340" t="inlineStr"/>
      <c r="I340" t="inlineStr"/>
      <c r="J340" t="inlineStr"/>
      <c r="K340" t="inlineStr"/>
      <c r="L340" t="inlineStr"/>
      <c r="M340" t="inlineStr"/>
      <c r="N340" t="inlineStr"/>
      <c r="O340" t="inlineStr"/>
      <c r="P340" t="inlineStr"/>
      <c r="Q340" t="inlineStr"/>
      <c r="R340" t="inlineStr"/>
      <c r="S340" t="inlineStr"/>
      <c r="T340" t="inlineStr"/>
      <c r="U340">
        <f>IF($A340="";"";IF(SUMIF(FoodLog!$A:$A;$A340;FoodLog!$I:$I)=0;"";SUMIF(FoodLog!$A:$A;$A340;FoodLog!$I:$I)))</f>
        <v/>
      </c>
      <c r="V340">
        <f>IF($A340="";"";IF(SUMIF(FoodLog!$A:$A;$A340;FoodLog!$F:$F)=0;"";SUMIF(FoodLog!$A:$A;$A340;FoodLog!$F:$F)))</f>
        <v/>
      </c>
      <c r="W340">
        <f>IF($A340="";"";IF(SUMIF(FoodLog!$A:$A;$A340;FoodLog!$G:$G)=0;"";SUMIF(FoodLog!$A:$A;$A340;FoodLog!$G:$G)))</f>
        <v/>
      </c>
      <c r="X340">
        <f>IF($A340="";"";IF(SUMIF(FoodLog!$A:$A;$A340;FoodLog!$H:$H)=0;"";SUMIF(FoodLog!$A:$A;$A340;FoodLog!$H:$H)))</f>
        <v/>
      </c>
      <c r="Y340">
        <f>IF($A340="";"";IFERROR(ROUND(100*AVERAGE(IF($B340="";"";XLOOKUP($B340;FILTER(Dictionaries!$B:$B;Dictionaries!$A:$A="Тренировка");FILTER(Dictionaries!$C:$C;Dictionaries!$A:$A="Тренировка")));IF($C340="";"";MIN($C340/40;1));IF($D340="";"";XLOOKUP($D340;FILTER(Dictionaries!$B:$B;Dictionaries!$A:$A="Шаги");FILTER(Dictionaries!$C:$C;Dictionaries!$A:$A="Шаги")));IF($E340="";"";MIN($E340/120;1));IF(OR($F340&lt;&gt;"";$G340&lt;&gt;"");1;"");IF($H340="";"";MIN($H340/100;1));IF($L340="";"";XLOOKUP($L340;FILTER(Dictionaries!$B:$B;Dictionaries!$A:$A="Сон_часы");FILTER(Dictionaries!$C:$C;Dictionaries!$A:$A="Сон_часы")));IF($M340="";"";XLOOKUP($M340;FILTER(Dictionaries!$B:$B;Dictionaries!$A:$A="Режим");FILTER(Dictionaries!$C:$C;Dictionaries!$A:$A="Режим")));IF($N340="";"";MIN($N340/100;1));IF($O340="";"";XLOOKUP($O340;FILTER(Dictionaries!$B:$B;Dictionaries!$A:$A="Настроение");FILTER(Dictionaries!$C:$C;Dictionaries!$A:$A="Настроение")));IF($P340="";"";XLOOKUP($P340;FILTER(Dictionaries!$B:$B;Dictionaries!$A:$A="Энергия");FILTER(Dictionaries!$C:$C;Dictionaries!$A:$A="Энергия")));IF($U340="";"";AVERAGE(IF(OR($B340="Ноги";$B340="Верх");IFS(AND($U340&gt;=1900;$U340&lt;=2050);1;AND($U340&gt;=1850;$U340&lt;1900);0,7;AND($U340&gt;2050;$U340&lt;=2100);0,7;TRUE;0,2);IFS(AND($U340&gt;=1700;$U340&lt;=1850);1;AND($U340&gt;=1650;$U340&lt;1700);0,7;AND($U340&gt;1850;$U340&lt;=1900);0,7;TRUE;0,2));IF(OR($B340="Ноги";$B340="Верх");IFS(AND($V340&gt;=125;$V340&lt;=135);1;AND($V340&gt;=115;$V340&lt;125);0,7;AND($V340&gt;135;$V340&lt;=145);0,7;AND($V340&gt;=105;$V340&lt;115);0,4;AND($V340&gt;145;$V340&lt;=155);0,4;TRUE;0,2);IFS(AND($V340&gt;=120;$V340&lt;=130);1;AND($V340&gt;=110;$V340&lt;120);0,7;AND($V340&gt;130;$V340&lt;=140);0,7;AND($V340&gt;=100;$V340&lt;110);0,4;AND($V340&gt;140;$V340&lt;=150);0,4;TRUE;0,2));IFS(AND($W340&gt;=55;$W340&lt;=65);1;AND($W340&gt;=50;$W340&lt;55);0,7;AND($W340&gt;65;$W340&lt;=70);0,7;AND($W340&gt;=45;$W340&lt;50);0,4;AND($W340&gt;70;$W340&lt;=75);0,4;TRUE;0,2);IF(OR($B340="Ноги";$B340="Верх");IFS(AND($X340&gt;=180;$X340&lt;=210);1;AND($X340&gt;=160;$X340&lt;180);0,7;AND($X340&gt;210;$X340&lt;=230);0,7;AND($X340&gt;=140;$X340&lt;160);0,4;AND($X340&gt;230;$X340&lt;=250);0,4;TRUE;0,2);IFS(AND($X340&gt;=140;$X340&lt;=170);1;AND($X340&gt;=120;$X340&lt;140);0,7;AND($X340&gt;170;$X340&lt;=190);0,7;AND($X340&gt;=100;$X340&lt;120);0,4;AND($X340&gt;190;$X340&lt;=210);0,4;TRUE;0,2)))));1);""))</f>
        <v/>
      </c>
      <c r="Z340">
        <f>IF($A340="";"";TEXTJOIN(", ";TRUE;IF($B340="";"Тренировка";"");IF($C340="";"Кардио";"");IF($D340="";"Шаги";"");IF($E340="";"Английский";"");IF($F340="";"Код-режим";"");IF($G340="";"Код-тема";"");IF($H340="";"Чтение";"");IF($L340="";"Сон";"");IF($M340="";"Режим";"");IF($N340="";"Продуктивность";"");IF($O340="";"Настроение";"");IF($P340="";"Энергия";"");IF($U340="";"Еда";"")))</f>
        <v/>
      </c>
    </row>
    <row r="341">
      <c r="B341" t="inlineStr"/>
      <c r="C341" t="inlineStr"/>
      <c r="D341" t="inlineStr"/>
      <c r="E341" t="inlineStr"/>
      <c r="F341" t="inlineStr"/>
      <c r="G341" t="inlineStr"/>
      <c r="H341" t="inlineStr"/>
      <c r="I341" t="inlineStr"/>
      <c r="J341" t="inlineStr"/>
      <c r="K341" t="inlineStr"/>
      <c r="L341" t="inlineStr"/>
      <c r="M341" t="inlineStr"/>
      <c r="N341" t="inlineStr"/>
      <c r="O341" t="inlineStr"/>
      <c r="P341" t="inlineStr"/>
      <c r="Q341" t="inlineStr"/>
      <c r="R341" t="inlineStr"/>
      <c r="S341" t="inlineStr"/>
      <c r="T341" t="inlineStr"/>
      <c r="U341">
        <f>IF($A341="";"";IF(SUMIF(FoodLog!$A:$A;$A341;FoodLog!$I:$I)=0;"";SUMIF(FoodLog!$A:$A;$A341;FoodLog!$I:$I)))</f>
        <v/>
      </c>
      <c r="V341">
        <f>IF($A341="";"";IF(SUMIF(FoodLog!$A:$A;$A341;FoodLog!$F:$F)=0;"";SUMIF(FoodLog!$A:$A;$A341;FoodLog!$F:$F)))</f>
        <v/>
      </c>
      <c r="W341">
        <f>IF($A341="";"";IF(SUMIF(FoodLog!$A:$A;$A341;FoodLog!$G:$G)=0;"";SUMIF(FoodLog!$A:$A;$A341;FoodLog!$G:$G)))</f>
        <v/>
      </c>
      <c r="X341">
        <f>IF($A341="";"";IF(SUMIF(FoodLog!$A:$A;$A341;FoodLog!$H:$H)=0;"";SUMIF(FoodLog!$A:$A;$A341;FoodLog!$H:$H)))</f>
        <v/>
      </c>
      <c r="Y341">
        <f>IF($A341="";"";IFERROR(ROUND(100*AVERAGE(IF($B341="";"";XLOOKUP($B341;FILTER(Dictionaries!$B:$B;Dictionaries!$A:$A="Тренировка");FILTER(Dictionaries!$C:$C;Dictionaries!$A:$A="Тренировка")));IF($C341="";"";MIN($C341/40;1));IF($D341="";"";XLOOKUP($D341;FILTER(Dictionaries!$B:$B;Dictionaries!$A:$A="Шаги");FILTER(Dictionaries!$C:$C;Dictionaries!$A:$A="Шаги")));IF($E341="";"";MIN($E341/120;1));IF(OR($F341&lt;&gt;"";$G341&lt;&gt;"");1;"");IF($H341="";"";MIN($H341/100;1));IF($L341="";"";XLOOKUP($L341;FILTER(Dictionaries!$B:$B;Dictionaries!$A:$A="Сон_часы");FILTER(Dictionaries!$C:$C;Dictionaries!$A:$A="Сон_часы")));IF($M341="";"";XLOOKUP($M341;FILTER(Dictionaries!$B:$B;Dictionaries!$A:$A="Режим");FILTER(Dictionaries!$C:$C;Dictionaries!$A:$A="Режим")));IF($N341="";"";MIN($N341/100;1));IF($O341="";"";XLOOKUP($O341;FILTER(Dictionaries!$B:$B;Dictionaries!$A:$A="Настроение");FILTER(Dictionaries!$C:$C;Dictionaries!$A:$A="Настроение")));IF($P341="";"";XLOOKUP($P341;FILTER(Dictionaries!$B:$B;Dictionaries!$A:$A="Энергия");FILTER(Dictionaries!$C:$C;Dictionaries!$A:$A="Энергия")));IF($U341="";"";AVERAGE(IF(OR($B341="Ноги";$B341="Верх");IFS(AND($U341&gt;=1900;$U341&lt;=2050);1;AND($U341&gt;=1850;$U341&lt;1900);0,7;AND($U341&gt;2050;$U341&lt;=2100);0,7;TRUE;0,2);IFS(AND($U341&gt;=1700;$U341&lt;=1850);1;AND($U341&gt;=1650;$U341&lt;1700);0,7;AND($U341&gt;1850;$U341&lt;=1900);0,7;TRUE;0,2));IF(OR($B341="Ноги";$B341="Верх");IFS(AND($V341&gt;=125;$V341&lt;=135);1;AND($V341&gt;=115;$V341&lt;125);0,7;AND($V341&gt;135;$V341&lt;=145);0,7;AND($V341&gt;=105;$V341&lt;115);0,4;AND($V341&gt;145;$V341&lt;=155);0,4;TRUE;0,2);IFS(AND($V341&gt;=120;$V341&lt;=130);1;AND($V341&gt;=110;$V341&lt;120);0,7;AND($V341&gt;130;$V341&lt;=140);0,7;AND($V341&gt;=100;$V341&lt;110);0,4;AND($V341&gt;140;$V341&lt;=150);0,4;TRUE;0,2));IFS(AND($W341&gt;=55;$W341&lt;=65);1;AND($W341&gt;=50;$W341&lt;55);0,7;AND($W341&gt;65;$W341&lt;=70);0,7;AND($W341&gt;=45;$W341&lt;50);0,4;AND($W341&gt;70;$W341&lt;=75);0,4;TRUE;0,2);IF(OR($B341="Ноги";$B341="Верх");IFS(AND($X341&gt;=180;$X341&lt;=210);1;AND($X341&gt;=160;$X341&lt;180);0,7;AND($X341&gt;210;$X341&lt;=230);0,7;AND($X341&gt;=140;$X341&lt;160);0,4;AND($X341&gt;230;$X341&lt;=250);0,4;TRUE;0,2);IFS(AND($X341&gt;=140;$X341&lt;=170);1;AND($X341&gt;=120;$X341&lt;140);0,7;AND($X341&gt;170;$X341&lt;=190);0,7;AND($X341&gt;=100;$X341&lt;120);0,4;AND($X341&gt;190;$X341&lt;=210);0,4;TRUE;0,2)))));1);""))</f>
        <v/>
      </c>
      <c r="Z341">
        <f>IF($A341="";"";TEXTJOIN(", ";TRUE;IF($B341="";"Тренировка";"");IF($C341="";"Кардио";"");IF($D341="";"Шаги";"");IF($E341="";"Английский";"");IF($F341="";"Код-режим";"");IF($G341="";"Код-тема";"");IF($H341="";"Чтение";"");IF($L341="";"Сон";"");IF($M341="";"Режим";"");IF($N341="";"Продуктивность";"");IF($O341="";"Настроение";"");IF($P341="";"Энергия";"");IF($U341="";"Еда";"")))</f>
        <v/>
      </c>
    </row>
    <row r="342">
      <c r="B342" t="inlineStr"/>
      <c r="C342" t="inlineStr"/>
      <c r="D342" t="inlineStr"/>
      <c r="E342" t="inlineStr"/>
      <c r="F342" t="inlineStr"/>
      <c r="G342" t="inlineStr"/>
      <c r="H342" t="inlineStr"/>
      <c r="I342" t="inlineStr"/>
      <c r="J342" t="inlineStr"/>
      <c r="K342" t="inlineStr"/>
      <c r="L342" t="inlineStr"/>
      <c r="M342" t="inlineStr"/>
      <c r="N342" t="inlineStr"/>
      <c r="O342" t="inlineStr"/>
      <c r="P342" t="inlineStr"/>
      <c r="Q342" t="inlineStr"/>
      <c r="R342" t="inlineStr"/>
      <c r="S342" t="inlineStr"/>
      <c r="T342" t="inlineStr"/>
      <c r="U342">
        <f>IF($A342="";"";IF(SUMIF(FoodLog!$A:$A;$A342;FoodLog!$I:$I)=0;"";SUMIF(FoodLog!$A:$A;$A342;FoodLog!$I:$I)))</f>
        <v/>
      </c>
      <c r="V342">
        <f>IF($A342="";"";IF(SUMIF(FoodLog!$A:$A;$A342;FoodLog!$F:$F)=0;"";SUMIF(FoodLog!$A:$A;$A342;FoodLog!$F:$F)))</f>
        <v/>
      </c>
      <c r="W342">
        <f>IF($A342="";"";IF(SUMIF(FoodLog!$A:$A;$A342;FoodLog!$G:$G)=0;"";SUMIF(FoodLog!$A:$A;$A342;FoodLog!$G:$G)))</f>
        <v/>
      </c>
      <c r="X342">
        <f>IF($A342="";"";IF(SUMIF(FoodLog!$A:$A;$A342;FoodLog!$H:$H)=0;"";SUMIF(FoodLog!$A:$A;$A342;FoodLog!$H:$H)))</f>
        <v/>
      </c>
      <c r="Y342">
        <f>IF($A342="";"";IFERROR(ROUND(100*AVERAGE(IF($B342="";"";XLOOKUP($B342;FILTER(Dictionaries!$B:$B;Dictionaries!$A:$A="Тренировка");FILTER(Dictionaries!$C:$C;Dictionaries!$A:$A="Тренировка")));IF($C342="";"";MIN($C342/40;1));IF($D342="";"";XLOOKUP($D342;FILTER(Dictionaries!$B:$B;Dictionaries!$A:$A="Шаги");FILTER(Dictionaries!$C:$C;Dictionaries!$A:$A="Шаги")));IF($E342="";"";MIN($E342/120;1));IF(OR($F342&lt;&gt;"";$G342&lt;&gt;"");1;"");IF($H342="";"";MIN($H342/100;1));IF($L342="";"";XLOOKUP($L342;FILTER(Dictionaries!$B:$B;Dictionaries!$A:$A="Сон_часы");FILTER(Dictionaries!$C:$C;Dictionaries!$A:$A="Сон_часы")));IF($M342="";"";XLOOKUP($M342;FILTER(Dictionaries!$B:$B;Dictionaries!$A:$A="Режим");FILTER(Dictionaries!$C:$C;Dictionaries!$A:$A="Режим")));IF($N342="";"";MIN($N342/100;1));IF($O342="";"";XLOOKUP($O342;FILTER(Dictionaries!$B:$B;Dictionaries!$A:$A="Настроение");FILTER(Dictionaries!$C:$C;Dictionaries!$A:$A="Настроение")));IF($P342="";"";XLOOKUP($P342;FILTER(Dictionaries!$B:$B;Dictionaries!$A:$A="Энергия");FILTER(Dictionaries!$C:$C;Dictionaries!$A:$A="Энергия")));IF($U342="";"";AVERAGE(IF(OR($B342="Ноги";$B342="Верх");IFS(AND($U342&gt;=1900;$U342&lt;=2050);1;AND($U342&gt;=1850;$U342&lt;1900);0,7;AND($U342&gt;2050;$U342&lt;=2100);0,7;TRUE;0,2);IFS(AND($U342&gt;=1700;$U342&lt;=1850);1;AND($U342&gt;=1650;$U342&lt;1700);0,7;AND($U342&gt;1850;$U342&lt;=1900);0,7;TRUE;0,2));IF(OR($B342="Ноги";$B342="Верх");IFS(AND($V342&gt;=125;$V342&lt;=135);1;AND($V342&gt;=115;$V342&lt;125);0,7;AND($V342&gt;135;$V342&lt;=145);0,7;AND($V342&gt;=105;$V342&lt;115);0,4;AND($V342&gt;145;$V342&lt;=155);0,4;TRUE;0,2);IFS(AND($V342&gt;=120;$V342&lt;=130);1;AND($V342&gt;=110;$V342&lt;120);0,7;AND($V342&gt;130;$V342&lt;=140);0,7;AND($V342&gt;=100;$V342&lt;110);0,4;AND($V342&gt;140;$V342&lt;=150);0,4;TRUE;0,2));IFS(AND($W342&gt;=55;$W342&lt;=65);1;AND($W342&gt;=50;$W342&lt;55);0,7;AND($W342&gt;65;$W342&lt;=70);0,7;AND($W342&gt;=45;$W342&lt;50);0,4;AND($W342&gt;70;$W342&lt;=75);0,4;TRUE;0,2);IF(OR($B342="Ноги";$B342="Верх");IFS(AND($X342&gt;=180;$X342&lt;=210);1;AND($X342&gt;=160;$X342&lt;180);0,7;AND($X342&gt;210;$X342&lt;=230);0,7;AND($X342&gt;=140;$X342&lt;160);0,4;AND($X342&gt;230;$X342&lt;=250);0,4;TRUE;0,2);IFS(AND($X342&gt;=140;$X342&lt;=170);1;AND($X342&gt;=120;$X342&lt;140);0,7;AND($X342&gt;170;$X342&lt;=190);0,7;AND($X342&gt;=100;$X342&lt;120);0,4;AND($X342&gt;190;$X342&lt;=210);0,4;TRUE;0,2)))));1);""))</f>
        <v/>
      </c>
      <c r="Z342">
        <f>IF($A342="";"";TEXTJOIN(", ";TRUE;IF($B342="";"Тренировка";"");IF($C342="";"Кардио";"");IF($D342="";"Шаги";"");IF($E342="";"Английский";"");IF($F342="";"Код-режим";"");IF($G342="";"Код-тема";"");IF($H342="";"Чтение";"");IF($L342="";"Сон";"");IF($M342="";"Режим";"");IF($N342="";"Продуктивность";"");IF($O342="";"Настроение";"");IF($P342="";"Энергия";"");IF($U342="";"Еда";"")))</f>
        <v/>
      </c>
    </row>
    <row r="343">
      <c r="B343" t="inlineStr"/>
      <c r="C343" t="inlineStr"/>
      <c r="D343" t="inlineStr"/>
      <c r="E343" t="inlineStr"/>
      <c r="F343" t="inlineStr"/>
      <c r="G343" t="inlineStr"/>
      <c r="H343" t="inlineStr"/>
      <c r="I343" t="inlineStr"/>
      <c r="J343" t="inlineStr"/>
      <c r="K343" t="inlineStr"/>
      <c r="L343" t="inlineStr"/>
      <c r="M343" t="inlineStr"/>
      <c r="N343" t="inlineStr"/>
      <c r="O343" t="inlineStr"/>
      <c r="P343" t="inlineStr"/>
      <c r="Q343" t="inlineStr"/>
      <c r="R343" t="inlineStr"/>
      <c r="S343" t="inlineStr"/>
      <c r="T343" t="inlineStr"/>
      <c r="U343">
        <f>IF($A343="";"";IF(SUMIF(FoodLog!$A:$A;$A343;FoodLog!$I:$I)=0;"";SUMIF(FoodLog!$A:$A;$A343;FoodLog!$I:$I)))</f>
        <v/>
      </c>
      <c r="V343">
        <f>IF($A343="";"";IF(SUMIF(FoodLog!$A:$A;$A343;FoodLog!$F:$F)=0;"";SUMIF(FoodLog!$A:$A;$A343;FoodLog!$F:$F)))</f>
        <v/>
      </c>
      <c r="W343">
        <f>IF($A343="";"";IF(SUMIF(FoodLog!$A:$A;$A343;FoodLog!$G:$G)=0;"";SUMIF(FoodLog!$A:$A;$A343;FoodLog!$G:$G)))</f>
        <v/>
      </c>
      <c r="X343">
        <f>IF($A343="";"";IF(SUMIF(FoodLog!$A:$A;$A343;FoodLog!$H:$H)=0;"";SUMIF(FoodLog!$A:$A;$A343;FoodLog!$H:$H)))</f>
        <v/>
      </c>
      <c r="Y343">
        <f>IF($A343="";"";IFERROR(ROUND(100*AVERAGE(IF($B343="";"";XLOOKUP($B343;FILTER(Dictionaries!$B:$B;Dictionaries!$A:$A="Тренировка");FILTER(Dictionaries!$C:$C;Dictionaries!$A:$A="Тренировка")));IF($C343="";"";MIN($C343/40;1));IF($D343="";"";XLOOKUP($D343;FILTER(Dictionaries!$B:$B;Dictionaries!$A:$A="Шаги");FILTER(Dictionaries!$C:$C;Dictionaries!$A:$A="Шаги")));IF($E343="";"";MIN($E343/120;1));IF(OR($F343&lt;&gt;"";$G343&lt;&gt;"");1;"");IF($H343="";"";MIN($H343/100;1));IF($L343="";"";XLOOKUP($L343;FILTER(Dictionaries!$B:$B;Dictionaries!$A:$A="Сон_часы");FILTER(Dictionaries!$C:$C;Dictionaries!$A:$A="Сон_часы")));IF($M343="";"";XLOOKUP($M343;FILTER(Dictionaries!$B:$B;Dictionaries!$A:$A="Режим");FILTER(Dictionaries!$C:$C;Dictionaries!$A:$A="Режим")));IF($N343="";"";MIN($N343/100;1));IF($O343="";"";XLOOKUP($O343;FILTER(Dictionaries!$B:$B;Dictionaries!$A:$A="Настроение");FILTER(Dictionaries!$C:$C;Dictionaries!$A:$A="Настроение")));IF($P343="";"";XLOOKUP($P343;FILTER(Dictionaries!$B:$B;Dictionaries!$A:$A="Энергия");FILTER(Dictionaries!$C:$C;Dictionaries!$A:$A="Энергия")));IF($U343="";"";AVERAGE(IF(OR($B343="Ноги";$B343="Верх");IFS(AND($U343&gt;=1900;$U343&lt;=2050);1;AND($U343&gt;=1850;$U343&lt;1900);0,7;AND($U343&gt;2050;$U343&lt;=2100);0,7;TRUE;0,2);IFS(AND($U343&gt;=1700;$U343&lt;=1850);1;AND($U343&gt;=1650;$U343&lt;1700);0,7;AND($U343&gt;1850;$U343&lt;=1900);0,7;TRUE;0,2));IF(OR($B343="Ноги";$B343="Верх");IFS(AND($V343&gt;=125;$V343&lt;=135);1;AND($V343&gt;=115;$V343&lt;125);0,7;AND($V343&gt;135;$V343&lt;=145);0,7;AND($V343&gt;=105;$V343&lt;115);0,4;AND($V343&gt;145;$V343&lt;=155);0,4;TRUE;0,2);IFS(AND($V343&gt;=120;$V343&lt;=130);1;AND($V343&gt;=110;$V343&lt;120);0,7;AND($V343&gt;130;$V343&lt;=140);0,7;AND($V343&gt;=100;$V343&lt;110);0,4;AND($V343&gt;140;$V343&lt;=150);0,4;TRUE;0,2));IFS(AND($W343&gt;=55;$W343&lt;=65);1;AND($W343&gt;=50;$W343&lt;55);0,7;AND($W343&gt;65;$W343&lt;=70);0,7;AND($W343&gt;=45;$W343&lt;50);0,4;AND($W343&gt;70;$W343&lt;=75);0,4;TRUE;0,2);IF(OR($B343="Ноги";$B343="Верх");IFS(AND($X343&gt;=180;$X343&lt;=210);1;AND($X343&gt;=160;$X343&lt;180);0,7;AND($X343&gt;210;$X343&lt;=230);0,7;AND($X343&gt;=140;$X343&lt;160);0,4;AND($X343&gt;230;$X343&lt;=250);0,4;TRUE;0,2);IFS(AND($X343&gt;=140;$X343&lt;=170);1;AND($X343&gt;=120;$X343&lt;140);0,7;AND($X343&gt;170;$X343&lt;=190);0,7;AND($X343&gt;=100;$X343&lt;120);0,4;AND($X343&gt;190;$X343&lt;=210);0,4;TRUE;0,2)))));1);""))</f>
        <v/>
      </c>
      <c r="Z343">
        <f>IF($A343="";"";TEXTJOIN(", ";TRUE;IF($B343="";"Тренировка";"");IF($C343="";"Кардио";"");IF($D343="";"Шаги";"");IF($E343="";"Английский";"");IF($F343="";"Код-режим";"");IF($G343="";"Код-тема";"");IF($H343="";"Чтение";"");IF($L343="";"Сон";"");IF($M343="";"Режим";"");IF($N343="";"Продуктивность";"");IF($O343="";"Настроение";"");IF($P343="";"Энергия";"");IF($U343="";"Еда";"")))</f>
        <v/>
      </c>
    </row>
    <row r="344">
      <c r="B344" t="inlineStr"/>
      <c r="C344" t="inlineStr"/>
      <c r="D344" t="inlineStr"/>
      <c r="E344" t="inlineStr"/>
      <c r="F344" t="inlineStr"/>
      <c r="G344" t="inlineStr"/>
      <c r="H344" t="inlineStr"/>
      <c r="I344" t="inlineStr"/>
      <c r="J344" t="inlineStr"/>
      <c r="K344" t="inlineStr"/>
      <c r="L344" t="inlineStr"/>
      <c r="M344" t="inlineStr"/>
      <c r="N344" t="inlineStr"/>
      <c r="O344" t="inlineStr"/>
      <c r="P344" t="inlineStr"/>
      <c r="Q344" t="inlineStr"/>
      <c r="R344" t="inlineStr"/>
      <c r="S344" t="inlineStr"/>
      <c r="T344" t="inlineStr"/>
      <c r="U344">
        <f>IF($A344="";"";IF(SUMIF(FoodLog!$A:$A;$A344;FoodLog!$I:$I)=0;"";SUMIF(FoodLog!$A:$A;$A344;FoodLog!$I:$I)))</f>
        <v/>
      </c>
      <c r="V344">
        <f>IF($A344="";"";IF(SUMIF(FoodLog!$A:$A;$A344;FoodLog!$F:$F)=0;"";SUMIF(FoodLog!$A:$A;$A344;FoodLog!$F:$F)))</f>
        <v/>
      </c>
      <c r="W344">
        <f>IF($A344="";"";IF(SUMIF(FoodLog!$A:$A;$A344;FoodLog!$G:$G)=0;"";SUMIF(FoodLog!$A:$A;$A344;FoodLog!$G:$G)))</f>
        <v/>
      </c>
      <c r="X344">
        <f>IF($A344="";"";IF(SUMIF(FoodLog!$A:$A;$A344;FoodLog!$H:$H)=0;"";SUMIF(FoodLog!$A:$A;$A344;FoodLog!$H:$H)))</f>
        <v/>
      </c>
      <c r="Y344">
        <f>IF($A344="";"";IFERROR(ROUND(100*AVERAGE(IF($B344="";"";XLOOKUP($B344;FILTER(Dictionaries!$B:$B;Dictionaries!$A:$A="Тренировка");FILTER(Dictionaries!$C:$C;Dictionaries!$A:$A="Тренировка")));IF($C344="";"";MIN($C344/40;1));IF($D344="";"";XLOOKUP($D344;FILTER(Dictionaries!$B:$B;Dictionaries!$A:$A="Шаги");FILTER(Dictionaries!$C:$C;Dictionaries!$A:$A="Шаги")));IF($E344="";"";MIN($E344/120;1));IF(OR($F344&lt;&gt;"";$G344&lt;&gt;"");1;"");IF($H344="";"";MIN($H344/100;1));IF($L344="";"";XLOOKUP($L344;FILTER(Dictionaries!$B:$B;Dictionaries!$A:$A="Сон_часы");FILTER(Dictionaries!$C:$C;Dictionaries!$A:$A="Сон_часы")));IF($M344="";"";XLOOKUP($M344;FILTER(Dictionaries!$B:$B;Dictionaries!$A:$A="Режим");FILTER(Dictionaries!$C:$C;Dictionaries!$A:$A="Режим")));IF($N344="";"";MIN($N344/100;1));IF($O344="";"";XLOOKUP($O344;FILTER(Dictionaries!$B:$B;Dictionaries!$A:$A="Настроение");FILTER(Dictionaries!$C:$C;Dictionaries!$A:$A="Настроение")));IF($P344="";"";XLOOKUP($P344;FILTER(Dictionaries!$B:$B;Dictionaries!$A:$A="Энергия");FILTER(Dictionaries!$C:$C;Dictionaries!$A:$A="Энергия")));IF($U344="";"";AVERAGE(IF(OR($B344="Ноги";$B344="Верх");IFS(AND($U344&gt;=1900;$U344&lt;=2050);1;AND($U344&gt;=1850;$U344&lt;1900);0,7;AND($U344&gt;2050;$U344&lt;=2100);0,7;TRUE;0,2);IFS(AND($U344&gt;=1700;$U344&lt;=1850);1;AND($U344&gt;=1650;$U344&lt;1700);0,7;AND($U344&gt;1850;$U344&lt;=1900);0,7;TRUE;0,2));IF(OR($B344="Ноги";$B344="Верх");IFS(AND($V344&gt;=125;$V344&lt;=135);1;AND($V344&gt;=115;$V344&lt;125);0,7;AND($V344&gt;135;$V344&lt;=145);0,7;AND($V344&gt;=105;$V344&lt;115);0,4;AND($V344&gt;145;$V344&lt;=155);0,4;TRUE;0,2);IFS(AND($V344&gt;=120;$V344&lt;=130);1;AND($V344&gt;=110;$V344&lt;120);0,7;AND($V344&gt;130;$V344&lt;=140);0,7;AND($V344&gt;=100;$V344&lt;110);0,4;AND($V344&gt;140;$V344&lt;=150);0,4;TRUE;0,2));IFS(AND($W344&gt;=55;$W344&lt;=65);1;AND($W344&gt;=50;$W344&lt;55);0,7;AND($W344&gt;65;$W344&lt;=70);0,7;AND($W344&gt;=45;$W344&lt;50);0,4;AND($W344&gt;70;$W344&lt;=75);0,4;TRUE;0,2);IF(OR($B344="Ноги";$B344="Верх");IFS(AND($X344&gt;=180;$X344&lt;=210);1;AND($X344&gt;=160;$X344&lt;180);0,7;AND($X344&gt;210;$X344&lt;=230);0,7;AND($X344&gt;=140;$X344&lt;160);0,4;AND($X344&gt;230;$X344&lt;=250);0,4;TRUE;0,2);IFS(AND($X344&gt;=140;$X344&lt;=170);1;AND($X344&gt;=120;$X344&lt;140);0,7;AND($X344&gt;170;$X344&lt;=190);0,7;AND($X344&gt;=100;$X344&lt;120);0,4;AND($X344&gt;190;$X344&lt;=210);0,4;TRUE;0,2)))));1);""))</f>
        <v/>
      </c>
      <c r="Z344">
        <f>IF($A344="";"";TEXTJOIN(", ";TRUE;IF($B344="";"Тренировка";"");IF($C344="";"Кардио";"");IF($D344="";"Шаги";"");IF($E344="";"Английский";"");IF($F344="";"Код-режим";"");IF($G344="";"Код-тема";"");IF($H344="";"Чтение";"");IF($L344="";"Сон";"");IF($M344="";"Режим";"");IF($N344="";"Продуктивность";"");IF($O344="";"Настроение";"");IF($P344="";"Энергия";"");IF($U344="";"Еда";"")))</f>
        <v/>
      </c>
    </row>
    <row r="345">
      <c r="B345" t="inlineStr"/>
      <c r="C345" t="inlineStr"/>
      <c r="D345" t="inlineStr"/>
      <c r="E345" t="inlineStr"/>
      <c r="F345" t="inlineStr"/>
      <c r="G345" t="inlineStr"/>
      <c r="H345" t="inlineStr"/>
      <c r="I345" t="inlineStr"/>
      <c r="J345" t="inlineStr"/>
      <c r="K345" t="inlineStr"/>
      <c r="L345" t="inlineStr"/>
      <c r="M345" t="inlineStr"/>
      <c r="N345" t="inlineStr"/>
      <c r="O345" t="inlineStr"/>
      <c r="P345" t="inlineStr"/>
      <c r="Q345" t="inlineStr"/>
      <c r="R345" t="inlineStr"/>
      <c r="S345" t="inlineStr"/>
      <c r="T345" t="inlineStr"/>
      <c r="U345">
        <f>IF($A345="";"";IF(SUMIF(FoodLog!$A:$A;$A345;FoodLog!$I:$I)=0;"";SUMIF(FoodLog!$A:$A;$A345;FoodLog!$I:$I)))</f>
        <v/>
      </c>
      <c r="V345">
        <f>IF($A345="";"";IF(SUMIF(FoodLog!$A:$A;$A345;FoodLog!$F:$F)=0;"";SUMIF(FoodLog!$A:$A;$A345;FoodLog!$F:$F)))</f>
        <v/>
      </c>
      <c r="W345">
        <f>IF($A345="";"";IF(SUMIF(FoodLog!$A:$A;$A345;FoodLog!$G:$G)=0;"";SUMIF(FoodLog!$A:$A;$A345;FoodLog!$G:$G)))</f>
        <v/>
      </c>
      <c r="X345">
        <f>IF($A345="";"";IF(SUMIF(FoodLog!$A:$A;$A345;FoodLog!$H:$H)=0;"";SUMIF(FoodLog!$A:$A;$A345;FoodLog!$H:$H)))</f>
        <v/>
      </c>
      <c r="Y345">
        <f>IF($A345="";"";IFERROR(ROUND(100*AVERAGE(IF($B345="";"";XLOOKUP($B345;FILTER(Dictionaries!$B:$B;Dictionaries!$A:$A="Тренировка");FILTER(Dictionaries!$C:$C;Dictionaries!$A:$A="Тренировка")));IF($C345="";"";MIN($C345/40;1));IF($D345="";"";XLOOKUP($D345;FILTER(Dictionaries!$B:$B;Dictionaries!$A:$A="Шаги");FILTER(Dictionaries!$C:$C;Dictionaries!$A:$A="Шаги")));IF($E345="";"";MIN($E345/120;1));IF(OR($F345&lt;&gt;"";$G345&lt;&gt;"");1;"");IF($H345="";"";MIN($H345/100;1));IF($L345="";"";XLOOKUP($L345;FILTER(Dictionaries!$B:$B;Dictionaries!$A:$A="Сон_часы");FILTER(Dictionaries!$C:$C;Dictionaries!$A:$A="Сон_часы")));IF($M345="";"";XLOOKUP($M345;FILTER(Dictionaries!$B:$B;Dictionaries!$A:$A="Режим");FILTER(Dictionaries!$C:$C;Dictionaries!$A:$A="Режим")));IF($N345="";"";MIN($N345/100;1));IF($O345="";"";XLOOKUP($O345;FILTER(Dictionaries!$B:$B;Dictionaries!$A:$A="Настроение");FILTER(Dictionaries!$C:$C;Dictionaries!$A:$A="Настроение")));IF($P345="";"";XLOOKUP($P345;FILTER(Dictionaries!$B:$B;Dictionaries!$A:$A="Энергия");FILTER(Dictionaries!$C:$C;Dictionaries!$A:$A="Энергия")));IF($U345="";"";AVERAGE(IF(OR($B345="Ноги";$B345="Верх");IFS(AND($U345&gt;=1900;$U345&lt;=2050);1;AND($U345&gt;=1850;$U345&lt;1900);0,7;AND($U345&gt;2050;$U345&lt;=2100);0,7;TRUE;0,2);IFS(AND($U345&gt;=1700;$U345&lt;=1850);1;AND($U345&gt;=1650;$U345&lt;1700);0,7;AND($U345&gt;1850;$U345&lt;=1900);0,7;TRUE;0,2));IF(OR($B345="Ноги";$B345="Верх");IFS(AND($V345&gt;=125;$V345&lt;=135);1;AND($V345&gt;=115;$V345&lt;125);0,7;AND($V345&gt;135;$V345&lt;=145);0,7;AND($V345&gt;=105;$V345&lt;115);0,4;AND($V345&gt;145;$V345&lt;=155);0,4;TRUE;0,2);IFS(AND($V345&gt;=120;$V345&lt;=130);1;AND($V345&gt;=110;$V345&lt;120);0,7;AND($V345&gt;130;$V345&lt;=140);0,7;AND($V345&gt;=100;$V345&lt;110);0,4;AND($V345&gt;140;$V345&lt;=150);0,4;TRUE;0,2));IFS(AND($W345&gt;=55;$W345&lt;=65);1;AND($W345&gt;=50;$W345&lt;55);0,7;AND($W345&gt;65;$W345&lt;=70);0,7;AND($W345&gt;=45;$W345&lt;50);0,4;AND($W345&gt;70;$W345&lt;=75);0,4;TRUE;0,2);IF(OR($B345="Ноги";$B345="Верх");IFS(AND($X345&gt;=180;$X345&lt;=210);1;AND($X345&gt;=160;$X345&lt;180);0,7;AND($X345&gt;210;$X345&lt;=230);0,7;AND($X345&gt;=140;$X345&lt;160);0,4;AND($X345&gt;230;$X345&lt;=250);0,4;TRUE;0,2);IFS(AND($X345&gt;=140;$X345&lt;=170);1;AND($X345&gt;=120;$X345&lt;140);0,7;AND($X345&gt;170;$X345&lt;=190);0,7;AND($X345&gt;=100;$X345&lt;120);0,4;AND($X345&gt;190;$X345&lt;=210);0,4;TRUE;0,2)))));1);""))</f>
        <v/>
      </c>
      <c r="Z345">
        <f>IF($A345="";"";TEXTJOIN(", ";TRUE;IF($B345="";"Тренировка";"");IF($C345="";"Кардио";"");IF($D345="";"Шаги";"");IF($E345="";"Английский";"");IF($F345="";"Код-режим";"");IF($G345="";"Код-тема";"");IF($H345="";"Чтение";"");IF($L345="";"Сон";"");IF($M345="";"Режим";"");IF($N345="";"Продуктивность";"");IF($O345="";"Настроение";"");IF($P345="";"Энергия";"");IF($U345="";"Еда";"")))</f>
        <v/>
      </c>
    </row>
    <row r="346">
      <c r="B346" t="inlineStr"/>
      <c r="C346" t="inlineStr"/>
      <c r="D346" t="inlineStr"/>
      <c r="E346" t="inlineStr"/>
      <c r="F346" t="inlineStr"/>
      <c r="G346" t="inlineStr"/>
      <c r="H346" t="inlineStr"/>
      <c r="I346" t="inlineStr"/>
      <c r="J346" t="inlineStr"/>
      <c r="K346" t="inlineStr"/>
      <c r="L346" t="inlineStr"/>
      <c r="M346" t="inlineStr"/>
      <c r="N346" t="inlineStr"/>
      <c r="O346" t="inlineStr"/>
      <c r="P346" t="inlineStr"/>
      <c r="Q346" t="inlineStr"/>
      <c r="R346" t="inlineStr"/>
      <c r="S346" t="inlineStr"/>
      <c r="T346" t="inlineStr"/>
      <c r="U346">
        <f>IF($A346="";"";IF(SUMIF(FoodLog!$A:$A;$A346;FoodLog!$I:$I)=0;"";SUMIF(FoodLog!$A:$A;$A346;FoodLog!$I:$I)))</f>
        <v/>
      </c>
      <c r="V346">
        <f>IF($A346="";"";IF(SUMIF(FoodLog!$A:$A;$A346;FoodLog!$F:$F)=0;"";SUMIF(FoodLog!$A:$A;$A346;FoodLog!$F:$F)))</f>
        <v/>
      </c>
      <c r="W346">
        <f>IF($A346="";"";IF(SUMIF(FoodLog!$A:$A;$A346;FoodLog!$G:$G)=0;"";SUMIF(FoodLog!$A:$A;$A346;FoodLog!$G:$G)))</f>
        <v/>
      </c>
      <c r="X346">
        <f>IF($A346="";"";IF(SUMIF(FoodLog!$A:$A;$A346;FoodLog!$H:$H)=0;"";SUMIF(FoodLog!$A:$A;$A346;FoodLog!$H:$H)))</f>
        <v/>
      </c>
      <c r="Y346">
        <f>IF($A346="";"";IFERROR(ROUND(100*AVERAGE(IF($B346="";"";XLOOKUP($B346;FILTER(Dictionaries!$B:$B;Dictionaries!$A:$A="Тренировка");FILTER(Dictionaries!$C:$C;Dictionaries!$A:$A="Тренировка")));IF($C346="";"";MIN($C346/40;1));IF($D346="";"";XLOOKUP($D346;FILTER(Dictionaries!$B:$B;Dictionaries!$A:$A="Шаги");FILTER(Dictionaries!$C:$C;Dictionaries!$A:$A="Шаги")));IF($E346="";"";MIN($E346/120;1));IF(OR($F346&lt;&gt;"";$G346&lt;&gt;"");1;"");IF($H346="";"";MIN($H346/100;1));IF($L346="";"";XLOOKUP($L346;FILTER(Dictionaries!$B:$B;Dictionaries!$A:$A="Сон_часы");FILTER(Dictionaries!$C:$C;Dictionaries!$A:$A="Сон_часы")));IF($M346="";"";XLOOKUP($M346;FILTER(Dictionaries!$B:$B;Dictionaries!$A:$A="Режим");FILTER(Dictionaries!$C:$C;Dictionaries!$A:$A="Режим")));IF($N346="";"";MIN($N346/100;1));IF($O346="";"";XLOOKUP($O346;FILTER(Dictionaries!$B:$B;Dictionaries!$A:$A="Настроение");FILTER(Dictionaries!$C:$C;Dictionaries!$A:$A="Настроение")));IF($P346="";"";XLOOKUP($P346;FILTER(Dictionaries!$B:$B;Dictionaries!$A:$A="Энергия");FILTER(Dictionaries!$C:$C;Dictionaries!$A:$A="Энергия")));IF($U346="";"";AVERAGE(IF(OR($B346="Ноги";$B346="Верх");IFS(AND($U346&gt;=1900;$U346&lt;=2050);1;AND($U346&gt;=1850;$U346&lt;1900);0,7;AND($U346&gt;2050;$U346&lt;=2100);0,7;TRUE;0,2);IFS(AND($U346&gt;=1700;$U346&lt;=1850);1;AND($U346&gt;=1650;$U346&lt;1700);0,7;AND($U346&gt;1850;$U346&lt;=1900);0,7;TRUE;0,2));IF(OR($B346="Ноги";$B346="Верх");IFS(AND($V346&gt;=125;$V346&lt;=135);1;AND($V346&gt;=115;$V346&lt;125);0,7;AND($V346&gt;135;$V346&lt;=145);0,7;AND($V346&gt;=105;$V346&lt;115);0,4;AND($V346&gt;145;$V346&lt;=155);0,4;TRUE;0,2);IFS(AND($V346&gt;=120;$V346&lt;=130);1;AND($V346&gt;=110;$V346&lt;120);0,7;AND($V346&gt;130;$V346&lt;=140);0,7;AND($V346&gt;=100;$V346&lt;110);0,4;AND($V346&gt;140;$V346&lt;=150);0,4;TRUE;0,2));IFS(AND($W346&gt;=55;$W346&lt;=65);1;AND($W346&gt;=50;$W346&lt;55);0,7;AND($W346&gt;65;$W346&lt;=70);0,7;AND($W346&gt;=45;$W346&lt;50);0,4;AND($W346&gt;70;$W346&lt;=75);0,4;TRUE;0,2);IF(OR($B346="Ноги";$B346="Верх");IFS(AND($X346&gt;=180;$X346&lt;=210);1;AND($X346&gt;=160;$X346&lt;180);0,7;AND($X346&gt;210;$X346&lt;=230);0,7;AND($X346&gt;=140;$X346&lt;160);0,4;AND($X346&gt;230;$X346&lt;=250);0,4;TRUE;0,2);IFS(AND($X346&gt;=140;$X346&lt;=170);1;AND($X346&gt;=120;$X346&lt;140);0,7;AND($X346&gt;170;$X346&lt;=190);0,7;AND($X346&gt;=100;$X346&lt;120);0,4;AND($X346&gt;190;$X346&lt;=210);0,4;TRUE;0,2)))));1);""))</f>
        <v/>
      </c>
      <c r="Z346">
        <f>IF($A346="";"";TEXTJOIN(", ";TRUE;IF($B346="";"Тренировка";"");IF($C346="";"Кардио";"");IF($D346="";"Шаги";"");IF($E346="";"Английский";"");IF($F346="";"Код-режим";"");IF($G346="";"Код-тема";"");IF($H346="";"Чтение";"");IF($L346="";"Сон";"");IF($M346="";"Режим";"");IF($N346="";"Продуктивность";"");IF($O346="";"Настроение";"");IF($P346="";"Энергия";"");IF($U346="";"Еда";"")))</f>
        <v/>
      </c>
    </row>
    <row r="347">
      <c r="B347" t="inlineStr"/>
      <c r="C347" t="inlineStr"/>
      <c r="D347" t="inlineStr"/>
      <c r="E347" t="inlineStr"/>
      <c r="F347" t="inlineStr"/>
      <c r="G347" t="inlineStr"/>
      <c r="H347" t="inlineStr"/>
      <c r="I347" t="inlineStr"/>
      <c r="J347" t="inlineStr"/>
      <c r="K347" t="inlineStr"/>
      <c r="L347" t="inlineStr"/>
      <c r="M347" t="inlineStr"/>
      <c r="N347" t="inlineStr"/>
      <c r="O347" t="inlineStr"/>
      <c r="P347" t="inlineStr"/>
      <c r="Q347" t="inlineStr"/>
      <c r="R347" t="inlineStr"/>
      <c r="S347" t="inlineStr"/>
      <c r="T347" t="inlineStr"/>
      <c r="U347">
        <f>IF($A347="";"";IF(SUMIF(FoodLog!$A:$A;$A347;FoodLog!$I:$I)=0;"";SUMIF(FoodLog!$A:$A;$A347;FoodLog!$I:$I)))</f>
        <v/>
      </c>
      <c r="V347">
        <f>IF($A347="";"";IF(SUMIF(FoodLog!$A:$A;$A347;FoodLog!$F:$F)=0;"";SUMIF(FoodLog!$A:$A;$A347;FoodLog!$F:$F)))</f>
        <v/>
      </c>
      <c r="W347">
        <f>IF($A347="";"";IF(SUMIF(FoodLog!$A:$A;$A347;FoodLog!$G:$G)=0;"";SUMIF(FoodLog!$A:$A;$A347;FoodLog!$G:$G)))</f>
        <v/>
      </c>
      <c r="X347">
        <f>IF($A347="";"";IF(SUMIF(FoodLog!$A:$A;$A347;FoodLog!$H:$H)=0;"";SUMIF(FoodLog!$A:$A;$A347;FoodLog!$H:$H)))</f>
        <v/>
      </c>
      <c r="Y347">
        <f>IF($A347="";"";IFERROR(ROUND(100*AVERAGE(IF($B347="";"";XLOOKUP($B347;FILTER(Dictionaries!$B:$B;Dictionaries!$A:$A="Тренировка");FILTER(Dictionaries!$C:$C;Dictionaries!$A:$A="Тренировка")));IF($C347="";"";MIN($C347/40;1));IF($D347="";"";XLOOKUP($D347;FILTER(Dictionaries!$B:$B;Dictionaries!$A:$A="Шаги");FILTER(Dictionaries!$C:$C;Dictionaries!$A:$A="Шаги")));IF($E347="";"";MIN($E347/120;1));IF(OR($F347&lt;&gt;"";$G347&lt;&gt;"");1;"");IF($H347="";"";MIN($H347/100;1));IF($L347="";"";XLOOKUP($L347;FILTER(Dictionaries!$B:$B;Dictionaries!$A:$A="Сон_часы");FILTER(Dictionaries!$C:$C;Dictionaries!$A:$A="Сон_часы")));IF($M347="";"";XLOOKUP($M347;FILTER(Dictionaries!$B:$B;Dictionaries!$A:$A="Режим");FILTER(Dictionaries!$C:$C;Dictionaries!$A:$A="Режим")));IF($N347="";"";MIN($N347/100;1));IF($O347="";"";XLOOKUP($O347;FILTER(Dictionaries!$B:$B;Dictionaries!$A:$A="Настроение");FILTER(Dictionaries!$C:$C;Dictionaries!$A:$A="Настроение")));IF($P347="";"";XLOOKUP($P347;FILTER(Dictionaries!$B:$B;Dictionaries!$A:$A="Энергия");FILTER(Dictionaries!$C:$C;Dictionaries!$A:$A="Энергия")));IF($U347="";"";AVERAGE(IF(OR($B347="Ноги";$B347="Верх");IFS(AND($U347&gt;=1900;$U347&lt;=2050);1;AND($U347&gt;=1850;$U347&lt;1900);0,7;AND($U347&gt;2050;$U347&lt;=2100);0,7;TRUE;0,2);IFS(AND($U347&gt;=1700;$U347&lt;=1850);1;AND($U347&gt;=1650;$U347&lt;1700);0,7;AND($U347&gt;1850;$U347&lt;=1900);0,7;TRUE;0,2));IF(OR($B347="Ноги";$B347="Верх");IFS(AND($V347&gt;=125;$V347&lt;=135);1;AND($V347&gt;=115;$V347&lt;125);0,7;AND($V347&gt;135;$V347&lt;=145);0,7;AND($V347&gt;=105;$V347&lt;115);0,4;AND($V347&gt;145;$V347&lt;=155);0,4;TRUE;0,2);IFS(AND($V347&gt;=120;$V347&lt;=130);1;AND($V347&gt;=110;$V347&lt;120);0,7;AND($V347&gt;130;$V347&lt;=140);0,7;AND($V347&gt;=100;$V347&lt;110);0,4;AND($V347&gt;140;$V347&lt;=150);0,4;TRUE;0,2));IFS(AND($W347&gt;=55;$W347&lt;=65);1;AND($W347&gt;=50;$W347&lt;55);0,7;AND($W347&gt;65;$W347&lt;=70);0,7;AND($W347&gt;=45;$W347&lt;50);0,4;AND($W347&gt;70;$W347&lt;=75);0,4;TRUE;0,2);IF(OR($B347="Ноги";$B347="Верх");IFS(AND($X347&gt;=180;$X347&lt;=210);1;AND($X347&gt;=160;$X347&lt;180);0,7;AND($X347&gt;210;$X347&lt;=230);0,7;AND($X347&gt;=140;$X347&lt;160);0,4;AND($X347&gt;230;$X347&lt;=250);0,4;TRUE;0,2);IFS(AND($X347&gt;=140;$X347&lt;=170);1;AND($X347&gt;=120;$X347&lt;140);0,7;AND($X347&gt;170;$X347&lt;=190);0,7;AND($X347&gt;=100;$X347&lt;120);0,4;AND($X347&gt;190;$X347&lt;=210);0,4;TRUE;0,2)))));1);""))</f>
        <v/>
      </c>
      <c r="Z347">
        <f>IF($A347="";"";TEXTJOIN(", ";TRUE;IF($B347="";"Тренировка";"");IF($C347="";"Кардио";"");IF($D347="";"Шаги";"");IF($E347="";"Английский";"");IF($F347="";"Код-режим";"");IF($G347="";"Код-тема";"");IF($H347="";"Чтение";"");IF($L347="";"Сон";"");IF($M347="";"Режим";"");IF($N347="";"Продуктивность";"");IF($O347="";"Настроение";"");IF($P347="";"Энергия";"");IF($U347="";"Еда";"")))</f>
        <v/>
      </c>
    </row>
    <row r="348">
      <c r="B348" t="inlineStr"/>
      <c r="C348" t="inlineStr"/>
      <c r="D348" t="inlineStr"/>
      <c r="E348" t="inlineStr"/>
      <c r="F348" t="inlineStr"/>
      <c r="G348" t="inlineStr"/>
      <c r="H348" t="inlineStr"/>
      <c r="I348" t="inlineStr"/>
      <c r="J348" t="inlineStr"/>
      <c r="K348" t="inlineStr"/>
      <c r="L348" t="inlineStr"/>
      <c r="M348" t="inlineStr"/>
      <c r="N348" t="inlineStr"/>
      <c r="O348" t="inlineStr"/>
      <c r="P348" t="inlineStr"/>
      <c r="Q348" t="inlineStr"/>
      <c r="R348" t="inlineStr"/>
      <c r="S348" t="inlineStr"/>
      <c r="T348" t="inlineStr"/>
      <c r="U348">
        <f>IF($A348="";"";IF(SUMIF(FoodLog!$A:$A;$A348;FoodLog!$I:$I)=0;"";SUMIF(FoodLog!$A:$A;$A348;FoodLog!$I:$I)))</f>
        <v/>
      </c>
      <c r="V348">
        <f>IF($A348="";"";IF(SUMIF(FoodLog!$A:$A;$A348;FoodLog!$F:$F)=0;"";SUMIF(FoodLog!$A:$A;$A348;FoodLog!$F:$F)))</f>
        <v/>
      </c>
      <c r="W348">
        <f>IF($A348="";"";IF(SUMIF(FoodLog!$A:$A;$A348;FoodLog!$G:$G)=0;"";SUMIF(FoodLog!$A:$A;$A348;FoodLog!$G:$G)))</f>
        <v/>
      </c>
      <c r="X348">
        <f>IF($A348="";"";IF(SUMIF(FoodLog!$A:$A;$A348;FoodLog!$H:$H)=0;"";SUMIF(FoodLog!$A:$A;$A348;FoodLog!$H:$H)))</f>
        <v/>
      </c>
      <c r="Y348">
        <f>IF($A348="";"";IFERROR(ROUND(100*AVERAGE(IF($B348="";"";XLOOKUP($B348;FILTER(Dictionaries!$B:$B;Dictionaries!$A:$A="Тренировка");FILTER(Dictionaries!$C:$C;Dictionaries!$A:$A="Тренировка")));IF($C348="";"";MIN($C348/40;1));IF($D348="";"";XLOOKUP($D348;FILTER(Dictionaries!$B:$B;Dictionaries!$A:$A="Шаги");FILTER(Dictionaries!$C:$C;Dictionaries!$A:$A="Шаги")));IF($E348="";"";MIN($E348/120;1));IF(OR($F348&lt;&gt;"";$G348&lt;&gt;"");1;"");IF($H348="";"";MIN($H348/100;1));IF($L348="";"";XLOOKUP($L348;FILTER(Dictionaries!$B:$B;Dictionaries!$A:$A="Сон_часы");FILTER(Dictionaries!$C:$C;Dictionaries!$A:$A="Сон_часы")));IF($M348="";"";XLOOKUP($M348;FILTER(Dictionaries!$B:$B;Dictionaries!$A:$A="Режим");FILTER(Dictionaries!$C:$C;Dictionaries!$A:$A="Режим")));IF($N348="";"";MIN($N348/100;1));IF($O348="";"";XLOOKUP($O348;FILTER(Dictionaries!$B:$B;Dictionaries!$A:$A="Настроение");FILTER(Dictionaries!$C:$C;Dictionaries!$A:$A="Настроение")));IF($P348="";"";XLOOKUP($P348;FILTER(Dictionaries!$B:$B;Dictionaries!$A:$A="Энергия");FILTER(Dictionaries!$C:$C;Dictionaries!$A:$A="Энергия")));IF($U348="";"";AVERAGE(IF(OR($B348="Ноги";$B348="Верх");IFS(AND($U348&gt;=1900;$U348&lt;=2050);1;AND($U348&gt;=1850;$U348&lt;1900);0,7;AND($U348&gt;2050;$U348&lt;=2100);0,7;TRUE;0,2);IFS(AND($U348&gt;=1700;$U348&lt;=1850);1;AND($U348&gt;=1650;$U348&lt;1700);0,7;AND($U348&gt;1850;$U348&lt;=1900);0,7;TRUE;0,2));IF(OR($B348="Ноги";$B348="Верх");IFS(AND($V348&gt;=125;$V348&lt;=135);1;AND($V348&gt;=115;$V348&lt;125);0,7;AND($V348&gt;135;$V348&lt;=145);0,7;AND($V348&gt;=105;$V348&lt;115);0,4;AND($V348&gt;145;$V348&lt;=155);0,4;TRUE;0,2);IFS(AND($V348&gt;=120;$V348&lt;=130);1;AND($V348&gt;=110;$V348&lt;120);0,7;AND($V348&gt;130;$V348&lt;=140);0,7;AND($V348&gt;=100;$V348&lt;110);0,4;AND($V348&gt;140;$V348&lt;=150);0,4;TRUE;0,2));IFS(AND($W348&gt;=55;$W348&lt;=65);1;AND($W348&gt;=50;$W348&lt;55);0,7;AND($W348&gt;65;$W348&lt;=70);0,7;AND($W348&gt;=45;$W348&lt;50);0,4;AND($W348&gt;70;$W348&lt;=75);0,4;TRUE;0,2);IF(OR($B348="Ноги";$B348="Верх");IFS(AND($X348&gt;=180;$X348&lt;=210);1;AND($X348&gt;=160;$X348&lt;180);0,7;AND($X348&gt;210;$X348&lt;=230);0,7;AND($X348&gt;=140;$X348&lt;160);0,4;AND($X348&gt;230;$X348&lt;=250);0,4;TRUE;0,2);IFS(AND($X348&gt;=140;$X348&lt;=170);1;AND($X348&gt;=120;$X348&lt;140);0,7;AND($X348&gt;170;$X348&lt;=190);0,7;AND($X348&gt;=100;$X348&lt;120);0,4;AND($X348&gt;190;$X348&lt;=210);0,4;TRUE;0,2)))));1);""))</f>
        <v/>
      </c>
      <c r="Z348">
        <f>IF($A348="";"";TEXTJOIN(", ";TRUE;IF($B348="";"Тренировка";"");IF($C348="";"Кардио";"");IF($D348="";"Шаги";"");IF($E348="";"Английский";"");IF($F348="";"Код-режим";"");IF($G348="";"Код-тема";"");IF($H348="";"Чтение";"");IF($L348="";"Сон";"");IF($M348="";"Режим";"");IF($N348="";"Продуктивность";"");IF($O348="";"Настроение";"");IF($P348="";"Энергия";"");IF($U348="";"Еда";"")))</f>
        <v/>
      </c>
    </row>
    <row r="349">
      <c r="B349" t="inlineStr"/>
      <c r="C349" t="inlineStr"/>
      <c r="D349" t="inlineStr"/>
      <c r="E349" t="inlineStr"/>
      <c r="F349" t="inlineStr"/>
      <c r="G349" t="inlineStr"/>
      <c r="H349" t="inlineStr"/>
      <c r="I349" t="inlineStr"/>
      <c r="J349" t="inlineStr"/>
      <c r="K349" t="inlineStr"/>
      <c r="L349" t="inlineStr"/>
      <c r="M349" t="inlineStr"/>
      <c r="N349" t="inlineStr"/>
      <c r="O349" t="inlineStr"/>
      <c r="P349" t="inlineStr"/>
      <c r="Q349" t="inlineStr"/>
      <c r="R349" t="inlineStr"/>
      <c r="S349" t="inlineStr"/>
      <c r="T349" t="inlineStr"/>
      <c r="U349">
        <f>IF($A349="";"";IF(SUMIF(FoodLog!$A:$A;$A349;FoodLog!$I:$I)=0;"";SUMIF(FoodLog!$A:$A;$A349;FoodLog!$I:$I)))</f>
        <v/>
      </c>
      <c r="V349">
        <f>IF($A349="";"";IF(SUMIF(FoodLog!$A:$A;$A349;FoodLog!$F:$F)=0;"";SUMIF(FoodLog!$A:$A;$A349;FoodLog!$F:$F)))</f>
        <v/>
      </c>
      <c r="W349">
        <f>IF($A349="";"";IF(SUMIF(FoodLog!$A:$A;$A349;FoodLog!$G:$G)=0;"";SUMIF(FoodLog!$A:$A;$A349;FoodLog!$G:$G)))</f>
        <v/>
      </c>
      <c r="X349">
        <f>IF($A349="";"";IF(SUMIF(FoodLog!$A:$A;$A349;FoodLog!$H:$H)=0;"";SUMIF(FoodLog!$A:$A;$A349;FoodLog!$H:$H)))</f>
        <v/>
      </c>
      <c r="Y349">
        <f>IF($A349="";"";IFERROR(ROUND(100*AVERAGE(IF($B349="";"";XLOOKUP($B349;FILTER(Dictionaries!$B:$B;Dictionaries!$A:$A="Тренировка");FILTER(Dictionaries!$C:$C;Dictionaries!$A:$A="Тренировка")));IF($C349="";"";MIN($C349/40;1));IF($D349="";"";XLOOKUP($D349;FILTER(Dictionaries!$B:$B;Dictionaries!$A:$A="Шаги");FILTER(Dictionaries!$C:$C;Dictionaries!$A:$A="Шаги")));IF($E349="";"";MIN($E349/120;1));IF(OR($F349&lt;&gt;"";$G349&lt;&gt;"");1;"");IF($H349="";"";MIN($H349/100;1));IF($L349="";"";XLOOKUP($L349;FILTER(Dictionaries!$B:$B;Dictionaries!$A:$A="Сон_часы");FILTER(Dictionaries!$C:$C;Dictionaries!$A:$A="Сон_часы")));IF($M349="";"";XLOOKUP($M349;FILTER(Dictionaries!$B:$B;Dictionaries!$A:$A="Режим");FILTER(Dictionaries!$C:$C;Dictionaries!$A:$A="Режим")));IF($N349="";"";MIN($N349/100;1));IF($O349="";"";XLOOKUP($O349;FILTER(Dictionaries!$B:$B;Dictionaries!$A:$A="Настроение");FILTER(Dictionaries!$C:$C;Dictionaries!$A:$A="Настроение")));IF($P349="";"";XLOOKUP($P349;FILTER(Dictionaries!$B:$B;Dictionaries!$A:$A="Энергия");FILTER(Dictionaries!$C:$C;Dictionaries!$A:$A="Энергия")));IF($U349="";"";AVERAGE(IF(OR($B349="Ноги";$B349="Верх");IFS(AND($U349&gt;=1900;$U349&lt;=2050);1;AND($U349&gt;=1850;$U349&lt;1900);0,7;AND($U349&gt;2050;$U349&lt;=2100);0,7;TRUE;0,2);IFS(AND($U349&gt;=1700;$U349&lt;=1850);1;AND($U349&gt;=1650;$U349&lt;1700);0,7;AND($U349&gt;1850;$U349&lt;=1900);0,7;TRUE;0,2));IF(OR($B349="Ноги";$B349="Верх");IFS(AND($V349&gt;=125;$V349&lt;=135);1;AND($V349&gt;=115;$V349&lt;125);0,7;AND($V349&gt;135;$V349&lt;=145);0,7;AND($V349&gt;=105;$V349&lt;115);0,4;AND($V349&gt;145;$V349&lt;=155);0,4;TRUE;0,2);IFS(AND($V349&gt;=120;$V349&lt;=130);1;AND($V349&gt;=110;$V349&lt;120);0,7;AND($V349&gt;130;$V349&lt;=140);0,7;AND($V349&gt;=100;$V349&lt;110);0,4;AND($V349&gt;140;$V349&lt;=150);0,4;TRUE;0,2));IFS(AND($W349&gt;=55;$W349&lt;=65);1;AND($W349&gt;=50;$W349&lt;55);0,7;AND($W349&gt;65;$W349&lt;=70);0,7;AND($W349&gt;=45;$W349&lt;50);0,4;AND($W349&gt;70;$W349&lt;=75);0,4;TRUE;0,2);IF(OR($B349="Ноги";$B349="Верх");IFS(AND($X349&gt;=180;$X349&lt;=210);1;AND($X349&gt;=160;$X349&lt;180);0,7;AND($X349&gt;210;$X349&lt;=230);0,7;AND($X349&gt;=140;$X349&lt;160);0,4;AND($X349&gt;230;$X349&lt;=250);0,4;TRUE;0,2);IFS(AND($X349&gt;=140;$X349&lt;=170);1;AND($X349&gt;=120;$X349&lt;140);0,7;AND($X349&gt;170;$X349&lt;=190);0,7;AND($X349&gt;=100;$X349&lt;120);0,4;AND($X349&gt;190;$X349&lt;=210);0,4;TRUE;0,2)))));1);""))</f>
        <v/>
      </c>
      <c r="Z349">
        <f>IF($A349="";"";TEXTJOIN(", ";TRUE;IF($B349="";"Тренировка";"");IF($C349="";"Кардио";"");IF($D349="";"Шаги";"");IF($E349="";"Английский";"");IF($F349="";"Код-режим";"");IF($G349="";"Код-тема";"");IF($H349="";"Чтение";"");IF($L349="";"Сон";"");IF($M349="";"Режим";"");IF($N349="";"Продуктивность";"");IF($O349="";"Настроение";"");IF($P349="";"Энергия";"");IF($U349="";"Еда";"")))</f>
        <v/>
      </c>
    </row>
    <row r="350">
      <c r="B350" t="inlineStr"/>
      <c r="C350" t="inlineStr"/>
      <c r="D350" t="inlineStr"/>
      <c r="E350" t="inlineStr"/>
      <c r="F350" t="inlineStr"/>
      <c r="G350" t="inlineStr"/>
      <c r="H350" t="inlineStr"/>
      <c r="I350" t="inlineStr"/>
      <c r="J350" t="inlineStr"/>
      <c r="K350" t="inlineStr"/>
      <c r="L350" t="inlineStr"/>
      <c r="M350" t="inlineStr"/>
      <c r="N350" t="inlineStr"/>
      <c r="O350" t="inlineStr"/>
      <c r="P350" t="inlineStr"/>
      <c r="Q350" t="inlineStr"/>
      <c r="R350" t="inlineStr"/>
      <c r="S350" t="inlineStr"/>
      <c r="T350" t="inlineStr"/>
      <c r="U350">
        <f>IF($A350="";"";IF(SUMIF(FoodLog!$A:$A;$A350;FoodLog!$I:$I)=0;"";SUMIF(FoodLog!$A:$A;$A350;FoodLog!$I:$I)))</f>
        <v/>
      </c>
      <c r="V350">
        <f>IF($A350="";"";IF(SUMIF(FoodLog!$A:$A;$A350;FoodLog!$F:$F)=0;"";SUMIF(FoodLog!$A:$A;$A350;FoodLog!$F:$F)))</f>
        <v/>
      </c>
      <c r="W350">
        <f>IF($A350="";"";IF(SUMIF(FoodLog!$A:$A;$A350;FoodLog!$G:$G)=0;"";SUMIF(FoodLog!$A:$A;$A350;FoodLog!$G:$G)))</f>
        <v/>
      </c>
      <c r="X350">
        <f>IF($A350="";"";IF(SUMIF(FoodLog!$A:$A;$A350;FoodLog!$H:$H)=0;"";SUMIF(FoodLog!$A:$A;$A350;FoodLog!$H:$H)))</f>
        <v/>
      </c>
      <c r="Y350">
        <f>IF($A350="";"";IFERROR(ROUND(100*AVERAGE(IF($B350="";"";XLOOKUP($B350;FILTER(Dictionaries!$B:$B;Dictionaries!$A:$A="Тренировка");FILTER(Dictionaries!$C:$C;Dictionaries!$A:$A="Тренировка")));IF($C350="";"";MIN($C350/40;1));IF($D350="";"";XLOOKUP($D350;FILTER(Dictionaries!$B:$B;Dictionaries!$A:$A="Шаги");FILTER(Dictionaries!$C:$C;Dictionaries!$A:$A="Шаги")));IF($E350="";"";MIN($E350/120;1));IF(OR($F350&lt;&gt;"";$G350&lt;&gt;"");1;"");IF($H350="";"";MIN($H350/100;1));IF($L350="";"";XLOOKUP($L350;FILTER(Dictionaries!$B:$B;Dictionaries!$A:$A="Сон_часы");FILTER(Dictionaries!$C:$C;Dictionaries!$A:$A="Сон_часы")));IF($M350="";"";XLOOKUP($M350;FILTER(Dictionaries!$B:$B;Dictionaries!$A:$A="Режим");FILTER(Dictionaries!$C:$C;Dictionaries!$A:$A="Режим")));IF($N350="";"";MIN($N350/100;1));IF($O350="";"";XLOOKUP($O350;FILTER(Dictionaries!$B:$B;Dictionaries!$A:$A="Настроение");FILTER(Dictionaries!$C:$C;Dictionaries!$A:$A="Настроение")));IF($P350="";"";XLOOKUP($P350;FILTER(Dictionaries!$B:$B;Dictionaries!$A:$A="Энергия");FILTER(Dictionaries!$C:$C;Dictionaries!$A:$A="Энергия")));IF($U350="";"";AVERAGE(IF(OR($B350="Ноги";$B350="Верх");IFS(AND($U350&gt;=1900;$U350&lt;=2050);1;AND($U350&gt;=1850;$U350&lt;1900);0,7;AND($U350&gt;2050;$U350&lt;=2100);0,7;TRUE;0,2);IFS(AND($U350&gt;=1700;$U350&lt;=1850);1;AND($U350&gt;=1650;$U350&lt;1700);0,7;AND($U350&gt;1850;$U350&lt;=1900);0,7;TRUE;0,2));IF(OR($B350="Ноги";$B350="Верх");IFS(AND($V350&gt;=125;$V350&lt;=135);1;AND($V350&gt;=115;$V350&lt;125);0,7;AND($V350&gt;135;$V350&lt;=145);0,7;AND($V350&gt;=105;$V350&lt;115);0,4;AND($V350&gt;145;$V350&lt;=155);0,4;TRUE;0,2);IFS(AND($V350&gt;=120;$V350&lt;=130);1;AND($V350&gt;=110;$V350&lt;120);0,7;AND($V350&gt;130;$V350&lt;=140);0,7;AND($V350&gt;=100;$V350&lt;110);0,4;AND($V350&gt;140;$V350&lt;=150);0,4;TRUE;0,2));IFS(AND($W350&gt;=55;$W350&lt;=65);1;AND($W350&gt;=50;$W350&lt;55);0,7;AND($W350&gt;65;$W350&lt;=70);0,7;AND($W350&gt;=45;$W350&lt;50);0,4;AND($W350&gt;70;$W350&lt;=75);0,4;TRUE;0,2);IF(OR($B350="Ноги";$B350="Верх");IFS(AND($X350&gt;=180;$X350&lt;=210);1;AND($X350&gt;=160;$X350&lt;180);0,7;AND($X350&gt;210;$X350&lt;=230);0,7;AND($X350&gt;=140;$X350&lt;160);0,4;AND($X350&gt;230;$X350&lt;=250);0,4;TRUE;0,2);IFS(AND($X350&gt;=140;$X350&lt;=170);1;AND($X350&gt;=120;$X350&lt;140);0,7;AND($X350&gt;170;$X350&lt;=190);0,7;AND($X350&gt;=100;$X350&lt;120);0,4;AND($X350&gt;190;$X350&lt;=210);0,4;TRUE;0,2)))));1);""))</f>
        <v/>
      </c>
      <c r="Z350">
        <f>IF($A350="";"";TEXTJOIN(", ";TRUE;IF($B350="";"Тренировка";"");IF($C350="";"Кардио";"");IF($D350="";"Шаги";"");IF($E350="";"Английский";"");IF($F350="";"Код-режим";"");IF($G350="";"Код-тема";"");IF($H350="";"Чтение";"");IF($L350="";"Сон";"");IF($M350="";"Режим";"");IF($N350="";"Продуктивность";"");IF($O350="";"Настроение";"");IF($P350="";"Энергия";"");IF($U350="";"Еда";"")))</f>
        <v/>
      </c>
    </row>
    <row r="351">
      <c r="B351" t="inlineStr"/>
      <c r="C351" t="inlineStr"/>
      <c r="D351" t="inlineStr"/>
      <c r="E351" t="inlineStr"/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/>
      <c r="P351" t="inlineStr"/>
      <c r="Q351" t="inlineStr"/>
      <c r="R351" t="inlineStr"/>
      <c r="S351" t="inlineStr"/>
      <c r="T351" t="inlineStr"/>
      <c r="U351">
        <f>IF($A351="";"";IF(SUMIF(FoodLog!$A:$A;$A351;FoodLog!$I:$I)=0;"";SUMIF(FoodLog!$A:$A;$A351;FoodLog!$I:$I)))</f>
        <v/>
      </c>
      <c r="V351">
        <f>IF($A351="";"";IF(SUMIF(FoodLog!$A:$A;$A351;FoodLog!$F:$F)=0;"";SUMIF(FoodLog!$A:$A;$A351;FoodLog!$F:$F)))</f>
        <v/>
      </c>
      <c r="W351">
        <f>IF($A351="";"";IF(SUMIF(FoodLog!$A:$A;$A351;FoodLog!$G:$G)=0;"";SUMIF(FoodLog!$A:$A;$A351;FoodLog!$G:$G)))</f>
        <v/>
      </c>
      <c r="X351">
        <f>IF($A351="";"";IF(SUMIF(FoodLog!$A:$A;$A351;FoodLog!$H:$H)=0;"";SUMIF(FoodLog!$A:$A;$A351;FoodLog!$H:$H)))</f>
        <v/>
      </c>
      <c r="Y351">
        <f>IF($A351="";"";IFERROR(ROUND(100*AVERAGE(IF($B351="";"";XLOOKUP($B351;FILTER(Dictionaries!$B:$B;Dictionaries!$A:$A="Тренировка");FILTER(Dictionaries!$C:$C;Dictionaries!$A:$A="Тренировка")));IF($C351="";"";MIN($C351/40;1));IF($D351="";"";XLOOKUP($D351;FILTER(Dictionaries!$B:$B;Dictionaries!$A:$A="Шаги");FILTER(Dictionaries!$C:$C;Dictionaries!$A:$A="Шаги")));IF($E351="";"";MIN($E351/120;1));IF(OR($F351&lt;&gt;"";$G351&lt;&gt;"");1;"");IF($H351="";"";MIN($H351/100;1));IF($L351="";"";XLOOKUP($L351;FILTER(Dictionaries!$B:$B;Dictionaries!$A:$A="Сон_часы");FILTER(Dictionaries!$C:$C;Dictionaries!$A:$A="Сон_часы")));IF($M351="";"";XLOOKUP($M351;FILTER(Dictionaries!$B:$B;Dictionaries!$A:$A="Режим");FILTER(Dictionaries!$C:$C;Dictionaries!$A:$A="Режим")));IF($N351="";"";MIN($N351/100;1));IF($O351="";"";XLOOKUP($O351;FILTER(Dictionaries!$B:$B;Dictionaries!$A:$A="Настроение");FILTER(Dictionaries!$C:$C;Dictionaries!$A:$A="Настроение")));IF($P351="";"";XLOOKUP($P351;FILTER(Dictionaries!$B:$B;Dictionaries!$A:$A="Энергия");FILTER(Dictionaries!$C:$C;Dictionaries!$A:$A="Энергия")));IF($U351="";"";AVERAGE(IF(OR($B351="Ноги";$B351="Верх");IFS(AND($U351&gt;=1900;$U351&lt;=2050);1;AND($U351&gt;=1850;$U351&lt;1900);0,7;AND($U351&gt;2050;$U351&lt;=2100);0,7;TRUE;0,2);IFS(AND($U351&gt;=1700;$U351&lt;=1850);1;AND($U351&gt;=1650;$U351&lt;1700);0,7;AND($U351&gt;1850;$U351&lt;=1900);0,7;TRUE;0,2));IF(OR($B351="Ноги";$B351="Верх");IFS(AND($V351&gt;=125;$V351&lt;=135);1;AND($V351&gt;=115;$V351&lt;125);0,7;AND($V351&gt;135;$V351&lt;=145);0,7;AND($V351&gt;=105;$V351&lt;115);0,4;AND($V351&gt;145;$V351&lt;=155);0,4;TRUE;0,2);IFS(AND($V351&gt;=120;$V351&lt;=130);1;AND($V351&gt;=110;$V351&lt;120);0,7;AND($V351&gt;130;$V351&lt;=140);0,7;AND($V351&gt;=100;$V351&lt;110);0,4;AND($V351&gt;140;$V351&lt;=150);0,4;TRUE;0,2));IFS(AND($W351&gt;=55;$W351&lt;=65);1;AND($W351&gt;=50;$W351&lt;55);0,7;AND($W351&gt;65;$W351&lt;=70);0,7;AND($W351&gt;=45;$W351&lt;50);0,4;AND($W351&gt;70;$W351&lt;=75);0,4;TRUE;0,2);IF(OR($B351="Ноги";$B351="Верх");IFS(AND($X351&gt;=180;$X351&lt;=210);1;AND($X351&gt;=160;$X351&lt;180);0,7;AND($X351&gt;210;$X351&lt;=230);0,7;AND($X351&gt;=140;$X351&lt;160);0,4;AND($X351&gt;230;$X351&lt;=250);0,4;TRUE;0,2);IFS(AND($X351&gt;=140;$X351&lt;=170);1;AND($X351&gt;=120;$X351&lt;140);0,7;AND($X351&gt;170;$X351&lt;=190);0,7;AND($X351&gt;=100;$X351&lt;120);0,4;AND($X351&gt;190;$X351&lt;=210);0,4;TRUE;0,2)))));1);""))</f>
        <v/>
      </c>
      <c r="Z351">
        <f>IF($A351="";"";TEXTJOIN(", ";TRUE;IF($B351="";"Тренировка";"");IF($C351="";"Кардио";"");IF($D351="";"Шаги";"");IF($E351="";"Английский";"");IF($F351="";"Код-режим";"");IF($G351="";"Код-тема";"");IF($H351="";"Чтение";"");IF($L351="";"Сон";"");IF($M351="";"Режим";"");IF($N351="";"Продуктивность";"");IF($O351="";"Настроение";"");IF($P351="";"Энергия";"");IF($U351="";"Еда";"")))</f>
        <v/>
      </c>
    </row>
    <row r="352">
      <c r="B352" t="inlineStr"/>
      <c r="C352" t="inlineStr"/>
      <c r="D352" t="inlineStr"/>
      <c r="E352" t="inlineStr"/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/>
      <c r="P352" t="inlineStr"/>
      <c r="Q352" t="inlineStr"/>
      <c r="R352" t="inlineStr"/>
      <c r="S352" t="inlineStr"/>
      <c r="T352" t="inlineStr"/>
      <c r="U352">
        <f>IF($A352="";"";IF(SUMIF(FoodLog!$A:$A;$A352;FoodLog!$I:$I)=0;"";SUMIF(FoodLog!$A:$A;$A352;FoodLog!$I:$I)))</f>
        <v/>
      </c>
      <c r="V352">
        <f>IF($A352="";"";IF(SUMIF(FoodLog!$A:$A;$A352;FoodLog!$F:$F)=0;"";SUMIF(FoodLog!$A:$A;$A352;FoodLog!$F:$F)))</f>
        <v/>
      </c>
      <c r="W352">
        <f>IF($A352="";"";IF(SUMIF(FoodLog!$A:$A;$A352;FoodLog!$G:$G)=0;"";SUMIF(FoodLog!$A:$A;$A352;FoodLog!$G:$G)))</f>
        <v/>
      </c>
      <c r="X352">
        <f>IF($A352="";"";IF(SUMIF(FoodLog!$A:$A;$A352;FoodLog!$H:$H)=0;"";SUMIF(FoodLog!$A:$A;$A352;FoodLog!$H:$H)))</f>
        <v/>
      </c>
      <c r="Y352">
        <f>IF($A352="";"";IFERROR(ROUND(100*AVERAGE(IF($B352="";"";XLOOKUP($B352;FILTER(Dictionaries!$B:$B;Dictionaries!$A:$A="Тренировка");FILTER(Dictionaries!$C:$C;Dictionaries!$A:$A="Тренировка")));IF($C352="";"";MIN($C352/40;1));IF($D352="";"";XLOOKUP($D352;FILTER(Dictionaries!$B:$B;Dictionaries!$A:$A="Шаги");FILTER(Dictionaries!$C:$C;Dictionaries!$A:$A="Шаги")));IF($E352="";"";MIN($E352/120;1));IF(OR($F352&lt;&gt;"";$G352&lt;&gt;"");1;"");IF($H352="";"";MIN($H352/100;1));IF($L352="";"";XLOOKUP($L352;FILTER(Dictionaries!$B:$B;Dictionaries!$A:$A="Сон_часы");FILTER(Dictionaries!$C:$C;Dictionaries!$A:$A="Сон_часы")));IF($M352="";"";XLOOKUP($M352;FILTER(Dictionaries!$B:$B;Dictionaries!$A:$A="Режим");FILTER(Dictionaries!$C:$C;Dictionaries!$A:$A="Режим")));IF($N352="";"";MIN($N352/100;1));IF($O352="";"";XLOOKUP($O352;FILTER(Dictionaries!$B:$B;Dictionaries!$A:$A="Настроение");FILTER(Dictionaries!$C:$C;Dictionaries!$A:$A="Настроение")));IF($P352="";"";XLOOKUP($P352;FILTER(Dictionaries!$B:$B;Dictionaries!$A:$A="Энергия");FILTER(Dictionaries!$C:$C;Dictionaries!$A:$A="Энергия")));IF($U352="";"";AVERAGE(IF(OR($B352="Ноги";$B352="Верх");IFS(AND($U352&gt;=1900;$U352&lt;=2050);1;AND($U352&gt;=1850;$U352&lt;1900);0,7;AND($U352&gt;2050;$U352&lt;=2100);0,7;TRUE;0,2);IFS(AND($U352&gt;=1700;$U352&lt;=1850);1;AND($U352&gt;=1650;$U352&lt;1700);0,7;AND($U352&gt;1850;$U352&lt;=1900);0,7;TRUE;0,2));IF(OR($B352="Ноги";$B352="Верх");IFS(AND($V352&gt;=125;$V352&lt;=135);1;AND($V352&gt;=115;$V352&lt;125);0,7;AND($V352&gt;135;$V352&lt;=145);0,7;AND($V352&gt;=105;$V352&lt;115);0,4;AND($V352&gt;145;$V352&lt;=155);0,4;TRUE;0,2);IFS(AND($V352&gt;=120;$V352&lt;=130);1;AND($V352&gt;=110;$V352&lt;120);0,7;AND($V352&gt;130;$V352&lt;=140);0,7;AND($V352&gt;=100;$V352&lt;110);0,4;AND($V352&gt;140;$V352&lt;=150);0,4;TRUE;0,2));IFS(AND($W352&gt;=55;$W352&lt;=65);1;AND($W352&gt;=50;$W352&lt;55);0,7;AND($W352&gt;65;$W352&lt;=70);0,7;AND($W352&gt;=45;$W352&lt;50);0,4;AND($W352&gt;70;$W352&lt;=75);0,4;TRUE;0,2);IF(OR($B352="Ноги";$B352="Верх");IFS(AND($X352&gt;=180;$X352&lt;=210);1;AND($X352&gt;=160;$X352&lt;180);0,7;AND($X352&gt;210;$X352&lt;=230);0,7;AND($X352&gt;=140;$X352&lt;160);0,4;AND($X352&gt;230;$X352&lt;=250);0,4;TRUE;0,2);IFS(AND($X352&gt;=140;$X352&lt;=170);1;AND($X352&gt;=120;$X352&lt;140);0,7;AND($X352&gt;170;$X352&lt;=190);0,7;AND($X352&gt;=100;$X352&lt;120);0,4;AND($X352&gt;190;$X352&lt;=210);0,4;TRUE;0,2)))));1);""))</f>
        <v/>
      </c>
      <c r="Z352">
        <f>IF($A352="";"";TEXTJOIN(", ";TRUE;IF($B352="";"Тренировка";"");IF($C352="";"Кардио";"");IF($D352="";"Шаги";"");IF($E352="";"Английский";"");IF($F352="";"Код-режим";"");IF($G352="";"Код-тема";"");IF($H352="";"Чтение";"");IF($L352="";"Сон";"");IF($M352="";"Режим";"");IF($N352="";"Продуктивность";"");IF($O352="";"Настроение";"");IF($P352="";"Энергия";"");IF($U352="";"Еда";"")))</f>
        <v/>
      </c>
    </row>
    <row r="353">
      <c r="B353" t="inlineStr"/>
      <c r="C353" t="inlineStr"/>
      <c r="D353" t="inlineStr"/>
      <c r="E353" t="inlineStr"/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/>
      <c r="P353" t="inlineStr"/>
      <c r="Q353" t="inlineStr"/>
      <c r="R353" t="inlineStr"/>
      <c r="S353" t="inlineStr"/>
      <c r="T353" t="inlineStr"/>
      <c r="U353">
        <f>IF($A353="";"";IF(SUMIF(FoodLog!$A:$A;$A353;FoodLog!$I:$I)=0;"";SUMIF(FoodLog!$A:$A;$A353;FoodLog!$I:$I)))</f>
        <v/>
      </c>
      <c r="V353">
        <f>IF($A353="";"";IF(SUMIF(FoodLog!$A:$A;$A353;FoodLog!$F:$F)=0;"";SUMIF(FoodLog!$A:$A;$A353;FoodLog!$F:$F)))</f>
        <v/>
      </c>
      <c r="W353">
        <f>IF($A353="";"";IF(SUMIF(FoodLog!$A:$A;$A353;FoodLog!$G:$G)=0;"";SUMIF(FoodLog!$A:$A;$A353;FoodLog!$G:$G)))</f>
        <v/>
      </c>
      <c r="X353">
        <f>IF($A353="";"";IF(SUMIF(FoodLog!$A:$A;$A353;FoodLog!$H:$H)=0;"";SUMIF(FoodLog!$A:$A;$A353;FoodLog!$H:$H)))</f>
        <v/>
      </c>
      <c r="Y353">
        <f>IF($A353="";"";IFERROR(ROUND(100*AVERAGE(IF($B353="";"";XLOOKUP($B353;FILTER(Dictionaries!$B:$B;Dictionaries!$A:$A="Тренировка");FILTER(Dictionaries!$C:$C;Dictionaries!$A:$A="Тренировка")));IF($C353="";"";MIN($C353/40;1));IF($D353="";"";XLOOKUP($D353;FILTER(Dictionaries!$B:$B;Dictionaries!$A:$A="Шаги");FILTER(Dictionaries!$C:$C;Dictionaries!$A:$A="Шаги")));IF($E353="";"";MIN($E353/120;1));IF(OR($F353&lt;&gt;"";$G353&lt;&gt;"");1;"");IF($H353="";"";MIN($H353/100;1));IF($L353="";"";XLOOKUP($L353;FILTER(Dictionaries!$B:$B;Dictionaries!$A:$A="Сон_часы");FILTER(Dictionaries!$C:$C;Dictionaries!$A:$A="Сон_часы")));IF($M353="";"";XLOOKUP($M353;FILTER(Dictionaries!$B:$B;Dictionaries!$A:$A="Режим");FILTER(Dictionaries!$C:$C;Dictionaries!$A:$A="Режим")));IF($N353="";"";MIN($N353/100;1));IF($O353="";"";XLOOKUP($O353;FILTER(Dictionaries!$B:$B;Dictionaries!$A:$A="Настроение");FILTER(Dictionaries!$C:$C;Dictionaries!$A:$A="Настроение")));IF($P353="";"";XLOOKUP($P353;FILTER(Dictionaries!$B:$B;Dictionaries!$A:$A="Энергия");FILTER(Dictionaries!$C:$C;Dictionaries!$A:$A="Энергия")));IF($U353="";"";AVERAGE(IF(OR($B353="Ноги";$B353="Верх");IFS(AND($U353&gt;=1900;$U353&lt;=2050);1;AND($U353&gt;=1850;$U353&lt;1900);0,7;AND($U353&gt;2050;$U353&lt;=2100);0,7;TRUE;0,2);IFS(AND($U353&gt;=1700;$U353&lt;=1850);1;AND($U353&gt;=1650;$U353&lt;1700);0,7;AND($U353&gt;1850;$U353&lt;=1900);0,7;TRUE;0,2));IF(OR($B353="Ноги";$B353="Верх");IFS(AND($V353&gt;=125;$V353&lt;=135);1;AND($V353&gt;=115;$V353&lt;125);0,7;AND($V353&gt;135;$V353&lt;=145);0,7;AND($V353&gt;=105;$V353&lt;115);0,4;AND($V353&gt;145;$V353&lt;=155);0,4;TRUE;0,2);IFS(AND($V353&gt;=120;$V353&lt;=130);1;AND($V353&gt;=110;$V353&lt;120);0,7;AND($V353&gt;130;$V353&lt;=140);0,7;AND($V353&gt;=100;$V353&lt;110);0,4;AND($V353&gt;140;$V353&lt;=150);0,4;TRUE;0,2));IFS(AND($W353&gt;=55;$W353&lt;=65);1;AND($W353&gt;=50;$W353&lt;55);0,7;AND($W353&gt;65;$W353&lt;=70);0,7;AND($W353&gt;=45;$W353&lt;50);0,4;AND($W353&gt;70;$W353&lt;=75);0,4;TRUE;0,2);IF(OR($B353="Ноги";$B353="Верх");IFS(AND($X353&gt;=180;$X353&lt;=210);1;AND($X353&gt;=160;$X353&lt;180);0,7;AND($X353&gt;210;$X353&lt;=230);0,7;AND($X353&gt;=140;$X353&lt;160);0,4;AND($X353&gt;230;$X353&lt;=250);0,4;TRUE;0,2);IFS(AND($X353&gt;=140;$X353&lt;=170);1;AND($X353&gt;=120;$X353&lt;140);0,7;AND($X353&gt;170;$X353&lt;=190);0,7;AND($X353&gt;=100;$X353&lt;120);0,4;AND($X353&gt;190;$X353&lt;=210);0,4;TRUE;0,2)))));1);""))</f>
        <v/>
      </c>
      <c r="Z353">
        <f>IF($A353="";"";TEXTJOIN(", ";TRUE;IF($B353="";"Тренировка";"");IF($C353="";"Кардио";"");IF($D353="";"Шаги";"");IF($E353="";"Английский";"");IF($F353="";"Код-режим";"");IF($G353="";"Код-тема";"");IF($H353="";"Чтение";"");IF($L353="";"Сон";"");IF($M353="";"Режим";"");IF($N353="";"Продуктивность";"");IF($O353="";"Настроение";"");IF($P353="";"Энергия";"");IF($U353="";"Еда";"")))</f>
        <v/>
      </c>
    </row>
    <row r="354">
      <c r="B354" t="inlineStr"/>
      <c r="C354" t="inlineStr"/>
      <c r="D354" t="inlineStr"/>
      <c r="E354" t="inlineStr"/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/>
      <c r="P354" t="inlineStr"/>
      <c r="Q354" t="inlineStr"/>
      <c r="R354" t="inlineStr"/>
      <c r="S354" t="inlineStr"/>
      <c r="T354" t="inlineStr"/>
      <c r="U354">
        <f>IF($A354="";"";IF(SUMIF(FoodLog!$A:$A;$A354;FoodLog!$I:$I)=0;"";SUMIF(FoodLog!$A:$A;$A354;FoodLog!$I:$I)))</f>
        <v/>
      </c>
      <c r="V354">
        <f>IF($A354="";"";IF(SUMIF(FoodLog!$A:$A;$A354;FoodLog!$F:$F)=0;"";SUMIF(FoodLog!$A:$A;$A354;FoodLog!$F:$F)))</f>
        <v/>
      </c>
      <c r="W354">
        <f>IF($A354="";"";IF(SUMIF(FoodLog!$A:$A;$A354;FoodLog!$G:$G)=0;"";SUMIF(FoodLog!$A:$A;$A354;FoodLog!$G:$G)))</f>
        <v/>
      </c>
      <c r="X354">
        <f>IF($A354="";"";IF(SUMIF(FoodLog!$A:$A;$A354;FoodLog!$H:$H)=0;"";SUMIF(FoodLog!$A:$A;$A354;FoodLog!$H:$H)))</f>
        <v/>
      </c>
      <c r="Y354">
        <f>IF($A354="";"";IFERROR(ROUND(100*AVERAGE(IF($B354="";"";XLOOKUP($B354;FILTER(Dictionaries!$B:$B;Dictionaries!$A:$A="Тренировка");FILTER(Dictionaries!$C:$C;Dictionaries!$A:$A="Тренировка")));IF($C354="";"";MIN($C354/40;1));IF($D354="";"";XLOOKUP($D354;FILTER(Dictionaries!$B:$B;Dictionaries!$A:$A="Шаги");FILTER(Dictionaries!$C:$C;Dictionaries!$A:$A="Шаги")));IF($E354="";"";MIN($E354/120;1));IF(OR($F354&lt;&gt;"";$G354&lt;&gt;"");1;"");IF($H354="";"";MIN($H354/100;1));IF($L354="";"";XLOOKUP($L354;FILTER(Dictionaries!$B:$B;Dictionaries!$A:$A="Сон_часы");FILTER(Dictionaries!$C:$C;Dictionaries!$A:$A="Сон_часы")));IF($M354="";"";XLOOKUP($M354;FILTER(Dictionaries!$B:$B;Dictionaries!$A:$A="Режим");FILTER(Dictionaries!$C:$C;Dictionaries!$A:$A="Режим")));IF($N354="";"";MIN($N354/100;1));IF($O354="";"";XLOOKUP($O354;FILTER(Dictionaries!$B:$B;Dictionaries!$A:$A="Настроение");FILTER(Dictionaries!$C:$C;Dictionaries!$A:$A="Настроение")));IF($P354="";"";XLOOKUP($P354;FILTER(Dictionaries!$B:$B;Dictionaries!$A:$A="Энергия");FILTER(Dictionaries!$C:$C;Dictionaries!$A:$A="Энергия")));IF($U354="";"";AVERAGE(IF(OR($B354="Ноги";$B354="Верх");IFS(AND($U354&gt;=1900;$U354&lt;=2050);1;AND($U354&gt;=1850;$U354&lt;1900);0,7;AND($U354&gt;2050;$U354&lt;=2100);0,7;TRUE;0,2);IFS(AND($U354&gt;=1700;$U354&lt;=1850);1;AND($U354&gt;=1650;$U354&lt;1700);0,7;AND($U354&gt;1850;$U354&lt;=1900);0,7;TRUE;0,2));IF(OR($B354="Ноги";$B354="Верх");IFS(AND($V354&gt;=125;$V354&lt;=135);1;AND($V354&gt;=115;$V354&lt;125);0,7;AND($V354&gt;135;$V354&lt;=145);0,7;AND($V354&gt;=105;$V354&lt;115);0,4;AND($V354&gt;145;$V354&lt;=155);0,4;TRUE;0,2);IFS(AND($V354&gt;=120;$V354&lt;=130);1;AND($V354&gt;=110;$V354&lt;120);0,7;AND($V354&gt;130;$V354&lt;=140);0,7;AND($V354&gt;=100;$V354&lt;110);0,4;AND($V354&gt;140;$V354&lt;=150);0,4;TRUE;0,2));IFS(AND($W354&gt;=55;$W354&lt;=65);1;AND($W354&gt;=50;$W354&lt;55);0,7;AND($W354&gt;65;$W354&lt;=70);0,7;AND($W354&gt;=45;$W354&lt;50);0,4;AND($W354&gt;70;$W354&lt;=75);0,4;TRUE;0,2);IF(OR($B354="Ноги";$B354="Верх");IFS(AND($X354&gt;=180;$X354&lt;=210);1;AND($X354&gt;=160;$X354&lt;180);0,7;AND($X354&gt;210;$X354&lt;=230);0,7;AND($X354&gt;=140;$X354&lt;160);0,4;AND($X354&gt;230;$X354&lt;=250);0,4;TRUE;0,2);IFS(AND($X354&gt;=140;$X354&lt;=170);1;AND($X354&gt;=120;$X354&lt;140);0,7;AND($X354&gt;170;$X354&lt;=190);0,7;AND($X354&gt;=100;$X354&lt;120);0,4;AND($X354&gt;190;$X354&lt;=210);0,4;TRUE;0,2)))));1);""))</f>
        <v/>
      </c>
      <c r="Z354">
        <f>IF($A354="";"";TEXTJOIN(", ";TRUE;IF($B354="";"Тренировка";"");IF($C354="";"Кардио";"");IF($D354="";"Шаги";"");IF($E354="";"Английский";"");IF($F354="";"Код-режим";"");IF($G354="";"Код-тема";"");IF($H354="";"Чтение";"");IF($L354="";"Сон";"");IF($M354="";"Режим";"");IF($N354="";"Продуктивность";"");IF($O354="";"Настроение";"");IF($P354="";"Энергия";"");IF($U354="";"Еда";"")))</f>
        <v/>
      </c>
    </row>
    <row r="355">
      <c r="B355" t="inlineStr"/>
      <c r="C355" t="inlineStr"/>
      <c r="D355" t="inlineStr"/>
      <c r="E355" t="inlineStr"/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  <c r="O355" t="inlineStr"/>
      <c r="P355" t="inlineStr"/>
      <c r="Q355" t="inlineStr"/>
      <c r="R355" t="inlineStr"/>
      <c r="S355" t="inlineStr"/>
      <c r="T355" t="inlineStr"/>
      <c r="U355">
        <f>IF($A355="";"";IF(SUMIF(FoodLog!$A:$A;$A355;FoodLog!$I:$I)=0;"";SUMIF(FoodLog!$A:$A;$A355;FoodLog!$I:$I)))</f>
        <v/>
      </c>
      <c r="V355">
        <f>IF($A355="";"";IF(SUMIF(FoodLog!$A:$A;$A355;FoodLog!$F:$F)=0;"";SUMIF(FoodLog!$A:$A;$A355;FoodLog!$F:$F)))</f>
        <v/>
      </c>
      <c r="W355">
        <f>IF($A355="";"";IF(SUMIF(FoodLog!$A:$A;$A355;FoodLog!$G:$G)=0;"";SUMIF(FoodLog!$A:$A;$A355;FoodLog!$G:$G)))</f>
        <v/>
      </c>
      <c r="X355">
        <f>IF($A355="";"";IF(SUMIF(FoodLog!$A:$A;$A355;FoodLog!$H:$H)=0;"";SUMIF(FoodLog!$A:$A;$A355;FoodLog!$H:$H)))</f>
        <v/>
      </c>
      <c r="Y355">
        <f>IF($A355="";"";IFERROR(ROUND(100*AVERAGE(IF($B355="";"";XLOOKUP($B355;FILTER(Dictionaries!$B:$B;Dictionaries!$A:$A="Тренировка");FILTER(Dictionaries!$C:$C;Dictionaries!$A:$A="Тренировка")));IF($C355="";"";MIN($C355/40;1));IF($D355="";"";XLOOKUP($D355;FILTER(Dictionaries!$B:$B;Dictionaries!$A:$A="Шаги");FILTER(Dictionaries!$C:$C;Dictionaries!$A:$A="Шаги")));IF($E355="";"";MIN($E355/120;1));IF(OR($F355&lt;&gt;"";$G355&lt;&gt;"");1;"");IF($H355="";"";MIN($H355/100;1));IF($L355="";"";XLOOKUP($L355;FILTER(Dictionaries!$B:$B;Dictionaries!$A:$A="Сон_часы");FILTER(Dictionaries!$C:$C;Dictionaries!$A:$A="Сон_часы")));IF($M355="";"";XLOOKUP($M355;FILTER(Dictionaries!$B:$B;Dictionaries!$A:$A="Режим");FILTER(Dictionaries!$C:$C;Dictionaries!$A:$A="Режим")));IF($N355="";"";MIN($N355/100;1));IF($O355="";"";XLOOKUP($O355;FILTER(Dictionaries!$B:$B;Dictionaries!$A:$A="Настроение");FILTER(Dictionaries!$C:$C;Dictionaries!$A:$A="Настроение")));IF($P355="";"";XLOOKUP($P355;FILTER(Dictionaries!$B:$B;Dictionaries!$A:$A="Энергия");FILTER(Dictionaries!$C:$C;Dictionaries!$A:$A="Энергия")));IF($U355="";"";AVERAGE(IF(OR($B355="Ноги";$B355="Верх");IFS(AND($U355&gt;=1900;$U355&lt;=2050);1;AND($U355&gt;=1850;$U355&lt;1900);0,7;AND($U355&gt;2050;$U355&lt;=2100);0,7;TRUE;0,2);IFS(AND($U355&gt;=1700;$U355&lt;=1850);1;AND($U355&gt;=1650;$U355&lt;1700);0,7;AND($U355&gt;1850;$U355&lt;=1900);0,7;TRUE;0,2));IF(OR($B355="Ноги";$B355="Верх");IFS(AND($V355&gt;=125;$V355&lt;=135);1;AND($V355&gt;=115;$V355&lt;125);0,7;AND($V355&gt;135;$V355&lt;=145);0,7;AND($V355&gt;=105;$V355&lt;115);0,4;AND($V355&gt;145;$V355&lt;=155);0,4;TRUE;0,2);IFS(AND($V355&gt;=120;$V355&lt;=130);1;AND($V355&gt;=110;$V355&lt;120);0,7;AND($V355&gt;130;$V355&lt;=140);0,7;AND($V355&gt;=100;$V355&lt;110);0,4;AND($V355&gt;140;$V355&lt;=150);0,4;TRUE;0,2));IFS(AND($W355&gt;=55;$W355&lt;=65);1;AND($W355&gt;=50;$W355&lt;55);0,7;AND($W355&gt;65;$W355&lt;=70);0,7;AND($W355&gt;=45;$W355&lt;50);0,4;AND($W355&gt;70;$W355&lt;=75);0,4;TRUE;0,2);IF(OR($B355="Ноги";$B355="Верх");IFS(AND($X355&gt;=180;$X355&lt;=210);1;AND($X355&gt;=160;$X355&lt;180);0,7;AND($X355&gt;210;$X355&lt;=230);0,7;AND($X355&gt;=140;$X355&lt;160);0,4;AND($X355&gt;230;$X355&lt;=250);0,4;TRUE;0,2);IFS(AND($X355&gt;=140;$X355&lt;=170);1;AND($X355&gt;=120;$X355&lt;140);0,7;AND($X355&gt;170;$X355&lt;=190);0,7;AND($X355&gt;=100;$X355&lt;120);0,4;AND($X355&gt;190;$X355&lt;=210);0,4;TRUE;0,2)))));1);""))</f>
        <v/>
      </c>
      <c r="Z355">
        <f>IF($A355="";"";TEXTJOIN(", ";TRUE;IF($B355="";"Тренировка";"");IF($C355="";"Кардио";"");IF($D355="";"Шаги";"");IF($E355="";"Английский";"");IF($F355="";"Код-режим";"");IF($G355="";"Код-тема";"");IF($H355="";"Чтение";"");IF($L355="";"Сон";"");IF($M355="";"Режим";"");IF($N355="";"Продуктивность";"");IF($O355="";"Настроение";"");IF($P355="";"Энергия";"");IF($U355="";"Еда";"")))</f>
        <v/>
      </c>
    </row>
    <row r="356">
      <c r="B356" t="inlineStr"/>
      <c r="C356" t="inlineStr"/>
      <c r="D356" t="inlineStr"/>
      <c r="E356" t="inlineStr"/>
      <c r="F356" t="inlineStr"/>
      <c r="G356" t="inlineStr"/>
      <c r="H356" t="inlineStr"/>
      <c r="I356" t="inlineStr"/>
      <c r="J356" t="inlineStr"/>
      <c r="K356" t="inlineStr"/>
      <c r="L356" t="inlineStr"/>
      <c r="M356" t="inlineStr"/>
      <c r="N356" t="inlineStr"/>
      <c r="O356" t="inlineStr"/>
      <c r="P356" t="inlineStr"/>
      <c r="Q356" t="inlineStr"/>
      <c r="R356" t="inlineStr"/>
      <c r="S356" t="inlineStr"/>
      <c r="T356" t="inlineStr"/>
      <c r="U356">
        <f>IF($A356="";"";IF(SUMIF(FoodLog!$A:$A;$A356;FoodLog!$I:$I)=0;"";SUMIF(FoodLog!$A:$A;$A356;FoodLog!$I:$I)))</f>
        <v/>
      </c>
      <c r="V356">
        <f>IF($A356="";"";IF(SUMIF(FoodLog!$A:$A;$A356;FoodLog!$F:$F)=0;"";SUMIF(FoodLog!$A:$A;$A356;FoodLog!$F:$F)))</f>
        <v/>
      </c>
      <c r="W356">
        <f>IF($A356="";"";IF(SUMIF(FoodLog!$A:$A;$A356;FoodLog!$G:$G)=0;"";SUMIF(FoodLog!$A:$A;$A356;FoodLog!$G:$G)))</f>
        <v/>
      </c>
      <c r="X356">
        <f>IF($A356="";"";IF(SUMIF(FoodLog!$A:$A;$A356;FoodLog!$H:$H)=0;"";SUMIF(FoodLog!$A:$A;$A356;FoodLog!$H:$H)))</f>
        <v/>
      </c>
      <c r="Y356">
        <f>IF($A356="";"";IFERROR(ROUND(100*AVERAGE(IF($B356="";"";XLOOKUP($B356;FILTER(Dictionaries!$B:$B;Dictionaries!$A:$A="Тренировка");FILTER(Dictionaries!$C:$C;Dictionaries!$A:$A="Тренировка")));IF($C356="";"";MIN($C356/40;1));IF($D356="";"";XLOOKUP($D356;FILTER(Dictionaries!$B:$B;Dictionaries!$A:$A="Шаги");FILTER(Dictionaries!$C:$C;Dictionaries!$A:$A="Шаги")));IF($E356="";"";MIN($E356/120;1));IF(OR($F356&lt;&gt;"";$G356&lt;&gt;"");1;"");IF($H356="";"";MIN($H356/100;1));IF($L356="";"";XLOOKUP($L356;FILTER(Dictionaries!$B:$B;Dictionaries!$A:$A="Сон_часы");FILTER(Dictionaries!$C:$C;Dictionaries!$A:$A="Сон_часы")));IF($M356="";"";XLOOKUP($M356;FILTER(Dictionaries!$B:$B;Dictionaries!$A:$A="Режим");FILTER(Dictionaries!$C:$C;Dictionaries!$A:$A="Режим")));IF($N356="";"";MIN($N356/100;1));IF($O356="";"";XLOOKUP($O356;FILTER(Dictionaries!$B:$B;Dictionaries!$A:$A="Настроение");FILTER(Dictionaries!$C:$C;Dictionaries!$A:$A="Настроение")));IF($P356="";"";XLOOKUP($P356;FILTER(Dictionaries!$B:$B;Dictionaries!$A:$A="Энергия");FILTER(Dictionaries!$C:$C;Dictionaries!$A:$A="Энергия")));IF($U356="";"";AVERAGE(IF(OR($B356="Ноги";$B356="Верх");IFS(AND($U356&gt;=1900;$U356&lt;=2050);1;AND($U356&gt;=1850;$U356&lt;1900);0,7;AND($U356&gt;2050;$U356&lt;=2100);0,7;TRUE;0,2);IFS(AND($U356&gt;=1700;$U356&lt;=1850);1;AND($U356&gt;=1650;$U356&lt;1700);0,7;AND($U356&gt;1850;$U356&lt;=1900);0,7;TRUE;0,2));IF(OR($B356="Ноги";$B356="Верх");IFS(AND($V356&gt;=125;$V356&lt;=135);1;AND($V356&gt;=115;$V356&lt;125);0,7;AND($V356&gt;135;$V356&lt;=145);0,7;AND($V356&gt;=105;$V356&lt;115);0,4;AND($V356&gt;145;$V356&lt;=155);0,4;TRUE;0,2);IFS(AND($V356&gt;=120;$V356&lt;=130);1;AND($V356&gt;=110;$V356&lt;120);0,7;AND($V356&gt;130;$V356&lt;=140);0,7;AND($V356&gt;=100;$V356&lt;110);0,4;AND($V356&gt;140;$V356&lt;=150);0,4;TRUE;0,2));IFS(AND($W356&gt;=55;$W356&lt;=65);1;AND($W356&gt;=50;$W356&lt;55);0,7;AND($W356&gt;65;$W356&lt;=70);0,7;AND($W356&gt;=45;$W356&lt;50);0,4;AND($W356&gt;70;$W356&lt;=75);0,4;TRUE;0,2);IF(OR($B356="Ноги";$B356="Верх");IFS(AND($X356&gt;=180;$X356&lt;=210);1;AND($X356&gt;=160;$X356&lt;180);0,7;AND($X356&gt;210;$X356&lt;=230);0,7;AND($X356&gt;=140;$X356&lt;160);0,4;AND($X356&gt;230;$X356&lt;=250);0,4;TRUE;0,2);IFS(AND($X356&gt;=140;$X356&lt;=170);1;AND($X356&gt;=120;$X356&lt;140);0,7;AND($X356&gt;170;$X356&lt;=190);0,7;AND($X356&gt;=100;$X356&lt;120);0,4;AND($X356&gt;190;$X356&lt;=210);0,4;TRUE;0,2)))));1);""))</f>
        <v/>
      </c>
      <c r="Z356">
        <f>IF($A356="";"";TEXTJOIN(", ";TRUE;IF($B356="";"Тренировка";"");IF($C356="";"Кардио";"");IF($D356="";"Шаги";"");IF($E356="";"Английский";"");IF($F356="";"Код-режим";"");IF($G356="";"Код-тема";"");IF($H356="";"Чтение";"");IF($L356="";"Сон";"");IF($M356="";"Режим";"");IF($N356="";"Продуктивность";"");IF($O356="";"Настроение";"");IF($P356="";"Энергия";"");IF($U356="";"Еда";"")))</f>
        <v/>
      </c>
    </row>
    <row r="357">
      <c r="B357" t="inlineStr"/>
      <c r="C357" t="inlineStr"/>
      <c r="D357" t="inlineStr"/>
      <c r="E357" t="inlineStr"/>
      <c r="F357" t="inlineStr"/>
      <c r="G357" t="inlineStr"/>
      <c r="H357" t="inlineStr"/>
      <c r="I357" t="inlineStr"/>
      <c r="J357" t="inlineStr"/>
      <c r="K357" t="inlineStr"/>
      <c r="L357" t="inlineStr"/>
      <c r="M357" t="inlineStr"/>
      <c r="N357" t="inlineStr"/>
      <c r="O357" t="inlineStr"/>
      <c r="P357" t="inlineStr"/>
      <c r="Q357" t="inlineStr"/>
      <c r="R357" t="inlineStr"/>
      <c r="S357" t="inlineStr"/>
      <c r="T357" t="inlineStr"/>
      <c r="U357">
        <f>IF($A357="";"";IF(SUMIF(FoodLog!$A:$A;$A357;FoodLog!$I:$I)=0;"";SUMIF(FoodLog!$A:$A;$A357;FoodLog!$I:$I)))</f>
        <v/>
      </c>
      <c r="V357">
        <f>IF($A357="";"";IF(SUMIF(FoodLog!$A:$A;$A357;FoodLog!$F:$F)=0;"";SUMIF(FoodLog!$A:$A;$A357;FoodLog!$F:$F)))</f>
        <v/>
      </c>
      <c r="W357">
        <f>IF($A357="";"";IF(SUMIF(FoodLog!$A:$A;$A357;FoodLog!$G:$G)=0;"";SUMIF(FoodLog!$A:$A;$A357;FoodLog!$G:$G)))</f>
        <v/>
      </c>
      <c r="X357">
        <f>IF($A357="";"";IF(SUMIF(FoodLog!$A:$A;$A357;FoodLog!$H:$H)=0;"";SUMIF(FoodLog!$A:$A;$A357;FoodLog!$H:$H)))</f>
        <v/>
      </c>
      <c r="Y357">
        <f>IF($A357="";"";IFERROR(ROUND(100*AVERAGE(IF($B357="";"";XLOOKUP($B357;FILTER(Dictionaries!$B:$B;Dictionaries!$A:$A="Тренировка");FILTER(Dictionaries!$C:$C;Dictionaries!$A:$A="Тренировка")));IF($C357="";"";MIN($C357/40;1));IF($D357="";"";XLOOKUP($D357;FILTER(Dictionaries!$B:$B;Dictionaries!$A:$A="Шаги");FILTER(Dictionaries!$C:$C;Dictionaries!$A:$A="Шаги")));IF($E357="";"";MIN($E357/120;1));IF(OR($F357&lt;&gt;"";$G357&lt;&gt;"");1;"");IF($H357="";"";MIN($H357/100;1));IF($L357="";"";XLOOKUP($L357;FILTER(Dictionaries!$B:$B;Dictionaries!$A:$A="Сон_часы");FILTER(Dictionaries!$C:$C;Dictionaries!$A:$A="Сон_часы")));IF($M357="";"";XLOOKUP($M357;FILTER(Dictionaries!$B:$B;Dictionaries!$A:$A="Режим");FILTER(Dictionaries!$C:$C;Dictionaries!$A:$A="Режим")));IF($N357="";"";MIN($N357/100;1));IF($O357="";"";XLOOKUP($O357;FILTER(Dictionaries!$B:$B;Dictionaries!$A:$A="Настроение");FILTER(Dictionaries!$C:$C;Dictionaries!$A:$A="Настроение")));IF($P357="";"";XLOOKUP($P357;FILTER(Dictionaries!$B:$B;Dictionaries!$A:$A="Энергия");FILTER(Dictionaries!$C:$C;Dictionaries!$A:$A="Энергия")));IF($U357="";"";AVERAGE(IF(OR($B357="Ноги";$B357="Верх");IFS(AND($U357&gt;=1900;$U357&lt;=2050);1;AND($U357&gt;=1850;$U357&lt;1900);0,7;AND($U357&gt;2050;$U357&lt;=2100);0,7;TRUE;0,2);IFS(AND($U357&gt;=1700;$U357&lt;=1850);1;AND($U357&gt;=1650;$U357&lt;1700);0,7;AND($U357&gt;1850;$U357&lt;=1900);0,7;TRUE;0,2));IF(OR($B357="Ноги";$B357="Верх");IFS(AND($V357&gt;=125;$V357&lt;=135);1;AND($V357&gt;=115;$V357&lt;125);0,7;AND($V357&gt;135;$V357&lt;=145);0,7;AND($V357&gt;=105;$V357&lt;115);0,4;AND($V357&gt;145;$V357&lt;=155);0,4;TRUE;0,2);IFS(AND($V357&gt;=120;$V357&lt;=130);1;AND($V357&gt;=110;$V357&lt;120);0,7;AND($V357&gt;130;$V357&lt;=140);0,7;AND($V357&gt;=100;$V357&lt;110);0,4;AND($V357&gt;140;$V357&lt;=150);0,4;TRUE;0,2));IFS(AND($W357&gt;=55;$W357&lt;=65);1;AND($W357&gt;=50;$W357&lt;55);0,7;AND($W357&gt;65;$W357&lt;=70);0,7;AND($W357&gt;=45;$W357&lt;50);0,4;AND($W357&gt;70;$W357&lt;=75);0,4;TRUE;0,2);IF(OR($B357="Ноги";$B357="Верх");IFS(AND($X357&gt;=180;$X357&lt;=210);1;AND($X357&gt;=160;$X357&lt;180);0,7;AND($X357&gt;210;$X357&lt;=230);0,7;AND($X357&gt;=140;$X357&lt;160);0,4;AND($X357&gt;230;$X357&lt;=250);0,4;TRUE;0,2);IFS(AND($X357&gt;=140;$X357&lt;=170);1;AND($X357&gt;=120;$X357&lt;140);0,7;AND($X357&gt;170;$X357&lt;=190);0,7;AND($X357&gt;=100;$X357&lt;120);0,4;AND($X357&gt;190;$X357&lt;=210);0,4;TRUE;0,2)))));1);""))</f>
        <v/>
      </c>
      <c r="Z357">
        <f>IF($A357="";"";TEXTJOIN(", ";TRUE;IF($B357="";"Тренировка";"");IF($C357="";"Кардио";"");IF($D357="";"Шаги";"");IF($E357="";"Английский";"");IF($F357="";"Код-режим";"");IF($G357="";"Код-тема";"");IF($H357="";"Чтение";"");IF($L357="";"Сон";"");IF($M357="";"Режим";"");IF($N357="";"Продуктивность";"");IF($O357="";"Настроение";"");IF($P357="";"Энергия";"");IF($U357="";"Еда";"")))</f>
        <v/>
      </c>
    </row>
    <row r="358">
      <c r="B358" t="inlineStr"/>
      <c r="C358" t="inlineStr"/>
      <c r="D358" t="inlineStr"/>
      <c r="E358" t="inlineStr"/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/>
      <c r="P358" t="inlineStr"/>
      <c r="Q358" t="inlineStr"/>
      <c r="R358" t="inlineStr"/>
      <c r="S358" t="inlineStr"/>
      <c r="T358" t="inlineStr"/>
      <c r="U358">
        <f>IF($A358="";"";IF(SUMIF(FoodLog!$A:$A;$A358;FoodLog!$I:$I)=0;"";SUMIF(FoodLog!$A:$A;$A358;FoodLog!$I:$I)))</f>
        <v/>
      </c>
      <c r="V358">
        <f>IF($A358="";"";IF(SUMIF(FoodLog!$A:$A;$A358;FoodLog!$F:$F)=0;"";SUMIF(FoodLog!$A:$A;$A358;FoodLog!$F:$F)))</f>
        <v/>
      </c>
      <c r="W358">
        <f>IF($A358="";"";IF(SUMIF(FoodLog!$A:$A;$A358;FoodLog!$G:$G)=0;"";SUMIF(FoodLog!$A:$A;$A358;FoodLog!$G:$G)))</f>
        <v/>
      </c>
      <c r="X358">
        <f>IF($A358="";"";IF(SUMIF(FoodLog!$A:$A;$A358;FoodLog!$H:$H)=0;"";SUMIF(FoodLog!$A:$A;$A358;FoodLog!$H:$H)))</f>
        <v/>
      </c>
      <c r="Y358">
        <f>IF($A358="";"";IFERROR(ROUND(100*AVERAGE(IF($B358="";"";XLOOKUP($B358;FILTER(Dictionaries!$B:$B;Dictionaries!$A:$A="Тренировка");FILTER(Dictionaries!$C:$C;Dictionaries!$A:$A="Тренировка")));IF($C358="";"";MIN($C358/40;1));IF($D358="";"";XLOOKUP($D358;FILTER(Dictionaries!$B:$B;Dictionaries!$A:$A="Шаги");FILTER(Dictionaries!$C:$C;Dictionaries!$A:$A="Шаги")));IF($E358="";"";MIN($E358/120;1));IF(OR($F358&lt;&gt;"";$G358&lt;&gt;"");1;"");IF($H358="";"";MIN($H358/100;1));IF($L358="";"";XLOOKUP($L358;FILTER(Dictionaries!$B:$B;Dictionaries!$A:$A="Сон_часы");FILTER(Dictionaries!$C:$C;Dictionaries!$A:$A="Сон_часы")));IF($M358="";"";XLOOKUP($M358;FILTER(Dictionaries!$B:$B;Dictionaries!$A:$A="Режим");FILTER(Dictionaries!$C:$C;Dictionaries!$A:$A="Режим")));IF($N358="";"";MIN($N358/100;1));IF($O358="";"";XLOOKUP($O358;FILTER(Dictionaries!$B:$B;Dictionaries!$A:$A="Настроение");FILTER(Dictionaries!$C:$C;Dictionaries!$A:$A="Настроение")));IF($P358="";"";XLOOKUP($P358;FILTER(Dictionaries!$B:$B;Dictionaries!$A:$A="Энергия");FILTER(Dictionaries!$C:$C;Dictionaries!$A:$A="Энергия")));IF($U358="";"";AVERAGE(IF(OR($B358="Ноги";$B358="Верх");IFS(AND($U358&gt;=1900;$U358&lt;=2050);1;AND($U358&gt;=1850;$U358&lt;1900);0,7;AND($U358&gt;2050;$U358&lt;=2100);0,7;TRUE;0,2);IFS(AND($U358&gt;=1700;$U358&lt;=1850);1;AND($U358&gt;=1650;$U358&lt;1700);0,7;AND($U358&gt;1850;$U358&lt;=1900);0,7;TRUE;0,2));IF(OR($B358="Ноги";$B358="Верх");IFS(AND($V358&gt;=125;$V358&lt;=135);1;AND($V358&gt;=115;$V358&lt;125);0,7;AND($V358&gt;135;$V358&lt;=145);0,7;AND($V358&gt;=105;$V358&lt;115);0,4;AND($V358&gt;145;$V358&lt;=155);0,4;TRUE;0,2);IFS(AND($V358&gt;=120;$V358&lt;=130);1;AND($V358&gt;=110;$V358&lt;120);0,7;AND($V358&gt;130;$V358&lt;=140);0,7;AND($V358&gt;=100;$V358&lt;110);0,4;AND($V358&gt;140;$V358&lt;=150);0,4;TRUE;0,2));IFS(AND($W358&gt;=55;$W358&lt;=65);1;AND($W358&gt;=50;$W358&lt;55);0,7;AND($W358&gt;65;$W358&lt;=70);0,7;AND($W358&gt;=45;$W358&lt;50);0,4;AND($W358&gt;70;$W358&lt;=75);0,4;TRUE;0,2);IF(OR($B358="Ноги";$B358="Верх");IFS(AND($X358&gt;=180;$X358&lt;=210);1;AND($X358&gt;=160;$X358&lt;180);0,7;AND($X358&gt;210;$X358&lt;=230);0,7;AND($X358&gt;=140;$X358&lt;160);0,4;AND($X358&gt;230;$X358&lt;=250);0,4;TRUE;0,2);IFS(AND($X358&gt;=140;$X358&lt;=170);1;AND($X358&gt;=120;$X358&lt;140);0,7;AND($X358&gt;170;$X358&lt;=190);0,7;AND($X358&gt;=100;$X358&lt;120);0,4;AND($X358&gt;190;$X358&lt;=210);0,4;TRUE;0,2)))));1);""))</f>
        <v/>
      </c>
      <c r="Z358">
        <f>IF($A358="";"";TEXTJOIN(", ";TRUE;IF($B358="";"Тренировка";"");IF($C358="";"Кардио";"");IF($D358="";"Шаги";"");IF($E358="";"Английский";"");IF($F358="";"Код-режим";"");IF($G358="";"Код-тема";"");IF($H358="";"Чтение";"");IF($L358="";"Сон";"");IF($M358="";"Режим";"");IF($N358="";"Продуктивность";"");IF($O358="";"Настроение";"");IF($P358="";"Энергия";"");IF($U358="";"Еда";"")))</f>
        <v/>
      </c>
    </row>
    <row r="359">
      <c r="B359" t="inlineStr"/>
      <c r="C359" t="inlineStr"/>
      <c r="D359" t="inlineStr"/>
      <c r="E359" t="inlineStr"/>
      <c r="F359" t="inlineStr"/>
      <c r="G359" t="inlineStr"/>
      <c r="H359" t="inlineStr"/>
      <c r="I359" t="inlineStr"/>
      <c r="J359" t="inlineStr"/>
      <c r="K359" t="inlineStr"/>
      <c r="L359" t="inlineStr"/>
      <c r="M359" t="inlineStr"/>
      <c r="N359" t="inlineStr"/>
      <c r="O359" t="inlineStr"/>
      <c r="P359" t="inlineStr"/>
      <c r="Q359" t="inlineStr"/>
      <c r="R359" t="inlineStr"/>
      <c r="S359" t="inlineStr"/>
      <c r="T359" t="inlineStr"/>
      <c r="U359">
        <f>IF($A359="";"";IF(SUMIF(FoodLog!$A:$A;$A359;FoodLog!$I:$I)=0;"";SUMIF(FoodLog!$A:$A;$A359;FoodLog!$I:$I)))</f>
        <v/>
      </c>
      <c r="V359">
        <f>IF($A359="";"";IF(SUMIF(FoodLog!$A:$A;$A359;FoodLog!$F:$F)=0;"";SUMIF(FoodLog!$A:$A;$A359;FoodLog!$F:$F)))</f>
        <v/>
      </c>
      <c r="W359">
        <f>IF($A359="";"";IF(SUMIF(FoodLog!$A:$A;$A359;FoodLog!$G:$G)=0;"";SUMIF(FoodLog!$A:$A;$A359;FoodLog!$G:$G)))</f>
        <v/>
      </c>
      <c r="X359">
        <f>IF($A359="";"";IF(SUMIF(FoodLog!$A:$A;$A359;FoodLog!$H:$H)=0;"";SUMIF(FoodLog!$A:$A;$A359;FoodLog!$H:$H)))</f>
        <v/>
      </c>
      <c r="Y359">
        <f>IF($A359="";"";IFERROR(ROUND(100*AVERAGE(IF($B359="";"";XLOOKUP($B359;FILTER(Dictionaries!$B:$B;Dictionaries!$A:$A="Тренировка");FILTER(Dictionaries!$C:$C;Dictionaries!$A:$A="Тренировка")));IF($C359="";"";MIN($C359/40;1));IF($D359="";"";XLOOKUP($D359;FILTER(Dictionaries!$B:$B;Dictionaries!$A:$A="Шаги");FILTER(Dictionaries!$C:$C;Dictionaries!$A:$A="Шаги")));IF($E359="";"";MIN($E359/120;1));IF(OR($F359&lt;&gt;"";$G359&lt;&gt;"");1;"");IF($H359="";"";MIN($H359/100;1));IF($L359="";"";XLOOKUP($L359;FILTER(Dictionaries!$B:$B;Dictionaries!$A:$A="Сон_часы");FILTER(Dictionaries!$C:$C;Dictionaries!$A:$A="Сон_часы")));IF($M359="";"";XLOOKUP($M359;FILTER(Dictionaries!$B:$B;Dictionaries!$A:$A="Режим");FILTER(Dictionaries!$C:$C;Dictionaries!$A:$A="Режим")));IF($N359="";"";MIN($N359/100;1));IF($O359="";"";XLOOKUP($O359;FILTER(Dictionaries!$B:$B;Dictionaries!$A:$A="Настроение");FILTER(Dictionaries!$C:$C;Dictionaries!$A:$A="Настроение")));IF($P359="";"";XLOOKUP($P359;FILTER(Dictionaries!$B:$B;Dictionaries!$A:$A="Энергия");FILTER(Dictionaries!$C:$C;Dictionaries!$A:$A="Энергия")));IF($U359="";"";AVERAGE(IF(OR($B359="Ноги";$B359="Верх");IFS(AND($U359&gt;=1900;$U359&lt;=2050);1;AND($U359&gt;=1850;$U359&lt;1900);0,7;AND($U359&gt;2050;$U359&lt;=2100);0,7;TRUE;0,2);IFS(AND($U359&gt;=1700;$U359&lt;=1850);1;AND($U359&gt;=1650;$U359&lt;1700);0,7;AND($U359&gt;1850;$U359&lt;=1900);0,7;TRUE;0,2));IF(OR($B359="Ноги";$B359="Верх");IFS(AND($V359&gt;=125;$V359&lt;=135);1;AND($V359&gt;=115;$V359&lt;125);0,7;AND($V359&gt;135;$V359&lt;=145);0,7;AND($V359&gt;=105;$V359&lt;115);0,4;AND($V359&gt;145;$V359&lt;=155);0,4;TRUE;0,2);IFS(AND($V359&gt;=120;$V359&lt;=130);1;AND($V359&gt;=110;$V359&lt;120);0,7;AND($V359&gt;130;$V359&lt;=140);0,7;AND($V359&gt;=100;$V359&lt;110);0,4;AND($V359&gt;140;$V359&lt;=150);0,4;TRUE;0,2));IFS(AND($W359&gt;=55;$W359&lt;=65);1;AND($W359&gt;=50;$W359&lt;55);0,7;AND($W359&gt;65;$W359&lt;=70);0,7;AND($W359&gt;=45;$W359&lt;50);0,4;AND($W359&gt;70;$W359&lt;=75);0,4;TRUE;0,2);IF(OR($B359="Ноги";$B359="Верх");IFS(AND($X359&gt;=180;$X359&lt;=210);1;AND($X359&gt;=160;$X359&lt;180);0,7;AND($X359&gt;210;$X359&lt;=230);0,7;AND($X359&gt;=140;$X359&lt;160);0,4;AND($X359&gt;230;$X359&lt;=250);0,4;TRUE;0,2);IFS(AND($X359&gt;=140;$X359&lt;=170);1;AND($X359&gt;=120;$X359&lt;140);0,7;AND($X359&gt;170;$X359&lt;=190);0,7;AND($X359&gt;=100;$X359&lt;120);0,4;AND($X359&gt;190;$X359&lt;=210);0,4;TRUE;0,2)))));1);""))</f>
        <v/>
      </c>
      <c r="Z359">
        <f>IF($A359="";"";TEXTJOIN(", ";TRUE;IF($B359="";"Тренировка";"");IF($C359="";"Кардио";"");IF($D359="";"Шаги";"");IF($E359="";"Английский";"");IF($F359="";"Код-режим";"");IF($G359="";"Код-тема";"");IF($H359="";"Чтение";"");IF($L359="";"Сон";"");IF($M359="";"Режим";"");IF($N359="";"Продуктивность";"");IF($O359="";"Настроение";"");IF($P359="";"Энергия";"");IF($U359="";"Еда";"")))</f>
        <v/>
      </c>
    </row>
    <row r="360">
      <c r="B360" t="inlineStr"/>
      <c r="C360" t="inlineStr"/>
      <c r="D360" t="inlineStr"/>
      <c r="E360" t="inlineStr"/>
      <c r="F360" t="inlineStr"/>
      <c r="G360" t="inlineStr"/>
      <c r="H360" t="inlineStr"/>
      <c r="I360" t="inlineStr"/>
      <c r="J360" t="inlineStr"/>
      <c r="K360" t="inlineStr"/>
      <c r="L360" t="inlineStr"/>
      <c r="M360" t="inlineStr"/>
      <c r="N360" t="inlineStr"/>
      <c r="O360" t="inlineStr"/>
      <c r="P360" t="inlineStr"/>
      <c r="Q360" t="inlineStr"/>
      <c r="R360" t="inlineStr"/>
      <c r="S360" t="inlineStr"/>
      <c r="T360" t="inlineStr"/>
      <c r="U360">
        <f>IF($A360="";"";IF(SUMIF(FoodLog!$A:$A;$A360;FoodLog!$I:$I)=0;"";SUMIF(FoodLog!$A:$A;$A360;FoodLog!$I:$I)))</f>
        <v/>
      </c>
      <c r="V360">
        <f>IF($A360="";"";IF(SUMIF(FoodLog!$A:$A;$A360;FoodLog!$F:$F)=0;"";SUMIF(FoodLog!$A:$A;$A360;FoodLog!$F:$F)))</f>
        <v/>
      </c>
      <c r="W360">
        <f>IF($A360="";"";IF(SUMIF(FoodLog!$A:$A;$A360;FoodLog!$G:$G)=0;"";SUMIF(FoodLog!$A:$A;$A360;FoodLog!$G:$G)))</f>
        <v/>
      </c>
      <c r="X360">
        <f>IF($A360="";"";IF(SUMIF(FoodLog!$A:$A;$A360;FoodLog!$H:$H)=0;"";SUMIF(FoodLog!$A:$A;$A360;FoodLog!$H:$H)))</f>
        <v/>
      </c>
      <c r="Y360">
        <f>IF($A360="";"";IFERROR(ROUND(100*AVERAGE(IF($B360="";"";XLOOKUP($B360;FILTER(Dictionaries!$B:$B;Dictionaries!$A:$A="Тренировка");FILTER(Dictionaries!$C:$C;Dictionaries!$A:$A="Тренировка")));IF($C360="";"";MIN($C360/40;1));IF($D360="";"";XLOOKUP($D360;FILTER(Dictionaries!$B:$B;Dictionaries!$A:$A="Шаги");FILTER(Dictionaries!$C:$C;Dictionaries!$A:$A="Шаги")));IF($E360="";"";MIN($E360/120;1));IF(OR($F360&lt;&gt;"";$G360&lt;&gt;"");1;"");IF($H360="";"";MIN($H360/100;1));IF($L360="";"";XLOOKUP($L360;FILTER(Dictionaries!$B:$B;Dictionaries!$A:$A="Сон_часы");FILTER(Dictionaries!$C:$C;Dictionaries!$A:$A="Сон_часы")));IF($M360="";"";XLOOKUP($M360;FILTER(Dictionaries!$B:$B;Dictionaries!$A:$A="Режим");FILTER(Dictionaries!$C:$C;Dictionaries!$A:$A="Режим")));IF($N360="";"";MIN($N360/100;1));IF($O360="";"";XLOOKUP($O360;FILTER(Dictionaries!$B:$B;Dictionaries!$A:$A="Настроение");FILTER(Dictionaries!$C:$C;Dictionaries!$A:$A="Настроение")));IF($P360="";"";XLOOKUP($P360;FILTER(Dictionaries!$B:$B;Dictionaries!$A:$A="Энергия");FILTER(Dictionaries!$C:$C;Dictionaries!$A:$A="Энергия")));IF($U360="";"";AVERAGE(IF(OR($B360="Ноги";$B360="Верх");IFS(AND($U360&gt;=1900;$U360&lt;=2050);1;AND($U360&gt;=1850;$U360&lt;1900);0,7;AND($U360&gt;2050;$U360&lt;=2100);0,7;TRUE;0,2);IFS(AND($U360&gt;=1700;$U360&lt;=1850);1;AND($U360&gt;=1650;$U360&lt;1700);0,7;AND($U360&gt;1850;$U360&lt;=1900);0,7;TRUE;0,2));IF(OR($B360="Ноги";$B360="Верх");IFS(AND($V360&gt;=125;$V360&lt;=135);1;AND($V360&gt;=115;$V360&lt;125);0,7;AND($V360&gt;135;$V360&lt;=145);0,7;AND($V360&gt;=105;$V360&lt;115);0,4;AND($V360&gt;145;$V360&lt;=155);0,4;TRUE;0,2);IFS(AND($V360&gt;=120;$V360&lt;=130);1;AND($V360&gt;=110;$V360&lt;120);0,7;AND($V360&gt;130;$V360&lt;=140);0,7;AND($V360&gt;=100;$V360&lt;110);0,4;AND($V360&gt;140;$V360&lt;=150);0,4;TRUE;0,2));IFS(AND($W360&gt;=55;$W360&lt;=65);1;AND($W360&gt;=50;$W360&lt;55);0,7;AND($W360&gt;65;$W360&lt;=70);0,7;AND($W360&gt;=45;$W360&lt;50);0,4;AND($W360&gt;70;$W360&lt;=75);0,4;TRUE;0,2);IF(OR($B360="Ноги";$B360="Верх");IFS(AND($X360&gt;=180;$X360&lt;=210);1;AND($X360&gt;=160;$X360&lt;180);0,7;AND($X360&gt;210;$X360&lt;=230);0,7;AND($X360&gt;=140;$X360&lt;160);0,4;AND($X360&gt;230;$X360&lt;=250);0,4;TRUE;0,2);IFS(AND($X360&gt;=140;$X360&lt;=170);1;AND($X360&gt;=120;$X360&lt;140);0,7;AND($X360&gt;170;$X360&lt;=190);0,7;AND($X360&gt;=100;$X360&lt;120);0,4;AND($X360&gt;190;$X360&lt;=210);0,4;TRUE;0,2)))));1);""))</f>
        <v/>
      </c>
      <c r="Z360">
        <f>IF($A360="";"";TEXTJOIN(", ";TRUE;IF($B360="";"Тренировка";"");IF($C360="";"Кардио";"");IF($D360="";"Шаги";"");IF($E360="";"Английский";"");IF($F360="";"Код-режим";"");IF($G360="";"Код-тема";"");IF($H360="";"Чтение";"");IF($L360="";"Сон";"");IF($M360="";"Режим";"");IF($N360="";"Продуктивность";"");IF($O360="";"Настроение";"");IF($P360="";"Энергия";"");IF($U360="";"Еда";"")))</f>
        <v/>
      </c>
    </row>
    <row r="361">
      <c r="B361" t="inlineStr"/>
      <c r="C361" t="inlineStr"/>
      <c r="D361" t="inlineStr"/>
      <c r="E361" t="inlineStr"/>
      <c r="F361" t="inlineStr"/>
      <c r="G361" t="inlineStr"/>
      <c r="H361" t="inlineStr"/>
      <c r="I361" t="inlineStr"/>
      <c r="J361" t="inlineStr"/>
      <c r="K361" t="inlineStr"/>
      <c r="L361" t="inlineStr"/>
      <c r="M361" t="inlineStr"/>
      <c r="N361" t="inlineStr"/>
      <c r="O361" t="inlineStr"/>
      <c r="P361" t="inlineStr"/>
      <c r="Q361" t="inlineStr"/>
      <c r="R361" t="inlineStr"/>
      <c r="S361" t="inlineStr"/>
      <c r="T361" t="inlineStr"/>
      <c r="U361">
        <f>IF($A361="";"";IF(SUMIF(FoodLog!$A:$A;$A361;FoodLog!$I:$I)=0;"";SUMIF(FoodLog!$A:$A;$A361;FoodLog!$I:$I)))</f>
        <v/>
      </c>
      <c r="V361">
        <f>IF($A361="";"";IF(SUMIF(FoodLog!$A:$A;$A361;FoodLog!$F:$F)=0;"";SUMIF(FoodLog!$A:$A;$A361;FoodLog!$F:$F)))</f>
        <v/>
      </c>
      <c r="W361">
        <f>IF($A361="";"";IF(SUMIF(FoodLog!$A:$A;$A361;FoodLog!$G:$G)=0;"";SUMIF(FoodLog!$A:$A;$A361;FoodLog!$G:$G)))</f>
        <v/>
      </c>
      <c r="X361">
        <f>IF($A361="";"";IF(SUMIF(FoodLog!$A:$A;$A361;FoodLog!$H:$H)=0;"";SUMIF(FoodLog!$A:$A;$A361;FoodLog!$H:$H)))</f>
        <v/>
      </c>
      <c r="Y361">
        <f>IF($A361="";"";IFERROR(ROUND(100*AVERAGE(IF($B361="";"";XLOOKUP($B361;FILTER(Dictionaries!$B:$B;Dictionaries!$A:$A="Тренировка");FILTER(Dictionaries!$C:$C;Dictionaries!$A:$A="Тренировка")));IF($C361="";"";MIN($C361/40;1));IF($D361="";"";XLOOKUP($D361;FILTER(Dictionaries!$B:$B;Dictionaries!$A:$A="Шаги");FILTER(Dictionaries!$C:$C;Dictionaries!$A:$A="Шаги")));IF($E361="";"";MIN($E361/120;1));IF(OR($F361&lt;&gt;"";$G361&lt;&gt;"");1;"");IF($H361="";"";MIN($H361/100;1));IF($L361="";"";XLOOKUP($L361;FILTER(Dictionaries!$B:$B;Dictionaries!$A:$A="Сон_часы");FILTER(Dictionaries!$C:$C;Dictionaries!$A:$A="Сон_часы")));IF($M361="";"";XLOOKUP($M361;FILTER(Dictionaries!$B:$B;Dictionaries!$A:$A="Режим");FILTER(Dictionaries!$C:$C;Dictionaries!$A:$A="Режим")));IF($N361="";"";MIN($N361/100;1));IF($O361="";"";XLOOKUP($O361;FILTER(Dictionaries!$B:$B;Dictionaries!$A:$A="Настроение");FILTER(Dictionaries!$C:$C;Dictionaries!$A:$A="Настроение")));IF($P361="";"";XLOOKUP($P361;FILTER(Dictionaries!$B:$B;Dictionaries!$A:$A="Энергия");FILTER(Dictionaries!$C:$C;Dictionaries!$A:$A="Энергия")));IF($U361="";"";AVERAGE(IF(OR($B361="Ноги";$B361="Верх");IFS(AND($U361&gt;=1900;$U361&lt;=2050);1;AND($U361&gt;=1850;$U361&lt;1900);0,7;AND($U361&gt;2050;$U361&lt;=2100);0,7;TRUE;0,2);IFS(AND($U361&gt;=1700;$U361&lt;=1850);1;AND($U361&gt;=1650;$U361&lt;1700);0,7;AND($U361&gt;1850;$U361&lt;=1900);0,7;TRUE;0,2));IF(OR($B361="Ноги";$B361="Верх");IFS(AND($V361&gt;=125;$V361&lt;=135);1;AND($V361&gt;=115;$V361&lt;125);0,7;AND($V361&gt;135;$V361&lt;=145);0,7;AND($V361&gt;=105;$V361&lt;115);0,4;AND($V361&gt;145;$V361&lt;=155);0,4;TRUE;0,2);IFS(AND($V361&gt;=120;$V361&lt;=130);1;AND($V361&gt;=110;$V361&lt;120);0,7;AND($V361&gt;130;$V361&lt;=140);0,7;AND($V361&gt;=100;$V361&lt;110);0,4;AND($V361&gt;140;$V361&lt;=150);0,4;TRUE;0,2));IFS(AND($W361&gt;=55;$W361&lt;=65);1;AND($W361&gt;=50;$W361&lt;55);0,7;AND($W361&gt;65;$W361&lt;=70);0,7;AND($W361&gt;=45;$W361&lt;50);0,4;AND($W361&gt;70;$W361&lt;=75);0,4;TRUE;0,2);IF(OR($B361="Ноги";$B361="Верх");IFS(AND($X361&gt;=180;$X361&lt;=210);1;AND($X361&gt;=160;$X361&lt;180);0,7;AND($X361&gt;210;$X361&lt;=230);0,7;AND($X361&gt;=140;$X361&lt;160);0,4;AND($X361&gt;230;$X361&lt;=250);0,4;TRUE;0,2);IFS(AND($X361&gt;=140;$X361&lt;=170);1;AND($X361&gt;=120;$X361&lt;140);0,7;AND($X361&gt;170;$X361&lt;=190);0,7;AND($X361&gt;=100;$X361&lt;120);0,4;AND($X361&gt;190;$X361&lt;=210);0,4;TRUE;0,2)))));1);""))</f>
        <v/>
      </c>
      <c r="Z361">
        <f>IF($A361="";"";TEXTJOIN(", ";TRUE;IF($B361="";"Тренировка";"");IF($C361="";"Кардио";"");IF($D361="";"Шаги";"");IF($E361="";"Английский";"");IF($F361="";"Код-режим";"");IF($G361="";"Код-тема";"");IF($H361="";"Чтение";"");IF($L361="";"Сон";"");IF($M361="";"Режим";"");IF($N361="";"Продуктивность";"");IF($O361="";"Настроение";"");IF($P361="";"Энергия";"");IF($U361="";"Еда";"")))</f>
        <v/>
      </c>
    </row>
    <row r="362">
      <c r="B362" t="inlineStr"/>
      <c r="C362" t="inlineStr"/>
      <c r="D362" t="inlineStr"/>
      <c r="E362" t="inlineStr"/>
      <c r="F362" t="inlineStr"/>
      <c r="G362" t="inlineStr"/>
      <c r="H362" t="inlineStr"/>
      <c r="I362" t="inlineStr"/>
      <c r="J362" t="inlineStr"/>
      <c r="K362" t="inlineStr"/>
      <c r="L362" t="inlineStr"/>
      <c r="M362" t="inlineStr"/>
      <c r="N362" t="inlineStr"/>
      <c r="O362" t="inlineStr"/>
      <c r="P362" t="inlineStr"/>
      <c r="Q362" t="inlineStr"/>
      <c r="R362" t="inlineStr"/>
      <c r="S362" t="inlineStr"/>
      <c r="T362" t="inlineStr"/>
      <c r="U362">
        <f>IF($A362="";"";IF(SUMIF(FoodLog!$A:$A;$A362;FoodLog!$I:$I)=0;"";SUMIF(FoodLog!$A:$A;$A362;FoodLog!$I:$I)))</f>
        <v/>
      </c>
      <c r="V362">
        <f>IF($A362="";"";IF(SUMIF(FoodLog!$A:$A;$A362;FoodLog!$F:$F)=0;"";SUMIF(FoodLog!$A:$A;$A362;FoodLog!$F:$F)))</f>
        <v/>
      </c>
      <c r="W362">
        <f>IF($A362="";"";IF(SUMIF(FoodLog!$A:$A;$A362;FoodLog!$G:$G)=0;"";SUMIF(FoodLog!$A:$A;$A362;FoodLog!$G:$G)))</f>
        <v/>
      </c>
      <c r="X362">
        <f>IF($A362="";"";IF(SUMIF(FoodLog!$A:$A;$A362;FoodLog!$H:$H)=0;"";SUMIF(FoodLog!$A:$A;$A362;FoodLog!$H:$H)))</f>
        <v/>
      </c>
      <c r="Y362">
        <f>IF($A362="";"";IFERROR(ROUND(100*AVERAGE(IF($B362="";"";XLOOKUP($B362;FILTER(Dictionaries!$B:$B;Dictionaries!$A:$A="Тренировка");FILTER(Dictionaries!$C:$C;Dictionaries!$A:$A="Тренировка")));IF($C362="";"";MIN($C362/40;1));IF($D362="";"";XLOOKUP($D362;FILTER(Dictionaries!$B:$B;Dictionaries!$A:$A="Шаги");FILTER(Dictionaries!$C:$C;Dictionaries!$A:$A="Шаги")));IF($E362="";"";MIN($E362/120;1));IF(OR($F362&lt;&gt;"";$G362&lt;&gt;"");1;"");IF($H362="";"";MIN($H362/100;1));IF($L362="";"";XLOOKUP($L362;FILTER(Dictionaries!$B:$B;Dictionaries!$A:$A="Сон_часы");FILTER(Dictionaries!$C:$C;Dictionaries!$A:$A="Сон_часы")));IF($M362="";"";XLOOKUP($M362;FILTER(Dictionaries!$B:$B;Dictionaries!$A:$A="Режим");FILTER(Dictionaries!$C:$C;Dictionaries!$A:$A="Режим")));IF($N362="";"";MIN($N362/100;1));IF($O362="";"";XLOOKUP($O362;FILTER(Dictionaries!$B:$B;Dictionaries!$A:$A="Настроение");FILTER(Dictionaries!$C:$C;Dictionaries!$A:$A="Настроение")));IF($P362="";"";XLOOKUP($P362;FILTER(Dictionaries!$B:$B;Dictionaries!$A:$A="Энергия");FILTER(Dictionaries!$C:$C;Dictionaries!$A:$A="Энергия")));IF($U362="";"";AVERAGE(IF(OR($B362="Ноги";$B362="Верх");IFS(AND($U362&gt;=1900;$U362&lt;=2050);1;AND($U362&gt;=1850;$U362&lt;1900);0,7;AND($U362&gt;2050;$U362&lt;=2100);0,7;TRUE;0,2);IFS(AND($U362&gt;=1700;$U362&lt;=1850);1;AND($U362&gt;=1650;$U362&lt;1700);0,7;AND($U362&gt;1850;$U362&lt;=1900);0,7;TRUE;0,2));IF(OR($B362="Ноги";$B362="Верх");IFS(AND($V362&gt;=125;$V362&lt;=135);1;AND($V362&gt;=115;$V362&lt;125);0,7;AND($V362&gt;135;$V362&lt;=145);0,7;AND($V362&gt;=105;$V362&lt;115);0,4;AND($V362&gt;145;$V362&lt;=155);0,4;TRUE;0,2);IFS(AND($V362&gt;=120;$V362&lt;=130);1;AND($V362&gt;=110;$V362&lt;120);0,7;AND($V362&gt;130;$V362&lt;=140);0,7;AND($V362&gt;=100;$V362&lt;110);0,4;AND($V362&gt;140;$V362&lt;=150);0,4;TRUE;0,2));IFS(AND($W362&gt;=55;$W362&lt;=65);1;AND($W362&gt;=50;$W362&lt;55);0,7;AND($W362&gt;65;$W362&lt;=70);0,7;AND($W362&gt;=45;$W362&lt;50);0,4;AND($W362&gt;70;$W362&lt;=75);0,4;TRUE;0,2);IF(OR($B362="Ноги";$B362="Верх");IFS(AND($X362&gt;=180;$X362&lt;=210);1;AND($X362&gt;=160;$X362&lt;180);0,7;AND($X362&gt;210;$X362&lt;=230);0,7;AND($X362&gt;=140;$X362&lt;160);0,4;AND($X362&gt;230;$X362&lt;=250);0,4;TRUE;0,2);IFS(AND($X362&gt;=140;$X362&lt;=170);1;AND($X362&gt;=120;$X362&lt;140);0,7;AND($X362&gt;170;$X362&lt;=190);0,7;AND($X362&gt;=100;$X362&lt;120);0,4;AND($X362&gt;190;$X362&lt;=210);0,4;TRUE;0,2)))));1);""))</f>
        <v/>
      </c>
      <c r="Z362">
        <f>IF($A362="";"";TEXTJOIN(", ";TRUE;IF($B362="";"Тренировка";"");IF($C362="";"Кардио";"");IF($D362="";"Шаги";"");IF($E362="";"Английский";"");IF($F362="";"Код-режим";"");IF($G362="";"Код-тема";"");IF($H362="";"Чтение";"");IF($L362="";"Сон";"");IF($M362="";"Режим";"");IF($N362="";"Продуктивность";"");IF($O362="";"Настроение";"");IF($P362="";"Энергия";"");IF($U362="";"Еда";"")))</f>
        <v/>
      </c>
    </row>
    <row r="363">
      <c r="B363" t="inlineStr"/>
      <c r="C363" t="inlineStr"/>
      <c r="D363" t="inlineStr"/>
      <c r="E363" t="inlineStr"/>
      <c r="F363" t="inlineStr"/>
      <c r="G363" t="inlineStr"/>
      <c r="H363" t="inlineStr"/>
      <c r="I363" t="inlineStr"/>
      <c r="J363" t="inlineStr"/>
      <c r="K363" t="inlineStr"/>
      <c r="L363" t="inlineStr"/>
      <c r="M363" t="inlineStr"/>
      <c r="N363" t="inlineStr"/>
      <c r="O363" t="inlineStr"/>
      <c r="P363" t="inlineStr"/>
      <c r="Q363" t="inlineStr"/>
      <c r="R363" t="inlineStr"/>
      <c r="S363" t="inlineStr"/>
      <c r="T363" t="inlineStr"/>
      <c r="U363">
        <f>IF($A363="";"";IF(SUMIF(FoodLog!$A:$A;$A363;FoodLog!$I:$I)=0;"";SUMIF(FoodLog!$A:$A;$A363;FoodLog!$I:$I)))</f>
        <v/>
      </c>
      <c r="V363">
        <f>IF($A363="";"";IF(SUMIF(FoodLog!$A:$A;$A363;FoodLog!$F:$F)=0;"";SUMIF(FoodLog!$A:$A;$A363;FoodLog!$F:$F)))</f>
        <v/>
      </c>
      <c r="W363">
        <f>IF($A363="";"";IF(SUMIF(FoodLog!$A:$A;$A363;FoodLog!$G:$G)=0;"";SUMIF(FoodLog!$A:$A;$A363;FoodLog!$G:$G)))</f>
        <v/>
      </c>
      <c r="X363">
        <f>IF($A363="";"";IF(SUMIF(FoodLog!$A:$A;$A363;FoodLog!$H:$H)=0;"";SUMIF(FoodLog!$A:$A;$A363;FoodLog!$H:$H)))</f>
        <v/>
      </c>
      <c r="Y363">
        <f>IF($A363="";"";IFERROR(ROUND(100*AVERAGE(IF($B363="";"";XLOOKUP($B363;FILTER(Dictionaries!$B:$B;Dictionaries!$A:$A="Тренировка");FILTER(Dictionaries!$C:$C;Dictionaries!$A:$A="Тренировка")));IF($C363="";"";MIN($C363/40;1));IF($D363="";"";XLOOKUP($D363;FILTER(Dictionaries!$B:$B;Dictionaries!$A:$A="Шаги");FILTER(Dictionaries!$C:$C;Dictionaries!$A:$A="Шаги")));IF($E363="";"";MIN($E363/120;1));IF(OR($F363&lt;&gt;"";$G363&lt;&gt;"");1;"");IF($H363="";"";MIN($H363/100;1));IF($L363="";"";XLOOKUP($L363;FILTER(Dictionaries!$B:$B;Dictionaries!$A:$A="Сон_часы");FILTER(Dictionaries!$C:$C;Dictionaries!$A:$A="Сон_часы")));IF($M363="";"";XLOOKUP($M363;FILTER(Dictionaries!$B:$B;Dictionaries!$A:$A="Режим");FILTER(Dictionaries!$C:$C;Dictionaries!$A:$A="Режим")));IF($N363="";"";MIN($N363/100;1));IF($O363="";"";XLOOKUP($O363;FILTER(Dictionaries!$B:$B;Dictionaries!$A:$A="Настроение");FILTER(Dictionaries!$C:$C;Dictionaries!$A:$A="Настроение")));IF($P363="";"";XLOOKUP($P363;FILTER(Dictionaries!$B:$B;Dictionaries!$A:$A="Энергия");FILTER(Dictionaries!$C:$C;Dictionaries!$A:$A="Энергия")));IF($U363="";"";AVERAGE(IF(OR($B363="Ноги";$B363="Верх");IFS(AND($U363&gt;=1900;$U363&lt;=2050);1;AND($U363&gt;=1850;$U363&lt;1900);0,7;AND($U363&gt;2050;$U363&lt;=2100);0,7;TRUE;0,2);IFS(AND($U363&gt;=1700;$U363&lt;=1850);1;AND($U363&gt;=1650;$U363&lt;1700);0,7;AND($U363&gt;1850;$U363&lt;=1900);0,7;TRUE;0,2));IF(OR($B363="Ноги";$B363="Верх");IFS(AND($V363&gt;=125;$V363&lt;=135);1;AND($V363&gt;=115;$V363&lt;125);0,7;AND($V363&gt;135;$V363&lt;=145);0,7;AND($V363&gt;=105;$V363&lt;115);0,4;AND($V363&gt;145;$V363&lt;=155);0,4;TRUE;0,2);IFS(AND($V363&gt;=120;$V363&lt;=130);1;AND($V363&gt;=110;$V363&lt;120);0,7;AND($V363&gt;130;$V363&lt;=140);0,7;AND($V363&gt;=100;$V363&lt;110);0,4;AND($V363&gt;140;$V363&lt;=150);0,4;TRUE;0,2));IFS(AND($W363&gt;=55;$W363&lt;=65);1;AND($W363&gt;=50;$W363&lt;55);0,7;AND($W363&gt;65;$W363&lt;=70);0,7;AND($W363&gt;=45;$W363&lt;50);0,4;AND($W363&gt;70;$W363&lt;=75);0,4;TRUE;0,2);IF(OR($B363="Ноги";$B363="Верх");IFS(AND($X363&gt;=180;$X363&lt;=210);1;AND($X363&gt;=160;$X363&lt;180);0,7;AND($X363&gt;210;$X363&lt;=230);0,7;AND($X363&gt;=140;$X363&lt;160);0,4;AND($X363&gt;230;$X363&lt;=250);0,4;TRUE;0,2);IFS(AND($X363&gt;=140;$X363&lt;=170);1;AND($X363&gt;=120;$X363&lt;140);0,7;AND($X363&gt;170;$X363&lt;=190);0,7;AND($X363&gt;=100;$X363&lt;120);0,4;AND($X363&gt;190;$X363&lt;=210);0,4;TRUE;0,2)))));1);""))</f>
        <v/>
      </c>
      <c r="Z363">
        <f>IF($A363="";"";TEXTJOIN(", ";TRUE;IF($B363="";"Тренировка";"");IF($C363="";"Кардио";"");IF($D363="";"Шаги";"");IF($E363="";"Английский";"");IF($F363="";"Код-режим";"");IF($G363="";"Код-тема";"");IF($H363="";"Чтение";"");IF($L363="";"Сон";"");IF($M363="";"Режим";"");IF($N363="";"Продуктивность";"");IF($O363="";"Настроение";"");IF($P363="";"Энергия";"");IF($U363="";"Еда";"")))</f>
        <v/>
      </c>
    </row>
    <row r="364">
      <c r="B364" t="inlineStr"/>
      <c r="C364" t="inlineStr"/>
      <c r="D364" t="inlineStr"/>
      <c r="E364" t="inlineStr"/>
      <c r="F364" t="inlineStr"/>
      <c r="G364" t="inlineStr"/>
      <c r="H364" t="inlineStr"/>
      <c r="I364" t="inlineStr"/>
      <c r="J364" t="inlineStr"/>
      <c r="K364" t="inlineStr"/>
      <c r="L364" t="inlineStr"/>
      <c r="M364" t="inlineStr"/>
      <c r="N364" t="inlineStr"/>
      <c r="O364" t="inlineStr"/>
      <c r="P364" t="inlineStr"/>
      <c r="Q364" t="inlineStr"/>
      <c r="R364" t="inlineStr"/>
      <c r="S364" t="inlineStr"/>
      <c r="T364" t="inlineStr"/>
      <c r="U364">
        <f>IF($A364="";"";IF(SUMIF(FoodLog!$A:$A;$A364;FoodLog!$I:$I)=0;"";SUMIF(FoodLog!$A:$A;$A364;FoodLog!$I:$I)))</f>
        <v/>
      </c>
      <c r="V364">
        <f>IF($A364="";"";IF(SUMIF(FoodLog!$A:$A;$A364;FoodLog!$F:$F)=0;"";SUMIF(FoodLog!$A:$A;$A364;FoodLog!$F:$F)))</f>
        <v/>
      </c>
      <c r="W364">
        <f>IF($A364="";"";IF(SUMIF(FoodLog!$A:$A;$A364;FoodLog!$G:$G)=0;"";SUMIF(FoodLog!$A:$A;$A364;FoodLog!$G:$G)))</f>
        <v/>
      </c>
      <c r="X364">
        <f>IF($A364="";"";IF(SUMIF(FoodLog!$A:$A;$A364;FoodLog!$H:$H)=0;"";SUMIF(FoodLog!$A:$A;$A364;FoodLog!$H:$H)))</f>
        <v/>
      </c>
      <c r="Y364">
        <f>IF($A364="";"";IFERROR(ROUND(100*AVERAGE(IF($B364="";"";XLOOKUP($B364;FILTER(Dictionaries!$B:$B;Dictionaries!$A:$A="Тренировка");FILTER(Dictionaries!$C:$C;Dictionaries!$A:$A="Тренировка")));IF($C364="";"";MIN($C364/40;1));IF($D364="";"";XLOOKUP($D364;FILTER(Dictionaries!$B:$B;Dictionaries!$A:$A="Шаги");FILTER(Dictionaries!$C:$C;Dictionaries!$A:$A="Шаги")));IF($E364="";"";MIN($E364/120;1));IF(OR($F364&lt;&gt;"";$G364&lt;&gt;"");1;"");IF($H364="";"";MIN($H364/100;1));IF($L364="";"";XLOOKUP($L364;FILTER(Dictionaries!$B:$B;Dictionaries!$A:$A="Сон_часы");FILTER(Dictionaries!$C:$C;Dictionaries!$A:$A="Сон_часы")));IF($M364="";"";XLOOKUP($M364;FILTER(Dictionaries!$B:$B;Dictionaries!$A:$A="Режим");FILTER(Dictionaries!$C:$C;Dictionaries!$A:$A="Режим")));IF($N364="";"";MIN($N364/100;1));IF($O364="";"";XLOOKUP($O364;FILTER(Dictionaries!$B:$B;Dictionaries!$A:$A="Настроение");FILTER(Dictionaries!$C:$C;Dictionaries!$A:$A="Настроение")));IF($P364="";"";XLOOKUP($P364;FILTER(Dictionaries!$B:$B;Dictionaries!$A:$A="Энергия");FILTER(Dictionaries!$C:$C;Dictionaries!$A:$A="Энергия")));IF($U364="";"";AVERAGE(IF(OR($B364="Ноги";$B364="Верх");IFS(AND($U364&gt;=1900;$U364&lt;=2050);1;AND($U364&gt;=1850;$U364&lt;1900);0,7;AND($U364&gt;2050;$U364&lt;=2100);0,7;TRUE;0,2);IFS(AND($U364&gt;=1700;$U364&lt;=1850);1;AND($U364&gt;=1650;$U364&lt;1700);0,7;AND($U364&gt;1850;$U364&lt;=1900);0,7;TRUE;0,2));IF(OR($B364="Ноги";$B364="Верх");IFS(AND($V364&gt;=125;$V364&lt;=135);1;AND($V364&gt;=115;$V364&lt;125);0,7;AND($V364&gt;135;$V364&lt;=145);0,7;AND($V364&gt;=105;$V364&lt;115);0,4;AND($V364&gt;145;$V364&lt;=155);0,4;TRUE;0,2);IFS(AND($V364&gt;=120;$V364&lt;=130);1;AND($V364&gt;=110;$V364&lt;120);0,7;AND($V364&gt;130;$V364&lt;=140);0,7;AND($V364&gt;=100;$V364&lt;110);0,4;AND($V364&gt;140;$V364&lt;=150);0,4;TRUE;0,2));IFS(AND($W364&gt;=55;$W364&lt;=65);1;AND($W364&gt;=50;$W364&lt;55);0,7;AND($W364&gt;65;$W364&lt;=70);0,7;AND($W364&gt;=45;$W364&lt;50);0,4;AND($W364&gt;70;$W364&lt;=75);0,4;TRUE;0,2);IF(OR($B364="Ноги";$B364="Верх");IFS(AND($X364&gt;=180;$X364&lt;=210);1;AND($X364&gt;=160;$X364&lt;180);0,7;AND($X364&gt;210;$X364&lt;=230);0,7;AND($X364&gt;=140;$X364&lt;160);0,4;AND($X364&gt;230;$X364&lt;=250);0,4;TRUE;0,2);IFS(AND($X364&gt;=140;$X364&lt;=170);1;AND($X364&gt;=120;$X364&lt;140);0,7;AND($X364&gt;170;$X364&lt;=190);0,7;AND($X364&gt;=100;$X364&lt;120);0,4;AND($X364&gt;190;$X364&lt;=210);0,4;TRUE;0,2)))));1);""))</f>
        <v/>
      </c>
      <c r="Z364">
        <f>IF($A364="";"";TEXTJOIN(", ";TRUE;IF($B364="";"Тренировка";"");IF($C364="";"Кардио";"");IF($D364="";"Шаги";"");IF($E364="";"Английский";"");IF($F364="";"Код-режим";"");IF($G364="";"Код-тема";"");IF($H364="";"Чтение";"");IF($L364="";"Сон";"");IF($M364="";"Режим";"");IF($N364="";"Продуктивность";"");IF($O364="";"Настроение";"");IF($P364="";"Энергия";"");IF($U364="";"Еда";"")))</f>
        <v/>
      </c>
    </row>
    <row r="365">
      <c r="B365" t="inlineStr"/>
      <c r="C365" t="inlineStr"/>
      <c r="D365" t="inlineStr"/>
      <c r="E365" t="inlineStr"/>
      <c r="F365" t="inlineStr"/>
      <c r="G365" t="inlineStr"/>
      <c r="H365" t="inlineStr"/>
      <c r="I365" t="inlineStr"/>
      <c r="J365" t="inlineStr"/>
      <c r="K365" t="inlineStr"/>
      <c r="L365" t="inlineStr"/>
      <c r="M365" t="inlineStr"/>
      <c r="N365" t="inlineStr"/>
      <c r="O365" t="inlineStr"/>
      <c r="P365" t="inlineStr"/>
      <c r="Q365" t="inlineStr"/>
      <c r="R365" t="inlineStr"/>
      <c r="S365" t="inlineStr"/>
      <c r="T365" t="inlineStr"/>
      <c r="U365">
        <f>IF($A365="";"";IF(SUMIF(FoodLog!$A:$A;$A365;FoodLog!$I:$I)=0;"";SUMIF(FoodLog!$A:$A;$A365;FoodLog!$I:$I)))</f>
        <v/>
      </c>
      <c r="V365">
        <f>IF($A365="";"";IF(SUMIF(FoodLog!$A:$A;$A365;FoodLog!$F:$F)=0;"";SUMIF(FoodLog!$A:$A;$A365;FoodLog!$F:$F)))</f>
        <v/>
      </c>
      <c r="W365">
        <f>IF($A365="";"";IF(SUMIF(FoodLog!$A:$A;$A365;FoodLog!$G:$G)=0;"";SUMIF(FoodLog!$A:$A;$A365;FoodLog!$G:$G)))</f>
        <v/>
      </c>
      <c r="X365">
        <f>IF($A365="";"";IF(SUMIF(FoodLog!$A:$A;$A365;FoodLog!$H:$H)=0;"";SUMIF(FoodLog!$A:$A;$A365;FoodLog!$H:$H)))</f>
        <v/>
      </c>
      <c r="Y365">
        <f>IF($A365="";"";IFERROR(ROUND(100*AVERAGE(IF($B365="";"";XLOOKUP($B365;FILTER(Dictionaries!$B:$B;Dictionaries!$A:$A="Тренировка");FILTER(Dictionaries!$C:$C;Dictionaries!$A:$A="Тренировка")));IF($C365="";"";MIN($C365/40;1));IF($D365="";"";XLOOKUP($D365;FILTER(Dictionaries!$B:$B;Dictionaries!$A:$A="Шаги");FILTER(Dictionaries!$C:$C;Dictionaries!$A:$A="Шаги")));IF($E365="";"";MIN($E365/120;1));IF(OR($F365&lt;&gt;"";$G365&lt;&gt;"");1;"");IF($H365="";"";MIN($H365/100;1));IF($L365="";"";XLOOKUP($L365;FILTER(Dictionaries!$B:$B;Dictionaries!$A:$A="Сон_часы");FILTER(Dictionaries!$C:$C;Dictionaries!$A:$A="Сон_часы")));IF($M365="";"";XLOOKUP($M365;FILTER(Dictionaries!$B:$B;Dictionaries!$A:$A="Режим");FILTER(Dictionaries!$C:$C;Dictionaries!$A:$A="Режим")));IF($N365="";"";MIN($N365/100;1));IF($O365="";"";XLOOKUP($O365;FILTER(Dictionaries!$B:$B;Dictionaries!$A:$A="Настроение");FILTER(Dictionaries!$C:$C;Dictionaries!$A:$A="Настроение")));IF($P365="";"";XLOOKUP($P365;FILTER(Dictionaries!$B:$B;Dictionaries!$A:$A="Энергия");FILTER(Dictionaries!$C:$C;Dictionaries!$A:$A="Энергия")));IF($U365="";"";AVERAGE(IF(OR($B365="Ноги";$B365="Верх");IFS(AND($U365&gt;=1900;$U365&lt;=2050);1;AND($U365&gt;=1850;$U365&lt;1900);0,7;AND($U365&gt;2050;$U365&lt;=2100);0,7;TRUE;0,2);IFS(AND($U365&gt;=1700;$U365&lt;=1850);1;AND($U365&gt;=1650;$U365&lt;1700);0,7;AND($U365&gt;1850;$U365&lt;=1900);0,7;TRUE;0,2));IF(OR($B365="Ноги";$B365="Верх");IFS(AND($V365&gt;=125;$V365&lt;=135);1;AND($V365&gt;=115;$V365&lt;125);0,7;AND($V365&gt;135;$V365&lt;=145);0,7;AND($V365&gt;=105;$V365&lt;115);0,4;AND($V365&gt;145;$V365&lt;=155);0,4;TRUE;0,2);IFS(AND($V365&gt;=120;$V365&lt;=130);1;AND($V365&gt;=110;$V365&lt;120);0,7;AND($V365&gt;130;$V365&lt;=140);0,7;AND($V365&gt;=100;$V365&lt;110);0,4;AND($V365&gt;140;$V365&lt;=150);0,4;TRUE;0,2));IFS(AND($W365&gt;=55;$W365&lt;=65);1;AND($W365&gt;=50;$W365&lt;55);0,7;AND($W365&gt;65;$W365&lt;=70);0,7;AND($W365&gt;=45;$W365&lt;50);0,4;AND($W365&gt;70;$W365&lt;=75);0,4;TRUE;0,2);IF(OR($B365="Ноги";$B365="Верх");IFS(AND($X365&gt;=180;$X365&lt;=210);1;AND($X365&gt;=160;$X365&lt;180);0,7;AND($X365&gt;210;$X365&lt;=230);0,7;AND($X365&gt;=140;$X365&lt;160);0,4;AND($X365&gt;230;$X365&lt;=250);0,4;TRUE;0,2);IFS(AND($X365&gt;=140;$X365&lt;=170);1;AND($X365&gt;=120;$X365&lt;140);0,7;AND($X365&gt;170;$X365&lt;=190);0,7;AND($X365&gt;=100;$X365&lt;120);0,4;AND($X365&gt;190;$X365&lt;=210);0,4;TRUE;0,2)))));1);""))</f>
        <v/>
      </c>
      <c r="Z365">
        <f>IF($A365="";"";TEXTJOIN(", ";TRUE;IF($B365="";"Тренировка";"");IF($C365="";"Кардио";"");IF($D365="";"Шаги";"");IF($E365="";"Английский";"");IF($F365="";"Код-режим";"");IF($G365="";"Код-тема";"");IF($H365="";"Чтение";"");IF($L365="";"Сон";"");IF($M365="";"Режим";"");IF($N365="";"Продуктивность";"");IF($O365="";"Настроение";"");IF($P365="";"Энергия";"");IF($U365="";"Еда";"")))</f>
        <v/>
      </c>
    </row>
    <row r="366">
      <c r="B366" t="inlineStr"/>
      <c r="C366" t="inlineStr"/>
      <c r="D366" t="inlineStr"/>
      <c r="E366" t="inlineStr"/>
      <c r="F366" t="inlineStr"/>
      <c r="G366" t="inlineStr"/>
      <c r="H366" t="inlineStr"/>
      <c r="I366" t="inlineStr"/>
      <c r="J366" t="inlineStr"/>
      <c r="K366" t="inlineStr"/>
      <c r="L366" t="inlineStr"/>
      <c r="M366" t="inlineStr"/>
      <c r="N366" t="inlineStr"/>
      <c r="O366" t="inlineStr"/>
      <c r="P366" t="inlineStr"/>
      <c r="Q366" t="inlineStr"/>
      <c r="R366" t="inlineStr"/>
      <c r="S366" t="inlineStr"/>
      <c r="T366" t="inlineStr"/>
      <c r="U366">
        <f>IF($A366="";"";IF(SUMIF(FoodLog!$A:$A;$A366;FoodLog!$I:$I)=0;"";SUMIF(FoodLog!$A:$A;$A366;FoodLog!$I:$I)))</f>
        <v/>
      </c>
      <c r="V366">
        <f>IF($A366="";"";IF(SUMIF(FoodLog!$A:$A;$A366;FoodLog!$F:$F)=0;"";SUMIF(FoodLog!$A:$A;$A366;FoodLog!$F:$F)))</f>
        <v/>
      </c>
      <c r="W366">
        <f>IF($A366="";"";IF(SUMIF(FoodLog!$A:$A;$A366;FoodLog!$G:$G)=0;"";SUMIF(FoodLog!$A:$A;$A366;FoodLog!$G:$G)))</f>
        <v/>
      </c>
      <c r="X366">
        <f>IF($A366="";"";IF(SUMIF(FoodLog!$A:$A;$A366;FoodLog!$H:$H)=0;"";SUMIF(FoodLog!$A:$A;$A366;FoodLog!$H:$H)))</f>
        <v/>
      </c>
      <c r="Y366">
        <f>IF($A366="";"";IFERROR(ROUND(100*AVERAGE(IF($B366="";"";XLOOKUP($B366;FILTER(Dictionaries!$B:$B;Dictionaries!$A:$A="Тренировка");FILTER(Dictionaries!$C:$C;Dictionaries!$A:$A="Тренировка")));IF($C366="";"";MIN($C366/40;1));IF($D366="";"";XLOOKUP($D366;FILTER(Dictionaries!$B:$B;Dictionaries!$A:$A="Шаги");FILTER(Dictionaries!$C:$C;Dictionaries!$A:$A="Шаги")));IF($E366="";"";MIN($E366/120;1));IF(OR($F366&lt;&gt;"";$G366&lt;&gt;"");1;"");IF($H366="";"";MIN($H366/100;1));IF($L366="";"";XLOOKUP($L366;FILTER(Dictionaries!$B:$B;Dictionaries!$A:$A="Сон_часы");FILTER(Dictionaries!$C:$C;Dictionaries!$A:$A="Сон_часы")));IF($M366="";"";XLOOKUP($M366;FILTER(Dictionaries!$B:$B;Dictionaries!$A:$A="Режим");FILTER(Dictionaries!$C:$C;Dictionaries!$A:$A="Режим")));IF($N366="";"";MIN($N366/100;1));IF($O366="";"";XLOOKUP($O366;FILTER(Dictionaries!$B:$B;Dictionaries!$A:$A="Настроение");FILTER(Dictionaries!$C:$C;Dictionaries!$A:$A="Настроение")));IF($P366="";"";XLOOKUP($P366;FILTER(Dictionaries!$B:$B;Dictionaries!$A:$A="Энергия");FILTER(Dictionaries!$C:$C;Dictionaries!$A:$A="Энергия")));IF($U366="";"";AVERAGE(IF(OR($B366="Ноги";$B366="Верх");IFS(AND($U366&gt;=1900;$U366&lt;=2050);1;AND($U366&gt;=1850;$U366&lt;1900);0,7;AND($U366&gt;2050;$U366&lt;=2100);0,7;TRUE;0,2);IFS(AND($U366&gt;=1700;$U366&lt;=1850);1;AND($U366&gt;=1650;$U366&lt;1700);0,7;AND($U366&gt;1850;$U366&lt;=1900);0,7;TRUE;0,2));IF(OR($B366="Ноги";$B366="Верх");IFS(AND($V366&gt;=125;$V366&lt;=135);1;AND($V366&gt;=115;$V366&lt;125);0,7;AND($V366&gt;135;$V366&lt;=145);0,7;AND($V366&gt;=105;$V366&lt;115);0,4;AND($V366&gt;145;$V366&lt;=155);0,4;TRUE;0,2);IFS(AND($V366&gt;=120;$V366&lt;=130);1;AND($V366&gt;=110;$V366&lt;120);0,7;AND($V366&gt;130;$V366&lt;=140);0,7;AND($V366&gt;=100;$V366&lt;110);0,4;AND($V366&gt;140;$V366&lt;=150);0,4;TRUE;0,2));IFS(AND($W366&gt;=55;$W366&lt;=65);1;AND($W366&gt;=50;$W366&lt;55);0,7;AND($W366&gt;65;$W366&lt;=70);0,7;AND($W366&gt;=45;$W366&lt;50);0,4;AND($W366&gt;70;$W366&lt;=75);0,4;TRUE;0,2);IF(OR($B366="Ноги";$B366="Верх");IFS(AND($X366&gt;=180;$X366&lt;=210);1;AND($X366&gt;=160;$X366&lt;180);0,7;AND($X366&gt;210;$X366&lt;=230);0,7;AND($X366&gt;=140;$X366&lt;160);0,4;AND($X366&gt;230;$X366&lt;=250);0,4;TRUE;0,2);IFS(AND($X366&gt;=140;$X366&lt;=170);1;AND($X366&gt;=120;$X366&lt;140);0,7;AND($X366&gt;170;$X366&lt;=190);0,7;AND($X366&gt;=100;$X366&lt;120);0,4;AND($X366&gt;190;$X366&lt;=210);0,4;TRUE;0,2)))));1);""))</f>
        <v/>
      </c>
      <c r="Z366">
        <f>IF($A366="";"";TEXTJOIN(", ";TRUE;IF($B366="";"Тренировка";"");IF($C366="";"Кардио";"");IF($D366="";"Шаги";"");IF($E366="";"Английский";"");IF($F366="";"Код-режим";"");IF($G366="";"Код-тема";"");IF($H366="";"Чтение";"");IF($L366="";"Сон";"");IF($M366="";"Режим";"");IF($N366="";"Продуктивность";"");IF($O366="";"Настроение";"");IF($P366="";"Энергия";"");IF($U366="";"Еда";"")))</f>
        <v/>
      </c>
    </row>
    <row r="367">
      <c r="B367" t="inlineStr"/>
      <c r="C367" t="inlineStr"/>
      <c r="D367" t="inlineStr"/>
      <c r="E367" t="inlineStr"/>
      <c r="F367" t="inlineStr"/>
      <c r="G367" t="inlineStr"/>
      <c r="H367" t="inlineStr"/>
      <c r="I367" t="inlineStr"/>
      <c r="J367" t="inlineStr"/>
      <c r="K367" t="inlineStr"/>
      <c r="L367" t="inlineStr"/>
      <c r="M367" t="inlineStr"/>
      <c r="N367" t="inlineStr"/>
      <c r="O367" t="inlineStr"/>
      <c r="P367" t="inlineStr"/>
      <c r="Q367" t="inlineStr"/>
      <c r="R367" t="inlineStr"/>
      <c r="S367" t="inlineStr"/>
      <c r="T367" t="inlineStr"/>
      <c r="U367">
        <f>IF($A367="";"";IF(SUMIF(FoodLog!$A:$A;$A367;FoodLog!$I:$I)=0;"";SUMIF(FoodLog!$A:$A;$A367;FoodLog!$I:$I)))</f>
        <v/>
      </c>
      <c r="V367">
        <f>IF($A367="";"";IF(SUMIF(FoodLog!$A:$A;$A367;FoodLog!$F:$F)=0;"";SUMIF(FoodLog!$A:$A;$A367;FoodLog!$F:$F)))</f>
        <v/>
      </c>
      <c r="W367">
        <f>IF($A367="";"";IF(SUMIF(FoodLog!$A:$A;$A367;FoodLog!$G:$G)=0;"";SUMIF(FoodLog!$A:$A;$A367;FoodLog!$G:$G)))</f>
        <v/>
      </c>
      <c r="X367">
        <f>IF($A367="";"";IF(SUMIF(FoodLog!$A:$A;$A367;FoodLog!$H:$H)=0;"";SUMIF(FoodLog!$A:$A;$A367;FoodLog!$H:$H)))</f>
        <v/>
      </c>
      <c r="Y367">
        <f>IF($A367="";"";IFERROR(ROUND(100*AVERAGE(IF($B367="";"";XLOOKUP($B367;FILTER(Dictionaries!$B:$B;Dictionaries!$A:$A="Тренировка");FILTER(Dictionaries!$C:$C;Dictionaries!$A:$A="Тренировка")));IF($C367="";"";MIN($C367/40;1));IF($D367="";"";XLOOKUP($D367;FILTER(Dictionaries!$B:$B;Dictionaries!$A:$A="Шаги");FILTER(Dictionaries!$C:$C;Dictionaries!$A:$A="Шаги")));IF($E367="";"";MIN($E367/120;1));IF(OR($F367&lt;&gt;"";$G367&lt;&gt;"");1;"");IF($H367="";"";MIN($H367/100;1));IF($L367="";"";XLOOKUP($L367;FILTER(Dictionaries!$B:$B;Dictionaries!$A:$A="Сон_часы");FILTER(Dictionaries!$C:$C;Dictionaries!$A:$A="Сон_часы")));IF($M367="";"";XLOOKUP($M367;FILTER(Dictionaries!$B:$B;Dictionaries!$A:$A="Режим");FILTER(Dictionaries!$C:$C;Dictionaries!$A:$A="Режим")));IF($N367="";"";MIN($N367/100;1));IF($O367="";"";XLOOKUP($O367;FILTER(Dictionaries!$B:$B;Dictionaries!$A:$A="Настроение");FILTER(Dictionaries!$C:$C;Dictionaries!$A:$A="Настроение")));IF($P367="";"";XLOOKUP($P367;FILTER(Dictionaries!$B:$B;Dictionaries!$A:$A="Энергия");FILTER(Dictionaries!$C:$C;Dictionaries!$A:$A="Энергия")));IF($U367="";"";AVERAGE(IF(OR($B367="Ноги";$B367="Верх");IFS(AND($U367&gt;=1900;$U367&lt;=2050);1;AND($U367&gt;=1850;$U367&lt;1900);0,7;AND($U367&gt;2050;$U367&lt;=2100);0,7;TRUE;0,2);IFS(AND($U367&gt;=1700;$U367&lt;=1850);1;AND($U367&gt;=1650;$U367&lt;1700);0,7;AND($U367&gt;1850;$U367&lt;=1900);0,7;TRUE;0,2));IF(OR($B367="Ноги";$B367="Верх");IFS(AND($V367&gt;=125;$V367&lt;=135);1;AND($V367&gt;=115;$V367&lt;125);0,7;AND($V367&gt;135;$V367&lt;=145);0,7;AND($V367&gt;=105;$V367&lt;115);0,4;AND($V367&gt;145;$V367&lt;=155);0,4;TRUE;0,2);IFS(AND($V367&gt;=120;$V367&lt;=130);1;AND($V367&gt;=110;$V367&lt;120);0,7;AND($V367&gt;130;$V367&lt;=140);0,7;AND($V367&gt;=100;$V367&lt;110);0,4;AND($V367&gt;140;$V367&lt;=150);0,4;TRUE;0,2));IFS(AND($W367&gt;=55;$W367&lt;=65);1;AND($W367&gt;=50;$W367&lt;55);0,7;AND($W367&gt;65;$W367&lt;=70);0,7;AND($W367&gt;=45;$W367&lt;50);0,4;AND($W367&gt;70;$W367&lt;=75);0,4;TRUE;0,2);IF(OR($B367="Ноги";$B367="Верх");IFS(AND($X367&gt;=180;$X367&lt;=210);1;AND($X367&gt;=160;$X367&lt;180);0,7;AND($X367&gt;210;$X367&lt;=230);0,7;AND($X367&gt;=140;$X367&lt;160);0,4;AND($X367&gt;230;$X367&lt;=250);0,4;TRUE;0,2);IFS(AND($X367&gt;=140;$X367&lt;=170);1;AND($X367&gt;=120;$X367&lt;140);0,7;AND($X367&gt;170;$X367&lt;=190);0,7;AND($X367&gt;=100;$X367&lt;120);0,4;AND($X367&gt;190;$X367&lt;=210);0,4;TRUE;0,2)))));1);""))</f>
        <v/>
      </c>
      <c r="Z367">
        <f>IF($A367="";"";TEXTJOIN(", ";TRUE;IF($B367="";"Тренировка";"");IF($C367="";"Кардио";"");IF($D367="";"Шаги";"");IF($E367="";"Английский";"");IF($F367="";"Код-режим";"");IF($G367="";"Код-тема";"");IF($H367="";"Чтение";"");IF($L367="";"Сон";"");IF($M367="";"Режим";"");IF($N367="";"Продуктивность";"");IF($O367="";"Настроение";"");IF($P367="";"Энергия";"");IF($U367="";"Еда";"")))</f>
        <v/>
      </c>
    </row>
    <row r="368">
      <c r="B368" t="inlineStr"/>
      <c r="C368" t="inlineStr"/>
      <c r="D368" t="inlineStr"/>
      <c r="E368" t="inlineStr"/>
      <c r="F368" t="inlineStr"/>
      <c r="G368" t="inlineStr"/>
      <c r="H368" t="inlineStr"/>
      <c r="I368" t="inlineStr"/>
      <c r="J368" t="inlineStr"/>
      <c r="K368" t="inlineStr"/>
      <c r="L368" t="inlineStr"/>
      <c r="M368" t="inlineStr"/>
      <c r="N368" t="inlineStr"/>
      <c r="O368" t="inlineStr"/>
      <c r="P368" t="inlineStr"/>
      <c r="Q368" t="inlineStr"/>
      <c r="R368" t="inlineStr"/>
      <c r="S368" t="inlineStr"/>
      <c r="T368" t="inlineStr"/>
      <c r="U368">
        <f>IF($A368="";"";IF(SUMIF(FoodLog!$A:$A;$A368;FoodLog!$I:$I)=0;"";SUMIF(FoodLog!$A:$A;$A368;FoodLog!$I:$I)))</f>
        <v/>
      </c>
      <c r="V368">
        <f>IF($A368="";"";IF(SUMIF(FoodLog!$A:$A;$A368;FoodLog!$F:$F)=0;"";SUMIF(FoodLog!$A:$A;$A368;FoodLog!$F:$F)))</f>
        <v/>
      </c>
      <c r="W368">
        <f>IF($A368="";"";IF(SUMIF(FoodLog!$A:$A;$A368;FoodLog!$G:$G)=0;"";SUMIF(FoodLog!$A:$A;$A368;FoodLog!$G:$G)))</f>
        <v/>
      </c>
      <c r="X368">
        <f>IF($A368="";"";IF(SUMIF(FoodLog!$A:$A;$A368;FoodLog!$H:$H)=0;"";SUMIF(FoodLog!$A:$A;$A368;FoodLog!$H:$H)))</f>
        <v/>
      </c>
      <c r="Y368">
        <f>IF($A368="";"";IFERROR(ROUND(100*AVERAGE(IF($B368="";"";XLOOKUP($B368;FILTER(Dictionaries!$B:$B;Dictionaries!$A:$A="Тренировка");FILTER(Dictionaries!$C:$C;Dictionaries!$A:$A="Тренировка")));IF($C368="";"";MIN($C368/40;1));IF($D368="";"";XLOOKUP($D368;FILTER(Dictionaries!$B:$B;Dictionaries!$A:$A="Шаги");FILTER(Dictionaries!$C:$C;Dictionaries!$A:$A="Шаги")));IF($E368="";"";MIN($E368/120;1));IF(OR($F368&lt;&gt;"";$G368&lt;&gt;"");1;"");IF($H368="";"";MIN($H368/100;1));IF($L368="";"";XLOOKUP($L368;FILTER(Dictionaries!$B:$B;Dictionaries!$A:$A="Сон_часы");FILTER(Dictionaries!$C:$C;Dictionaries!$A:$A="Сон_часы")));IF($M368="";"";XLOOKUP($M368;FILTER(Dictionaries!$B:$B;Dictionaries!$A:$A="Режим");FILTER(Dictionaries!$C:$C;Dictionaries!$A:$A="Режим")));IF($N368="";"";MIN($N368/100;1));IF($O368="";"";XLOOKUP($O368;FILTER(Dictionaries!$B:$B;Dictionaries!$A:$A="Настроение");FILTER(Dictionaries!$C:$C;Dictionaries!$A:$A="Настроение")));IF($P368="";"";XLOOKUP($P368;FILTER(Dictionaries!$B:$B;Dictionaries!$A:$A="Энергия");FILTER(Dictionaries!$C:$C;Dictionaries!$A:$A="Энергия")));IF($U368="";"";AVERAGE(IF(OR($B368="Ноги";$B368="Верх");IFS(AND($U368&gt;=1900;$U368&lt;=2050);1;AND($U368&gt;=1850;$U368&lt;1900);0,7;AND($U368&gt;2050;$U368&lt;=2100);0,7;TRUE;0,2);IFS(AND($U368&gt;=1700;$U368&lt;=1850);1;AND($U368&gt;=1650;$U368&lt;1700);0,7;AND($U368&gt;1850;$U368&lt;=1900);0,7;TRUE;0,2));IF(OR($B368="Ноги";$B368="Верх");IFS(AND($V368&gt;=125;$V368&lt;=135);1;AND($V368&gt;=115;$V368&lt;125);0,7;AND($V368&gt;135;$V368&lt;=145);0,7;AND($V368&gt;=105;$V368&lt;115);0,4;AND($V368&gt;145;$V368&lt;=155);0,4;TRUE;0,2);IFS(AND($V368&gt;=120;$V368&lt;=130);1;AND($V368&gt;=110;$V368&lt;120);0,7;AND($V368&gt;130;$V368&lt;=140);0,7;AND($V368&gt;=100;$V368&lt;110);0,4;AND($V368&gt;140;$V368&lt;=150);0,4;TRUE;0,2));IFS(AND($W368&gt;=55;$W368&lt;=65);1;AND($W368&gt;=50;$W368&lt;55);0,7;AND($W368&gt;65;$W368&lt;=70);0,7;AND($W368&gt;=45;$W368&lt;50);0,4;AND($W368&gt;70;$W368&lt;=75);0,4;TRUE;0,2);IF(OR($B368="Ноги";$B368="Верх");IFS(AND($X368&gt;=180;$X368&lt;=210);1;AND($X368&gt;=160;$X368&lt;180);0,7;AND($X368&gt;210;$X368&lt;=230);0,7;AND($X368&gt;=140;$X368&lt;160);0,4;AND($X368&gt;230;$X368&lt;=250);0,4;TRUE;0,2);IFS(AND($X368&gt;=140;$X368&lt;=170);1;AND($X368&gt;=120;$X368&lt;140);0,7;AND($X368&gt;170;$X368&lt;=190);0,7;AND($X368&gt;=100;$X368&lt;120);0,4;AND($X368&gt;190;$X368&lt;=210);0,4;TRUE;0,2)))));1);""))</f>
        <v/>
      </c>
      <c r="Z368">
        <f>IF($A368="";"";TEXTJOIN(", ";TRUE;IF($B368="";"Тренировка";"");IF($C368="";"Кардио";"");IF($D368="";"Шаги";"");IF($E368="";"Английский";"");IF($F368="";"Код-режим";"");IF($G368="";"Код-тема";"");IF($H368="";"Чтение";"");IF($L368="";"Сон";"");IF($M368="";"Режим";"");IF($N368="";"Продуктивность";"");IF($O368="";"Настроение";"");IF($P368="";"Энергия";"");IF($U368="";"Еда";"")))</f>
        <v/>
      </c>
    </row>
    <row r="369">
      <c r="B369" t="inlineStr"/>
      <c r="C369" t="inlineStr"/>
      <c r="D369" t="inlineStr"/>
      <c r="E369" t="inlineStr"/>
      <c r="F369" t="inlineStr"/>
      <c r="G369" t="inlineStr"/>
      <c r="H369" t="inlineStr"/>
      <c r="I369" t="inlineStr"/>
      <c r="J369" t="inlineStr"/>
      <c r="K369" t="inlineStr"/>
      <c r="L369" t="inlineStr"/>
      <c r="M369" t="inlineStr"/>
      <c r="N369" t="inlineStr"/>
      <c r="O369" t="inlineStr"/>
      <c r="P369" t="inlineStr"/>
      <c r="Q369" t="inlineStr"/>
      <c r="R369" t="inlineStr"/>
      <c r="S369" t="inlineStr"/>
      <c r="T369" t="inlineStr"/>
      <c r="U369">
        <f>IF($A369="";"";IF(SUMIF(FoodLog!$A:$A;$A369;FoodLog!$I:$I)=0;"";SUMIF(FoodLog!$A:$A;$A369;FoodLog!$I:$I)))</f>
        <v/>
      </c>
      <c r="V369">
        <f>IF($A369="";"";IF(SUMIF(FoodLog!$A:$A;$A369;FoodLog!$F:$F)=0;"";SUMIF(FoodLog!$A:$A;$A369;FoodLog!$F:$F)))</f>
        <v/>
      </c>
      <c r="W369">
        <f>IF($A369="";"";IF(SUMIF(FoodLog!$A:$A;$A369;FoodLog!$G:$G)=0;"";SUMIF(FoodLog!$A:$A;$A369;FoodLog!$G:$G)))</f>
        <v/>
      </c>
      <c r="X369">
        <f>IF($A369="";"";IF(SUMIF(FoodLog!$A:$A;$A369;FoodLog!$H:$H)=0;"";SUMIF(FoodLog!$A:$A;$A369;FoodLog!$H:$H)))</f>
        <v/>
      </c>
      <c r="Y369">
        <f>IF($A369="";"";IFERROR(ROUND(100*AVERAGE(IF($B369="";"";XLOOKUP($B369;FILTER(Dictionaries!$B:$B;Dictionaries!$A:$A="Тренировка");FILTER(Dictionaries!$C:$C;Dictionaries!$A:$A="Тренировка")));IF($C369="";"";MIN($C369/40;1));IF($D369="";"";XLOOKUP($D369;FILTER(Dictionaries!$B:$B;Dictionaries!$A:$A="Шаги");FILTER(Dictionaries!$C:$C;Dictionaries!$A:$A="Шаги")));IF($E369="";"";MIN($E369/120;1));IF(OR($F369&lt;&gt;"";$G369&lt;&gt;"");1;"");IF($H369="";"";MIN($H369/100;1));IF($L369="";"";XLOOKUP($L369;FILTER(Dictionaries!$B:$B;Dictionaries!$A:$A="Сон_часы");FILTER(Dictionaries!$C:$C;Dictionaries!$A:$A="Сон_часы")));IF($M369="";"";XLOOKUP($M369;FILTER(Dictionaries!$B:$B;Dictionaries!$A:$A="Режим");FILTER(Dictionaries!$C:$C;Dictionaries!$A:$A="Режим")));IF($N369="";"";MIN($N369/100;1));IF($O369="";"";XLOOKUP($O369;FILTER(Dictionaries!$B:$B;Dictionaries!$A:$A="Настроение");FILTER(Dictionaries!$C:$C;Dictionaries!$A:$A="Настроение")));IF($P369="";"";XLOOKUP($P369;FILTER(Dictionaries!$B:$B;Dictionaries!$A:$A="Энергия");FILTER(Dictionaries!$C:$C;Dictionaries!$A:$A="Энергия")));IF($U369="";"";AVERAGE(IF(OR($B369="Ноги";$B369="Верх");IFS(AND($U369&gt;=1900;$U369&lt;=2050);1;AND($U369&gt;=1850;$U369&lt;1900);0,7;AND($U369&gt;2050;$U369&lt;=2100);0,7;TRUE;0,2);IFS(AND($U369&gt;=1700;$U369&lt;=1850);1;AND($U369&gt;=1650;$U369&lt;1700);0,7;AND($U369&gt;1850;$U369&lt;=1900);0,7;TRUE;0,2));IF(OR($B369="Ноги";$B369="Верх");IFS(AND($V369&gt;=125;$V369&lt;=135);1;AND($V369&gt;=115;$V369&lt;125);0,7;AND($V369&gt;135;$V369&lt;=145);0,7;AND($V369&gt;=105;$V369&lt;115);0,4;AND($V369&gt;145;$V369&lt;=155);0,4;TRUE;0,2);IFS(AND($V369&gt;=120;$V369&lt;=130);1;AND($V369&gt;=110;$V369&lt;120);0,7;AND($V369&gt;130;$V369&lt;=140);0,7;AND($V369&gt;=100;$V369&lt;110);0,4;AND($V369&gt;140;$V369&lt;=150);0,4;TRUE;0,2));IFS(AND($W369&gt;=55;$W369&lt;=65);1;AND($W369&gt;=50;$W369&lt;55);0,7;AND($W369&gt;65;$W369&lt;=70);0,7;AND($W369&gt;=45;$W369&lt;50);0,4;AND($W369&gt;70;$W369&lt;=75);0,4;TRUE;0,2);IF(OR($B369="Ноги";$B369="Верх");IFS(AND($X369&gt;=180;$X369&lt;=210);1;AND($X369&gt;=160;$X369&lt;180);0,7;AND($X369&gt;210;$X369&lt;=230);0,7;AND($X369&gt;=140;$X369&lt;160);0,4;AND($X369&gt;230;$X369&lt;=250);0,4;TRUE;0,2);IFS(AND($X369&gt;=140;$X369&lt;=170);1;AND($X369&gt;=120;$X369&lt;140);0,7;AND($X369&gt;170;$X369&lt;=190);0,7;AND($X369&gt;=100;$X369&lt;120);0,4;AND($X369&gt;190;$X369&lt;=210);0,4;TRUE;0,2)))));1);""))</f>
        <v/>
      </c>
      <c r="Z369">
        <f>IF($A369="";"";TEXTJOIN(", ";TRUE;IF($B369="";"Тренировка";"");IF($C369="";"Кардио";"");IF($D369="";"Шаги";"");IF($E369="";"Английский";"");IF($F369="";"Код-режим";"");IF($G369="";"Код-тема";"");IF($H369="";"Чтение";"");IF($L369="";"Сон";"");IF($M369="";"Режим";"");IF($N369="";"Продуктивность";"");IF($O369="";"Настроение";"");IF($P369="";"Энергия";"");IF($U369="";"Еда";"")))</f>
        <v/>
      </c>
    </row>
    <row r="370">
      <c r="B370" t="inlineStr"/>
      <c r="C370" t="inlineStr"/>
      <c r="D370" t="inlineStr"/>
      <c r="E370" t="inlineStr"/>
      <c r="F370" t="inlineStr"/>
      <c r="G370" t="inlineStr"/>
      <c r="H370" t="inlineStr"/>
      <c r="I370" t="inlineStr"/>
      <c r="J370" t="inlineStr"/>
      <c r="K370" t="inlineStr"/>
      <c r="L370" t="inlineStr"/>
      <c r="M370" t="inlineStr"/>
      <c r="N370" t="inlineStr"/>
      <c r="O370" t="inlineStr"/>
      <c r="P370" t="inlineStr"/>
      <c r="Q370" t="inlineStr"/>
      <c r="R370" t="inlineStr"/>
      <c r="S370" t="inlineStr"/>
      <c r="T370" t="inlineStr"/>
      <c r="U370">
        <f>IF($A370="";"";IF(SUMIF(FoodLog!$A:$A;$A370;FoodLog!$I:$I)=0;"";SUMIF(FoodLog!$A:$A;$A370;FoodLog!$I:$I)))</f>
        <v/>
      </c>
      <c r="V370">
        <f>IF($A370="";"";IF(SUMIF(FoodLog!$A:$A;$A370;FoodLog!$F:$F)=0;"";SUMIF(FoodLog!$A:$A;$A370;FoodLog!$F:$F)))</f>
        <v/>
      </c>
      <c r="W370">
        <f>IF($A370="";"";IF(SUMIF(FoodLog!$A:$A;$A370;FoodLog!$G:$G)=0;"";SUMIF(FoodLog!$A:$A;$A370;FoodLog!$G:$G)))</f>
        <v/>
      </c>
      <c r="X370">
        <f>IF($A370="";"";IF(SUMIF(FoodLog!$A:$A;$A370;FoodLog!$H:$H)=0;"";SUMIF(FoodLog!$A:$A;$A370;FoodLog!$H:$H)))</f>
        <v/>
      </c>
      <c r="Y370">
        <f>IF($A370="";"";IFERROR(ROUND(100*AVERAGE(IF($B370="";"";XLOOKUP($B370;FILTER(Dictionaries!$B:$B;Dictionaries!$A:$A="Тренировка");FILTER(Dictionaries!$C:$C;Dictionaries!$A:$A="Тренировка")));IF($C370="";"";MIN($C370/40;1));IF($D370="";"";XLOOKUP($D370;FILTER(Dictionaries!$B:$B;Dictionaries!$A:$A="Шаги");FILTER(Dictionaries!$C:$C;Dictionaries!$A:$A="Шаги")));IF($E370="";"";MIN($E370/120;1));IF(OR($F370&lt;&gt;"";$G370&lt;&gt;"");1;"");IF($H370="";"";MIN($H370/100;1));IF($L370="";"";XLOOKUP($L370;FILTER(Dictionaries!$B:$B;Dictionaries!$A:$A="Сон_часы");FILTER(Dictionaries!$C:$C;Dictionaries!$A:$A="Сон_часы")));IF($M370="";"";XLOOKUP($M370;FILTER(Dictionaries!$B:$B;Dictionaries!$A:$A="Режим");FILTER(Dictionaries!$C:$C;Dictionaries!$A:$A="Режим")));IF($N370="";"";MIN($N370/100;1));IF($O370="";"";XLOOKUP($O370;FILTER(Dictionaries!$B:$B;Dictionaries!$A:$A="Настроение");FILTER(Dictionaries!$C:$C;Dictionaries!$A:$A="Настроение")));IF($P370="";"";XLOOKUP($P370;FILTER(Dictionaries!$B:$B;Dictionaries!$A:$A="Энергия");FILTER(Dictionaries!$C:$C;Dictionaries!$A:$A="Энергия")));IF($U370="";"";AVERAGE(IF(OR($B370="Ноги";$B370="Верх");IFS(AND($U370&gt;=1900;$U370&lt;=2050);1;AND($U370&gt;=1850;$U370&lt;1900);0,7;AND($U370&gt;2050;$U370&lt;=2100);0,7;TRUE;0,2);IFS(AND($U370&gt;=1700;$U370&lt;=1850);1;AND($U370&gt;=1650;$U370&lt;1700);0,7;AND($U370&gt;1850;$U370&lt;=1900);0,7;TRUE;0,2));IF(OR($B370="Ноги";$B370="Верх");IFS(AND($V370&gt;=125;$V370&lt;=135);1;AND($V370&gt;=115;$V370&lt;125);0,7;AND($V370&gt;135;$V370&lt;=145);0,7;AND($V370&gt;=105;$V370&lt;115);0,4;AND($V370&gt;145;$V370&lt;=155);0,4;TRUE;0,2);IFS(AND($V370&gt;=120;$V370&lt;=130);1;AND($V370&gt;=110;$V370&lt;120);0,7;AND($V370&gt;130;$V370&lt;=140);0,7;AND($V370&gt;=100;$V370&lt;110);0,4;AND($V370&gt;140;$V370&lt;=150);0,4;TRUE;0,2));IFS(AND($W370&gt;=55;$W370&lt;=65);1;AND($W370&gt;=50;$W370&lt;55);0,7;AND($W370&gt;65;$W370&lt;=70);0,7;AND($W370&gt;=45;$W370&lt;50);0,4;AND($W370&gt;70;$W370&lt;=75);0,4;TRUE;0,2);IF(OR($B370="Ноги";$B370="Верх");IFS(AND($X370&gt;=180;$X370&lt;=210);1;AND($X370&gt;=160;$X370&lt;180);0,7;AND($X370&gt;210;$X370&lt;=230);0,7;AND($X370&gt;=140;$X370&lt;160);0,4;AND($X370&gt;230;$X370&lt;=250);0,4;TRUE;0,2);IFS(AND($X370&gt;=140;$X370&lt;=170);1;AND($X370&gt;=120;$X370&lt;140);0,7;AND($X370&gt;170;$X370&lt;=190);0,7;AND($X370&gt;=100;$X370&lt;120);0,4;AND($X370&gt;190;$X370&lt;=210);0,4;TRUE;0,2)))));1);""))</f>
        <v/>
      </c>
      <c r="Z370">
        <f>IF($A370="";"";TEXTJOIN(", ";TRUE;IF($B370="";"Тренировка";"");IF($C370="";"Кардио";"");IF($D370="";"Шаги";"");IF($E370="";"Английский";"");IF($F370="";"Код-режим";"");IF($G370="";"Код-тема";"");IF($H370="";"Чтение";"");IF($L370="";"Сон";"");IF($M370="";"Режим";"");IF($N370="";"Продуктивность";"");IF($O370="";"Настроение";"");IF($P370="";"Энергия";"");IF($U370="";"Еда";"")))</f>
        <v/>
      </c>
    </row>
    <row r="371">
      <c r="B371" t="inlineStr"/>
      <c r="C371" t="inlineStr"/>
      <c r="D371" t="inlineStr"/>
      <c r="E371" t="inlineStr"/>
      <c r="F371" t="inlineStr"/>
      <c r="G371" t="inlineStr"/>
      <c r="H371" t="inlineStr"/>
      <c r="I371" t="inlineStr"/>
      <c r="J371" t="inlineStr"/>
      <c r="K371" t="inlineStr"/>
      <c r="L371" t="inlineStr"/>
      <c r="M371" t="inlineStr"/>
      <c r="N371" t="inlineStr"/>
      <c r="O371" t="inlineStr"/>
      <c r="P371" t="inlineStr"/>
      <c r="Q371" t="inlineStr"/>
      <c r="R371" t="inlineStr"/>
      <c r="S371" t="inlineStr"/>
      <c r="T371" t="inlineStr"/>
      <c r="U371">
        <f>IF($A371="";"";IF(SUMIF(FoodLog!$A:$A;$A371;FoodLog!$I:$I)=0;"";SUMIF(FoodLog!$A:$A;$A371;FoodLog!$I:$I)))</f>
        <v/>
      </c>
      <c r="V371">
        <f>IF($A371="";"";IF(SUMIF(FoodLog!$A:$A;$A371;FoodLog!$F:$F)=0;"";SUMIF(FoodLog!$A:$A;$A371;FoodLog!$F:$F)))</f>
        <v/>
      </c>
      <c r="W371">
        <f>IF($A371="";"";IF(SUMIF(FoodLog!$A:$A;$A371;FoodLog!$G:$G)=0;"";SUMIF(FoodLog!$A:$A;$A371;FoodLog!$G:$G)))</f>
        <v/>
      </c>
      <c r="X371">
        <f>IF($A371="";"";IF(SUMIF(FoodLog!$A:$A;$A371;FoodLog!$H:$H)=0;"";SUMIF(FoodLog!$A:$A;$A371;FoodLog!$H:$H)))</f>
        <v/>
      </c>
      <c r="Y371">
        <f>IF($A371="";"";IFERROR(ROUND(100*AVERAGE(IF($B371="";"";XLOOKUP($B371;FILTER(Dictionaries!$B:$B;Dictionaries!$A:$A="Тренировка");FILTER(Dictionaries!$C:$C;Dictionaries!$A:$A="Тренировка")));IF($C371="";"";MIN($C371/40;1));IF($D371="";"";XLOOKUP($D371;FILTER(Dictionaries!$B:$B;Dictionaries!$A:$A="Шаги");FILTER(Dictionaries!$C:$C;Dictionaries!$A:$A="Шаги")));IF($E371="";"";MIN($E371/120;1));IF(OR($F371&lt;&gt;"";$G371&lt;&gt;"");1;"");IF($H371="";"";MIN($H371/100;1));IF($L371="";"";XLOOKUP($L371;FILTER(Dictionaries!$B:$B;Dictionaries!$A:$A="Сон_часы");FILTER(Dictionaries!$C:$C;Dictionaries!$A:$A="Сон_часы")));IF($M371="";"";XLOOKUP($M371;FILTER(Dictionaries!$B:$B;Dictionaries!$A:$A="Режим");FILTER(Dictionaries!$C:$C;Dictionaries!$A:$A="Режим")));IF($N371="";"";MIN($N371/100;1));IF($O371="";"";XLOOKUP($O371;FILTER(Dictionaries!$B:$B;Dictionaries!$A:$A="Настроение");FILTER(Dictionaries!$C:$C;Dictionaries!$A:$A="Настроение")));IF($P371="";"";XLOOKUP($P371;FILTER(Dictionaries!$B:$B;Dictionaries!$A:$A="Энергия");FILTER(Dictionaries!$C:$C;Dictionaries!$A:$A="Энергия")));IF($U371="";"";AVERAGE(IF(OR($B371="Ноги";$B371="Верх");IFS(AND($U371&gt;=1900;$U371&lt;=2050);1;AND($U371&gt;=1850;$U371&lt;1900);0,7;AND($U371&gt;2050;$U371&lt;=2100);0,7;TRUE;0,2);IFS(AND($U371&gt;=1700;$U371&lt;=1850);1;AND($U371&gt;=1650;$U371&lt;1700);0,7;AND($U371&gt;1850;$U371&lt;=1900);0,7;TRUE;0,2));IF(OR($B371="Ноги";$B371="Верх");IFS(AND($V371&gt;=125;$V371&lt;=135);1;AND($V371&gt;=115;$V371&lt;125);0,7;AND($V371&gt;135;$V371&lt;=145);0,7;AND($V371&gt;=105;$V371&lt;115);0,4;AND($V371&gt;145;$V371&lt;=155);0,4;TRUE;0,2);IFS(AND($V371&gt;=120;$V371&lt;=130);1;AND($V371&gt;=110;$V371&lt;120);0,7;AND($V371&gt;130;$V371&lt;=140);0,7;AND($V371&gt;=100;$V371&lt;110);0,4;AND($V371&gt;140;$V371&lt;=150);0,4;TRUE;0,2));IFS(AND($W371&gt;=55;$W371&lt;=65);1;AND($W371&gt;=50;$W371&lt;55);0,7;AND($W371&gt;65;$W371&lt;=70);0,7;AND($W371&gt;=45;$W371&lt;50);0,4;AND($W371&gt;70;$W371&lt;=75);0,4;TRUE;0,2);IF(OR($B371="Ноги";$B371="Верх");IFS(AND($X371&gt;=180;$X371&lt;=210);1;AND($X371&gt;=160;$X371&lt;180);0,7;AND($X371&gt;210;$X371&lt;=230);0,7;AND($X371&gt;=140;$X371&lt;160);0,4;AND($X371&gt;230;$X371&lt;=250);0,4;TRUE;0,2);IFS(AND($X371&gt;=140;$X371&lt;=170);1;AND($X371&gt;=120;$X371&lt;140);0,7;AND($X371&gt;170;$X371&lt;=190);0,7;AND($X371&gt;=100;$X371&lt;120);0,4;AND($X371&gt;190;$X371&lt;=210);0,4;TRUE;0,2)))));1);""))</f>
        <v/>
      </c>
      <c r="Z371">
        <f>IF($A371="";"";TEXTJOIN(", ";TRUE;IF($B371="";"Тренировка";"");IF($C371="";"Кардио";"");IF($D371="";"Шаги";"");IF($E371="";"Английский";"");IF($F371="";"Код-режим";"");IF($G371="";"Код-тема";"");IF($H371="";"Чтение";"");IF($L371="";"Сон";"");IF($M371="";"Режим";"");IF($N371="";"Продуктивность";"");IF($O371="";"Настроение";"");IF($P371="";"Энергия";"");IF($U371="";"Еда";"")))</f>
        <v/>
      </c>
    </row>
    <row r="372">
      <c r="B372" t="inlineStr"/>
      <c r="C372" t="inlineStr"/>
      <c r="D372" t="inlineStr"/>
      <c r="E372" t="inlineStr"/>
      <c r="F372" t="inlineStr"/>
      <c r="G372" t="inlineStr"/>
      <c r="H372" t="inlineStr"/>
      <c r="I372" t="inlineStr"/>
      <c r="J372" t="inlineStr"/>
      <c r="K372" t="inlineStr"/>
      <c r="L372" t="inlineStr"/>
      <c r="M372" t="inlineStr"/>
      <c r="N372" t="inlineStr"/>
      <c r="O372" t="inlineStr"/>
      <c r="P372" t="inlineStr"/>
      <c r="Q372" t="inlineStr"/>
      <c r="R372" t="inlineStr"/>
      <c r="S372" t="inlineStr"/>
      <c r="T372" t="inlineStr"/>
      <c r="U372">
        <f>IF($A372="";"";IF(SUMIF(FoodLog!$A:$A;$A372;FoodLog!$I:$I)=0;"";SUMIF(FoodLog!$A:$A;$A372;FoodLog!$I:$I)))</f>
        <v/>
      </c>
      <c r="V372">
        <f>IF($A372="";"";IF(SUMIF(FoodLog!$A:$A;$A372;FoodLog!$F:$F)=0;"";SUMIF(FoodLog!$A:$A;$A372;FoodLog!$F:$F)))</f>
        <v/>
      </c>
      <c r="W372">
        <f>IF($A372="";"";IF(SUMIF(FoodLog!$A:$A;$A372;FoodLog!$G:$G)=0;"";SUMIF(FoodLog!$A:$A;$A372;FoodLog!$G:$G)))</f>
        <v/>
      </c>
      <c r="X372">
        <f>IF($A372="";"";IF(SUMIF(FoodLog!$A:$A;$A372;FoodLog!$H:$H)=0;"";SUMIF(FoodLog!$A:$A;$A372;FoodLog!$H:$H)))</f>
        <v/>
      </c>
      <c r="Y372">
        <f>IF($A372="";"";IFERROR(ROUND(100*AVERAGE(IF($B372="";"";XLOOKUP($B372;FILTER(Dictionaries!$B:$B;Dictionaries!$A:$A="Тренировка");FILTER(Dictionaries!$C:$C;Dictionaries!$A:$A="Тренировка")));IF($C372="";"";MIN($C372/40;1));IF($D372="";"";XLOOKUP($D372;FILTER(Dictionaries!$B:$B;Dictionaries!$A:$A="Шаги");FILTER(Dictionaries!$C:$C;Dictionaries!$A:$A="Шаги")));IF($E372="";"";MIN($E372/120;1));IF(OR($F372&lt;&gt;"";$G372&lt;&gt;"");1;"");IF($H372="";"";MIN($H372/100;1));IF($L372="";"";XLOOKUP($L372;FILTER(Dictionaries!$B:$B;Dictionaries!$A:$A="Сон_часы");FILTER(Dictionaries!$C:$C;Dictionaries!$A:$A="Сон_часы")));IF($M372="";"";XLOOKUP($M372;FILTER(Dictionaries!$B:$B;Dictionaries!$A:$A="Режим");FILTER(Dictionaries!$C:$C;Dictionaries!$A:$A="Режим")));IF($N372="";"";MIN($N372/100;1));IF($O372="";"";XLOOKUP($O372;FILTER(Dictionaries!$B:$B;Dictionaries!$A:$A="Настроение");FILTER(Dictionaries!$C:$C;Dictionaries!$A:$A="Настроение")));IF($P372="";"";XLOOKUP($P372;FILTER(Dictionaries!$B:$B;Dictionaries!$A:$A="Энергия");FILTER(Dictionaries!$C:$C;Dictionaries!$A:$A="Энергия")));IF($U372="";"";AVERAGE(IF(OR($B372="Ноги";$B372="Верх");IFS(AND($U372&gt;=1900;$U372&lt;=2050);1;AND($U372&gt;=1850;$U372&lt;1900);0,7;AND($U372&gt;2050;$U372&lt;=2100);0,7;TRUE;0,2);IFS(AND($U372&gt;=1700;$U372&lt;=1850);1;AND($U372&gt;=1650;$U372&lt;1700);0,7;AND($U372&gt;1850;$U372&lt;=1900);0,7;TRUE;0,2));IF(OR($B372="Ноги";$B372="Верх");IFS(AND($V372&gt;=125;$V372&lt;=135);1;AND($V372&gt;=115;$V372&lt;125);0,7;AND($V372&gt;135;$V372&lt;=145);0,7;AND($V372&gt;=105;$V372&lt;115);0,4;AND($V372&gt;145;$V372&lt;=155);0,4;TRUE;0,2);IFS(AND($V372&gt;=120;$V372&lt;=130);1;AND($V372&gt;=110;$V372&lt;120);0,7;AND($V372&gt;130;$V372&lt;=140);0,7;AND($V372&gt;=100;$V372&lt;110);0,4;AND($V372&gt;140;$V372&lt;=150);0,4;TRUE;0,2));IFS(AND($W372&gt;=55;$W372&lt;=65);1;AND($W372&gt;=50;$W372&lt;55);0,7;AND($W372&gt;65;$W372&lt;=70);0,7;AND($W372&gt;=45;$W372&lt;50);0,4;AND($W372&gt;70;$W372&lt;=75);0,4;TRUE;0,2);IF(OR($B372="Ноги";$B372="Верх");IFS(AND($X372&gt;=180;$X372&lt;=210);1;AND($X372&gt;=160;$X372&lt;180);0,7;AND($X372&gt;210;$X372&lt;=230);0,7;AND($X372&gt;=140;$X372&lt;160);0,4;AND($X372&gt;230;$X372&lt;=250);0,4;TRUE;0,2);IFS(AND($X372&gt;=140;$X372&lt;=170);1;AND($X372&gt;=120;$X372&lt;140);0,7;AND($X372&gt;170;$X372&lt;=190);0,7;AND($X372&gt;=100;$X372&lt;120);0,4;AND($X372&gt;190;$X372&lt;=210);0,4;TRUE;0,2)))));1);""))</f>
        <v/>
      </c>
      <c r="Z372">
        <f>IF($A372="";"";TEXTJOIN(", ";TRUE;IF($B372="";"Тренировка";"");IF($C372="";"Кардио";"");IF($D372="";"Шаги";"");IF($E372="";"Английский";"");IF($F372="";"Код-режим";"");IF($G372="";"Код-тема";"");IF($H372="";"Чтение";"");IF($L372="";"Сон";"");IF($M372="";"Режим";"");IF($N372="";"Продуктивность";"");IF($O372="";"Настроение";"");IF($P372="";"Энергия";"");IF($U372="";"Еда";"")))</f>
        <v/>
      </c>
    </row>
    <row r="373">
      <c r="B373" t="inlineStr"/>
      <c r="C373" t="inlineStr"/>
      <c r="D373" t="inlineStr"/>
      <c r="E373" t="inlineStr"/>
      <c r="F373" t="inlineStr"/>
      <c r="G373" t="inlineStr"/>
      <c r="H373" t="inlineStr"/>
      <c r="I373" t="inlineStr"/>
      <c r="J373" t="inlineStr"/>
      <c r="K373" t="inlineStr"/>
      <c r="L373" t="inlineStr"/>
      <c r="M373" t="inlineStr"/>
      <c r="N373" t="inlineStr"/>
      <c r="O373" t="inlineStr"/>
      <c r="P373" t="inlineStr"/>
      <c r="Q373" t="inlineStr"/>
      <c r="R373" t="inlineStr"/>
      <c r="S373" t="inlineStr"/>
      <c r="T373" t="inlineStr"/>
      <c r="U373">
        <f>IF($A373="";"";IF(SUMIF(FoodLog!$A:$A;$A373;FoodLog!$I:$I)=0;"";SUMIF(FoodLog!$A:$A;$A373;FoodLog!$I:$I)))</f>
        <v/>
      </c>
      <c r="V373">
        <f>IF($A373="";"";IF(SUMIF(FoodLog!$A:$A;$A373;FoodLog!$F:$F)=0;"";SUMIF(FoodLog!$A:$A;$A373;FoodLog!$F:$F)))</f>
        <v/>
      </c>
      <c r="W373">
        <f>IF($A373="";"";IF(SUMIF(FoodLog!$A:$A;$A373;FoodLog!$G:$G)=0;"";SUMIF(FoodLog!$A:$A;$A373;FoodLog!$G:$G)))</f>
        <v/>
      </c>
      <c r="X373">
        <f>IF($A373="";"";IF(SUMIF(FoodLog!$A:$A;$A373;FoodLog!$H:$H)=0;"";SUMIF(FoodLog!$A:$A;$A373;FoodLog!$H:$H)))</f>
        <v/>
      </c>
      <c r="Y373">
        <f>IF($A373="";"";IFERROR(ROUND(100*AVERAGE(IF($B373="";"";XLOOKUP($B373;FILTER(Dictionaries!$B:$B;Dictionaries!$A:$A="Тренировка");FILTER(Dictionaries!$C:$C;Dictionaries!$A:$A="Тренировка")));IF($C373="";"";MIN($C373/40;1));IF($D373="";"";XLOOKUP($D373;FILTER(Dictionaries!$B:$B;Dictionaries!$A:$A="Шаги");FILTER(Dictionaries!$C:$C;Dictionaries!$A:$A="Шаги")));IF($E373="";"";MIN($E373/120;1));IF(OR($F373&lt;&gt;"";$G373&lt;&gt;"");1;"");IF($H373="";"";MIN($H373/100;1));IF($L373="";"";XLOOKUP($L373;FILTER(Dictionaries!$B:$B;Dictionaries!$A:$A="Сон_часы");FILTER(Dictionaries!$C:$C;Dictionaries!$A:$A="Сон_часы")));IF($M373="";"";XLOOKUP($M373;FILTER(Dictionaries!$B:$B;Dictionaries!$A:$A="Режим");FILTER(Dictionaries!$C:$C;Dictionaries!$A:$A="Режим")));IF($N373="";"";MIN($N373/100;1));IF($O373="";"";XLOOKUP($O373;FILTER(Dictionaries!$B:$B;Dictionaries!$A:$A="Настроение");FILTER(Dictionaries!$C:$C;Dictionaries!$A:$A="Настроение")));IF($P373="";"";XLOOKUP($P373;FILTER(Dictionaries!$B:$B;Dictionaries!$A:$A="Энергия");FILTER(Dictionaries!$C:$C;Dictionaries!$A:$A="Энергия")));IF($U373="";"";AVERAGE(IF(OR($B373="Ноги";$B373="Верх");IFS(AND($U373&gt;=1900;$U373&lt;=2050);1;AND($U373&gt;=1850;$U373&lt;1900);0,7;AND($U373&gt;2050;$U373&lt;=2100);0,7;TRUE;0,2);IFS(AND($U373&gt;=1700;$U373&lt;=1850);1;AND($U373&gt;=1650;$U373&lt;1700);0,7;AND($U373&gt;1850;$U373&lt;=1900);0,7;TRUE;0,2));IF(OR($B373="Ноги";$B373="Верх");IFS(AND($V373&gt;=125;$V373&lt;=135);1;AND($V373&gt;=115;$V373&lt;125);0,7;AND($V373&gt;135;$V373&lt;=145);0,7;AND($V373&gt;=105;$V373&lt;115);0,4;AND($V373&gt;145;$V373&lt;=155);0,4;TRUE;0,2);IFS(AND($V373&gt;=120;$V373&lt;=130);1;AND($V373&gt;=110;$V373&lt;120);0,7;AND($V373&gt;130;$V373&lt;=140);0,7;AND($V373&gt;=100;$V373&lt;110);0,4;AND($V373&gt;140;$V373&lt;=150);0,4;TRUE;0,2));IFS(AND($W373&gt;=55;$W373&lt;=65);1;AND($W373&gt;=50;$W373&lt;55);0,7;AND($W373&gt;65;$W373&lt;=70);0,7;AND($W373&gt;=45;$W373&lt;50);0,4;AND($W373&gt;70;$W373&lt;=75);0,4;TRUE;0,2);IF(OR($B373="Ноги";$B373="Верх");IFS(AND($X373&gt;=180;$X373&lt;=210);1;AND($X373&gt;=160;$X373&lt;180);0,7;AND($X373&gt;210;$X373&lt;=230);0,7;AND($X373&gt;=140;$X373&lt;160);0,4;AND($X373&gt;230;$X373&lt;=250);0,4;TRUE;0,2);IFS(AND($X373&gt;=140;$X373&lt;=170);1;AND($X373&gt;=120;$X373&lt;140);0,7;AND($X373&gt;170;$X373&lt;=190);0,7;AND($X373&gt;=100;$X373&lt;120);0,4;AND($X373&gt;190;$X373&lt;=210);0,4;TRUE;0,2)))));1);""))</f>
        <v/>
      </c>
      <c r="Z373">
        <f>IF($A373="";"";TEXTJOIN(", ";TRUE;IF($B373="";"Тренировка";"");IF($C373="";"Кардио";"");IF($D373="";"Шаги";"");IF($E373="";"Английский";"");IF($F373="";"Код-режим";"");IF($G373="";"Код-тема";"");IF($H373="";"Чтение";"");IF($L373="";"Сон";"");IF($M373="";"Режим";"");IF($N373="";"Продуктивность";"");IF($O373="";"Настроение";"");IF($P373="";"Энергия";"");IF($U373="";"Еда";"")))</f>
        <v/>
      </c>
    </row>
    <row r="374">
      <c r="B374" t="inlineStr"/>
      <c r="C374" t="inlineStr"/>
      <c r="D374" t="inlineStr"/>
      <c r="E374" t="inlineStr"/>
      <c r="F374" t="inlineStr"/>
      <c r="G374" t="inlineStr"/>
      <c r="H374" t="inlineStr"/>
      <c r="I374" t="inlineStr"/>
      <c r="J374" t="inlineStr"/>
      <c r="K374" t="inlineStr"/>
      <c r="L374" t="inlineStr"/>
      <c r="M374" t="inlineStr"/>
      <c r="N374" t="inlineStr"/>
      <c r="O374" t="inlineStr"/>
      <c r="P374" t="inlineStr"/>
      <c r="Q374" t="inlineStr"/>
      <c r="R374" t="inlineStr"/>
      <c r="S374" t="inlineStr"/>
      <c r="T374" t="inlineStr"/>
      <c r="U374">
        <f>IF($A374="";"";IF(SUMIF(FoodLog!$A:$A;$A374;FoodLog!$I:$I)=0;"";SUMIF(FoodLog!$A:$A;$A374;FoodLog!$I:$I)))</f>
        <v/>
      </c>
      <c r="V374">
        <f>IF($A374="";"";IF(SUMIF(FoodLog!$A:$A;$A374;FoodLog!$F:$F)=0;"";SUMIF(FoodLog!$A:$A;$A374;FoodLog!$F:$F)))</f>
        <v/>
      </c>
      <c r="W374">
        <f>IF($A374="";"";IF(SUMIF(FoodLog!$A:$A;$A374;FoodLog!$G:$G)=0;"";SUMIF(FoodLog!$A:$A;$A374;FoodLog!$G:$G)))</f>
        <v/>
      </c>
      <c r="X374">
        <f>IF($A374="";"";IF(SUMIF(FoodLog!$A:$A;$A374;FoodLog!$H:$H)=0;"";SUMIF(FoodLog!$A:$A;$A374;FoodLog!$H:$H)))</f>
        <v/>
      </c>
      <c r="Y374">
        <f>IF($A374="";"";IFERROR(ROUND(100*AVERAGE(IF($B374="";"";XLOOKUP($B374;FILTER(Dictionaries!$B:$B;Dictionaries!$A:$A="Тренировка");FILTER(Dictionaries!$C:$C;Dictionaries!$A:$A="Тренировка")));IF($C374="";"";MIN($C374/40;1));IF($D374="";"";XLOOKUP($D374;FILTER(Dictionaries!$B:$B;Dictionaries!$A:$A="Шаги");FILTER(Dictionaries!$C:$C;Dictionaries!$A:$A="Шаги")));IF($E374="";"";MIN($E374/120;1));IF(OR($F374&lt;&gt;"";$G374&lt;&gt;"");1;"");IF($H374="";"";MIN($H374/100;1));IF($L374="";"";XLOOKUP($L374;FILTER(Dictionaries!$B:$B;Dictionaries!$A:$A="Сон_часы");FILTER(Dictionaries!$C:$C;Dictionaries!$A:$A="Сон_часы")));IF($M374="";"";XLOOKUP($M374;FILTER(Dictionaries!$B:$B;Dictionaries!$A:$A="Режим");FILTER(Dictionaries!$C:$C;Dictionaries!$A:$A="Режим")));IF($N374="";"";MIN($N374/100;1));IF($O374="";"";XLOOKUP($O374;FILTER(Dictionaries!$B:$B;Dictionaries!$A:$A="Настроение");FILTER(Dictionaries!$C:$C;Dictionaries!$A:$A="Настроение")));IF($P374="";"";XLOOKUP($P374;FILTER(Dictionaries!$B:$B;Dictionaries!$A:$A="Энергия");FILTER(Dictionaries!$C:$C;Dictionaries!$A:$A="Энергия")));IF($U374="";"";AVERAGE(IF(OR($B374="Ноги";$B374="Верх");IFS(AND($U374&gt;=1900;$U374&lt;=2050);1;AND($U374&gt;=1850;$U374&lt;1900);0,7;AND($U374&gt;2050;$U374&lt;=2100);0,7;TRUE;0,2);IFS(AND($U374&gt;=1700;$U374&lt;=1850);1;AND($U374&gt;=1650;$U374&lt;1700);0,7;AND($U374&gt;1850;$U374&lt;=1900);0,7;TRUE;0,2));IF(OR($B374="Ноги";$B374="Верх");IFS(AND($V374&gt;=125;$V374&lt;=135);1;AND($V374&gt;=115;$V374&lt;125);0,7;AND($V374&gt;135;$V374&lt;=145);0,7;AND($V374&gt;=105;$V374&lt;115);0,4;AND($V374&gt;145;$V374&lt;=155);0,4;TRUE;0,2);IFS(AND($V374&gt;=120;$V374&lt;=130);1;AND($V374&gt;=110;$V374&lt;120);0,7;AND($V374&gt;130;$V374&lt;=140);0,7;AND($V374&gt;=100;$V374&lt;110);0,4;AND($V374&gt;140;$V374&lt;=150);0,4;TRUE;0,2));IFS(AND($W374&gt;=55;$W374&lt;=65);1;AND($W374&gt;=50;$W374&lt;55);0,7;AND($W374&gt;65;$W374&lt;=70);0,7;AND($W374&gt;=45;$W374&lt;50);0,4;AND($W374&gt;70;$W374&lt;=75);0,4;TRUE;0,2);IF(OR($B374="Ноги";$B374="Верх");IFS(AND($X374&gt;=180;$X374&lt;=210);1;AND($X374&gt;=160;$X374&lt;180);0,7;AND($X374&gt;210;$X374&lt;=230);0,7;AND($X374&gt;=140;$X374&lt;160);0,4;AND($X374&gt;230;$X374&lt;=250);0,4;TRUE;0,2);IFS(AND($X374&gt;=140;$X374&lt;=170);1;AND($X374&gt;=120;$X374&lt;140);0,7;AND($X374&gt;170;$X374&lt;=190);0,7;AND($X374&gt;=100;$X374&lt;120);0,4;AND($X374&gt;190;$X374&lt;=210);0,4;TRUE;0,2)))));1);""))</f>
        <v/>
      </c>
      <c r="Z374">
        <f>IF($A374="";"";TEXTJOIN(", ";TRUE;IF($B374="";"Тренировка";"");IF($C374="";"Кардио";"");IF($D374="";"Шаги";"");IF($E374="";"Английский";"");IF($F374="";"Код-режим";"");IF($G374="";"Код-тема";"");IF($H374="";"Чтение";"");IF($L374="";"Сон";"");IF($M374="";"Режим";"");IF($N374="";"Продуктивность";"");IF($O374="";"Настроение";"");IF($P374="";"Энергия";"");IF($U374="";"Еда";"")))</f>
        <v/>
      </c>
    </row>
    <row r="375">
      <c r="B375" t="inlineStr"/>
      <c r="C375" t="inlineStr"/>
      <c r="D375" t="inlineStr"/>
      <c r="E375" t="inlineStr"/>
      <c r="F375" t="inlineStr"/>
      <c r="G375" t="inlineStr"/>
      <c r="H375" t="inlineStr"/>
      <c r="I375" t="inlineStr"/>
      <c r="J375" t="inlineStr"/>
      <c r="K375" t="inlineStr"/>
      <c r="L375" t="inlineStr"/>
      <c r="M375" t="inlineStr"/>
      <c r="N375" t="inlineStr"/>
      <c r="O375" t="inlineStr"/>
      <c r="P375" t="inlineStr"/>
      <c r="Q375" t="inlineStr"/>
      <c r="R375" t="inlineStr"/>
      <c r="S375" t="inlineStr"/>
      <c r="T375" t="inlineStr"/>
      <c r="U375">
        <f>IF($A375="";"";IF(SUMIF(FoodLog!$A:$A;$A375;FoodLog!$I:$I)=0;"";SUMIF(FoodLog!$A:$A;$A375;FoodLog!$I:$I)))</f>
        <v/>
      </c>
      <c r="V375">
        <f>IF($A375="";"";IF(SUMIF(FoodLog!$A:$A;$A375;FoodLog!$F:$F)=0;"";SUMIF(FoodLog!$A:$A;$A375;FoodLog!$F:$F)))</f>
        <v/>
      </c>
      <c r="W375">
        <f>IF($A375="";"";IF(SUMIF(FoodLog!$A:$A;$A375;FoodLog!$G:$G)=0;"";SUMIF(FoodLog!$A:$A;$A375;FoodLog!$G:$G)))</f>
        <v/>
      </c>
      <c r="X375">
        <f>IF($A375="";"";IF(SUMIF(FoodLog!$A:$A;$A375;FoodLog!$H:$H)=0;"";SUMIF(FoodLog!$A:$A;$A375;FoodLog!$H:$H)))</f>
        <v/>
      </c>
      <c r="Y375">
        <f>IF($A375="";"";IFERROR(ROUND(100*AVERAGE(IF($B375="";"";XLOOKUP($B375;FILTER(Dictionaries!$B:$B;Dictionaries!$A:$A="Тренировка");FILTER(Dictionaries!$C:$C;Dictionaries!$A:$A="Тренировка")));IF($C375="";"";MIN($C375/40;1));IF($D375="";"";XLOOKUP($D375;FILTER(Dictionaries!$B:$B;Dictionaries!$A:$A="Шаги");FILTER(Dictionaries!$C:$C;Dictionaries!$A:$A="Шаги")));IF($E375="";"";MIN($E375/120;1));IF(OR($F375&lt;&gt;"";$G375&lt;&gt;"");1;"");IF($H375="";"";MIN($H375/100;1));IF($L375="";"";XLOOKUP($L375;FILTER(Dictionaries!$B:$B;Dictionaries!$A:$A="Сон_часы");FILTER(Dictionaries!$C:$C;Dictionaries!$A:$A="Сон_часы")));IF($M375="";"";XLOOKUP($M375;FILTER(Dictionaries!$B:$B;Dictionaries!$A:$A="Режим");FILTER(Dictionaries!$C:$C;Dictionaries!$A:$A="Режим")));IF($N375="";"";MIN($N375/100;1));IF($O375="";"";XLOOKUP($O375;FILTER(Dictionaries!$B:$B;Dictionaries!$A:$A="Настроение");FILTER(Dictionaries!$C:$C;Dictionaries!$A:$A="Настроение")));IF($P375="";"";XLOOKUP($P375;FILTER(Dictionaries!$B:$B;Dictionaries!$A:$A="Энергия");FILTER(Dictionaries!$C:$C;Dictionaries!$A:$A="Энергия")));IF($U375="";"";AVERAGE(IF(OR($B375="Ноги";$B375="Верх");IFS(AND($U375&gt;=1900;$U375&lt;=2050);1;AND($U375&gt;=1850;$U375&lt;1900);0,7;AND($U375&gt;2050;$U375&lt;=2100);0,7;TRUE;0,2);IFS(AND($U375&gt;=1700;$U375&lt;=1850);1;AND($U375&gt;=1650;$U375&lt;1700);0,7;AND($U375&gt;1850;$U375&lt;=1900);0,7;TRUE;0,2));IF(OR($B375="Ноги";$B375="Верх");IFS(AND($V375&gt;=125;$V375&lt;=135);1;AND($V375&gt;=115;$V375&lt;125);0,7;AND($V375&gt;135;$V375&lt;=145);0,7;AND($V375&gt;=105;$V375&lt;115);0,4;AND($V375&gt;145;$V375&lt;=155);0,4;TRUE;0,2);IFS(AND($V375&gt;=120;$V375&lt;=130);1;AND($V375&gt;=110;$V375&lt;120);0,7;AND($V375&gt;130;$V375&lt;=140);0,7;AND($V375&gt;=100;$V375&lt;110);0,4;AND($V375&gt;140;$V375&lt;=150);0,4;TRUE;0,2));IFS(AND($W375&gt;=55;$W375&lt;=65);1;AND($W375&gt;=50;$W375&lt;55);0,7;AND($W375&gt;65;$W375&lt;=70);0,7;AND($W375&gt;=45;$W375&lt;50);0,4;AND($W375&gt;70;$W375&lt;=75);0,4;TRUE;0,2);IF(OR($B375="Ноги";$B375="Верх");IFS(AND($X375&gt;=180;$X375&lt;=210);1;AND($X375&gt;=160;$X375&lt;180);0,7;AND($X375&gt;210;$X375&lt;=230);0,7;AND($X375&gt;=140;$X375&lt;160);0,4;AND($X375&gt;230;$X375&lt;=250);0,4;TRUE;0,2);IFS(AND($X375&gt;=140;$X375&lt;=170);1;AND($X375&gt;=120;$X375&lt;140);0,7;AND($X375&gt;170;$X375&lt;=190);0,7;AND($X375&gt;=100;$X375&lt;120);0,4;AND($X375&gt;190;$X375&lt;=210);0,4;TRUE;0,2)))));1);""))</f>
        <v/>
      </c>
      <c r="Z375">
        <f>IF($A375="";"";TEXTJOIN(", ";TRUE;IF($B375="";"Тренировка";"");IF($C375="";"Кардио";"");IF($D375="";"Шаги";"");IF($E375="";"Английский";"");IF($F375="";"Код-режим";"");IF($G375="";"Код-тема";"");IF($H375="";"Чтение";"");IF($L375="";"Сон";"");IF($M375="";"Режим";"");IF($N375="";"Продуктивность";"");IF($O375="";"Настроение";"");IF($P375="";"Энергия";"");IF($U375="";"Еда";"")))</f>
        <v/>
      </c>
    </row>
    <row r="376">
      <c r="B376" t="inlineStr"/>
      <c r="C376" t="inlineStr"/>
      <c r="D376" t="inlineStr"/>
      <c r="E376" t="inlineStr"/>
      <c r="F376" t="inlineStr"/>
      <c r="G376" t="inlineStr"/>
      <c r="H376" t="inlineStr"/>
      <c r="I376" t="inlineStr"/>
      <c r="J376" t="inlineStr"/>
      <c r="K376" t="inlineStr"/>
      <c r="L376" t="inlineStr"/>
      <c r="M376" t="inlineStr"/>
      <c r="N376" t="inlineStr"/>
      <c r="O376" t="inlineStr"/>
      <c r="P376" t="inlineStr"/>
      <c r="Q376" t="inlineStr"/>
      <c r="R376" t="inlineStr"/>
      <c r="S376" t="inlineStr"/>
      <c r="T376" t="inlineStr"/>
      <c r="U376">
        <f>IF($A376="";"";IF(SUMIF(FoodLog!$A:$A;$A376;FoodLog!$I:$I)=0;"";SUMIF(FoodLog!$A:$A;$A376;FoodLog!$I:$I)))</f>
        <v/>
      </c>
      <c r="V376">
        <f>IF($A376="";"";IF(SUMIF(FoodLog!$A:$A;$A376;FoodLog!$F:$F)=0;"";SUMIF(FoodLog!$A:$A;$A376;FoodLog!$F:$F)))</f>
        <v/>
      </c>
      <c r="W376">
        <f>IF($A376="";"";IF(SUMIF(FoodLog!$A:$A;$A376;FoodLog!$G:$G)=0;"";SUMIF(FoodLog!$A:$A;$A376;FoodLog!$G:$G)))</f>
        <v/>
      </c>
      <c r="X376">
        <f>IF($A376="";"";IF(SUMIF(FoodLog!$A:$A;$A376;FoodLog!$H:$H)=0;"";SUMIF(FoodLog!$A:$A;$A376;FoodLog!$H:$H)))</f>
        <v/>
      </c>
      <c r="Y376">
        <f>IF($A376="";"";IFERROR(ROUND(100*AVERAGE(IF($B376="";"";XLOOKUP($B376;FILTER(Dictionaries!$B:$B;Dictionaries!$A:$A="Тренировка");FILTER(Dictionaries!$C:$C;Dictionaries!$A:$A="Тренировка")));IF($C376="";"";MIN($C376/40;1));IF($D376="";"";XLOOKUP($D376;FILTER(Dictionaries!$B:$B;Dictionaries!$A:$A="Шаги");FILTER(Dictionaries!$C:$C;Dictionaries!$A:$A="Шаги")));IF($E376="";"";MIN($E376/120;1));IF(OR($F376&lt;&gt;"";$G376&lt;&gt;"");1;"");IF($H376="";"";MIN($H376/100;1));IF($L376="";"";XLOOKUP($L376;FILTER(Dictionaries!$B:$B;Dictionaries!$A:$A="Сон_часы");FILTER(Dictionaries!$C:$C;Dictionaries!$A:$A="Сон_часы")));IF($M376="";"";XLOOKUP($M376;FILTER(Dictionaries!$B:$B;Dictionaries!$A:$A="Режим");FILTER(Dictionaries!$C:$C;Dictionaries!$A:$A="Режим")));IF($N376="";"";MIN($N376/100;1));IF($O376="";"";XLOOKUP($O376;FILTER(Dictionaries!$B:$B;Dictionaries!$A:$A="Настроение");FILTER(Dictionaries!$C:$C;Dictionaries!$A:$A="Настроение")));IF($P376="";"";XLOOKUP($P376;FILTER(Dictionaries!$B:$B;Dictionaries!$A:$A="Энергия");FILTER(Dictionaries!$C:$C;Dictionaries!$A:$A="Энергия")));IF($U376="";"";AVERAGE(IF(OR($B376="Ноги";$B376="Верх");IFS(AND($U376&gt;=1900;$U376&lt;=2050);1;AND($U376&gt;=1850;$U376&lt;1900);0,7;AND($U376&gt;2050;$U376&lt;=2100);0,7;TRUE;0,2);IFS(AND($U376&gt;=1700;$U376&lt;=1850);1;AND($U376&gt;=1650;$U376&lt;1700);0,7;AND($U376&gt;1850;$U376&lt;=1900);0,7;TRUE;0,2));IF(OR($B376="Ноги";$B376="Верх");IFS(AND($V376&gt;=125;$V376&lt;=135);1;AND($V376&gt;=115;$V376&lt;125);0,7;AND($V376&gt;135;$V376&lt;=145);0,7;AND($V376&gt;=105;$V376&lt;115);0,4;AND($V376&gt;145;$V376&lt;=155);0,4;TRUE;0,2);IFS(AND($V376&gt;=120;$V376&lt;=130);1;AND($V376&gt;=110;$V376&lt;120);0,7;AND($V376&gt;130;$V376&lt;=140);0,7;AND($V376&gt;=100;$V376&lt;110);0,4;AND($V376&gt;140;$V376&lt;=150);0,4;TRUE;0,2));IFS(AND($W376&gt;=55;$W376&lt;=65);1;AND($W376&gt;=50;$W376&lt;55);0,7;AND($W376&gt;65;$W376&lt;=70);0,7;AND($W376&gt;=45;$W376&lt;50);0,4;AND($W376&gt;70;$W376&lt;=75);0,4;TRUE;0,2);IF(OR($B376="Ноги";$B376="Верх");IFS(AND($X376&gt;=180;$X376&lt;=210);1;AND($X376&gt;=160;$X376&lt;180);0,7;AND($X376&gt;210;$X376&lt;=230);0,7;AND($X376&gt;=140;$X376&lt;160);0,4;AND($X376&gt;230;$X376&lt;=250);0,4;TRUE;0,2);IFS(AND($X376&gt;=140;$X376&lt;=170);1;AND($X376&gt;=120;$X376&lt;140);0,7;AND($X376&gt;170;$X376&lt;=190);0,7;AND($X376&gt;=100;$X376&lt;120);0,4;AND($X376&gt;190;$X376&lt;=210);0,4;TRUE;0,2)))));1);""))</f>
        <v/>
      </c>
      <c r="Z376">
        <f>IF($A376="";"";TEXTJOIN(", ";TRUE;IF($B376="";"Тренировка";"");IF($C376="";"Кардио";"");IF($D376="";"Шаги";"");IF($E376="";"Английский";"");IF($F376="";"Код-режим";"");IF($G376="";"Код-тема";"");IF($H376="";"Чтение";"");IF($L376="";"Сон";"");IF($M376="";"Режим";"");IF($N376="";"Продуктивность";"");IF($O376="";"Настроение";"");IF($P376="";"Энергия";"");IF($U376="";"Еда";"")))</f>
        <v/>
      </c>
    </row>
    <row r="377">
      <c r="B377" t="inlineStr"/>
      <c r="C377" t="inlineStr"/>
      <c r="D377" t="inlineStr"/>
      <c r="E377" t="inlineStr"/>
      <c r="F377" t="inlineStr"/>
      <c r="G377" t="inlineStr"/>
      <c r="H377" t="inlineStr"/>
      <c r="I377" t="inlineStr"/>
      <c r="J377" t="inlineStr"/>
      <c r="K377" t="inlineStr"/>
      <c r="L377" t="inlineStr"/>
      <c r="M377" t="inlineStr"/>
      <c r="N377" t="inlineStr"/>
      <c r="O377" t="inlineStr"/>
      <c r="P377" t="inlineStr"/>
      <c r="Q377" t="inlineStr"/>
      <c r="R377" t="inlineStr"/>
      <c r="S377" t="inlineStr"/>
      <c r="T377" t="inlineStr"/>
      <c r="U377">
        <f>IF($A377="";"";IF(SUMIF(FoodLog!$A:$A;$A377;FoodLog!$I:$I)=0;"";SUMIF(FoodLog!$A:$A;$A377;FoodLog!$I:$I)))</f>
        <v/>
      </c>
      <c r="V377">
        <f>IF($A377="";"";IF(SUMIF(FoodLog!$A:$A;$A377;FoodLog!$F:$F)=0;"";SUMIF(FoodLog!$A:$A;$A377;FoodLog!$F:$F)))</f>
        <v/>
      </c>
      <c r="W377">
        <f>IF($A377="";"";IF(SUMIF(FoodLog!$A:$A;$A377;FoodLog!$G:$G)=0;"";SUMIF(FoodLog!$A:$A;$A377;FoodLog!$G:$G)))</f>
        <v/>
      </c>
      <c r="X377">
        <f>IF($A377="";"";IF(SUMIF(FoodLog!$A:$A;$A377;FoodLog!$H:$H)=0;"";SUMIF(FoodLog!$A:$A;$A377;FoodLog!$H:$H)))</f>
        <v/>
      </c>
      <c r="Y377">
        <f>IF($A377="";"";IFERROR(ROUND(100*AVERAGE(IF($B377="";"";XLOOKUP($B377;FILTER(Dictionaries!$B:$B;Dictionaries!$A:$A="Тренировка");FILTER(Dictionaries!$C:$C;Dictionaries!$A:$A="Тренировка")));IF($C377="";"";MIN($C377/40;1));IF($D377="";"";XLOOKUP($D377;FILTER(Dictionaries!$B:$B;Dictionaries!$A:$A="Шаги");FILTER(Dictionaries!$C:$C;Dictionaries!$A:$A="Шаги")));IF($E377="";"";MIN($E377/120;1));IF(OR($F377&lt;&gt;"";$G377&lt;&gt;"");1;"");IF($H377="";"";MIN($H377/100;1));IF($L377="";"";XLOOKUP($L377;FILTER(Dictionaries!$B:$B;Dictionaries!$A:$A="Сон_часы");FILTER(Dictionaries!$C:$C;Dictionaries!$A:$A="Сон_часы")));IF($M377="";"";XLOOKUP($M377;FILTER(Dictionaries!$B:$B;Dictionaries!$A:$A="Режим");FILTER(Dictionaries!$C:$C;Dictionaries!$A:$A="Режим")));IF($N377="";"";MIN($N377/100;1));IF($O377="";"";XLOOKUP($O377;FILTER(Dictionaries!$B:$B;Dictionaries!$A:$A="Настроение");FILTER(Dictionaries!$C:$C;Dictionaries!$A:$A="Настроение")));IF($P377="";"";XLOOKUP($P377;FILTER(Dictionaries!$B:$B;Dictionaries!$A:$A="Энергия");FILTER(Dictionaries!$C:$C;Dictionaries!$A:$A="Энергия")));IF($U377="";"";AVERAGE(IF(OR($B377="Ноги";$B377="Верх");IFS(AND($U377&gt;=1900;$U377&lt;=2050);1;AND($U377&gt;=1850;$U377&lt;1900);0,7;AND($U377&gt;2050;$U377&lt;=2100);0,7;TRUE;0,2);IFS(AND($U377&gt;=1700;$U377&lt;=1850);1;AND($U377&gt;=1650;$U377&lt;1700);0,7;AND($U377&gt;1850;$U377&lt;=1900);0,7;TRUE;0,2));IF(OR($B377="Ноги";$B377="Верх");IFS(AND($V377&gt;=125;$V377&lt;=135);1;AND($V377&gt;=115;$V377&lt;125);0,7;AND($V377&gt;135;$V377&lt;=145);0,7;AND($V377&gt;=105;$V377&lt;115);0,4;AND($V377&gt;145;$V377&lt;=155);0,4;TRUE;0,2);IFS(AND($V377&gt;=120;$V377&lt;=130);1;AND($V377&gt;=110;$V377&lt;120);0,7;AND($V377&gt;130;$V377&lt;=140);0,7;AND($V377&gt;=100;$V377&lt;110);0,4;AND($V377&gt;140;$V377&lt;=150);0,4;TRUE;0,2));IFS(AND($W377&gt;=55;$W377&lt;=65);1;AND($W377&gt;=50;$W377&lt;55);0,7;AND($W377&gt;65;$W377&lt;=70);0,7;AND($W377&gt;=45;$W377&lt;50);0,4;AND($W377&gt;70;$W377&lt;=75);0,4;TRUE;0,2);IF(OR($B377="Ноги";$B377="Верх");IFS(AND($X377&gt;=180;$X377&lt;=210);1;AND($X377&gt;=160;$X377&lt;180);0,7;AND($X377&gt;210;$X377&lt;=230);0,7;AND($X377&gt;=140;$X377&lt;160);0,4;AND($X377&gt;230;$X377&lt;=250);0,4;TRUE;0,2);IFS(AND($X377&gt;=140;$X377&lt;=170);1;AND($X377&gt;=120;$X377&lt;140);0,7;AND($X377&gt;170;$X377&lt;=190);0,7;AND($X377&gt;=100;$X377&lt;120);0,4;AND($X377&gt;190;$X377&lt;=210);0,4;TRUE;0,2)))));1);""))</f>
        <v/>
      </c>
      <c r="Z377">
        <f>IF($A377="";"";TEXTJOIN(", ";TRUE;IF($B377="";"Тренировка";"");IF($C377="";"Кардио";"");IF($D377="";"Шаги";"");IF($E377="";"Английский";"");IF($F377="";"Код-режим";"");IF($G377="";"Код-тема";"");IF($H377="";"Чтение";"");IF($L377="";"Сон";"");IF($M377="";"Режим";"");IF($N377="";"Продуктивность";"");IF($O377="";"Настроение";"");IF($P377="";"Энергия";"");IF($U377="";"Еда";"")))</f>
        <v/>
      </c>
    </row>
    <row r="378">
      <c r="B378" t="inlineStr"/>
      <c r="C378" t="inlineStr"/>
      <c r="D378" t="inlineStr"/>
      <c r="E378" t="inlineStr"/>
      <c r="F378" t="inlineStr"/>
      <c r="G378" t="inlineStr"/>
      <c r="H378" t="inlineStr"/>
      <c r="I378" t="inlineStr"/>
      <c r="J378" t="inlineStr"/>
      <c r="K378" t="inlineStr"/>
      <c r="L378" t="inlineStr"/>
      <c r="M378" t="inlineStr"/>
      <c r="N378" t="inlineStr"/>
      <c r="O378" t="inlineStr"/>
      <c r="P378" t="inlineStr"/>
      <c r="Q378" t="inlineStr"/>
      <c r="R378" t="inlineStr"/>
      <c r="S378" t="inlineStr"/>
      <c r="T378" t="inlineStr"/>
      <c r="U378">
        <f>IF($A378="";"";IF(SUMIF(FoodLog!$A:$A;$A378;FoodLog!$I:$I)=0;"";SUMIF(FoodLog!$A:$A;$A378;FoodLog!$I:$I)))</f>
        <v/>
      </c>
      <c r="V378">
        <f>IF($A378="";"";IF(SUMIF(FoodLog!$A:$A;$A378;FoodLog!$F:$F)=0;"";SUMIF(FoodLog!$A:$A;$A378;FoodLog!$F:$F)))</f>
        <v/>
      </c>
      <c r="W378">
        <f>IF($A378="";"";IF(SUMIF(FoodLog!$A:$A;$A378;FoodLog!$G:$G)=0;"";SUMIF(FoodLog!$A:$A;$A378;FoodLog!$G:$G)))</f>
        <v/>
      </c>
      <c r="X378">
        <f>IF($A378="";"";IF(SUMIF(FoodLog!$A:$A;$A378;FoodLog!$H:$H)=0;"";SUMIF(FoodLog!$A:$A;$A378;FoodLog!$H:$H)))</f>
        <v/>
      </c>
      <c r="Y378">
        <f>IF($A378="";"";IFERROR(ROUND(100*AVERAGE(IF($B378="";"";XLOOKUP($B378;FILTER(Dictionaries!$B:$B;Dictionaries!$A:$A="Тренировка");FILTER(Dictionaries!$C:$C;Dictionaries!$A:$A="Тренировка")));IF($C378="";"";MIN($C378/40;1));IF($D378="";"";XLOOKUP($D378;FILTER(Dictionaries!$B:$B;Dictionaries!$A:$A="Шаги");FILTER(Dictionaries!$C:$C;Dictionaries!$A:$A="Шаги")));IF($E378="";"";MIN($E378/120;1));IF(OR($F378&lt;&gt;"";$G378&lt;&gt;"");1;"");IF($H378="";"";MIN($H378/100;1));IF($L378="";"";XLOOKUP($L378;FILTER(Dictionaries!$B:$B;Dictionaries!$A:$A="Сон_часы");FILTER(Dictionaries!$C:$C;Dictionaries!$A:$A="Сон_часы")));IF($M378="";"";XLOOKUP($M378;FILTER(Dictionaries!$B:$B;Dictionaries!$A:$A="Режим");FILTER(Dictionaries!$C:$C;Dictionaries!$A:$A="Режим")));IF($N378="";"";MIN($N378/100;1));IF($O378="";"";XLOOKUP($O378;FILTER(Dictionaries!$B:$B;Dictionaries!$A:$A="Настроение");FILTER(Dictionaries!$C:$C;Dictionaries!$A:$A="Настроение")));IF($P378="";"";XLOOKUP($P378;FILTER(Dictionaries!$B:$B;Dictionaries!$A:$A="Энергия");FILTER(Dictionaries!$C:$C;Dictionaries!$A:$A="Энергия")));IF($U378="";"";AVERAGE(IF(OR($B378="Ноги";$B378="Верх");IFS(AND($U378&gt;=1900;$U378&lt;=2050);1;AND($U378&gt;=1850;$U378&lt;1900);0,7;AND($U378&gt;2050;$U378&lt;=2100);0,7;TRUE;0,2);IFS(AND($U378&gt;=1700;$U378&lt;=1850);1;AND($U378&gt;=1650;$U378&lt;1700);0,7;AND($U378&gt;1850;$U378&lt;=1900);0,7;TRUE;0,2));IF(OR($B378="Ноги";$B378="Верх");IFS(AND($V378&gt;=125;$V378&lt;=135);1;AND($V378&gt;=115;$V378&lt;125);0,7;AND($V378&gt;135;$V378&lt;=145);0,7;AND($V378&gt;=105;$V378&lt;115);0,4;AND($V378&gt;145;$V378&lt;=155);0,4;TRUE;0,2);IFS(AND($V378&gt;=120;$V378&lt;=130);1;AND($V378&gt;=110;$V378&lt;120);0,7;AND($V378&gt;130;$V378&lt;=140);0,7;AND($V378&gt;=100;$V378&lt;110);0,4;AND($V378&gt;140;$V378&lt;=150);0,4;TRUE;0,2));IFS(AND($W378&gt;=55;$W378&lt;=65);1;AND($W378&gt;=50;$W378&lt;55);0,7;AND($W378&gt;65;$W378&lt;=70);0,7;AND($W378&gt;=45;$W378&lt;50);0,4;AND($W378&gt;70;$W378&lt;=75);0,4;TRUE;0,2);IF(OR($B378="Ноги";$B378="Верх");IFS(AND($X378&gt;=180;$X378&lt;=210);1;AND($X378&gt;=160;$X378&lt;180);0,7;AND($X378&gt;210;$X378&lt;=230);0,7;AND($X378&gt;=140;$X378&lt;160);0,4;AND($X378&gt;230;$X378&lt;=250);0,4;TRUE;0,2);IFS(AND($X378&gt;=140;$X378&lt;=170);1;AND($X378&gt;=120;$X378&lt;140);0,7;AND($X378&gt;170;$X378&lt;=190);0,7;AND($X378&gt;=100;$X378&lt;120);0,4;AND($X378&gt;190;$X378&lt;=210);0,4;TRUE;0,2)))));1);""))</f>
        <v/>
      </c>
      <c r="Z378">
        <f>IF($A378="";"";TEXTJOIN(", ";TRUE;IF($B378="";"Тренировка";"");IF($C378="";"Кардио";"");IF($D378="";"Шаги";"");IF($E378="";"Английский";"");IF($F378="";"Код-режим";"");IF($G378="";"Код-тема";"");IF($H378="";"Чтение";"");IF($L378="";"Сон";"");IF($M378="";"Режим";"");IF($N378="";"Продуктивность";"");IF($O378="";"Настроение";"");IF($P378="";"Энергия";"");IF($U378="";"Еда";"")))</f>
        <v/>
      </c>
    </row>
    <row r="379">
      <c r="B379" t="inlineStr"/>
      <c r="C379" t="inlineStr"/>
      <c r="D379" t="inlineStr"/>
      <c r="E379" t="inlineStr"/>
      <c r="F379" t="inlineStr"/>
      <c r="G379" t="inlineStr"/>
      <c r="H379" t="inlineStr"/>
      <c r="I379" t="inlineStr"/>
      <c r="J379" t="inlineStr"/>
      <c r="K379" t="inlineStr"/>
      <c r="L379" t="inlineStr"/>
      <c r="M379" t="inlineStr"/>
      <c r="N379" t="inlineStr"/>
      <c r="O379" t="inlineStr"/>
      <c r="P379" t="inlineStr"/>
      <c r="Q379" t="inlineStr"/>
      <c r="R379" t="inlineStr"/>
      <c r="S379" t="inlineStr"/>
      <c r="T379" t="inlineStr"/>
      <c r="U379">
        <f>IF($A379="";"";IF(SUMIF(FoodLog!$A:$A;$A379;FoodLog!$I:$I)=0;"";SUMIF(FoodLog!$A:$A;$A379;FoodLog!$I:$I)))</f>
        <v/>
      </c>
      <c r="V379">
        <f>IF($A379="";"";IF(SUMIF(FoodLog!$A:$A;$A379;FoodLog!$F:$F)=0;"";SUMIF(FoodLog!$A:$A;$A379;FoodLog!$F:$F)))</f>
        <v/>
      </c>
      <c r="W379">
        <f>IF($A379="";"";IF(SUMIF(FoodLog!$A:$A;$A379;FoodLog!$G:$G)=0;"";SUMIF(FoodLog!$A:$A;$A379;FoodLog!$G:$G)))</f>
        <v/>
      </c>
      <c r="X379">
        <f>IF($A379="";"";IF(SUMIF(FoodLog!$A:$A;$A379;FoodLog!$H:$H)=0;"";SUMIF(FoodLog!$A:$A;$A379;FoodLog!$H:$H)))</f>
        <v/>
      </c>
      <c r="Y379">
        <f>IF($A379="";"";IFERROR(ROUND(100*AVERAGE(IF($B379="";"";XLOOKUP($B379;FILTER(Dictionaries!$B:$B;Dictionaries!$A:$A="Тренировка");FILTER(Dictionaries!$C:$C;Dictionaries!$A:$A="Тренировка")));IF($C379="";"";MIN($C379/40;1));IF($D379="";"";XLOOKUP($D379;FILTER(Dictionaries!$B:$B;Dictionaries!$A:$A="Шаги");FILTER(Dictionaries!$C:$C;Dictionaries!$A:$A="Шаги")));IF($E379="";"";MIN($E379/120;1));IF(OR($F379&lt;&gt;"";$G379&lt;&gt;"");1;"");IF($H379="";"";MIN($H379/100;1));IF($L379="";"";XLOOKUP($L379;FILTER(Dictionaries!$B:$B;Dictionaries!$A:$A="Сон_часы");FILTER(Dictionaries!$C:$C;Dictionaries!$A:$A="Сон_часы")));IF($M379="";"";XLOOKUP($M379;FILTER(Dictionaries!$B:$B;Dictionaries!$A:$A="Режим");FILTER(Dictionaries!$C:$C;Dictionaries!$A:$A="Режим")));IF($N379="";"";MIN($N379/100;1));IF($O379="";"";XLOOKUP($O379;FILTER(Dictionaries!$B:$B;Dictionaries!$A:$A="Настроение");FILTER(Dictionaries!$C:$C;Dictionaries!$A:$A="Настроение")));IF($P379="";"";XLOOKUP($P379;FILTER(Dictionaries!$B:$B;Dictionaries!$A:$A="Энергия");FILTER(Dictionaries!$C:$C;Dictionaries!$A:$A="Энергия")));IF($U379="";"";AVERAGE(IF(OR($B379="Ноги";$B379="Верх");IFS(AND($U379&gt;=1900;$U379&lt;=2050);1;AND($U379&gt;=1850;$U379&lt;1900);0,7;AND($U379&gt;2050;$U379&lt;=2100);0,7;TRUE;0,2);IFS(AND($U379&gt;=1700;$U379&lt;=1850);1;AND($U379&gt;=1650;$U379&lt;1700);0,7;AND($U379&gt;1850;$U379&lt;=1900);0,7;TRUE;0,2));IF(OR($B379="Ноги";$B379="Верх");IFS(AND($V379&gt;=125;$V379&lt;=135);1;AND($V379&gt;=115;$V379&lt;125);0,7;AND($V379&gt;135;$V379&lt;=145);0,7;AND($V379&gt;=105;$V379&lt;115);0,4;AND($V379&gt;145;$V379&lt;=155);0,4;TRUE;0,2);IFS(AND($V379&gt;=120;$V379&lt;=130);1;AND($V379&gt;=110;$V379&lt;120);0,7;AND($V379&gt;130;$V379&lt;=140);0,7;AND($V379&gt;=100;$V379&lt;110);0,4;AND($V379&gt;140;$V379&lt;=150);0,4;TRUE;0,2));IFS(AND($W379&gt;=55;$W379&lt;=65);1;AND($W379&gt;=50;$W379&lt;55);0,7;AND($W379&gt;65;$W379&lt;=70);0,7;AND($W379&gt;=45;$W379&lt;50);0,4;AND($W379&gt;70;$W379&lt;=75);0,4;TRUE;0,2);IF(OR($B379="Ноги";$B379="Верх");IFS(AND($X379&gt;=180;$X379&lt;=210);1;AND($X379&gt;=160;$X379&lt;180);0,7;AND($X379&gt;210;$X379&lt;=230);0,7;AND($X379&gt;=140;$X379&lt;160);0,4;AND($X379&gt;230;$X379&lt;=250);0,4;TRUE;0,2);IFS(AND($X379&gt;=140;$X379&lt;=170);1;AND($X379&gt;=120;$X379&lt;140);0,7;AND($X379&gt;170;$X379&lt;=190);0,7;AND($X379&gt;=100;$X379&lt;120);0,4;AND($X379&gt;190;$X379&lt;=210);0,4;TRUE;0,2)))));1);""))</f>
        <v/>
      </c>
      <c r="Z379">
        <f>IF($A379="";"";TEXTJOIN(", ";TRUE;IF($B379="";"Тренировка";"");IF($C379="";"Кардио";"");IF($D379="";"Шаги";"");IF($E379="";"Английский";"");IF($F379="";"Код-режим";"");IF($G379="";"Код-тема";"");IF($H379="";"Чтение";"");IF($L379="";"Сон";"");IF($M379="";"Режим";"");IF($N379="";"Продуктивность";"");IF($O379="";"Настроение";"");IF($P379="";"Энергия";"");IF($U379="";"Еда";"")))</f>
        <v/>
      </c>
    </row>
    <row r="380">
      <c r="B380" t="inlineStr"/>
      <c r="C380" t="inlineStr"/>
      <c r="D380" t="inlineStr"/>
      <c r="E380" t="inlineStr"/>
      <c r="F380" t="inlineStr"/>
      <c r="G380" t="inlineStr"/>
      <c r="H380" t="inlineStr"/>
      <c r="I380" t="inlineStr"/>
      <c r="J380" t="inlineStr"/>
      <c r="K380" t="inlineStr"/>
      <c r="L380" t="inlineStr"/>
      <c r="M380" t="inlineStr"/>
      <c r="N380" t="inlineStr"/>
      <c r="O380" t="inlineStr"/>
      <c r="P380" t="inlineStr"/>
      <c r="Q380" t="inlineStr"/>
      <c r="R380" t="inlineStr"/>
      <c r="S380" t="inlineStr"/>
      <c r="T380" t="inlineStr"/>
      <c r="U380">
        <f>IF($A380="";"";IF(SUMIF(FoodLog!$A:$A;$A380;FoodLog!$I:$I)=0;"";SUMIF(FoodLog!$A:$A;$A380;FoodLog!$I:$I)))</f>
        <v/>
      </c>
      <c r="V380">
        <f>IF($A380="";"";IF(SUMIF(FoodLog!$A:$A;$A380;FoodLog!$F:$F)=0;"";SUMIF(FoodLog!$A:$A;$A380;FoodLog!$F:$F)))</f>
        <v/>
      </c>
      <c r="W380">
        <f>IF($A380="";"";IF(SUMIF(FoodLog!$A:$A;$A380;FoodLog!$G:$G)=0;"";SUMIF(FoodLog!$A:$A;$A380;FoodLog!$G:$G)))</f>
        <v/>
      </c>
      <c r="X380">
        <f>IF($A380="";"";IF(SUMIF(FoodLog!$A:$A;$A380;FoodLog!$H:$H)=0;"";SUMIF(FoodLog!$A:$A;$A380;FoodLog!$H:$H)))</f>
        <v/>
      </c>
      <c r="Y380">
        <f>IF($A380="";"";IFERROR(ROUND(100*AVERAGE(IF($B380="";"";XLOOKUP($B380;FILTER(Dictionaries!$B:$B;Dictionaries!$A:$A="Тренировка");FILTER(Dictionaries!$C:$C;Dictionaries!$A:$A="Тренировка")));IF($C380="";"";MIN($C380/40;1));IF($D380="";"";XLOOKUP($D380;FILTER(Dictionaries!$B:$B;Dictionaries!$A:$A="Шаги");FILTER(Dictionaries!$C:$C;Dictionaries!$A:$A="Шаги")));IF($E380="";"";MIN($E380/120;1));IF(OR($F380&lt;&gt;"";$G380&lt;&gt;"");1;"");IF($H380="";"";MIN($H380/100;1));IF($L380="";"";XLOOKUP($L380;FILTER(Dictionaries!$B:$B;Dictionaries!$A:$A="Сон_часы");FILTER(Dictionaries!$C:$C;Dictionaries!$A:$A="Сон_часы")));IF($M380="";"";XLOOKUP($M380;FILTER(Dictionaries!$B:$B;Dictionaries!$A:$A="Режим");FILTER(Dictionaries!$C:$C;Dictionaries!$A:$A="Режим")));IF($N380="";"";MIN($N380/100;1));IF($O380="";"";XLOOKUP($O380;FILTER(Dictionaries!$B:$B;Dictionaries!$A:$A="Настроение");FILTER(Dictionaries!$C:$C;Dictionaries!$A:$A="Настроение")));IF($P380="";"";XLOOKUP($P380;FILTER(Dictionaries!$B:$B;Dictionaries!$A:$A="Энергия");FILTER(Dictionaries!$C:$C;Dictionaries!$A:$A="Энергия")));IF($U380="";"";AVERAGE(IF(OR($B380="Ноги";$B380="Верх");IFS(AND($U380&gt;=1900;$U380&lt;=2050);1;AND($U380&gt;=1850;$U380&lt;1900);0,7;AND($U380&gt;2050;$U380&lt;=2100);0,7;TRUE;0,2);IFS(AND($U380&gt;=1700;$U380&lt;=1850);1;AND($U380&gt;=1650;$U380&lt;1700);0,7;AND($U380&gt;1850;$U380&lt;=1900);0,7;TRUE;0,2));IF(OR($B380="Ноги";$B380="Верх");IFS(AND($V380&gt;=125;$V380&lt;=135);1;AND($V380&gt;=115;$V380&lt;125);0,7;AND($V380&gt;135;$V380&lt;=145);0,7;AND($V380&gt;=105;$V380&lt;115);0,4;AND($V380&gt;145;$V380&lt;=155);0,4;TRUE;0,2);IFS(AND($V380&gt;=120;$V380&lt;=130);1;AND($V380&gt;=110;$V380&lt;120);0,7;AND($V380&gt;130;$V380&lt;=140);0,7;AND($V380&gt;=100;$V380&lt;110);0,4;AND($V380&gt;140;$V380&lt;=150);0,4;TRUE;0,2));IFS(AND($W380&gt;=55;$W380&lt;=65);1;AND($W380&gt;=50;$W380&lt;55);0,7;AND($W380&gt;65;$W380&lt;=70);0,7;AND($W380&gt;=45;$W380&lt;50);0,4;AND($W380&gt;70;$W380&lt;=75);0,4;TRUE;0,2);IF(OR($B380="Ноги";$B380="Верх");IFS(AND($X380&gt;=180;$X380&lt;=210);1;AND($X380&gt;=160;$X380&lt;180);0,7;AND($X380&gt;210;$X380&lt;=230);0,7;AND($X380&gt;=140;$X380&lt;160);0,4;AND($X380&gt;230;$X380&lt;=250);0,4;TRUE;0,2);IFS(AND($X380&gt;=140;$X380&lt;=170);1;AND($X380&gt;=120;$X380&lt;140);0,7;AND($X380&gt;170;$X380&lt;=190);0,7;AND($X380&gt;=100;$X380&lt;120);0,4;AND($X380&gt;190;$X380&lt;=210);0,4;TRUE;0,2)))));1);""))</f>
        <v/>
      </c>
      <c r="Z380">
        <f>IF($A380="";"";TEXTJOIN(", ";TRUE;IF($B380="";"Тренировка";"");IF($C380="";"Кардио";"");IF($D380="";"Шаги";"");IF($E380="";"Английский";"");IF($F380="";"Код-режим";"");IF($G380="";"Код-тема";"");IF($H380="";"Чтение";"");IF($L380="";"Сон";"");IF($M380="";"Режим";"");IF($N380="";"Продуктивность";"");IF($O380="";"Настроение";"");IF($P380="";"Энергия";"");IF($U380="";"Еда";"")))</f>
        <v/>
      </c>
    </row>
    <row r="381">
      <c r="B381" t="inlineStr"/>
      <c r="C381" t="inlineStr"/>
      <c r="D381" t="inlineStr"/>
      <c r="E381" t="inlineStr"/>
      <c r="F381" t="inlineStr"/>
      <c r="G381" t="inlineStr"/>
      <c r="H381" t="inlineStr"/>
      <c r="I381" t="inlineStr"/>
      <c r="J381" t="inlineStr"/>
      <c r="K381" t="inlineStr"/>
      <c r="L381" t="inlineStr"/>
      <c r="M381" t="inlineStr"/>
      <c r="N381" t="inlineStr"/>
      <c r="O381" t="inlineStr"/>
      <c r="P381" t="inlineStr"/>
      <c r="Q381" t="inlineStr"/>
      <c r="R381" t="inlineStr"/>
      <c r="S381" t="inlineStr"/>
      <c r="T381" t="inlineStr"/>
      <c r="U381">
        <f>IF($A381="";"";IF(SUMIF(FoodLog!$A:$A;$A381;FoodLog!$I:$I)=0;"";SUMIF(FoodLog!$A:$A;$A381;FoodLog!$I:$I)))</f>
        <v/>
      </c>
      <c r="V381">
        <f>IF($A381="";"";IF(SUMIF(FoodLog!$A:$A;$A381;FoodLog!$F:$F)=0;"";SUMIF(FoodLog!$A:$A;$A381;FoodLog!$F:$F)))</f>
        <v/>
      </c>
      <c r="W381">
        <f>IF($A381="";"";IF(SUMIF(FoodLog!$A:$A;$A381;FoodLog!$G:$G)=0;"";SUMIF(FoodLog!$A:$A;$A381;FoodLog!$G:$G)))</f>
        <v/>
      </c>
      <c r="X381">
        <f>IF($A381="";"";IF(SUMIF(FoodLog!$A:$A;$A381;FoodLog!$H:$H)=0;"";SUMIF(FoodLog!$A:$A;$A381;FoodLog!$H:$H)))</f>
        <v/>
      </c>
      <c r="Y381">
        <f>IF($A381="";"";IFERROR(ROUND(100*AVERAGE(IF($B381="";"";XLOOKUP($B381;FILTER(Dictionaries!$B:$B;Dictionaries!$A:$A="Тренировка");FILTER(Dictionaries!$C:$C;Dictionaries!$A:$A="Тренировка")));IF($C381="";"";MIN($C381/40;1));IF($D381="";"";XLOOKUP($D381;FILTER(Dictionaries!$B:$B;Dictionaries!$A:$A="Шаги");FILTER(Dictionaries!$C:$C;Dictionaries!$A:$A="Шаги")));IF($E381="";"";MIN($E381/120;1));IF(OR($F381&lt;&gt;"";$G381&lt;&gt;"");1;"");IF($H381="";"";MIN($H381/100;1));IF($L381="";"";XLOOKUP($L381;FILTER(Dictionaries!$B:$B;Dictionaries!$A:$A="Сон_часы");FILTER(Dictionaries!$C:$C;Dictionaries!$A:$A="Сон_часы")));IF($M381="";"";XLOOKUP($M381;FILTER(Dictionaries!$B:$B;Dictionaries!$A:$A="Режим");FILTER(Dictionaries!$C:$C;Dictionaries!$A:$A="Режим")));IF($N381="";"";MIN($N381/100;1));IF($O381="";"";XLOOKUP($O381;FILTER(Dictionaries!$B:$B;Dictionaries!$A:$A="Настроение");FILTER(Dictionaries!$C:$C;Dictionaries!$A:$A="Настроение")));IF($P381="";"";XLOOKUP($P381;FILTER(Dictionaries!$B:$B;Dictionaries!$A:$A="Энергия");FILTER(Dictionaries!$C:$C;Dictionaries!$A:$A="Энергия")));IF($U381="";"";AVERAGE(IF(OR($B381="Ноги";$B381="Верх");IFS(AND($U381&gt;=1900;$U381&lt;=2050);1;AND($U381&gt;=1850;$U381&lt;1900);0,7;AND($U381&gt;2050;$U381&lt;=2100);0,7;TRUE;0,2);IFS(AND($U381&gt;=1700;$U381&lt;=1850);1;AND($U381&gt;=1650;$U381&lt;1700);0,7;AND($U381&gt;1850;$U381&lt;=1900);0,7;TRUE;0,2));IF(OR($B381="Ноги";$B381="Верх");IFS(AND($V381&gt;=125;$V381&lt;=135);1;AND($V381&gt;=115;$V381&lt;125);0,7;AND($V381&gt;135;$V381&lt;=145);0,7;AND($V381&gt;=105;$V381&lt;115);0,4;AND($V381&gt;145;$V381&lt;=155);0,4;TRUE;0,2);IFS(AND($V381&gt;=120;$V381&lt;=130);1;AND($V381&gt;=110;$V381&lt;120);0,7;AND($V381&gt;130;$V381&lt;=140);0,7;AND($V381&gt;=100;$V381&lt;110);0,4;AND($V381&gt;140;$V381&lt;=150);0,4;TRUE;0,2));IFS(AND($W381&gt;=55;$W381&lt;=65);1;AND($W381&gt;=50;$W381&lt;55);0,7;AND($W381&gt;65;$W381&lt;=70);0,7;AND($W381&gt;=45;$W381&lt;50);0,4;AND($W381&gt;70;$W381&lt;=75);0,4;TRUE;0,2);IF(OR($B381="Ноги";$B381="Верх");IFS(AND($X381&gt;=180;$X381&lt;=210);1;AND($X381&gt;=160;$X381&lt;180);0,7;AND($X381&gt;210;$X381&lt;=230);0,7;AND($X381&gt;=140;$X381&lt;160);0,4;AND($X381&gt;230;$X381&lt;=250);0,4;TRUE;0,2);IFS(AND($X381&gt;=140;$X381&lt;=170);1;AND($X381&gt;=120;$X381&lt;140);0,7;AND($X381&gt;170;$X381&lt;=190);0,7;AND($X381&gt;=100;$X381&lt;120);0,4;AND($X381&gt;190;$X381&lt;=210);0,4;TRUE;0,2)))));1);""))</f>
        <v/>
      </c>
      <c r="Z381">
        <f>IF($A381="";"";TEXTJOIN(", ";TRUE;IF($B381="";"Тренировка";"");IF($C381="";"Кардио";"");IF($D381="";"Шаги";"");IF($E381="";"Английский";"");IF($F381="";"Код-режим";"");IF($G381="";"Код-тема";"");IF($H381="";"Чтение";"");IF($L381="";"Сон";"");IF($M381="";"Режим";"");IF($N381="";"Продуктивность";"");IF($O381="";"Настроение";"");IF($P381="";"Энергия";"");IF($U381="";"Еда";"")))</f>
        <v/>
      </c>
    </row>
    <row r="382">
      <c r="B382" t="inlineStr"/>
      <c r="C382" t="inlineStr"/>
      <c r="D382" t="inlineStr"/>
      <c r="E382" t="inlineStr"/>
      <c r="F382" t="inlineStr"/>
      <c r="G382" t="inlineStr"/>
      <c r="H382" t="inlineStr"/>
      <c r="I382" t="inlineStr"/>
      <c r="J382" t="inlineStr"/>
      <c r="K382" t="inlineStr"/>
      <c r="L382" t="inlineStr"/>
      <c r="M382" t="inlineStr"/>
      <c r="N382" t="inlineStr"/>
      <c r="O382" t="inlineStr"/>
      <c r="P382" t="inlineStr"/>
      <c r="Q382" t="inlineStr"/>
      <c r="R382" t="inlineStr"/>
      <c r="S382" t="inlineStr"/>
      <c r="T382" t="inlineStr"/>
      <c r="U382">
        <f>IF($A382="";"";IF(SUMIF(FoodLog!$A:$A;$A382;FoodLog!$I:$I)=0;"";SUMIF(FoodLog!$A:$A;$A382;FoodLog!$I:$I)))</f>
        <v/>
      </c>
      <c r="V382">
        <f>IF($A382="";"";IF(SUMIF(FoodLog!$A:$A;$A382;FoodLog!$F:$F)=0;"";SUMIF(FoodLog!$A:$A;$A382;FoodLog!$F:$F)))</f>
        <v/>
      </c>
      <c r="W382">
        <f>IF($A382="";"";IF(SUMIF(FoodLog!$A:$A;$A382;FoodLog!$G:$G)=0;"";SUMIF(FoodLog!$A:$A;$A382;FoodLog!$G:$G)))</f>
        <v/>
      </c>
      <c r="X382">
        <f>IF($A382="";"";IF(SUMIF(FoodLog!$A:$A;$A382;FoodLog!$H:$H)=0;"";SUMIF(FoodLog!$A:$A;$A382;FoodLog!$H:$H)))</f>
        <v/>
      </c>
      <c r="Y382">
        <f>IF($A382="";"";IFERROR(ROUND(100*AVERAGE(IF($B382="";"";XLOOKUP($B382;FILTER(Dictionaries!$B:$B;Dictionaries!$A:$A="Тренировка");FILTER(Dictionaries!$C:$C;Dictionaries!$A:$A="Тренировка")));IF($C382="";"";MIN($C382/40;1));IF($D382="";"";XLOOKUP($D382;FILTER(Dictionaries!$B:$B;Dictionaries!$A:$A="Шаги");FILTER(Dictionaries!$C:$C;Dictionaries!$A:$A="Шаги")));IF($E382="";"";MIN($E382/120;1));IF(OR($F382&lt;&gt;"";$G382&lt;&gt;"");1;"");IF($H382="";"";MIN($H382/100;1));IF($L382="";"";XLOOKUP($L382;FILTER(Dictionaries!$B:$B;Dictionaries!$A:$A="Сон_часы");FILTER(Dictionaries!$C:$C;Dictionaries!$A:$A="Сон_часы")));IF($M382="";"";XLOOKUP($M382;FILTER(Dictionaries!$B:$B;Dictionaries!$A:$A="Режим");FILTER(Dictionaries!$C:$C;Dictionaries!$A:$A="Режим")));IF($N382="";"";MIN($N382/100;1));IF($O382="";"";XLOOKUP($O382;FILTER(Dictionaries!$B:$B;Dictionaries!$A:$A="Настроение");FILTER(Dictionaries!$C:$C;Dictionaries!$A:$A="Настроение")));IF($P382="";"";XLOOKUP($P382;FILTER(Dictionaries!$B:$B;Dictionaries!$A:$A="Энергия");FILTER(Dictionaries!$C:$C;Dictionaries!$A:$A="Энергия")));IF($U382="";"";AVERAGE(IF(OR($B382="Ноги";$B382="Верх");IFS(AND($U382&gt;=1900;$U382&lt;=2050);1;AND($U382&gt;=1850;$U382&lt;1900);0,7;AND($U382&gt;2050;$U382&lt;=2100);0,7;TRUE;0,2);IFS(AND($U382&gt;=1700;$U382&lt;=1850);1;AND($U382&gt;=1650;$U382&lt;1700);0,7;AND($U382&gt;1850;$U382&lt;=1900);0,7;TRUE;0,2));IF(OR($B382="Ноги";$B382="Верх");IFS(AND($V382&gt;=125;$V382&lt;=135);1;AND($V382&gt;=115;$V382&lt;125);0,7;AND($V382&gt;135;$V382&lt;=145);0,7;AND($V382&gt;=105;$V382&lt;115);0,4;AND($V382&gt;145;$V382&lt;=155);0,4;TRUE;0,2);IFS(AND($V382&gt;=120;$V382&lt;=130);1;AND($V382&gt;=110;$V382&lt;120);0,7;AND($V382&gt;130;$V382&lt;=140);0,7;AND($V382&gt;=100;$V382&lt;110);0,4;AND($V382&gt;140;$V382&lt;=150);0,4;TRUE;0,2));IFS(AND($W382&gt;=55;$W382&lt;=65);1;AND($W382&gt;=50;$W382&lt;55);0,7;AND($W382&gt;65;$W382&lt;=70);0,7;AND($W382&gt;=45;$W382&lt;50);0,4;AND($W382&gt;70;$W382&lt;=75);0,4;TRUE;0,2);IF(OR($B382="Ноги";$B382="Верх");IFS(AND($X382&gt;=180;$X382&lt;=210);1;AND($X382&gt;=160;$X382&lt;180);0,7;AND($X382&gt;210;$X382&lt;=230);0,7;AND($X382&gt;=140;$X382&lt;160);0,4;AND($X382&gt;230;$X382&lt;=250);0,4;TRUE;0,2);IFS(AND($X382&gt;=140;$X382&lt;=170);1;AND($X382&gt;=120;$X382&lt;140);0,7;AND($X382&gt;170;$X382&lt;=190);0,7;AND($X382&gt;=100;$X382&lt;120);0,4;AND($X382&gt;190;$X382&lt;=210);0,4;TRUE;0,2)))));1);""))</f>
        <v/>
      </c>
      <c r="Z382">
        <f>IF($A382="";"";TEXTJOIN(", ";TRUE;IF($B382="";"Тренировка";"");IF($C382="";"Кардио";"");IF($D382="";"Шаги";"");IF($E382="";"Английский";"");IF($F382="";"Код-режим";"");IF($G382="";"Код-тема";"");IF($H382="";"Чтение";"");IF($L382="";"Сон";"");IF($M382="";"Режим";"");IF($N382="";"Продуктивность";"");IF($O382="";"Настроение";"");IF($P382="";"Энергия";"");IF($U382="";"Еда";"")))</f>
        <v/>
      </c>
    </row>
    <row r="383">
      <c r="B383" t="inlineStr"/>
      <c r="C383" t="inlineStr"/>
      <c r="D383" t="inlineStr"/>
      <c r="E383" t="inlineStr"/>
      <c r="F383" t="inlineStr"/>
      <c r="G383" t="inlineStr"/>
      <c r="H383" t="inlineStr"/>
      <c r="I383" t="inlineStr"/>
      <c r="J383" t="inlineStr"/>
      <c r="K383" t="inlineStr"/>
      <c r="L383" t="inlineStr"/>
      <c r="M383" t="inlineStr"/>
      <c r="N383" t="inlineStr"/>
      <c r="O383" t="inlineStr"/>
      <c r="P383" t="inlineStr"/>
      <c r="Q383" t="inlineStr"/>
      <c r="R383" t="inlineStr"/>
      <c r="S383" t="inlineStr"/>
      <c r="T383" t="inlineStr"/>
      <c r="U383">
        <f>IF($A383="";"";IF(SUMIF(FoodLog!$A:$A;$A383;FoodLog!$I:$I)=0;"";SUMIF(FoodLog!$A:$A;$A383;FoodLog!$I:$I)))</f>
        <v/>
      </c>
      <c r="V383">
        <f>IF($A383="";"";IF(SUMIF(FoodLog!$A:$A;$A383;FoodLog!$F:$F)=0;"";SUMIF(FoodLog!$A:$A;$A383;FoodLog!$F:$F)))</f>
        <v/>
      </c>
      <c r="W383">
        <f>IF($A383="";"";IF(SUMIF(FoodLog!$A:$A;$A383;FoodLog!$G:$G)=0;"";SUMIF(FoodLog!$A:$A;$A383;FoodLog!$G:$G)))</f>
        <v/>
      </c>
      <c r="X383">
        <f>IF($A383="";"";IF(SUMIF(FoodLog!$A:$A;$A383;FoodLog!$H:$H)=0;"";SUMIF(FoodLog!$A:$A;$A383;FoodLog!$H:$H)))</f>
        <v/>
      </c>
      <c r="Y383">
        <f>IF($A383="";"";IFERROR(ROUND(100*AVERAGE(IF($B383="";"";XLOOKUP($B383;FILTER(Dictionaries!$B:$B;Dictionaries!$A:$A="Тренировка");FILTER(Dictionaries!$C:$C;Dictionaries!$A:$A="Тренировка")));IF($C383="";"";MIN($C383/40;1));IF($D383="";"";XLOOKUP($D383;FILTER(Dictionaries!$B:$B;Dictionaries!$A:$A="Шаги");FILTER(Dictionaries!$C:$C;Dictionaries!$A:$A="Шаги")));IF($E383="";"";MIN($E383/120;1));IF(OR($F383&lt;&gt;"";$G383&lt;&gt;"");1;"");IF($H383="";"";MIN($H383/100;1));IF($L383="";"";XLOOKUP($L383;FILTER(Dictionaries!$B:$B;Dictionaries!$A:$A="Сон_часы");FILTER(Dictionaries!$C:$C;Dictionaries!$A:$A="Сон_часы")));IF($M383="";"";XLOOKUP($M383;FILTER(Dictionaries!$B:$B;Dictionaries!$A:$A="Режим");FILTER(Dictionaries!$C:$C;Dictionaries!$A:$A="Режим")));IF($N383="";"";MIN($N383/100;1));IF($O383="";"";XLOOKUP($O383;FILTER(Dictionaries!$B:$B;Dictionaries!$A:$A="Настроение");FILTER(Dictionaries!$C:$C;Dictionaries!$A:$A="Настроение")));IF($P383="";"";XLOOKUP($P383;FILTER(Dictionaries!$B:$B;Dictionaries!$A:$A="Энергия");FILTER(Dictionaries!$C:$C;Dictionaries!$A:$A="Энергия")));IF($U383="";"";AVERAGE(IF(OR($B383="Ноги";$B383="Верх");IFS(AND($U383&gt;=1900;$U383&lt;=2050);1;AND($U383&gt;=1850;$U383&lt;1900);0,7;AND($U383&gt;2050;$U383&lt;=2100);0,7;TRUE;0,2);IFS(AND($U383&gt;=1700;$U383&lt;=1850);1;AND($U383&gt;=1650;$U383&lt;1700);0,7;AND($U383&gt;1850;$U383&lt;=1900);0,7;TRUE;0,2));IF(OR($B383="Ноги";$B383="Верх");IFS(AND($V383&gt;=125;$V383&lt;=135);1;AND($V383&gt;=115;$V383&lt;125);0,7;AND($V383&gt;135;$V383&lt;=145);0,7;AND($V383&gt;=105;$V383&lt;115);0,4;AND($V383&gt;145;$V383&lt;=155);0,4;TRUE;0,2);IFS(AND($V383&gt;=120;$V383&lt;=130);1;AND($V383&gt;=110;$V383&lt;120);0,7;AND($V383&gt;130;$V383&lt;=140);0,7;AND($V383&gt;=100;$V383&lt;110);0,4;AND($V383&gt;140;$V383&lt;=150);0,4;TRUE;0,2));IFS(AND($W383&gt;=55;$W383&lt;=65);1;AND($W383&gt;=50;$W383&lt;55);0,7;AND($W383&gt;65;$W383&lt;=70);0,7;AND($W383&gt;=45;$W383&lt;50);0,4;AND($W383&gt;70;$W383&lt;=75);0,4;TRUE;0,2);IF(OR($B383="Ноги";$B383="Верх");IFS(AND($X383&gt;=180;$X383&lt;=210);1;AND($X383&gt;=160;$X383&lt;180);0,7;AND($X383&gt;210;$X383&lt;=230);0,7;AND($X383&gt;=140;$X383&lt;160);0,4;AND($X383&gt;230;$X383&lt;=250);0,4;TRUE;0,2);IFS(AND($X383&gt;=140;$X383&lt;=170);1;AND($X383&gt;=120;$X383&lt;140);0,7;AND($X383&gt;170;$X383&lt;=190);0,7;AND($X383&gt;=100;$X383&lt;120);0,4;AND($X383&gt;190;$X383&lt;=210);0,4;TRUE;0,2)))));1);""))</f>
        <v/>
      </c>
      <c r="Z383">
        <f>IF($A383="";"";TEXTJOIN(", ";TRUE;IF($B383="";"Тренировка";"");IF($C383="";"Кардио";"");IF($D383="";"Шаги";"");IF($E383="";"Английский";"");IF($F383="";"Код-режим";"");IF($G383="";"Код-тема";"");IF($H383="";"Чтение";"");IF($L383="";"Сон";"");IF($M383="";"Режим";"");IF($N383="";"Продуктивность";"");IF($O383="";"Настроение";"");IF($P383="";"Энергия";"");IF($U383="";"Еда";"")))</f>
        <v/>
      </c>
    </row>
    <row r="384">
      <c r="B384" t="inlineStr"/>
      <c r="C384" t="inlineStr"/>
      <c r="D384" t="inlineStr"/>
      <c r="E384" t="inlineStr"/>
      <c r="F384" t="inlineStr"/>
      <c r="G384" t="inlineStr"/>
      <c r="H384" t="inlineStr"/>
      <c r="I384" t="inlineStr"/>
      <c r="J384" t="inlineStr"/>
      <c r="K384" t="inlineStr"/>
      <c r="L384" t="inlineStr"/>
      <c r="M384" t="inlineStr"/>
      <c r="N384" t="inlineStr"/>
      <c r="O384" t="inlineStr"/>
      <c r="P384" t="inlineStr"/>
      <c r="Q384" t="inlineStr"/>
      <c r="R384" t="inlineStr"/>
      <c r="S384" t="inlineStr"/>
      <c r="T384" t="inlineStr"/>
      <c r="U384">
        <f>IF($A384="";"";IF(SUMIF(FoodLog!$A:$A;$A384;FoodLog!$I:$I)=0;"";SUMIF(FoodLog!$A:$A;$A384;FoodLog!$I:$I)))</f>
        <v/>
      </c>
      <c r="V384">
        <f>IF($A384="";"";IF(SUMIF(FoodLog!$A:$A;$A384;FoodLog!$F:$F)=0;"";SUMIF(FoodLog!$A:$A;$A384;FoodLog!$F:$F)))</f>
        <v/>
      </c>
      <c r="W384">
        <f>IF($A384="";"";IF(SUMIF(FoodLog!$A:$A;$A384;FoodLog!$G:$G)=0;"";SUMIF(FoodLog!$A:$A;$A384;FoodLog!$G:$G)))</f>
        <v/>
      </c>
      <c r="X384">
        <f>IF($A384="";"";IF(SUMIF(FoodLog!$A:$A;$A384;FoodLog!$H:$H)=0;"";SUMIF(FoodLog!$A:$A;$A384;FoodLog!$H:$H)))</f>
        <v/>
      </c>
      <c r="Y384">
        <f>IF($A384="";"";IFERROR(ROUND(100*AVERAGE(IF($B384="";"";XLOOKUP($B384;FILTER(Dictionaries!$B:$B;Dictionaries!$A:$A="Тренировка");FILTER(Dictionaries!$C:$C;Dictionaries!$A:$A="Тренировка")));IF($C384="";"";MIN($C384/40;1));IF($D384="";"";XLOOKUP($D384;FILTER(Dictionaries!$B:$B;Dictionaries!$A:$A="Шаги");FILTER(Dictionaries!$C:$C;Dictionaries!$A:$A="Шаги")));IF($E384="";"";MIN($E384/120;1));IF(OR($F384&lt;&gt;"";$G384&lt;&gt;"");1;"");IF($H384="";"";MIN($H384/100;1));IF($L384="";"";XLOOKUP($L384;FILTER(Dictionaries!$B:$B;Dictionaries!$A:$A="Сон_часы");FILTER(Dictionaries!$C:$C;Dictionaries!$A:$A="Сон_часы")));IF($M384="";"";XLOOKUP($M384;FILTER(Dictionaries!$B:$B;Dictionaries!$A:$A="Режим");FILTER(Dictionaries!$C:$C;Dictionaries!$A:$A="Режим")));IF($N384="";"";MIN($N384/100;1));IF($O384="";"";XLOOKUP($O384;FILTER(Dictionaries!$B:$B;Dictionaries!$A:$A="Настроение");FILTER(Dictionaries!$C:$C;Dictionaries!$A:$A="Настроение")));IF($P384="";"";XLOOKUP($P384;FILTER(Dictionaries!$B:$B;Dictionaries!$A:$A="Энергия");FILTER(Dictionaries!$C:$C;Dictionaries!$A:$A="Энергия")));IF($U384="";"";AVERAGE(IF(OR($B384="Ноги";$B384="Верх");IFS(AND($U384&gt;=1900;$U384&lt;=2050);1;AND($U384&gt;=1850;$U384&lt;1900);0,7;AND($U384&gt;2050;$U384&lt;=2100);0,7;TRUE;0,2);IFS(AND($U384&gt;=1700;$U384&lt;=1850);1;AND($U384&gt;=1650;$U384&lt;1700);0,7;AND($U384&gt;1850;$U384&lt;=1900);0,7;TRUE;0,2));IF(OR($B384="Ноги";$B384="Верх");IFS(AND($V384&gt;=125;$V384&lt;=135);1;AND($V384&gt;=115;$V384&lt;125);0,7;AND($V384&gt;135;$V384&lt;=145);0,7;AND($V384&gt;=105;$V384&lt;115);0,4;AND($V384&gt;145;$V384&lt;=155);0,4;TRUE;0,2);IFS(AND($V384&gt;=120;$V384&lt;=130);1;AND($V384&gt;=110;$V384&lt;120);0,7;AND($V384&gt;130;$V384&lt;=140);0,7;AND($V384&gt;=100;$V384&lt;110);0,4;AND($V384&gt;140;$V384&lt;=150);0,4;TRUE;0,2));IFS(AND($W384&gt;=55;$W384&lt;=65);1;AND($W384&gt;=50;$W384&lt;55);0,7;AND($W384&gt;65;$W384&lt;=70);0,7;AND($W384&gt;=45;$W384&lt;50);0,4;AND($W384&gt;70;$W384&lt;=75);0,4;TRUE;0,2);IF(OR($B384="Ноги";$B384="Верх");IFS(AND($X384&gt;=180;$X384&lt;=210);1;AND($X384&gt;=160;$X384&lt;180);0,7;AND($X384&gt;210;$X384&lt;=230);0,7;AND($X384&gt;=140;$X384&lt;160);0,4;AND($X384&gt;230;$X384&lt;=250);0,4;TRUE;0,2);IFS(AND($X384&gt;=140;$X384&lt;=170);1;AND($X384&gt;=120;$X384&lt;140);0,7;AND($X384&gt;170;$X384&lt;=190);0,7;AND($X384&gt;=100;$X384&lt;120);0,4;AND($X384&gt;190;$X384&lt;=210);0,4;TRUE;0,2)))));1);""))</f>
        <v/>
      </c>
      <c r="Z384">
        <f>IF($A384="";"";TEXTJOIN(", ";TRUE;IF($B384="";"Тренировка";"");IF($C384="";"Кардио";"");IF($D384="";"Шаги";"");IF($E384="";"Английский";"");IF($F384="";"Код-режим";"");IF($G384="";"Код-тема";"");IF($H384="";"Чтение";"");IF($L384="";"Сон";"");IF($M384="";"Режим";"");IF($N384="";"Продуктивность";"");IF($O384="";"Настроение";"");IF($P384="";"Энергия";"");IF($U384="";"Еда";"")))</f>
        <v/>
      </c>
    </row>
    <row r="385">
      <c r="B385" t="inlineStr"/>
      <c r="C385" t="inlineStr"/>
      <c r="D385" t="inlineStr"/>
      <c r="E385" t="inlineStr"/>
      <c r="F385" t="inlineStr"/>
      <c r="G385" t="inlineStr"/>
      <c r="H385" t="inlineStr"/>
      <c r="I385" t="inlineStr"/>
      <c r="J385" t="inlineStr"/>
      <c r="K385" t="inlineStr"/>
      <c r="L385" t="inlineStr"/>
      <c r="M385" t="inlineStr"/>
      <c r="N385" t="inlineStr"/>
      <c r="O385" t="inlineStr"/>
      <c r="P385" t="inlineStr"/>
      <c r="Q385" t="inlineStr"/>
      <c r="R385" t="inlineStr"/>
      <c r="S385" t="inlineStr"/>
      <c r="T385" t="inlineStr"/>
      <c r="U385">
        <f>IF($A385="";"";IF(SUMIF(FoodLog!$A:$A;$A385;FoodLog!$I:$I)=0;"";SUMIF(FoodLog!$A:$A;$A385;FoodLog!$I:$I)))</f>
        <v/>
      </c>
      <c r="V385">
        <f>IF($A385="";"";IF(SUMIF(FoodLog!$A:$A;$A385;FoodLog!$F:$F)=0;"";SUMIF(FoodLog!$A:$A;$A385;FoodLog!$F:$F)))</f>
        <v/>
      </c>
      <c r="W385">
        <f>IF($A385="";"";IF(SUMIF(FoodLog!$A:$A;$A385;FoodLog!$G:$G)=0;"";SUMIF(FoodLog!$A:$A;$A385;FoodLog!$G:$G)))</f>
        <v/>
      </c>
      <c r="X385">
        <f>IF($A385="";"";IF(SUMIF(FoodLog!$A:$A;$A385;FoodLog!$H:$H)=0;"";SUMIF(FoodLog!$A:$A;$A385;FoodLog!$H:$H)))</f>
        <v/>
      </c>
      <c r="Y385">
        <f>IF($A385="";"";IFERROR(ROUND(100*AVERAGE(IF($B385="";"";XLOOKUP($B385;FILTER(Dictionaries!$B:$B;Dictionaries!$A:$A="Тренировка");FILTER(Dictionaries!$C:$C;Dictionaries!$A:$A="Тренировка")));IF($C385="";"";MIN($C385/40;1));IF($D385="";"";XLOOKUP($D385;FILTER(Dictionaries!$B:$B;Dictionaries!$A:$A="Шаги");FILTER(Dictionaries!$C:$C;Dictionaries!$A:$A="Шаги")));IF($E385="";"";MIN($E385/120;1));IF(OR($F385&lt;&gt;"";$G385&lt;&gt;"");1;"");IF($H385="";"";MIN($H385/100;1));IF($L385="";"";XLOOKUP($L385;FILTER(Dictionaries!$B:$B;Dictionaries!$A:$A="Сон_часы");FILTER(Dictionaries!$C:$C;Dictionaries!$A:$A="Сон_часы")));IF($M385="";"";XLOOKUP($M385;FILTER(Dictionaries!$B:$B;Dictionaries!$A:$A="Режим");FILTER(Dictionaries!$C:$C;Dictionaries!$A:$A="Режим")));IF($N385="";"";MIN($N385/100;1));IF($O385="";"";XLOOKUP($O385;FILTER(Dictionaries!$B:$B;Dictionaries!$A:$A="Настроение");FILTER(Dictionaries!$C:$C;Dictionaries!$A:$A="Настроение")));IF($P385="";"";XLOOKUP($P385;FILTER(Dictionaries!$B:$B;Dictionaries!$A:$A="Энергия");FILTER(Dictionaries!$C:$C;Dictionaries!$A:$A="Энергия")));IF($U385="";"";AVERAGE(IF(OR($B385="Ноги";$B385="Верх");IFS(AND($U385&gt;=1900;$U385&lt;=2050);1;AND($U385&gt;=1850;$U385&lt;1900);0,7;AND($U385&gt;2050;$U385&lt;=2100);0,7;TRUE;0,2);IFS(AND($U385&gt;=1700;$U385&lt;=1850);1;AND($U385&gt;=1650;$U385&lt;1700);0,7;AND($U385&gt;1850;$U385&lt;=1900);0,7;TRUE;0,2));IF(OR($B385="Ноги";$B385="Верх");IFS(AND($V385&gt;=125;$V385&lt;=135);1;AND($V385&gt;=115;$V385&lt;125);0,7;AND($V385&gt;135;$V385&lt;=145);0,7;AND($V385&gt;=105;$V385&lt;115);0,4;AND($V385&gt;145;$V385&lt;=155);0,4;TRUE;0,2);IFS(AND($V385&gt;=120;$V385&lt;=130);1;AND($V385&gt;=110;$V385&lt;120);0,7;AND($V385&gt;130;$V385&lt;=140);0,7;AND($V385&gt;=100;$V385&lt;110);0,4;AND($V385&gt;140;$V385&lt;=150);0,4;TRUE;0,2));IFS(AND($W385&gt;=55;$W385&lt;=65);1;AND($W385&gt;=50;$W385&lt;55);0,7;AND($W385&gt;65;$W385&lt;=70);0,7;AND($W385&gt;=45;$W385&lt;50);0,4;AND($W385&gt;70;$W385&lt;=75);0,4;TRUE;0,2);IF(OR($B385="Ноги";$B385="Верх");IFS(AND($X385&gt;=180;$X385&lt;=210);1;AND($X385&gt;=160;$X385&lt;180);0,7;AND($X385&gt;210;$X385&lt;=230);0,7;AND($X385&gt;=140;$X385&lt;160);0,4;AND($X385&gt;230;$X385&lt;=250);0,4;TRUE;0,2);IFS(AND($X385&gt;=140;$X385&lt;=170);1;AND($X385&gt;=120;$X385&lt;140);0,7;AND($X385&gt;170;$X385&lt;=190);0,7;AND($X385&gt;=100;$X385&lt;120);0,4;AND($X385&gt;190;$X385&lt;=210);0,4;TRUE;0,2)))));1);""))</f>
        <v/>
      </c>
      <c r="Z385">
        <f>IF($A385="";"";TEXTJOIN(", ";TRUE;IF($B385="";"Тренировка";"");IF($C385="";"Кардио";"");IF($D385="";"Шаги";"");IF($E385="";"Английский";"");IF($F385="";"Код-режим";"");IF($G385="";"Код-тема";"");IF($H385="";"Чтение";"");IF($L385="";"Сон";"");IF($M385="";"Режим";"");IF($N385="";"Продуктивность";"");IF($O385="";"Настроение";"");IF($P385="";"Энергия";"");IF($U385="";"Еда";"")))</f>
        <v/>
      </c>
    </row>
    <row r="386">
      <c r="B386" t="inlineStr"/>
      <c r="C386" t="inlineStr"/>
      <c r="D386" t="inlineStr"/>
      <c r="E386" t="inlineStr"/>
      <c r="F386" t="inlineStr"/>
      <c r="G386" t="inlineStr"/>
      <c r="H386" t="inlineStr"/>
      <c r="I386" t="inlineStr"/>
      <c r="J386" t="inlineStr"/>
      <c r="K386" t="inlineStr"/>
      <c r="L386" t="inlineStr"/>
      <c r="M386" t="inlineStr"/>
      <c r="N386" t="inlineStr"/>
      <c r="O386" t="inlineStr"/>
      <c r="P386" t="inlineStr"/>
      <c r="Q386" t="inlineStr"/>
      <c r="R386" t="inlineStr"/>
      <c r="S386" t="inlineStr"/>
      <c r="T386" t="inlineStr"/>
      <c r="U386">
        <f>IF($A386="";"";IF(SUMIF(FoodLog!$A:$A;$A386;FoodLog!$I:$I)=0;"";SUMIF(FoodLog!$A:$A;$A386;FoodLog!$I:$I)))</f>
        <v/>
      </c>
      <c r="V386">
        <f>IF($A386="";"";IF(SUMIF(FoodLog!$A:$A;$A386;FoodLog!$F:$F)=0;"";SUMIF(FoodLog!$A:$A;$A386;FoodLog!$F:$F)))</f>
        <v/>
      </c>
      <c r="W386">
        <f>IF($A386="";"";IF(SUMIF(FoodLog!$A:$A;$A386;FoodLog!$G:$G)=0;"";SUMIF(FoodLog!$A:$A;$A386;FoodLog!$G:$G)))</f>
        <v/>
      </c>
      <c r="X386">
        <f>IF($A386="";"";IF(SUMIF(FoodLog!$A:$A;$A386;FoodLog!$H:$H)=0;"";SUMIF(FoodLog!$A:$A;$A386;FoodLog!$H:$H)))</f>
        <v/>
      </c>
      <c r="Y386">
        <f>IF($A386="";"";IFERROR(ROUND(100*AVERAGE(IF($B386="";"";XLOOKUP($B386;FILTER(Dictionaries!$B:$B;Dictionaries!$A:$A="Тренировка");FILTER(Dictionaries!$C:$C;Dictionaries!$A:$A="Тренировка")));IF($C386="";"";MIN($C386/40;1));IF($D386="";"";XLOOKUP($D386;FILTER(Dictionaries!$B:$B;Dictionaries!$A:$A="Шаги");FILTER(Dictionaries!$C:$C;Dictionaries!$A:$A="Шаги")));IF($E386="";"";MIN($E386/120;1));IF(OR($F386&lt;&gt;"";$G386&lt;&gt;"");1;"");IF($H386="";"";MIN($H386/100;1));IF($L386="";"";XLOOKUP($L386;FILTER(Dictionaries!$B:$B;Dictionaries!$A:$A="Сон_часы");FILTER(Dictionaries!$C:$C;Dictionaries!$A:$A="Сон_часы")));IF($M386="";"";XLOOKUP($M386;FILTER(Dictionaries!$B:$B;Dictionaries!$A:$A="Режим");FILTER(Dictionaries!$C:$C;Dictionaries!$A:$A="Режим")));IF($N386="";"";MIN($N386/100;1));IF($O386="";"";XLOOKUP($O386;FILTER(Dictionaries!$B:$B;Dictionaries!$A:$A="Настроение");FILTER(Dictionaries!$C:$C;Dictionaries!$A:$A="Настроение")));IF($P386="";"";XLOOKUP($P386;FILTER(Dictionaries!$B:$B;Dictionaries!$A:$A="Энергия");FILTER(Dictionaries!$C:$C;Dictionaries!$A:$A="Энергия")));IF($U386="";"";AVERAGE(IF(OR($B386="Ноги";$B386="Верх");IFS(AND($U386&gt;=1900;$U386&lt;=2050);1;AND($U386&gt;=1850;$U386&lt;1900);0,7;AND($U386&gt;2050;$U386&lt;=2100);0,7;TRUE;0,2);IFS(AND($U386&gt;=1700;$U386&lt;=1850);1;AND($U386&gt;=1650;$U386&lt;1700);0,7;AND($U386&gt;1850;$U386&lt;=1900);0,7;TRUE;0,2));IF(OR($B386="Ноги";$B386="Верх");IFS(AND($V386&gt;=125;$V386&lt;=135);1;AND($V386&gt;=115;$V386&lt;125);0,7;AND($V386&gt;135;$V386&lt;=145);0,7;AND($V386&gt;=105;$V386&lt;115);0,4;AND($V386&gt;145;$V386&lt;=155);0,4;TRUE;0,2);IFS(AND($V386&gt;=120;$V386&lt;=130);1;AND($V386&gt;=110;$V386&lt;120);0,7;AND($V386&gt;130;$V386&lt;=140);0,7;AND($V386&gt;=100;$V386&lt;110);0,4;AND($V386&gt;140;$V386&lt;=150);0,4;TRUE;0,2));IFS(AND($W386&gt;=55;$W386&lt;=65);1;AND($W386&gt;=50;$W386&lt;55);0,7;AND($W386&gt;65;$W386&lt;=70);0,7;AND($W386&gt;=45;$W386&lt;50);0,4;AND($W386&gt;70;$W386&lt;=75);0,4;TRUE;0,2);IF(OR($B386="Ноги";$B386="Верх");IFS(AND($X386&gt;=180;$X386&lt;=210);1;AND($X386&gt;=160;$X386&lt;180);0,7;AND($X386&gt;210;$X386&lt;=230);0,7;AND($X386&gt;=140;$X386&lt;160);0,4;AND($X386&gt;230;$X386&lt;=250);0,4;TRUE;0,2);IFS(AND($X386&gt;=140;$X386&lt;=170);1;AND($X386&gt;=120;$X386&lt;140);0,7;AND($X386&gt;170;$X386&lt;=190);0,7;AND($X386&gt;=100;$X386&lt;120);0,4;AND($X386&gt;190;$X386&lt;=210);0,4;TRUE;0,2)))));1);""))</f>
        <v/>
      </c>
      <c r="Z386">
        <f>IF($A386="";"";TEXTJOIN(", ";TRUE;IF($B386="";"Тренировка";"");IF($C386="";"Кардио";"");IF($D386="";"Шаги";"");IF($E386="";"Английский";"");IF($F386="";"Код-режим";"");IF($G386="";"Код-тема";"");IF($H386="";"Чтение";"");IF($L386="";"Сон";"");IF($M386="";"Режим";"");IF($N386="";"Продуктивность";"");IF($O386="";"Настроение";"");IF($P386="";"Энергия";"");IF($U386="";"Еда";"")))</f>
        <v/>
      </c>
    </row>
    <row r="387">
      <c r="B387" t="inlineStr"/>
      <c r="C387" t="inlineStr"/>
      <c r="D387" t="inlineStr"/>
      <c r="E387" t="inlineStr"/>
      <c r="F387" t="inlineStr"/>
      <c r="G387" t="inlineStr"/>
      <c r="H387" t="inlineStr"/>
      <c r="I387" t="inlineStr"/>
      <c r="J387" t="inlineStr"/>
      <c r="K387" t="inlineStr"/>
      <c r="L387" t="inlineStr"/>
      <c r="M387" t="inlineStr"/>
      <c r="N387" t="inlineStr"/>
      <c r="O387" t="inlineStr"/>
      <c r="P387" t="inlineStr"/>
      <c r="Q387" t="inlineStr"/>
      <c r="R387" t="inlineStr"/>
      <c r="S387" t="inlineStr"/>
      <c r="T387" t="inlineStr"/>
      <c r="U387">
        <f>IF($A387="";"";IF(SUMIF(FoodLog!$A:$A;$A387;FoodLog!$I:$I)=0;"";SUMIF(FoodLog!$A:$A;$A387;FoodLog!$I:$I)))</f>
        <v/>
      </c>
      <c r="V387">
        <f>IF($A387="";"";IF(SUMIF(FoodLog!$A:$A;$A387;FoodLog!$F:$F)=0;"";SUMIF(FoodLog!$A:$A;$A387;FoodLog!$F:$F)))</f>
        <v/>
      </c>
      <c r="W387">
        <f>IF($A387="";"";IF(SUMIF(FoodLog!$A:$A;$A387;FoodLog!$G:$G)=0;"";SUMIF(FoodLog!$A:$A;$A387;FoodLog!$G:$G)))</f>
        <v/>
      </c>
      <c r="X387">
        <f>IF($A387="";"";IF(SUMIF(FoodLog!$A:$A;$A387;FoodLog!$H:$H)=0;"";SUMIF(FoodLog!$A:$A;$A387;FoodLog!$H:$H)))</f>
        <v/>
      </c>
      <c r="Y387">
        <f>IF($A387="";"";IFERROR(ROUND(100*AVERAGE(IF($B387="";"";XLOOKUP($B387;FILTER(Dictionaries!$B:$B;Dictionaries!$A:$A="Тренировка");FILTER(Dictionaries!$C:$C;Dictionaries!$A:$A="Тренировка")));IF($C387="";"";MIN($C387/40;1));IF($D387="";"";XLOOKUP($D387;FILTER(Dictionaries!$B:$B;Dictionaries!$A:$A="Шаги");FILTER(Dictionaries!$C:$C;Dictionaries!$A:$A="Шаги")));IF($E387="";"";MIN($E387/120;1));IF(OR($F387&lt;&gt;"";$G387&lt;&gt;"");1;"");IF($H387="";"";MIN($H387/100;1));IF($L387="";"";XLOOKUP($L387;FILTER(Dictionaries!$B:$B;Dictionaries!$A:$A="Сон_часы");FILTER(Dictionaries!$C:$C;Dictionaries!$A:$A="Сон_часы")));IF($M387="";"";XLOOKUP($M387;FILTER(Dictionaries!$B:$B;Dictionaries!$A:$A="Режим");FILTER(Dictionaries!$C:$C;Dictionaries!$A:$A="Режим")));IF($N387="";"";MIN($N387/100;1));IF($O387="";"";XLOOKUP($O387;FILTER(Dictionaries!$B:$B;Dictionaries!$A:$A="Настроение");FILTER(Dictionaries!$C:$C;Dictionaries!$A:$A="Настроение")));IF($P387="";"";XLOOKUP($P387;FILTER(Dictionaries!$B:$B;Dictionaries!$A:$A="Энергия");FILTER(Dictionaries!$C:$C;Dictionaries!$A:$A="Энергия")));IF($U387="";"";AVERAGE(IF(OR($B387="Ноги";$B387="Верх");IFS(AND($U387&gt;=1900;$U387&lt;=2050);1;AND($U387&gt;=1850;$U387&lt;1900);0,7;AND($U387&gt;2050;$U387&lt;=2100);0,7;TRUE;0,2);IFS(AND($U387&gt;=1700;$U387&lt;=1850);1;AND($U387&gt;=1650;$U387&lt;1700);0,7;AND($U387&gt;1850;$U387&lt;=1900);0,7;TRUE;0,2));IF(OR($B387="Ноги";$B387="Верх");IFS(AND($V387&gt;=125;$V387&lt;=135);1;AND($V387&gt;=115;$V387&lt;125);0,7;AND($V387&gt;135;$V387&lt;=145);0,7;AND($V387&gt;=105;$V387&lt;115);0,4;AND($V387&gt;145;$V387&lt;=155);0,4;TRUE;0,2);IFS(AND($V387&gt;=120;$V387&lt;=130);1;AND($V387&gt;=110;$V387&lt;120);0,7;AND($V387&gt;130;$V387&lt;=140);0,7;AND($V387&gt;=100;$V387&lt;110);0,4;AND($V387&gt;140;$V387&lt;=150);0,4;TRUE;0,2));IFS(AND($W387&gt;=55;$W387&lt;=65);1;AND($W387&gt;=50;$W387&lt;55);0,7;AND($W387&gt;65;$W387&lt;=70);0,7;AND($W387&gt;=45;$W387&lt;50);0,4;AND($W387&gt;70;$W387&lt;=75);0,4;TRUE;0,2);IF(OR($B387="Ноги";$B387="Верх");IFS(AND($X387&gt;=180;$X387&lt;=210);1;AND($X387&gt;=160;$X387&lt;180);0,7;AND($X387&gt;210;$X387&lt;=230);0,7;AND($X387&gt;=140;$X387&lt;160);0,4;AND($X387&gt;230;$X387&lt;=250);0,4;TRUE;0,2);IFS(AND($X387&gt;=140;$X387&lt;=170);1;AND($X387&gt;=120;$X387&lt;140);0,7;AND($X387&gt;170;$X387&lt;=190);0,7;AND($X387&gt;=100;$X387&lt;120);0,4;AND($X387&gt;190;$X387&lt;=210);0,4;TRUE;0,2)))));1);""))</f>
        <v/>
      </c>
      <c r="Z387">
        <f>IF($A387="";"";TEXTJOIN(", ";TRUE;IF($B387="";"Тренировка";"");IF($C387="";"Кардио";"");IF($D387="";"Шаги";"");IF($E387="";"Английский";"");IF($F387="";"Код-режим";"");IF($G387="";"Код-тема";"");IF($H387="";"Чтение";"");IF($L387="";"Сон";"");IF($M387="";"Режим";"");IF($N387="";"Продуктивность";"");IF($O387="";"Настроение";"");IF($P387="";"Энергия";"");IF($U387="";"Еда";"")))</f>
        <v/>
      </c>
    </row>
    <row r="388">
      <c r="B388" t="inlineStr"/>
      <c r="C388" t="inlineStr"/>
      <c r="D388" t="inlineStr"/>
      <c r="E388" t="inlineStr"/>
      <c r="F388" t="inlineStr"/>
      <c r="G388" t="inlineStr"/>
      <c r="H388" t="inlineStr"/>
      <c r="I388" t="inlineStr"/>
      <c r="J388" t="inlineStr"/>
      <c r="K388" t="inlineStr"/>
      <c r="L388" t="inlineStr"/>
      <c r="M388" t="inlineStr"/>
      <c r="N388" t="inlineStr"/>
      <c r="O388" t="inlineStr"/>
      <c r="P388" t="inlineStr"/>
      <c r="Q388" t="inlineStr"/>
      <c r="R388" t="inlineStr"/>
      <c r="S388" t="inlineStr"/>
      <c r="T388" t="inlineStr"/>
      <c r="U388">
        <f>IF($A388="";"";IF(SUMIF(FoodLog!$A:$A;$A388;FoodLog!$I:$I)=0;"";SUMIF(FoodLog!$A:$A;$A388;FoodLog!$I:$I)))</f>
        <v/>
      </c>
      <c r="V388">
        <f>IF($A388="";"";IF(SUMIF(FoodLog!$A:$A;$A388;FoodLog!$F:$F)=0;"";SUMIF(FoodLog!$A:$A;$A388;FoodLog!$F:$F)))</f>
        <v/>
      </c>
      <c r="W388">
        <f>IF($A388="";"";IF(SUMIF(FoodLog!$A:$A;$A388;FoodLog!$G:$G)=0;"";SUMIF(FoodLog!$A:$A;$A388;FoodLog!$G:$G)))</f>
        <v/>
      </c>
      <c r="X388">
        <f>IF($A388="";"";IF(SUMIF(FoodLog!$A:$A;$A388;FoodLog!$H:$H)=0;"";SUMIF(FoodLog!$A:$A;$A388;FoodLog!$H:$H)))</f>
        <v/>
      </c>
      <c r="Y388">
        <f>IF($A388="";"";IFERROR(ROUND(100*AVERAGE(IF($B388="";"";XLOOKUP($B388;FILTER(Dictionaries!$B:$B;Dictionaries!$A:$A="Тренировка");FILTER(Dictionaries!$C:$C;Dictionaries!$A:$A="Тренировка")));IF($C388="";"";MIN($C388/40;1));IF($D388="";"";XLOOKUP($D388;FILTER(Dictionaries!$B:$B;Dictionaries!$A:$A="Шаги");FILTER(Dictionaries!$C:$C;Dictionaries!$A:$A="Шаги")));IF($E388="";"";MIN($E388/120;1));IF(OR($F388&lt;&gt;"";$G388&lt;&gt;"");1;"");IF($H388="";"";MIN($H388/100;1));IF($L388="";"";XLOOKUP($L388;FILTER(Dictionaries!$B:$B;Dictionaries!$A:$A="Сон_часы");FILTER(Dictionaries!$C:$C;Dictionaries!$A:$A="Сон_часы")));IF($M388="";"";XLOOKUP($M388;FILTER(Dictionaries!$B:$B;Dictionaries!$A:$A="Режим");FILTER(Dictionaries!$C:$C;Dictionaries!$A:$A="Режим")));IF($N388="";"";MIN($N388/100;1));IF($O388="";"";XLOOKUP($O388;FILTER(Dictionaries!$B:$B;Dictionaries!$A:$A="Настроение");FILTER(Dictionaries!$C:$C;Dictionaries!$A:$A="Настроение")));IF($P388="";"";XLOOKUP($P388;FILTER(Dictionaries!$B:$B;Dictionaries!$A:$A="Энергия");FILTER(Dictionaries!$C:$C;Dictionaries!$A:$A="Энергия")));IF($U388="";"";AVERAGE(IF(OR($B388="Ноги";$B388="Верх");IFS(AND($U388&gt;=1900;$U388&lt;=2050);1;AND($U388&gt;=1850;$U388&lt;1900);0,7;AND($U388&gt;2050;$U388&lt;=2100);0,7;TRUE;0,2);IFS(AND($U388&gt;=1700;$U388&lt;=1850);1;AND($U388&gt;=1650;$U388&lt;1700);0,7;AND($U388&gt;1850;$U388&lt;=1900);0,7;TRUE;0,2));IF(OR($B388="Ноги";$B388="Верх");IFS(AND($V388&gt;=125;$V388&lt;=135);1;AND($V388&gt;=115;$V388&lt;125);0,7;AND($V388&gt;135;$V388&lt;=145);0,7;AND($V388&gt;=105;$V388&lt;115);0,4;AND($V388&gt;145;$V388&lt;=155);0,4;TRUE;0,2);IFS(AND($V388&gt;=120;$V388&lt;=130);1;AND($V388&gt;=110;$V388&lt;120);0,7;AND($V388&gt;130;$V388&lt;=140);0,7;AND($V388&gt;=100;$V388&lt;110);0,4;AND($V388&gt;140;$V388&lt;=150);0,4;TRUE;0,2));IFS(AND($W388&gt;=55;$W388&lt;=65);1;AND($W388&gt;=50;$W388&lt;55);0,7;AND($W388&gt;65;$W388&lt;=70);0,7;AND($W388&gt;=45;$W388&lt;50);0,4;AND($W388&gt;70;$W388&lt;=75);0,4;TRUE;0,2);IF(OR($B388="Ноги";$B388="Верх");IFS(AND($X388&gt;=180;$X388&lt;=210);1;AND($X388&gt;=160;$X388&lt;180);0,7;AND($X388&gt;210;$X388&lt;=230);0,7;AND($X388&gt;=140;$X388&lt;160);0,4;AND($X388&gt;230;$X388&lt;=250);0,4;TRUE;0,2);IFS(AND($X388&gt;=140;$X388&lt;=170);1;AND($X388&gt;=120;$X388&lt;140);0,7;AND($X388&gt;170;$X388&lt;=190);0,7;AND($X388&gt;=100;$X388&lt;120);0,4;AND($X388&gt;190;$X388&lt;=210);0,4;TRUE;0,2)))));1);""))</f>
        <v/>
      </c>
      <c r="Z388">
        <f>IF($A388="";"";TEXTJOIN(", ";TRUE;IF($B388="";"Тренировка";"");IF($C388="";"Кардио";"");IF($D388="";"Шаги";"");IF($E388="";"Английский";"");IF($F388="";"Код-режим";"");IF($G388="";"Код-тема";"");IF($H388="";"Чтение";"");IF($L388="";"Сон";"");IF($M388="";"Режим";"");IF($N388="";"Продуктивность";"");IF($O388="";"Настроение";"");IF($P388="";"Энергия";"");IF($U388="";"Еда";"")))</f>
        <v/>
      </c>
    </row>
    <row r="389">
      <c r="B389" t="inlineStr"/>
      <c r="C389" t="inlineStr"/>
      <c r="D389" t="inlineStr"/>
      <c r="E389" t="inlineStr"/>
      <c r="F389" t="inlineStr"/>
      <c r="G389" t="inlineStr"/>
      <c r="H389" t="inlineStr"/>
      <c r="I389" t="inlineStr"/>
      <c r="J389" t="inlineStr"/>
      <c r="K389" t="inlineStr"/>
      <c r="L389" t="inlineStr"/>
      <c r="M389" t="inlineStr"/>
      <c r="N389" t="inlineStr"/>
      <c r="O389" t="inlineStr"/>
      <c r="P389" t="inlineStr"/>
      <c r="Q389" t="inlineStr"/>
      <c r="R389" t="inlineStr"/>
      <c r="S389" t="inlineStr"/>
      <c r="T389" t="inlineStr"/>
      <c r="U389">
        <f>IF($A389="";"";IF(SUMIF(FoodLog!$A:$A;$A389;FoodLog!$I:$I)=0;"";SUMIF(FoodLog!$A:$A;$A389;FoodLog!$I:$I)))</f>
        <v/>
      </c>
      <c r="V389">
        <f>IF($A389="";"";IF(SUMIF(FoodLog!$A:$A;$A389;FoodLog!$F:$F)=0;"";SUMIF(FoodLog!$A:$A;$A389;FoodLog!$F:$F)))</f>
        <v/>
      </c>
      <c r="W389">
        <f>IF($A389="";"";IF(SUMIF(FoodLog!$A:$A;$A389;FoodLog!$G:$G)=0;"";SUMIF(FoodLog!$A:$A;$A389;FoodLog!$G:$G)))</f>
        <v/>
      </c>
      <c r="X389">
        <f>IF($A389="";"";IF(SUMIF(FoodLog!$A:$A;$A389;FoodLog!$H:$H)=0;"";SUMIF(FoodLog!$A:$A;$A389;FoodLog!$H:$H)))</f>
        <v/>
      </c>
      <c r="Y389">
        <f>IF($A389="";"";IFERROR(ROUND(100*AVERAGE(IF($B389="";"";XLOOKUP($B389;FILTER(Dictionaries!$B:$B;Dictionaries!$A:$A="Тренировка");FILTER(Dictionaries!$C:$C;Dictionaries!$A:$A="Тренировка")));IF($C389="";"";MIN($C389/40;1));IF($D389="";"";XLOOKUP($D389;FILTER(Dictionaries!$B:$B;Dictionaries!$A:$A="Шаги");FILTER(Dictionaries!$C:$C;Dictionaries!$A:$A="Шаги")));IF($E389="";"";MIN($E389/120;1));IF(OR($F389&lt;&gt;"";$G389&lt;&gt;"");1;"");IF($H389="";"";MIN($H389/100;1));IF($L389="";"";XLOOKUP($L389;FILTER(Dictionaries!$B:$B;Dictionaries!$A:$A="Сон_часы");FILTER(Dictionaries!$C:$C;Dictionaries!$A:$A="Сон_часы")));IF($M389="";"";XLOOKUP($M389;FILTER(Dictionaries!$B:$B;Dictionaries!$A:$A="Режим");FILTER(Dictionaries!$C:$C;Dictionaries!$A:$A="Режим")));IF($N389="";"";MIN($N389/100;1));IF($O389="";"";XLOOKUP($O389;FILTER(Dictionaries!$B:$B;Dictionaries!$A:$A="Настроение");FILTER(Dictionaries!$C:$C;Dictionaries!$A:$A="Настроение")));IF($P389="";"";XLOOKUP($P389;FILTER(Dictionaries!$B:$B;Dictionaries!$A:$A="Энергия");FILTER(Dictionaries!$C:$C;Dictionaries!$A:$A="Энергия")));IF($U389="";"";AVERAGE(IF(OR($B389="Ноги";$B389="Верх");IFS(AND($U389&gt;=1900;$U389&lt;=2050);1;AND($U389&gt;=1850;$U389&lt;1900);0,7;AND($U389&gt;2050;$U389&lt;=2100);0,7;TRUE;0,2);IFS(AND($U389&gt;=1700;$U389&lt;=1850);1;AND($U389&gt;=1650;$U389&lt;1700);0,7;AND($U389&gt;1850;$U389&lt;=1900);0,7;TRUE;0,2));IF(OR($B389="Ноги";$B389="Верх");IFS(AND($V389&gt;=125;$V389&lt;=135);1;AND($V389&gt;=115;$V389&lt;125);0,7;AND($V389&gt;135;$V389&lt;=145);0,7;AND($V389&gt;=105;$V389&lt;115);0,4;AND($V389&gt;145;$V389&lt;=155);0,4;TRUE;0,2);IFS(AND($V389&gt;=120;$V389&lt;=130);1;AND($V389&gt;=110;$V389&lt;120);0,7;AND($V389&gt;130;$V389&lt;=140);0,7;AND($V389&gt;=100;$V389&lt;110);0,4;AND($V389&gt;140;$V389&lt;=150);0,4;TRUE;0,2));IFS(AND($W389&gt;=55;$W389&lt;=65);1;AND($W389&gt;=50;$W389&lt;55);0,7;AND($W389&gt;65;$W389&lt;=70);0,7;AND($W389&gt;=45;$W389&lt;50);0,4;AND($W389&gt;70;$W389&lt;=75);0,4;TRUE;0,2);IF(OR($B389="Ноги";$B389="Верх");IFS(AND($X389&gt;=180;$X389&lt;=210);1;AND($X389&gt;=160;$X389&lt;180);0,7;AND($X389&gt;210;$X389&lt;=230);0,7;AND($X389&gt;=140;$X389&lt;160);0,4;AND($X389&gt;230;$X389&lt;=250);0,4;TRUE;0,2);IFS(AND($X389&gt;=140;$X389&lt;=170);1;AND($X389&gt;=120;$X389&lt;140);0,7;AND($X389&gt;170;$X389&lt;=190);0,7;AND($X389&gt;=100;$X389&lt;120);0,4;AND($X389&gt;190;$X389&lt;=210);0,4;TRUE;0,2)))));1);""))</f>
        <v/>
      </c>
      <c r="Z389">
        <f>IF($A389="";"";TEXTJOIN(", ";TRUE;IF($B389="";"Тренировка";"");IF($C389="";"Кардио";"");IF($D389="";"Шаги";"");IF($E389="";"Английский";"");IF($F389="";"Код-режим";"");IF($G389="";"Код-тема";"");IF($H389="";"Чтение";"");IF($L389="";"Сон";"");IF($M389="";"Режим";"");IF($N389="";"Продуктивность";"");IF($O389="";"Настроение";"");IF($P389="";"Энергия";"");IF($U389="";"Еда";"")))</f>
        <v/>
      </c>
    </row>
    <row r="390">
      <c r="B390" t="inlineStr"/>
      <c r="C390" t="inlineStr"/>
      <c r="D390" t="inlineStr"/>
      <c r="E390" t="inlineStr"/>
      <c r="F390" t="inlineStr"/>
      <c r="G390" t="inlineStr"/>
      <c r="H390" t="inlineStr"/>
      <c r="I390" t="inlineStr"/>
      <c r="J390" t="inlineStr"/>
      <c r="K390" t="inlineStr"/>
      <c r="L390" t="inlineStr"/>
      <c r="M390" t="inlineStr"/>
      <c r="N390" t="inlineStr"/>
      <c r="O390" t="inlineStr"/>
      <c r="P390" t="inlineStr"/>
      <c r="Q390" t="inlineStr"/>
      <c r="R390" t="inlineStr"/>
      <c r="S390" t="inlineStr"/>
      <c r="T390" t="inlineStr"/>
      <c r="U390">
        <f>IF($A390="";"";IF(SUMIF(FoodLog!$A:$A;$A390;FoodLog!$I:$I)=0;"";SUMIF(FoodLog!$A:$A;$A390;FoodLog!$I:$I)))</f>
        <v/>
      </c>
      <c r="V390">
        <f>IF($A390="";"";IF(SUMIF(FoodLog!$A:$A;$A390;FoodLog!$F:$F)=0;"";SUMIF(FoodLog!$A:$A;$A390;FoodLog!$F:$F)))</f>
        <v/>
      </c>
      <c r="W390">
        <f>IF($A390="";"";IF(SUMIF(FoodLog!$A:$A;$A390;FoodLog!$G:$G)=0;"";SUMIF(FoodLog!$A:$A;$A390;FoodLog!$G:$G)))</f>
        <v/>
      </c>
      <c r="X390">
        <f>IF($A390="";"";IF(SUMIF(FoodLog!$A:$A;$A390;FoodLog!$H:$H)=0;"";SUMIF(FoodLog!$A:$A;$A390;FoodLog!$H:$H)))</f>
        <v/>
      </c>
      <c r="Y390">
        <f>IF($A390="";"";IFERROR(ROUND(100*AVERAGE(IF($B390="";"";XLOOKUP($B390;FILTER(Dictionaries!$B:$B;Dictionaries!$A:$A="Тренировка");FILTER(Dictionaries!$C:$C;Dictionaries!$A:$A="Тренировка")));IF($C390="";"";MIN($C390/40;1));IF($D390="";"";XLOOKUP($D390;FILTER(Dictionaries!$B:$B;Dictionaries!$A:$A="Шаги");FILTER(Dictionaries!$C:$C;Dictionaries!$A:$A="Шаги")));IF($E390="";"";MIN($E390/120;1));IF(OR($F390&lt;&gt;"";$G390&lt;&gt;"");1;"");IF($H390="";"";MIN($H390/100;1));IF($L390="";"";XLOOKUP($L390;FILTER(Dictionaries!$B:$B;Dictionaries!$A:$A="Сон_часы");FILTER(Dictionaries!$C:$C;Dictionaries!$A:$A="Сон_часы")));IF($M390="";"";XLOOKUP($M390;FILTER(Dictionaries!$B:$B;Dictionaries!$A:$A="Режим");FILTER(Dictionaries!$C:$C;Dictionaries!$A:$A="Режим")));IF($N390="";"";MIN($N390/100;1));IF($O390="";"";XLOOKUP($O390;FILTER(Dictionaries!$B:$B;Dictionaries!$A:$A="Настроение");FILTER(Dictionaries!$C:$C;Dictionaries!$A:$A="Настроение")));IF($P390="";"";XLOOKUP($P390;FILTER(Dictionaries!$B:$B;Dictionaries!$A:$A="Энергия");FILTER(Dictionaries!$C:$C;Dictionaries!$A:$A="Энергия")));IF($U390="";"";AVERAGE(IF(OR($B390="Ноги";$B390="Верх");IFS(AND($U390&gt;=1900;$U390&lt;=2050);1;AND($U390&gt;=1850;$U390&lt;1900);0,7;AND($U390&gt;2050;$U390&lt;=2100);0,7;TRUE;0,2);IFS(AND($U390&gt;=1700;$U390&lt;=1850);1;AND($U390&gt;=1650;$U390&lt;1700);0,7;AND($U390&gt;1850;$U390&lt;=1900);0,7;TRUE;0,2));IF(OR($B390="Ноги";$B390="Верх");IFS(AND($V390&gt;=125;$V390&lt;=135);1;AND($V390&gt;=115;$V390&lt;125);0,7;AND($V390&gt;135;$V390&lt;=145);0,7;AND($V390&gt;=105;$V390&lt;115);0,4;AND($V390&gt;145;$V390&lt;=155);0,4;TRUE;0,2);IFS(AND($V390&gt;=120;$V390&lt;=130);1;AND($V390&gt;=110;$V390&lt;120);0,7;AND($V390&gt;130;$V390&lt;=140);0,7;AND($V390&gt;=100;$V390&lt;110);0,4;AND($V390&gt;140;$V390&lt;=150);0,4;TRUE;0,2));IFS(AND($W390&gt;=55;$W390&lt;=65);1;AND($W390&gt;=50;$W390&lt;55);0,7;AND($W390&gt;65;$W390&lt;=70);0,7;AND($W390&gt;=45;$W390&lt;50);0,4;AND($W390&gt;70;$W390&lt;=75);0,4;TRUE;0,2);IF(OR($B390="Ноги";$B390="Верх");IFS(AND($X390&gt;=180;$X390&lt;=210);1;AND($X390&gt;=160;$X390&lt;180);0,7;AND($X390&gt;210;$X390&lt;=230);0,7;AND($X390&gt;=140;$X390&lt;160);0,4;AND($X390&gt;230;$X390&lt;=250);0,4;TRUE;0,2);IFS(AND($X390&gt;=140;$X390&lt;=170);1;AND($X390&gt;=120;$X390&lt;140);0,7;AND($X390&gt;170;$X390&lt;=190);0,7;AND($X390&gt;=100;$X390&lt;120);0,4;AND($X390&gt;190;$X390&lt;=210);0,4;TRUE;0,2)))));1);""))</f>
        <v/>
      </c>
      <c r="Z390">
        <f>IF($A390="";"";TEXTJOIN(", ";TRUE;IF($B390="";"Тренировка";"");IF($C390="";"Кардио";"");IF($D390="";"Шаги";"");IF($E390="";"Английский";"");IF($F390="";"Код-режим";"");IF($G390="";"Код-тема";"");IF($H390="";"Чтение";"");IF($L390="";"Сон";"");IF($M390="";"Режим";"");IF($N390="";"Продуктивность";"");IF($O390="";"Настроение";"");IF($P390="";"Энергия";"");IF($U390="";"Еда";"")))</f>
        <v/>
      </c>
    </row>
    <row r="391">
      <c r="B391" t="inlineStr"/>
      <c r="C391" t="inlineStr"/>
      <c r="D391" t="inlineStr"/>
      <c r="E391" t="inlineStr"/>
      <c r="F391" t="inlineStr"/>
      <c r="G391" t="inlineStr"/>
      <c r="H391" t="inlineStr"/>
      <c r="I391" t="inlineStr"/>
      <c r="J391" t="inlineStr"/>
      <c r="K391" t="inlineStr"/>
      <c r="L391" t="inlineStr"/>
      <c r="M391" t="inlineStr"/>
      <c r="N391" t="inlineStr"/>
      <c r="O391" t="inlineStr"/>
      <c r="P391" t="inlineStr"/>
      <c r="Q391" t="inlineStr"/>
      <c r="R391" t="inlineStr"/>
      <c r="S391" t="inlineStr"/>
      <c r="T391" t="inlineStr"/>
      <c r="U391">
        <f>IF($A391="";"";IF(SUMIF(FoodLog!$A:$A;$A391;FoodLog!$I:$I)=0;"";SUMIF(FoodLog!$A:$A;$A391;FoodLog!$I:$I)))</f>
        <v/>
      </c>
      <c r="V391">
        <f>IF($A391="";"";IF(SUMIF(FoodLog!$A:$A;$A391;FoodLog!$F:$F)=0;"";SUMIF(FoodLog!$A:$A;$A391;FoodLog!$F:$F)))</f>
        <v/>
      </c>
      <c r="W391">
        <f>IF($A391="";"";IF(SUMIF(FoodLog!$A:$A;$A391;FoodLog!$G:$G)=0;"";SUMIF(FoodLog!$A:$A;$A391;FoodLog!$G:$G)))</f>
        <v/>
      </c>
      <c r="X391">
        <f>IF($A391="";"";IF(SUMIF(FoodLog!$A:$A;$A391;FoodLog!$H:$H)=0;"";SUMIF(FoodLog!$A:$A;$A391;FoodLog!$H:$H)))</f>
        <v/>
      </c>
      <c r="Y391">
        <f>IF($A391="";"";IFERROR(ROUND(100*AVERAGE(IF($B391="";"";XLOOKUP($B391;FILTER(Dictionaries!$B:$B;Dictionaries!$A:$A="Тренировка");FILTER(Dictionaries!$C:$C;Dictionaries!$A:$A="Тренировка")));IF($C391="";"";MIN($C391/40;1));IF($D391="";"";XLOOKUP($D391;FILTER(Dictionaries!$B:$B;Dictionaries!$A:$A="Шаги");FILTER(Dictionaries!$C:$C;Dictionaries!$A:$A="Шаги")));IF($E391="";"";MIN($E391/120;1));IF(OR($F391&lt;&gt;"";$G391&lt;&gt;"");1;"");IF($H391="";"";MIN($H391/100;1));IF($L391="";"";XLOOKUP($L391;FILTER(Dictionaries!$B:$B;Dictionaries!$A:$A="Сон_часы");FILTER(Dictionaries!$C:$C;Dictionaries!$A:$A="Сон_часы")));IF($M391="";"";XLOOKUP($M391;FILTER(Dictionaries!$B:$B;Dictionaries!$A:$A="Режим");FILTER(Dictionaries!$C:$C;Dictionaries!$A:$A="Режим")));IF($N391="";"";MIN($N391/100;1));IF($O391="";"";XLOOKUP($O391;FILTER(Dictionaries!$B:$B;Dictionaries!$A:$A="Настроение");FILTER(Dictionaries!$C:$C;Dictionaries!$A:$A="Настроение")));IF($P391="";"";XLOOKUP($P391;FILTER(Dictionaries!$B:$B;Dictionaries!$A:$A="Энергия");FILTER(Dictionaries!$C:$C;Dictionaries!$A:$A="Энергия")));IF($U391="";"";AVERAGE(IF(OR($B391="Ноги";$B391="Верх");IFS(AND($U391&gt;=1900;$U391&lt;=2050);1;AND($U391&gt;=1850;$U391&lt;1900);0,7;AND($U391&gt;2050;$U391&lt;=2100);0,7;TRUE;0,2);IFS(AND($U391&gt;=1700;$U391&lt;=1850);1;AND($U391&gt;=1650;$U391&lt;1700);0,7;AND($U391&gt;1850;$U391&lt;=1900);0,7;TRUE;0,2));IF(OR($B391="Ноги";$B391="Верх");IFS(AND($V391&gt;=125;$V391&lt;=135);1;AND($V391&gt;=115;$V391&lt;125);0,7;AND($V391&gt;135;$V391&lt;=145);0,7;AND($V391&gt;=105;$V391&lt;115);0,4;AND($V391&gt;145;$V391&lt;=155);0,4;TRUE;0,2);IFS(AND($V391&gt;=120;$V391&lt;=130);1;AND($V391&gt;=110;$V391&lt;120);0,7;AND($V391&gt;130;$V391&lt;=140);0,7;AND($V391&gt;=100;$V391&lt;110);0,4;AND($V391&gt;140;$V391&lt;=150);0,4;TRUE;0,2));IFS(AND($W391&gt;=55;$W391&lt;=65);1;AND($W391&gt;=50;$W391&lt;55);0,7;AND($W391&gt;65;$W391&lt;=70);0,7;AND($W391&gt;=45;$W391&lt;50);0,4;AND($W391&gt;70;$W391&lt;=75);0,4;TRUE;0,2);IF(OR($B391="Ноги";$B391="Верх");IFS(AND($X391&gt;=180;$X391&lt;=210);1;AND($X391&gt;=160;$X391&lt;180);0,7;AND($X391&gt;210;$X391&lt;=230);0,7;AND($X391&gt;=140;$X391&lt;160);0,4;AND($X391&gt;230;$X391&lt;=250);0,4;TRUE;0,2);IFS(AND($X391&gt;=140;$X391&lt;=170);1;AND($X391&gt;=120;$X391&lt;140);0,7;AND($X391&gt;170;$X391&lt;=190);0,7;AND($X391&gt;=100;$X391&lt;120);0,4;AND($X391&gt;190;$X391&lt;=210);0,4;TRUE;0,2)))));1);""))</f>
        <v/>
      </c>
      <c r="Z391">
        <f>IF($A391="";"";TEXTJOIN(", ";TRUE;IF($B391="";"Тренировка";"");IF($C391="";"Кардио";"");IF($D391="";"Шаги";"");IF($E391="";"Английский";"");IF($F391="";"Код-режим";"");IF($G391="";"Код-тема";"");IF($H391="";"Чтение";"");IF($L391="";"Сон";"");IF($M391="";"Режим";"");IF($N391="";"Продуктивность";"");IF($O391="";"Настроение";"");IF($P391="";"Энергия";"");IF($U391="";"Еда";"")))</f>
        <v/>
      </c>
    </row>
    <row r="392">
      <c r="B392" t="inlineStr"/>
      <c r="C392" t="inlineStr"/>
      <c r="D392" t="inlineStr"/>
      <c r="E392" t="inlineStr"/>
      <c r="F392" t="inlineStr"/>
      <c r="G392" t="inlineStr"/>
      <c r="H392" t="inlineStr"/>
      <c r="I392" t="inlineStr"/>
      <c r="J392" t="inlineStr"/>
      <c r="K392" t="inlineStr"/>
      <c r="L392" t="inlineStr"/>
      <c r="M392" t="inlineStr"/>
      <c r="N392" t="inlineStr"/>
      <c r="O392" t="inlineStr"/>
      <c r="P392" t="inlineStr"/>
      <c r="Q392" t="inlineStr"/>
      <c r="R392" t="inlineStr"/>
      <c r="S392" t="inlineStr"/>
      <c r="T392" t="inlineStr"/>
      <c r="U392">
        <f>IF($A392="";"";IF(SUMIF(FoodLog!$A:$A;$A392;FoodLog!$I:$I)=0;"";SUMIF(FoodLog!$A:$A;$A392;FoodLog!$I:$I)))</f>
        <v/>
      </c>
      <c r="V392">
        <f>IF($A392="";"";IF(SUMIF(FoodLog!$A:$A;$A392;FoodLog!$F:$F)=0;"";SUMIF(FoodLog!$A:$A;$A392;FoodLog!$F:$F)))</f>
        <v/>
      </c>
      <c r="W392">
        <f>IF($A392="";"";IF(SUMIF(FoodLog!$A:$A;$A392;FoodLog!$G:$G)=0;"";SUMIF(FoodLog!$A:$A;$A392;FoodLog!$G:$G)))</f>
        <v/>
      </c>
      <c r="X392">
        <f>IF($A392="";"";IF(SUMIF(FoodLog!$A:$A;$A392;FoodLog!$H:$H)=0;"";SUMIF(FoodLog!$A:$A;$A392;FoodLog!$H:$H)))</f>
        <v/>
      </c>
      <c r="Y392">
        <f>IF($A392="";"";IFERROR(ROUND(100*AVERAGE(IF($B392="";"";XLOOKUP($B392;FILTER(Dictionaries!$B:$B;Dictionaries!$A:$A="Тренировка");FILTER(Dictionaries!$C:$C;Dictionaries!$A:$A="Тренировка")));IF($C392="";"";MIN($C392/40;1));IF($D392="";"";XLOOKUP($D392;FILTER(Dictionaries!$B:$B;Dictionaries!$A:$A="Шаги");FILTER(Dictionaries!$C:$C;Dictionaries!$A:$A="Шаги")));IF($E392="";"";MIN($E392/120;1));IF(OR($F392&lt;&gt;"";$G392&lt;&gt;"");1;"");IF($H392="";"";MIN($H392/100;1));IF($L392="";"";XLOOKUP($L392;FILTER(Dictionaries!$B:$B;Dictionaries!$A:$A="Сон_часы");FILTER(Dictionaries!$C:$C;Dictionaries!$A:$A="Сон_часы")));IF($M392="";"";XLOOKUP($M392;FILTER(Dictionaries!$B:$B;Dictionaries!$A:$A="Режим");FILTER(Dictionaries!$C:$C;Dictionaries!$A:$A="Режим")));IF($N392="";"";MIN($N392/100;1));IF($O392="";"";XLOOKUP($O392;FILTER(Dictionaries!$B:$B;Dictionaries!$A:$A="Настроение");FILTER(Dictionaries!$C:$C;Dictionaries!$A:$A="Настроение")));IF($P392="";"";XLOOKUP($P392;FILTER(Dictionaries!$B:$B;Dictionaries!$A:$A="Энергия");FILTER(Dictionaries!$C:$C;Dictionaries!$A:$A="Энергия")));IF($U392="";"";AVERAGE(IF(OR($B392="Ноги";$B392="Верх");IFS(AND($U392&gt;=1900;$U392&lt;=2050);1;AND($U392&gt;=1850;$U392&lt;1900);0,7;AND($U392&gt;2050;$U392&lt;=2100);0,7;TRUE;0,2);IFS(AND($U392&gt;=1700;$U392&lt;=1850);1;AND($U392&gt;=1650;$U392&lt;1700);0,7;AND($U392&gt;1850;$U392&lt;=1900);0,7;TRUE;0,2));IF(OR($B392="Ноги";$B392="Верх");IFS(AND($V392&gt;=125;$V392&lt;=135);1;AND($V392&gt;=115;$V392&lt;125);0,7;AND($V392&gt;135;$V392&lt;=145);0,7;AND($V392&gt;=105;$V392&lt;115);0,4;AND($V392&gt;145;$V392&lt;=155);0,4;TRUE;0,2);IFS(AND($V392&gt;=120;$V392&lt;=130);1;AND($V392&gt;=110;$V392&lt;120);0,7;AND($V392&gt;130;$V392&lt;=140);0,7;AND($V392&gt;=100;$V392&lt;110);0,4;AND($V392&gt;140;$V392&lt;=150);0,4;TRUE;0,2));IFS(AND($W392&gt;=55;$W392&lt;=65);1;AND($W392&gt;=50;$W392&lt;55);0,7;AND($W392&gt;65;$W392&lt;=70);0,7;AND($W392&gt;=45;$W392&lt;50);0,4;AND($W392&gt;70;$W392&lt;=75);0,4;TRUE;0,2);IF(OR($B392="Ноги";$B392="Верх");IFS(AND($X392&gt;=180;$X392&lt;=210);1;AND($X392&gt;=160;$X392&lt;180);0,7;AND($X392&gt;210;$X392&lt;=230);0,7;AND($X392&gt;=140;$X392&lt;160);0,4;AND($X392&gt;230;$X392&lt;=250);0,4;TRUE;0,2);IFS(AND($X392&gt;=140;$X392&lt;=170);1;AND($X392&gt;=120;$X392&lt;140);0,7;AND($X392&gt;170;$X392&lt;=190);0,7;AND($X392&gt;=100;$X392&lt;120);0,4;AND($X392&gt;190;$X392&lt;=210);0,4;TRUE;0,2)))));1);""))</f>
        <v/>
      </c>
      <c r="Z392">
        <f>IF($A392="";"";TEXTJOIN(", ";TRUE;IF($B392="";"Тренировка";"");IF($C392="";"Кардио";"");IF($D392="";"Шаги";"");IF($E392="";"Английский";"");IF($F392="";"Код-режим";"");IF($G392="";"Код-тема";"");IF($H392="";"Чтение";"");IF($L392="";"Сон";"");IF($M392="";"Режим";"");IF($N392="";"Продуктивность";"");IF($O392="";"Настроение";"");IF($P392="";"Энергия";"");IF($U392="";"Еда";"")))</f>
        <v/>
      </c>
    </row>
    <row r="393">
      <c r="B393" t="inlineStr"/>
      <c r="C393" t="inlineStr"/>
      <c r="D393" t="inlineStr"/>
      <c r="E393" t="inlineStr"/>
      <c r="F393" t="inlineStr"/>
      <c r="G393" t="inlineStr"/>
      <c r="H393" t="inlineStr"/>
      <c r="I393" t="inlineStr"/>
      <c r="J393" t="inlineStr"/>
      <c r="K393" t="inlineStr"/>
      <c r="L393" t="inlineStr"/>
      <c r="M393" t="inlineStr"/>
      <c r="N393" t="inlineStr"/>
      <c r="O393" t="inlineStr"/>
      <c r="P393" t="inlineStr"/>
      <c r="Q393" t="inlineStr"/>
      <c r="R393" t="inlineStr"/>
      <c r="S393" t="inlineStr"/>
      <c r="T393" t="inlineStr"/>
      <c r="U393">
        <f>IF($A393="";"";IF(SUMIF(FoodLog!$A:$A;$A393;FoodLog!$I:$I)=0;"";SUMIF(FoodLog!$A:$A;$A393;FoodLog!$I:$I)))</f>
        <v/>
      </c>
      <c r="V393">
        <f>IF($A393="";"";IF(SUMIF(FoodLog!$A:$A;$A393;FoodLog!$F:$F)=0;"";SUMIF(FoodLog!$A:$A;$A393;FoodLog!$F:$F)))</f>
        <v/>
      </c>
      <c r="W393">
        <f>IF($A393="";"";IF(SUMIF(FoodLog!$A:$A;$A393;FoodLog!$G:$G)=0;"";SUMIF(FoodLog!$A:$A;$A393;FoodLog!$G:$G)))</f>
        <v/>
      </c>
      <c r="X393">
        <f>IF($A393="";"";IF(SUMIF(FoodLog!$A:$A;$A393;FoodLog!$H:$H)=0;"";SUMIF(FoodLog!$A:$A;$A393;FoodLog!$H:$H)))</f>
        <v/>
      </c>
      <c r="Y393">
        <f>IF($A393="";"";IFERROR(ROUND(100*AVERAGE(IF($B393="";"";XLOOKUP($B393;FILTER(Dictionaries!$B:$B;Dictionaries!$A:$A="Тренировка");FILTER(Dictionaries!$C:$C;Dictionaries!$A:$A="Тренировка")));IF($C393="";"";MIN($C393/40;1));IF($D393="";"";XLOOKUP($D393;FILTER(Dictionaries!$B:$B;Dictionaries!$A:$A="Шаги");FILTER(Dictionaries!$C:$C;Dictionaries!$A:$A="Шаги")));IF($E393="";"";MIN($E393/120;1));IF(OR($F393&lt;&gt;"";$G393&lt;&gt;"");1;"");IF($H393="";"";MIN($H393/100;1));IF($L393="";"";XLOOKUP($L393;FILTER(Dictionaries!$B:$B;Dictionaries!$A:$A="Сон_часы");FILTER(Dictionaries!$C:$C;Dictionaries!$A:$A="Сон_часы")));IF($M393="";"";XLOOKUP($M393;FILTER(Dictionaries!$B:$B;Dictionaries!$A:$A="Режим");FILTER(Dictionaries!$C:$C;Dictionaries!$A:$A="Режим")));IF($N393="";"";MIN($N393/100;1));IF($O393="";"";XLOOKUP($O393;FILTER(Dictionaries!$B:$B;Dictionaries!$A:$A="Настроение");FILTER(Dictionaries!$C:$C;Dictionaries!$A:$A="Настроение")));IF($P393="";"";XLOOKUP($P393;FILTER(Dictionaries!$B:$B;Dictionaries!$A:$A="Энергия");FILTER(Dictionaries!$C:$C;Dictionaries!$A:$A="Энергия")));IF($U393="";"";AVERAGE(IF(OR($B393="Ноги";$B393="Верх");IFS(AND($U393&gt;=1900;$U393&lt;=2050);1;AND($U393&gt;=1850;$U393&lt;1900);0,7;AND($U393&gt;2050;$U393&lt;=2100);0,7;TRUE;0,2);IFS(AND($U393&gt;=1700;$U393&lt;=1850);1;AND($U393&gt;=1650;$U393&lt;1700);0,7;AND($U393&gt;1850;$U393&lt;=1900);0,7;TRUE;0,2));IF(OR($B393="Ноги";$B393="Верх");IFS(AND($V393&gt;=125;$V393&lt;=135);1;AND($V393&gt;=115;$V393&lt;125);0,7;AND($V393&gt;135;$V393&lt;=145);0,7;AND($V393&gt;=105;$V393&lt;115);0,4;AND($V393&gt;145;$V393&lt;=155);0,4;TRUE;0,2);IFS(AND($V393&gt;=120;$V393&lt;=130);1;AND($V393&gt;=110;$V393&lt;120);0,7;AND($V393&gt;130;$V393&lt;=140);0,7;AND($V393&gt;=100;$V393&lt;110);0,4;AND($V393&gt;140;$V393&lt;=150);0,4;TRUE;0,2));IFS(AND($W393&gt;=55;$W393&lt;=65);1;AND($W393&gt;=50;$W393&lt;55);0,7;AND($W393&gt;65;$W393&lt;=70);0,7;AND($W393&gt;=45;$W393&lt;50);0,4;AND($W393&gt;70;$W393&lt;=75);0,4;TRUE;0,2);IF(OR($B393="Ноги";$B393="Верх");IFS(AND($X393&gt;=180;$X393&lt;=210);1;AND($X393&gt;=160;$X393&lt;180);0,7;AND($X393&gt;210;$X393&lt;=230);0,7;AND($X393&gt;=140;$X393&lt;160);0,4;AND($X393&gt;230;$X393&lt;=250);0,4;TRUE;0,2);IFS(AND($X393&gt;=140;$X393&lt;=170);1;AND($X393&gt;=120;$X393&lt;140);0,7;AND($X393&gt;170;$X393&lt;=190);0,7;AND($X393&gt;=100;$X393&lt;120);0,4;AND($X393&gt;190;$X393&lt;=210);0,4;TRUE;0,2)))));1);""))</f>
        <v/>
      </c>
      <c r="Z393">
        <f>IF($A393="";"";TEXTJOIN(", ";TRUE;IF($B393="";"Тренировка";"");IF($C393="";"Кардио";"");IF($D393="";"Шаги";"");IF($E393="";"Английский";"");IF($F393="";"Код-режим";"");IF($G393="";"Код-тема";"");IF($H393="";"Чтение";"");IF($L393="";"Сон";"");IF($M393="";"Режим";"");IF($N393="";"Продуктивность";"");IF($O393="";"Настроение";"");IF($P393="";"Энергия";"");IF($U393="";"Еда";"")))</f>
        <v/>
      </c>
    </row>
    <row r="394">
      <c r="B394" t="inlineStr"/>
      <c r="C394" t="inlineStr"/>
      <c r="D394" t="inlineStr"/>
      <c r="E394" t="inlineStr"/>
      <c r="F394" t="inlineStr"/>
      <c r="G394" t="inlineStr"/>
      <c r="H394" t="inlineStr"/>
      <c r="I394" t="inlineStr"/>
      <c r="J394" t="inlineStr"/>
      <c r="K394" t="inlineStr"/>
      <c r="L394" t="inlineStr"/>
      <c r="M394" t="inlineStr"/>
      <c r="N394" t="inlineStr"/>
      <c r="O394" t="inlineStr"/>
      <c r="P394" t="inlineStr"/>
      <c r="Q394" t="inlineStr"/>
      <c r="R394" t="inlineStr"/>
      <c r="S394" t="inlineStr"/>
      <c r="T394" t="inlineStr"/>
      <c r="U394">
        <f>IF($A394="";"";IF(SUMIF(FoodLog!$A:$A;$A394;FoodLog!$I:$I)=0;"";SUMIF(FoodLog!$A:$A;$A394;FoodLog!$I:$I)))</f>
        <v/>
      </c>
      <c r="V394">
        <f>IF($A394="";"";IF(SUMIF(FoodLog!$A:$A;$A394;FoodLog!$F:$F)=0;"";SUMIF(FoodLog!$A:$A;$A394;FoodLog!$F:$F)))</f>
        <v/>
      </c>
      <c r="W394">
        <f>IF($A394="";"";IF(SUMIF(FoodLog!$A:$A;$A394;FoodLog!$G:$G)=0;"";SUMIF(FoodLog!$A:$A;$A394;FoodLog!$G:$G)))</f>
        <v/>
      </c>
      <c r="X394">
        <f>IF($A394="";"";IF(SUMIF(FoodLog!$A:$A;$A394;FoodLog!$H:$H)=0;"";SUMIF(FoodLog!$A:$A;$A394;FoodLog!$H:$H)))</f>
        <v/>
      </c>
      <c r="Y394">
        <f>IF($A394="";"";IFERROR(ROUND(100*AVERAGE(IF($B394="";"";XLOOKUP($B394;FILTER(Dictionaries!$B:$B;Dictionaries!$A:$A="Тренировка");FILTER(Dictionaries!$C:$C;Dictionaries!$A:$A="Тренировка")));IF($C394="";"";MIN($C394/40;1));IF($D394="";"";XLOOKUP($D394;FILTER(Dictionaries!$B:$B;Dictionaries!$A:$A="Шаги");FILTER(Dictionaries!$C:$C;Dictionaries!$A:$A="Шаги")));IF($E394="";"";MIN($E394/120;1));IF(OR($F394&lt;&gt;"";$G394&lt;&gt;"");1;"");IF($H394="";"";MIN($H394/100;1));IF($L394="";"";XLOOKUP($L394;FILTER(Dictionaries!$B:$B;Dictionaries!$A:$A="Сон_часы");FILTER(Dictionaries!$C:$C;Dictionaries!$A:$A="Сон_часы")));IF($M394="";"";XLOOKUP($M394;FILTER(Dictionaries!$B:$B;Dictionaries!$A:$A="Режим");FILTER(Dictionaries!$C:$C;Dictionaries!$A:$A="Режим")));IF($N394="";"";MIN($N394/100;1));IF($O394="";"";XLOOKUP($O394;FILTER(Dictionaries!$B:$B;Dictionaries!$A:$A="Настроение");FILTER(Dictionaries!$C:$C;Dictionaries!$A:$A="Настроение")));IF($P394="";"";XLOOKUP($P394;FILTER(Dictionaries!$B:$B;Dictionaries!$A:$A="Энергия");FILTER(Dictionaries!$C:$C;Dictionaries!$A:$A="Энергия")));IF($U394="";"";AVERAGE(IF(OR($B394="Ноги";$B394="Верх");IFS(AND($U394&gt;=1900;$U394&lt;=2050);1;AND($U394&gt;=1850;$U394&lt;1900);0,7;AND($U394&gt;2050;$U394&lt;=2100);0,7;TRUE;0,2);IFS(AND($U394&gt;=1700;$U394&lt;=1850);1;AND($U394&gt;=1650;$U394&lt;1700);0,7;AND($U394&gt;1850;$U394&lt;=1900);0,7;TRUE;0,2));IF(OR($B394="Ноги";$B394="Верх");IFS(AND($V394&gt;=125;$V394&lt;=135);1;AND($V394&gt;=115;$V394&lt;125);0,7;AND($V394&gt;135;$V394&lt;=145);0,7;AND($V394&gt;=105;$V394&lt;115);0,4;AND($V394&gt;145;$V394&lt;=155);0,4;TRUE;0,2);IFS(AND($V394&gt;=120;$V394&lt;=130);1;AND($V394&gt;=110;$V394&lt;120);0,7;AND($V394&gt;130;$V394&lt;=140);0,7;AND($V394&gt;=100;$V394&lt;110);0,4;AND($V394&gt;140;$V394&lt;=150);0,4;TRUE;0,2));IFS(AND($W394&gt;=55;$W394&lt;=65);1;AND($W394&gt;=50;$W394&lt;55);0,7;AND($W394&gt;65;$W394&lt;=70);0,7;AND($W394&gt;=45;$W394&lt;50);0,4;AND($W394&gt;70;$W394&lt;=75);0,4;TRUE;0,2);IF(OR($B394="Ноги";$B394="Верх");IFS(AND($X394&gt;=180;$X394&lt;=210);1;AND($X394&gt;=160;$X394&lt;180);0,7;AND($X394&gt;210;$X394&lt;=230);0,7;AND($X394&gt;=140;$X394&lt;160);0,4;AND($X394&gt;230;$X394&lt;=250);0,4;TRUE;0,2);IFS(AND($X394&gt;=140;$X394&lt;=170);1;AND($X394&gt;=120;$X394&lt;140);0,7;AND($X394&gt;170;$X394&lt;=190);0,7;AND($X394&gt;=100;$X394&lt;120);0,4;AND($X394&gt;190;$X394&lt;=210);0,4;TRUE;0,2)))));1);""))</f>
        <v/>
      </c>
      <c r="Z394">
        <f>IF($A394="";"";TEXTJOIN(", ";TRUE;IF($B394="";"Тренировка";"");IF($C394="";"Кардио";"");IF($D394="";"Шаги";"");IF($E394="";"Английский";"");IF($F394="";"Код-режим";"");IF($G394="";"Код-тема";"");IF($H394="";"Чтение";"");IF($L394="";"Сон";"");IF($M394="";"Режим";"");IF($N394="";"Продуктивность";"");IF($O394="";"Настроение";"");IF($P394="";"Энергия";"");IF($U394="";"Еда";"")))</f>
        <v/>
      </c>
    </row>
    <row r="395">
      <c r="B395" t="inlineStr"/>
      <c r="C395" t="inlineStr"/>
      <c r="D395" t="inlineStr"/>
      <c r="E395" t="inlineStr"/>
      <c r="F395" t="inlineStr"/>
      <c r="G395" t="inlineStr"/>
      <c r="H395" t="inlineStr"/>
      <c r="I395" t="inlineStr"/>
      <c r="J395" t="inlineStr"/>
      <c r="K395" t="inlineStr"/>
      <c r="L395" t="inlineStr"/>
      <c r="M395" t="inlineStr"/>
      <c r="N395" t="inlineStr"/>
      <c r="O395" t="inlineStr"/>
      <c r="P395" t="inlineStr"/>
      <c r="Q395" t="inlineStr"/>
      <c r="R395" t="inlineStr"/>
      <c r="S395" t="inlineStr"/>
      <c r="T395" t="inlineStr"/>
      <c r="U395">
        <f>IF($A395="";"";IF(SUMIF(FoodLog!$A:$A;$A395;FoodLog!$I:$I)=0;"";SUMIF(FoodLog!$A:$A;$A395;FoodLog!$I:$I)))</f>
        <v/>
      </c>
      <c r="V395">
        <f>IF($A395="";"";IF(SUMIF(FoodLog!$A:$A;$A395;FoodLog!$F:$F)=0;"";SUMIF(FoodLog!$A:$A;$A395;FoodLog!$F:$F)))</f>
        <v/>
      </c>
      <c r="W395">
        <f>IF($A395="";"";IF(SUMIF(FoodLog!$A:$A;$A395;FoodLog!$G:$G)=0;"";SUMIF(FoodLog!$A:$A;$A395;FoodLog!$G:$G)))</f>
        <v/>
      </c>
      <c r="X395">
        <f>IF($A395="";"";IF(SUMIF(FoodLog!$A:$A;$A395;FoodLog!$H:$H)=0;"";SUMIF(FoodLog!$A:$A;$A395;FoodLog!$H:$H)))</f>
        <v/>
      </c>
      <c r="Y395">
        <f>IF($A395="";"";IFERROR(ROUND(100*AVERAGE(IF($B395="";"";XLOOKUP($B395;FILTER(Dictionaries!$B:$B;Dictionaries!$A:$A="Тренировка");FILTER(Dictionaries!$C:$C;Dictionaries!$A:$A="Тренировка")));IF($C395="";"";MIN($C395/40;1));IF($D395="";"";XLOOKUP($D395;FILTER(Dictionaries!$B:$B;Dictionaries!$A:$A="Шаги");FILTER(Dictionaries!$C:$C;Dictionaries!$A:$A="Шаги")));IF($E395="";"";MIN($E395/120;1));IF(OR($F395&lt;&gt;"";$G395&lt;&gt;"");1;"");IF($H395="";"";MIN($H395/100;1));IF($L395="";"";XLOOKUP($L395;FILTER(Dictionaries!$B:$B;Dictionaries!$A:$A="Сон_часы");FILTER(Dictionaries!$C:$C;Dictionaries!$A:$A="Сон_часы")));IF($M395="";"";XLOOKUP($M395;FILTER(Dictionaries!$B:$B;Dictionaries!$A:$A="Режим");FILTER(Dictionaries!$C:$C;Dictionaries!$A:$A="Режим")));IF($N395="";"";MIN($N395/100;1));IF($O395="";"";XLOOKUP($O395;FILTER(Dictionaries!$B:$B;Dictionaries!$A:$A="Настроение");FILTER(Dictionaries!$C:$C;Dictionaries!$A:$A="Настроение")));IF($P395="";"";XLOOKUP($P395;FILTER(Dictionaries!$B:$B;Dictionaries!$A:$A="Энергия");FILTER(Dictionaries!$C:$C;Dictionaries!$A:$A="Энергия")));IF($U395="";"";AVERAGE(IF(OR($B395="Ноги";$B395="Верх");IFS(AND($U395&gt;=1900;$U395&lt;=2050);1;AND($U395&gt;=1850;$U395&lt;1900);0,7;AND($U395&gt;2050;$U395&lt;=2100);0,7;TRUE;0,2);IFS(AND($U395&gt;=1700;$U395&lt;=1850);1;AND($U395&gt;=1650;$U395&lt;1700);0,7;AND($U395&gt;1850;$U395&lt;=1900);0,7;TRUE;0,2));IF(OR($B395="Ноги";$B395="Верх");IFS(AND($V395&gt;=125;$V395&lt;=135);1;AND($V395&gt;=115;$V395&lt;125);0,7;AND($V395&gt;135;$V395&lt;=145);0,7;AND($V395&gt;=105;$V395&lt;115);0,4;AND($V395&gt;145;$V395&lt;=155);0,4;TRUE;0,2);IFS(AND($V395&gt;=120;$V395&lt;=130);1;AND($V395&gt;=110;$V395&lt;120);0,7;AND($V395&gt;130;$V395&lt;=140);0,7;AND($V395&gt;=100;$V395&lt;110);0,4;AND($V395&gt;140;$V395&lt;=150);0,4;TRUE;0,2));IFS(AND($W395&gt;=55;$W395&lt;=65);1;AND($W395&gt;=50;$W395&lt;55);0,7;AND($W395&gt;65;$W395&lt;=70);0,7;AND($W395&gt;=45;$W395&lt;50);0,4;AND($W395&gt;70;$W395&lt;=75);0,4;TRUE;0,2);IF(OR($B395="Ноги";$B395="Верх");IFS(AND($X395&gt;=180;$X395&lt;=210);1;AND($X395&gt;=160;$X395&lt;180);0,7;AND($X395&gt;210;$X395&lt;=230);0,7;AND($X395&gt;=140;$X395&lt;160);0,4;AND($X395&gt;230;$X395&lt;=250);0,4;TRUE;0,2);IFS(AND($X395&gt;=140;$X395&lt;=170);1;AND($X395&gt;=120;$X395&lt;140);0,7;AND($X395&gt;170;$X395&lt;=190);0,7;AND($X395&gt;=100;$X395&lt;120);0,4;AND($X395&gt;190;$X395&lt;=210);0,4;TRUE;0,2)))));1);""))</f>
        <v/>
      </c>
      <c r="Z395">
        <f>IF($A395="";"";TEXTJOIN(", ";TRUE;IF($B395="";"Тренировка";"");IF($C395="";"Кардио";"");IF($D395="";"Шаги";"");IF($E395="";"Английский";"");IF($F395="";"Код-режим";"");IF($G395="";"Код-тема";"");IF($H395="";"Чтение";"");IF($L395="";"Сон";"");IF($M395="";"Режим";"");IF($N395="";"Продуктивность";"");IF($O395="";"Настроение";"");IF($P395="";"Энергия";"");IF($U395="";"Еда";"")))</f>
        <v/>
      </c>
    </row>
    <row r="396">
      <c r="B396" t="inlineStr"/>
      <c r="C396" t="inlineStr"/>
      <c r="D396" t="inlineStr"/>
      <c r="E396" t="inlineStr"/>
      <c r="F396" t="inlineStr"/>
      <c r="G396" t="inlineStr"/>
      <c r="H396" t="inlineStr"/>
      <c r="I396" t="inlineStr"/>
      <c r="J396" t="inlineStr"/>
      <c r="K396" t="inlineStr"/>
      <c r="L396" t="inlineStr"/>
      <c r="M396" t="inlineStr"/>
      <c r="N396" t="inlineStr"/>
      <c r="O396" t="inlineStr"/>
      <c r="P396" t="inlineStr"/>
      <c r="Q396" t="inlineStr"/>
      <c r="R396" t="inlineStr"/>
      <c r="S396" t="inlineStr"/>
      <c r="T396" t="inlineStr"/>
      <c r="U396">
        <f>IF($A396="";"";IF(SUMIF(FoodLog!$A:$A;$A396;FoodLog!$I:$I)=0;"";SUMIF(FoodLog!$A:$A;$A396;FoodLog!$I:$I)))</f>
        <v/>
      </c>
      <c r="V396">
        <f>IF($A396="";"";IF(SUMIF(FoodLog!$A:$A;$A396;FoodLog!$F:$F)=0;"";SUMIF(FoodLog!$A:$A;$A396;FoodLog!$F:$F)))</f>
        <v/>
      </c>
      <c r="W396">
        <f>IF($A396="";"";IF(SUMIF(FoodLog!$A:$A;$A396;FoodLog!$G:$G)=0;"";SUMIF(FoodLog!$A:$A;$A396;FoodLog!$G:$G)))</f>
        <v/>
      </c>
      <c r="X396">
        <f>IF($A396="";"";IF(SUMIF(FoodLog!$A:$A;$A396;FoodLog!$H:$H)=0;"";SUMIF(FoodLog!$A:$A;$A396;FoodLog!$H:$H)))</f>
        <v/>
      </c>
      <c r="Y396">
        <f>IF($A396="";"";IFERROR(ROUND(100*AVERAGE(IF($B396="";"";XLOOKUP($B396;FILTER(Dictionaries!$B:$B;Dictionaries!$A:$A="Тренировка");FILTER(Dictionaries!$C:$C;Dictionaries!$A:$A="Тренировка")));IF($C396="";"";MIN($C396/40;1));IF($D396="";"";XLOOKUP($D396;FILTER(Dictionaries!$B:$B;Dictionaries!$A:$A="Шаги");FILTER(Dictionaries!$C:$C;Dictionaries!$A:$A="Шаги")));IF($E396="";"";MIN($E396/120;1));IF(OR($F396&lt;&gt;"";$G396&lt;&gt;"");1;"");IF($H396="";"";MIN($H396/100;1));IF($L396="";"";XLOOKUP($L396;FILTER(Dictionaries!$B:$B;Dictionaries!$A:$A="Сон_часы");FILTER(Dictionaries!$C:$C;Dictionaries!$A:$A="Сон_часы")));IF($M396="";"";XLOOKUP($M396;FILTER(Dictionaries!$B:$B;Dictionaries!$A:$A="Режим");FILTER(Dictionaries!$C:$C;Dictionaries!$A:$A="Режим")));IF($N396="";"";MIN($N396/100;1));IF($O396="";"";XLOOKUP($O396;FILTER(Dictionaries!$B:$B;Dictionaries!$A:$A="Настроение");FILTER(Dictionaries!$C:$C;Dictionaries!$A:$A="Настроение")));IF($P396="";"";XLOOKUP($P396;FILTER(Dictionaries!$B:$B;Dictionaries!$A:$A="Энергия");FILTER(Dictionaries!$C:$C;Dictionaries!$A:$A="Энергия")));IF($U396="";"";AVERAGE(IF(OR($B396="Ноги";$B396="Верх");IFS(AND($U396&gt;=1900;$U396&lt;=2050);1;AND($U396&gt;=1850;$U396&lt;1900);0,7;AND($U396&gt;2050;$U396&lt;=2100);0,7;TRUE;0,2);IFS(AND($U396&gt;=1700;$U396&lt;=1850);1;AND($U396&gt;=1650;$U396&lt;1700);0,7;AND($U396&gt;1850;$U396&lt;=1900);0,7;TRUE;0,2));IF(OR($B396="Ноги";$B396="Верх");IFS(AND($V396&gt;=125;$V396&lt;=135);1;AND($V396&gt;=115;$V396&lt;125);0,7;AND($V396&gt;135;$V396&lt;=145);0,7;AND($V396&gt;=105;$V396&lt;115);0,4;AND($V396&gt;145;$V396&lt;=155);0,4;TRUE;0,2);IFS(AND($V396&gt;=120;$V396&lt;=130);1;AND($V396&gt;=110;$V396&lt;120);0,7;AND($V396&gt;130;$V396&lt;=140);0,7;AND($V396&gt;=100;$V396&lt;110);0,4;AND($V396&gt;140;$V396&lt;=150);0,4;TRUE;0,2));IFS(AND($W396&gt;=55;$W396&lt;=65);1;AND($W396&gt;=50;$W396&lt;55);0,7;AND($W396&gt;65;$W396&lt;=70);0,7;AND($W396&gt;=45;$W396&lt;50);0,4;AND($W396&gt;70;$W396&lt;=75);0,4;TRUE;0,2);IF(OR($B396="Ноги";$B396="Верх");IFS(AND($X396&gt;=180;$X396&lt;=210);1;AND($X396&gt;=160;$X396&lt;180);0,7;AND($X396&gt;210;$X396&lt;=230);0,7;AND($X396&gt;=140;$X396&lt;160);0,4;AND($X396&gt;230;$X396&lt;=250);0,4;TRUE;0,2);IFS(AND($X396&gt;=140;$X396&lt;=170);1;AND($X396&gt;=120;$X396&lt;140);0,7;AND($X396&gt;170;$X396&lt;=190);0,7;AND($X396&gt;=100;$X396&lt;120);0,4;AND($X396&gt;190;$X396&lt;=210);0,4;TRUE;0,2)))));1);""))</f>
        <v/>
      </c>
      <c r="Z396">
        <f>IF($A396="";"";TEXTJOIN(", ";TRUE;IF($B396="";"Тренировка";"");IF($C396="";"Кардио";"");IF($D396="";"Шаги";"");IF($E396="";"Английский";"");IF($F396="";"Код-режим";"");IF($G396="";"Код-тема";"");IF($H396="";"Чтение";"");IF($L396="";"Сон";"");IF($M396="";"Режим";"");IF($N396="";"Продуктивность";"");IF($O396="";"Настроение";"");IF($P396="";"Энергия";"");IF($U396="";"Еда";"")))</f>
        <v/>
      </c>
    </row>
    <row r="397">
      <c r="B397" t="inlineStr"/>
      <c r="C397" t="inlineStr"/>
      <c r="D397" t="inlineStr"/>
      <c r="E397" t="inlineStr"/>
      <c r="F397" t="inlineStr"/>
      <c r="G397" t="inlineStr"/>
      <c r="H397" t="inlineStr"/>
      <c r="I397" t="inlineStr"/>
      <c r="J397" t="inlineStr"/>
      <c r="K397" t="inlineStr"/>
      <c r="L397" t="inlineStr"/>
      <c r="M397" t="inlineStr"/>
      <c r="N397" t="inlineStr"/>
      <c r="O397" t="inlineStr"/>
      <c r="P397" t="inlineStr"/>
      <c r="Q397" t="inlineStr"/>
      <c r="R397" t="inlineStr"/>
      <c r="S397" t="inlineStr"/>
      <c r="T397" t="inlineStr"/>
      <c r="U397">
        <f>IF($A397="";"";IF(SUMIF(FoodLog!$A:$A;$A397;FoodLog!$I:$I)=0;"";SUMIF(FoodLog!$A:$A;$A397;FoodLog!$I:$I)))</f>
        <v/>
      </c>
      <c r="V397">
        <f>IF($A397="";"";IF(SUMIF(FoodLog!$A:$A;$A397;FoodLog!$F:$F)=0;"";SUMIF(FoodLog!$A:$A;$A397;FoodLog!$F:$F)))</f>
        <v/>
      </c>
      <c r="W397">
        <f>IF($A397="";"";IF(SUMIF(FoodLog!$A:$A;$A397;FoodLog!$G:$G)=0;"";SUMIF(FoodLog!$A:$A;$A397;FoodLog!$G:$G)))</f>
        <v/>
      </c>
      <c r="X397">
        <f>IF($A397="";"";IF(SUMIF(FoodLog!$A:$A;$A397;FoodLog!$H:$H)=0;"";SUMIF(FoodLog!$A:$A;$A397;FoodLog!$H:$H)))</f>
        <v/>
      </c>
      <c r="Y397">
        <f>IF($A397="";"";IFERROR(ROUND(100*AVERAGE(IF($B397="";"";XLOOKUP($B397;FILTER(Dictionaries!$B:$B;Dictionaries!$A:$A="Тренировка");FILTER(Dictionaries!$C:$C;Dictionaries!$A:$A="Тренировка")));IF($C397="";"";MIN($C397/40;1));IF($D397="";"";XLOOKUP($D397;FILTER(Dictionaries!$B:$B;Dictionaries!$A:$A="Шаги");FILTER(Dictionaries!$C:$C;Dictionaries!$A:$A="Шаги")));IF($E397="";"";MIN($E397/120;1));IF(OR($F397&lt;&gt;"";$G397&lt;&gt;"");1;"");IF($H397="";"";MIN($H397/100;1));IF($L397="";"";XLOOKUP($L397;FILTER(Dictionaries!$B:$B;Dictionaries!$A:$A="Сон_часы");FILTER(Dictionaries!$C:$C;Dictionaries!$A:$A="Сон_часы")));IF($M397="";"";XLOOKUP($M397;FILTER(Dictionaries!$B:$B;Dictionaries!$A:$A="Режим");FILTER(Dictionaries!$C:$C;Dictionaries!$A:$A="Режим")));IF($N397="";"";MIN($N397/100;1));IF($O397="";"";XLOOKUP($O397;FILTER(Dictionaries!$B:$B;Dictionaries!$A:$A="Настроение");FILTER(Dictionaries!$C:$C;Dictionaries!$A:$A="Настроение")));IF($P397="";"";XLOOKUP($P397;FILTER(Dictionaries!$B:$B;Dictionaries!$A:$A="Энергия");FILTER(Dictionaries!$C:$C;Dictionaries!$A:$A="Энергия")));IF($U397="";"";AVERAGE(IF(OR($B397="Ноги";$B397="Верх");IFS(AND($U397&gt;=1900;$U397&lt;=2050);1;AND($U397&gt;=1850;$U397&lt;1900);0,7;AND($U397&gt;2050;$U397&lt;=2100);0,7;TRUE;0,2);IFS(AND($U397&gt;=1700;$U397&lt;=1850);1;AND($U397&gt;=1650;$U397&lt;1700);0,7;AND($U397&gt;1850;$U397&lt;=1900);0,7;TRUE;0,2));IF(OR($B397="Ноги";$B397="Верх");IFS(AND($V397&gt;=125;$V397&lt;=135);1;AND($V397&gt;=115;$V397&lt;125);0,7;AND($V397&gt;135;$V397&lt;=145);0,7;AND($V397&gt;=105;$V397&lt;115);0,4;AND($V397&gt;145;$V397&lt;=155);0,4;TRUE;0,2);IFS(AND($V397&gt;=120;$V397&lt;=130);1;AND($V397&gt;=110;$V397&lt;120);0,7;AND($V397&gt;130;$V397&lt;=140);0,7;AND($V397&gt;=100;$V397&lt;110);0,4;AND($V397&gt;140;$V397&lt;=150);0,4;TRUE;0,2));IFS(AND($W397&gt;=55;$W397&lt;=65);1;AND($W397&gt;=50;$W397&lt;55);0,7;AND($W397&gt;65;$W397&lt;=70);0,7;AND($W397&gt;=45;$W397&lt;50);0,4;AND($W397&gt;70;$W397&lt;=75);0,4;TRUE;0,2);IF(OR($B397="Ноги";$B397="Верх");IFS(AND($X397&gt;=180;$X397&lt;=210);1;AND($X397&gt;=160;$X397&lt;180);0,7;AND($X397&gt;210;$X397&lt;=230);0,7;AND($X397&gt;=140;$X397&lt;160);0,4;AND($X397&gt;230;$X397&lt;=250);0,4;TRUE;0,2);IFS(AND($X397&gt;=140;$X397&lt;=170);1;AND($X397&gt;=120;$X397&lt;140);0,7;AND($X397&gt;170;$X397&lt;=190);0,7;AND($X397&gt;=100;$X397&lt;120);0,4;AND($X397&gt;190;$X397&lt;=210);0,4;TRUE;0,2)))));1);""))</f>
        <v/>
      </c>
      <c r="Z397">
        <f>IF($A397="";"";TEXTJOIN(", ";TRUE;IF($B397="";"Тренировка";"");IF($C397="";"Кардио";"");IF($D397="";"Шаги";"");IF($E397="";"Английский";"");IF($F397="";"Код-режим";"");IF($G397="";"Код-тема";"");IF($H397="";"Чтение";"");IF($L397="";"Сон";"");IF($M397="";"Режим";"");IF($N397="";"Продуктивность";"");IF($O397="";"Настроение";"");IF($P397="";"Энергия";"");IF($U397="";"Еда";"")))</f>
        <v/>
      </c>
    </row>
    <row r="398">
      <c r="B398" t="inlineStr"/>
      <c r="C398" t="inlineStr"/>
      <c r="D398" t="inlineStr"/>
      <c r="E398" t="inlineStr"/>
      <c r="F398" t="inlineStr"/>
      <c r="G398" t="inlineStr"/>
      <c r="H398" t="inlineStr"/>
      <c r="I398" t="inlineStr"/>
      <c r="J398" t="inlineStr"/>
      <c r="K398" t="inlineStr"/>
      <c r="L398" t="inlineStr"/>
      <c r="M398" t="inlineStr"/>
      <c r="N398" t="inlineStr"/>
      <c r="O398" t="inlineStr"/>
      <c r="P398" t="inlineStr"/>
      <c r="Q398" t="inlineStr"/>
      <c r="R398" t="inlineStr"/>
      <c r="S398" t="inlineStr"/>
      <c r="T398" t="inlineStr"/>
      <c r="U398">
        <f>IF($A398="";"";IF(SUMIF(FoodLog!$A:$A;$A398;FoodLog!$I:$I)=0;"";SUMIF(FoodLog!$A:$A;$A398;FoodLog!$I:$I)))</f>
        <v/>
      </c>
      <c r="V398">
        <f>IF($A398="";"";IF(SUMIF(FoodLog!$A:$A;$A398;FoodLog!$F:$F)=0;"";SUMIF(FoodLog!$A:$A;$A398;FoodLog!$F:$F)))</f>
        <v/>
      </c>
      <c r="W398">
        <f>IF($A398="";"";IF(SUMIF(FoodLog!$A:$A;$A398;FoodLog!$G:$G)=0;"";SUMIF(FoodLog!$A:$A;$A398;FoodLog!$G:$G)))</f>
        <v/>
      </c>
      <c r="X398">
        <f>IF($A398="";"";IF(SUMIF(FoodLog!$A:$A;$A398;FoodLog!$H:$H)=0;"";SUMIF(FoodLog!$A:$A;$A398;FoodLog!$H:$H)))</f>
        <v/>
      </c>
      <c r="Y398">
        <f>IF($A398="";"";IFERROR(ROUND(100*AVERAGE(IF($B398="";"";XLOOKUP($B398;FILTER(Dictionaries!$B:$B;Dictionaries!$A:$A="Тренировка");FILTER(Dictionaries!$C:$C;Dictionaries!$A:$A="Тренировка")));IF($C398="";"";MIN($C398/40;1));IF($D398="";"";XLOOKUP($D398;FILTER(Dictionaries!$B:$B;Dictionaries!$A:$A="Шаги");FILTER(Dictionaries!$C:$C;Dictionaries!$A:$A="Шаги")));IF($E398="";"";MIN($E398/120;1));IF(OR($F398&lt;&gt;"";$G398&lt;&gt;"");1;"");IF($H398="";"";MIN($H398/100;1));IF($L398="";"";XLOOKUP($L398;FILTER(Dictionaries!$B:$B;Dictionaries!$A:$A="Сон_часы");FILTER(Dictionaries!$C:$C;Dictionaries!$A:$A="Сон_часы")));IF($M398="";"";XLOOKUP($M398;FILTER(Dictionaries!$B:$B;Dictionaries!$A:$A="Режим");FILTER(Dictionaries!$C:$C;Dictionaries!$A:$A="Режим")));IF($N398="";"";MIN($N398/100;1));IF($O398="";"";XLOOKUP($O398;FILTER(Dictionaries!$B:$B;Dictionaries!$A:$A="Настроение");FILTER(Dictionaries!$C:$C;Dictionaries!$A:$A="Настроение")));IF($P398="";"";XLOOKUP($P398;FILTER(Dictionaries!$B:$B;Dictionaries!$A:$A="Энергия");FILTER(Dictionaries!$C:$C;Dictionaries!$A:$A="Энергия")));IF($U398="";"";AVERAGE(IF(OR($B398="Ноги";$B398="Верх");IFS(AND($U398&gt;=1900;$U398&lt;=2050);1;AND($U398&gt;=1850;$U398&lt;1900);0,7;AND($U398&gt;2050;$U398&lt;=2100);0,7;TRUE;0,2);IFS(AND($U398&gt;=1700;$U398&lt;=1850);1;AND($U398&gt;=1650;$U398&lt;1700);0,7;AND($U398&gt;1850;$U398&lt;=1900);0,7;TRUE;0,2));IF(OR($B398="Ноги";$B398="Верх");IFS(AND($V398&gt;=125;$V398&lt;=135);1;AND($V398&gt;=115;$V398&lt;125);0,7;AND($V398&gt;135;$V398&lt;=145);0,7;AND($V398&gt;=105;$V398&lt;115);0,4;AND($V398&gt;145;$V398&lt;=155);0,4;TRUE;0,2);IFS(AND($V398&gt;=120;$V398&lt;=130);1;AND($V398&gt;=110;$V398&lt;120);0,7;AND($V398&gt;130;$V398&lt;=140);0,7;AND($V398&gt;=100;$V398&lt;110);0,4;AND($V398&gt;140;$V398&lt;=150);0,4;TRUE;0,2));IFS(AND($W398&gt;=55;$W398&lt;=65);1;AND($W398&gt;=50;$W398&lt;55);0,7;AND($W398&gt;65;$W398&lt;=70);0,7;AND($W398&gt;=45;$W398&lt;50);0,4;AND($W398&gt;70;$W398&lt;=75);0,4;TRUE;0,2);IF(OR($B398="Ноги";$B398="Верх");IFS(AND($X398&gt;=180;$X398&lt;=210);1;AND($X398&gt;=160;$X398&lt;180);0,7;AND($X398&gt;210;$X398&lt;=230);0,7;AND($X398&gt;=140;$X398&lt;160);0,4;AND($X398&gt;230;$X398&lt;=250);0,4;TRUE;0,2);IFS(AND($X398&gt;=140;$X398&lt;=170);1;AND($X398&gt;=120;$X398&lt;140);0,7;AND($X398&gt;170;$X398&lt;=190);0,7;AND($X398&gt;=100;$X398&lt;120);0,4;AND($X398&gt;190;$X398&lt;=210);0,4;TRUE;0,2)))));1);""))</f>
        <v/>
      </c>
      <c r="Z398">
        <f>IF($A398="";"";TEXTJOIN(", ";TRUE;IF($B398="";"Тренировка";"");IF($C398="";"Кардио";"");IF($D398="";"Шаги";"");IF($E398="";"Английский";"");IF($F398="";"Код-режим";"");IF($G398="";"Код-тема";"");IF($H398="";"Чтение";"");IF($L398="";"Сон";"");IF($M398="";"Режим";"");IF($N398="";"Продуктивность";"");IF($O398="";"Настроение";"");IF($P398="";"Энергия";"");IF($U398="";"Еда";"")))</f>
        <v/>
      </c>
    </row>
    <row r="399">
      <c r="B399" t="inlineStr"/>
      <c r="C399" t="inlineStr"/>
      <c r="D399" t="inlineStr"/>
      <c r="E399" t="inlineStr"/>
      <c r="F399" t="inlineStr"/>
      <c r="G399" t="inlineStr"/>
      <c r="H399" t="inlineStr"/>
      <c r="I399" t="inlineStr"/>
      <c r="J399" t="inlineStr"/>
      <c r="K399" t="inlineStr"/>
      <c r="L399" t="inlineStr"/>
      <c r="M399" t="inlineStr"/>
      <c r="N399" t="inlineStr"/>
      <c r="O399" t="inlineStr"/>
      <c r="P399" t="inlineStr"/>
      <c r="Q399" t="inlineStr"/>
      <c r="R399" t="inlineStr"/>
      <c r="S399" t="inlineStr"/>
      <c r="T399" t="inlineStr"/>
      <c r="U399">
        <f>IF($A399="";"";IF(SUMIF(FoodLog!$A:$A;$A399;FoodLog!$I:$I)=0;"";SUMIF(FoodLog!$A:$A;$A399;FoodLog!$I:$I)))</f>
        <v/>
      </c>
      <c r="V399">
        <f>IF($A399="";"";IF(SUMIF(FoodLog!$A:$A;$A399;FoodLog!$F:$F)=0;"";SUMIF(FoodLog!$A:$A;$A399;FoodLog!$F:$F)))</f>
        <v/>
      </c>
      <c r="W399">
        <f>IF($A399="";"";IF(SUMIF(FoodLog!$A:$A;$A399;FoodLog!$G:$G)=0;"";SUMIF(FoodLog!$A:$A;$A399;FoodLog!$G:$G)))</f>
        <v/>
      </c>
      <c r="X399">
        <f>IF($A399="";"";IF(SUMIF(FoodLog!$A:$A;$A399;FoodLog!$H:$H)=0;"";SUMIF(FoodLog!$A:$A;$A399;FoodLog!$H:$H)))</f>
        <v/>
      </c>
      <c r="Y399">
        <f>IF($A399="";"";IFERROR(ROUND(100*AVERAGE(IF($B399="";"";XLOOKUP($B399;FILTER(Dictionaries!$B:$B;Dictionaries!$A:$A="Тренировка");FILTER(Dictionaries!$C:$C;Dictionaries!$A:$A="Тренировка")));IF($C399="";"";MIN($C399/40;1));IF($D399="";"";XLOOKUP($D399;FILTER(Dictionaries!$B:$B;Dictionaries!$A:$A="Шаги");FILTER(Dictionaries!$C:$C;Dictionaries!$A:$A="Шаги")));IF($E399="";"";MIN($E399/120;1));IF(OR($F399&lt;&gt;"";$G399&lt;&gt;"");1;"");IF($H399="";"";MIN($H399/100;1));IF($L399="";"";XLOOKUP($L399;FILTER(Dictionaries!$B:$B;Dictionaries!$A:$A="Сон_часы");FILTER(Dictionaries!$C:$C;Dictionaries!$A:$A="Сон_часы")));IF($M399="";"";XLOOKUP($M399;FILTER(Dictionaries!$B:$B;Dictionaries!$A:$A="Режим");FILTER(Dictionaries!$C:$C;Dictionaries!$A:$A="Режим")));IF($N399="";"";MIN($N399/100;1));IF($O399="";"";XLOOKUP($O399;FILTER(Dictionaries!$B:$B;Dictionaries!$A:$A="Настроение");FILTER(Dictionaries!$C:$C;Dictionaries!$A:$A="Настроение")));IF($P399="";"";XLOOKUP($P399;FILTER(Dictionaries!$B:$B;Dictionaries!$A:$A="Энергия");FILTER(Dictionaries!$C:$C;Dictionaries!$A:$A="Энергия")));IF($U399="";"";AVERAGE(IF(OR($B399="Ноги";$B399="Верх");IFS(AND($U399&gt;=1900;$U399&lt;=2050);1;AND($U399&gt;=1850;$U399&lt;1900);0,7;AND($U399&gt;2050;$U399&lt;=2100);0,7;TRUE;0,2);IFS(AND($U399&gt;=1700;$U399&lt;=1850);1;AND($U399&gt;=1650;$U399&lt;1700);0,7;AND($U399&gt;1850;$U399&lt;=1900);0,7;TRUE;0,2));IF(OR($B399="Ноги";$B399="Верх");IFS(AND($V399&gt;=125;$V399&lt;=135);1;AND($V399&gt;=115;$V399&lt;125);0,7;AND($V399&gt;135;$V399&lt;=145);0,7;AND($V399&gt;=105;$V399&lt;115);0,4;AND($V399&gt;145;$V399&lt;=155);0,4;TRUE;0,2);IFS(AND($V399&gt;=120;$V399&lt;=130);1;AND($V399&gt;=110;$V399&lt;120);0,7;AND($V399&gt;130;$V399&lt;=140);0,7;AND($V399&gt;=100;$V399&lt;110);0,4;AND($V399&gt;140;$V399&lt;=150);0,4;TRUE;0,2));IFS(AND($W399&gt;=55;$W399&lt;=65);1;AND($W399&gt;=50;$W399&lt;55);0,7;AND($W399&gt;65;$W399&lt;=70);0,7;AND($W399&gt;=45;$W399&lt;50);0,4;AND($W399&gt;70;$W399&lt;=75);0,4;TRUE;0,2);IF(OR($B399="Ноги";$B399="Верх");IFS(AND($X399&gt;=180;$X399&lt;=210);1;AND($X399&gt;=160;$X399&lt;180);0,7;AND($X399&gt;210;$X399&lt;=230);0,7;AND($X399&gt;=140;$X399&lt;160);0,4;AND($X399&gt;230;$X399&lt;=250);0,4;TRUE;0,2);IFS(AND($X399&gt;=140;$X399&lt;=170);1;AND($X399&gt;=120;$X399&lt;140);0,7;AND($X399&gt;170;$X399&lt;=190);0,7;AND($X399&gt;=100;$X399&lt;120);0,4;AND($X399&gt;190;$X399&lt;=210);0,4;TRUE;0,2)))));1);""))</f>
        <v/>
      </c>
      <c r="Z399">
        <f>IF($A399="";"";TEXTJOIN(", ";TRUE;IF($B399="";"Тренировка";"");IF($C399="";"Кардио";"");IF($D399="";"Шаги";"");IF($E399="";"Английский";"");IF($F399="";"Код-режим";"");IF($G399="";"Код-тема";"");IF($H399="";"Чтение";"");IF($L399="";"Сон";"");IF($M399="";"Режим";"");IF($N399="";"Продуктивность";"");IF($O399="";"Настроение";"");IF($P399="";"Энергия";"");IF($U399="";"Еда";"")))</f>
        <v/>
      </c>
    </row>
    <row r="400">
      <c r="B400" t="inlineStr"/>
      <c r="C400" t="inlineStr"/>
      <c r="D400" t="inlineStr"/>
      <c r="E400" t="inlineStr"/>
      <c r="F400" t="inlineStr"/>
      <c r="G400" t="inlineStr"/>
      <c r="H400" t="inlineStr"/>
      <c r="I400" t="inlineStr"/>
      <c r="J400" t="inlineStr"/>
      <c r="K400" t="inlineStr"/>
      <c r="L400" t="inlineStr"/>
      <c r="M400" t="inlineStr"/>
      <c r="N400" t="inlineStr"/>
      <c r="O400" t="inlineStr"/>
      <c r="P400" t="inlineStr"/>
      <c r="Q400" t="inlineStr"/>
      <c r="R400" t="inlineStr"/>
      <c r="S400" t="inlineStr"/>
      <c r="T400" t="inlineStr"/>
      <c r="U400">
        <f>IF($A400="";"";IF(SUMIF(FoodLog!$A:$A;$A400;FoodLog!$I:$I)=0;"";SUMIF(FoodLog!$A:$A;$A400;FoodLog!$I:$I)))</f>
        <v/>
      </c>
      <c r="V400">
        <f>IF($A400="";"";IF(SUMIF(FoodLog!$A:$A;$A400;FoodLog!$F:$F)=0;"";SUMIF(FoodLog!$A:$A;$A400;FoodLog!$F:$F)))</f>
        <v/>
      </c>
      <c r="W400">
        <f>IF($A400="";"";IF(SUMIF(FoodLog!$A:$A;$A400;FoodLog!$G:$G)=0;"";SUMIF(FoodLog!$A:$A;$A400;FoodLog!$G:$G)))</f>
        <v/>
      </c>
      <c r="X400">
        <f>IF($A400="";"";IF(SUMIF(FoodLog!$A:$A;$A400;FoodLog!$H:$H)=0;"";SUMIF(FoodLog!$A:$A;$A400;FoodLog!$H:$H)))</f>
        <v/>
      </c>
      <c r="Y400">
        <f>IF($A400="";"";IFERROR(ROUND(100*AVERAGE(IF($B400="";"";XLOOKUP($B400;FILTER(Dictionaries!$B:$B;Dictionaries!$A:$A="Тренировка");FILTER(Dictionaries!$C:$C;Dictionaries!$A:$A="Тренировка")));IF($C400="";"";MIN($C400/40;1));IF($D400="";"";XLOOKUP($D400;FILTER(Dictionaries!$B:$B;Dictionaries!$A:$A="Шаги");FILTER(Dictionaries!$C:$C;Dictionaries!$A:$A="Шаги")));IF($E400="";"";MIN($E400/120;1));IF(OR($F400&lt;&gt;"";$G400&lt;&gt;"");1;"");IF($H400="";"";MIN($H400/100;1));IF($L400="";"";XLOOKUP($L400;FILTER(Dictionaries!$B:$B;Dictionaries!$A:$A="Сон_часы");FILTER(Dictionaries!$C:$C;Dictionaries!$A:$A="Сон_часы")));IF($M400="";"";XLOOKUP($M400;FILTER(Dictionaries!$B:$B;Dictionaries!$A:$A="Режим");FILTER(Dictionaries!$C:$C;Dictionaries!$A:$A="Режим")));IF($N400="";"";MIN($N400/100;1));IF($O400="";"";XLOOKUP($O400;FILTER(Dictionaries!$B:$B;Dictionaries!$A:$A="Настроение");FILTER(Dictionaries!$C:$C;Dictionaries!$A:$A="Настроение")));IF($P400="";"";XLOOKUP($P400;FILTER(Dictionaries!$B:$B;Dictionaries!$A:$A="Энергия");FILTER(Dictionaries!$C:$C;Dictionaries!$A:$A="Энергия")));IF($U400="";"";AVERAGE(IF(OR($B400="Ноги";$B400="Верх");IFS(AND($U400&gt;=1900;$U400&lt;=2050);1;AND($U400&gt;=1850;$U400&lt;1900);0,7;AND($U400&gt;2050;$U400&lt;=2100);0,7;TRUE;0,2);IFS(AND($U400&gt;=1700;$U400&lt;=1850);1;AND($U400&gt;=1650;$U400&lt;1700);0,7;AND($U400&gt;1850;$U400&lt;=1900);0,7;TRUE;0,2));IF(OR($B400="Ноги";$B400="Верх");IFS(AND($V400&gt;=125;$V400&lt;=135);1;AND($V400&gt;=115;$V400&lt;125);0,7;AND($V400&gt;135;$V400&lt;=145);0,7;AND($V400&gt;=105;$V400&lt;115);0,4;AND($V400&gt;145;$V400&lt;=155);0,4;TRUE;0,2);IFS(AND($V400&gt;=120;$V400&lt;=130);1;AND($V400&gt;=110;$V400&lt;120);0,7;AND($V400&gt;130;$V400&lt;=140);0,7;AND($V400&gt;=100;$V400&lt;110);0,4;AND($V400&gt;140;$V400&lt;=150);0,4;TRUE;0,2));IFS(AND($W400&gt;=55;$W400&lt;=65);1;AND($W400&gt;=50;$W400&lt;55);0,7;AND($W400&gt;65;$W400&lt;=70);0,7;AND($W400&gt;=45;$W400&lt;50);0,4;AND($W400&gt;70;$W400&lt;=75);0,4;TRUE;0,2);IF(OR($B400="Ноги";$B400="Верх");IFS(AND($X400&gt;=180;$X400&lt;=210);1;AND($X400&gt;=160;$X400&lt;180);0,7;AND($X400&gt;210;$X400&lt;=230);0,7;AND($X400&gt;=140;$X400&lt;160);0,4;AND($X400&gt;230;$X400&lt;=250);0,4;TRUE;0,2);IFS(AND($X400&gt;=140;$X400&lt;=170);1;AND($X400&gt;=120;$X400&lt;140);0,7;AND($X400&gt;170;$X400&lt;=190);0,7;AND($X400&gt;=100;$X400&lt;120);0,4;AND($X400&gt;190;$X400&lt;=210);0,4;TRUE;0,2)))));1);""))</f>
        <v/>
      </c>
      <c r="Z400">
        <f>IF($A400="";"";TEXTJOIN(", ";TRUE;IF($B400="";"Тренировка";"");IF($C400="";"Кардио";"");IF($D400="";"Шаги";"");IF($E400="";"Английский";"");IF($F400="";"Код-режим";"");IF($G400="";"Код-тема";"");IF($H400="";"Чтение";"");IF($L400="";"Сон";"");IF($M400="";"Режим";"");IF($N400="";"Продуктивность";"");IF($O400="";"Настроение";"");IF($P400="";"Энергия";"");IF($U400="";"Еда";"")))</f>
        <v/>
      </c>
    </row>
  </sheetData>
  <dataValidations count="7">
    <dataValidation sqref="B2:B200" showDropDown="0" showInputMessage="0" showErrorMessage="0" allowBlank="1" type="list">
      <formula1>"Пропустил,Отдых,Ноги,Верх"</formula1>
    </dataValidation>
    <dataValidation sqref="D2:D200" showDropDown="0" showInputMessage="0" showErrorMessage="0" allowBlank="1" type="list">
      <formula1>"&lt;5k,5-7k,7-10k,10-12k,12-15k,15k+"</formula1>
    </dataValidation>
    <dataValidation sqref="E2:E200" showDropDown="0" showInputMessage="0" showErrorMessage="0" allowBlank="1" type="list">
      <formula1>"&lt;6,6-8,&gt;8"</formula1>
    </dataValidation>
    <dataValidation sqref="F2:F200" showDropDown="0" showInputMessage="0" showErrorMessage="0" allowBlank="1" type="list">
      <formula1>"Не сбит,Сбит"</formula1>
    </dataValidation>
    <dataValidation sqref="G2:G200" showDropDown="0" showInputMessage="0" showErrorMessage="0" allowBlank="1" type="list">
      <formula1>"Отличное,Веселый,Обычное,Серьезный,Раздраженный,Беспокойный,Злой"</formula1>
    </dataValidation>
    <dataValidation sqref="H2:H200" showDropDown="0" showInputMessage="0" showErrorMessage="0" allowBlank="1" type="list">
      <formula1>"нет,мало,есть,я живчик"</formula1>
    </dataValidation>
    <dataValidation sqref="I2:I200" showDropDown="0" showInputMessage="0" showErrorMessage="0" allowBlank="1" type="list">
      <formula1>"0%,25%,50%,75%,100%"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2" customHeight="1">
      <c r="A1" s="1" t="inlineStr">
        <is>
          <t>Дата</t>
        </is>
      </c>
      <c r="B1" s="1" t="inlineStr">
        <is>
          <t>Время</t>
        </is>
      </c>
      <c r="C1" s="1" t="inlineStr">
        <is>
          <t>Код_порции</t>
        </is>
      </c>
      <c r="D1" s="1" t="inlineStr">
        <is>
          <t>Кол-во_порций</t>
        </is>
      </c>
      <c r="E1" s="1" t="inlineStr">
        <is>
          <t>Грамм_итого</t>
        </is>
      </c>
      <c r="F1" s="1" t="inlineStr">
        <is>
          <t>Белки</t>
        </is>
      </c>
      <c r="G1" s="1" t="inlineStr">
        <is>
          <t>Жиры</t>
        </is>
      </c>
      <c r="H1" s="1" t="inlineStr">
        <is>
          <t>Угли</t>
        </is>
      </c>
      <c r="I1" s="1" t="inlineStr">
        <is>
          <t>Ккал</t>
        </is>
      </c>
      <c r="J1" s="1" t="inlineStr">
        <is>
          <t>Комментарий</t>
        </is>
      </c>
    </row>
    <row r="2">
      <c r="E2">
        <f>IF(C2="";"";D2*XLOOKUP(C2;Portions!$A:$A;Portions!$D:$D))</f>
        <v/>
      </c>
      <c r="F2">
        <f>IF(E2="";"";E2/100*XLOOKUP(XLOOKUP(C2;Portions!$A:$A;Portions!$B:$B);FoodItems!$A:$A;FoodItems!$B:$B))</f>
        <v/>
      </c>
      <c r="G2">
        <f>IF(E2="";"";E2/100*XLOOKUP(XLOOKUP(C2;Portions!$A:$A;Portions!$B:$B);FoodItems!$A:$A;FoodItems!$C:$C))</f>
        <v/>
      </c>
      <c r="H2">
        <f>IF(E2="";"";E2/100*XLOOKUP(XLOOKUP(C2;Portions!$A:$A;Portions!$B:$B);FoodItems!$A:$A;FoodItems!$D:$D))</f>
        <v/>
      </c>
      <c r="I2">
        <f>IF(E2="";"";E2/100*XLOOKUP(XLOOKUP(C2;Portions!$A:$A;Portions!$B:$B);FoodItems!$A:$A;FoodItems!$E:$E))</f>
        <v/>
      </c>
    </row>
    <row r="3">
      <c r="E3">
        <f>IF(C3="";"";D3*XLOOKUP(C3;Portions!$A:$A;Portions!$D:$D))</f>
        <v/>
      </c>
      <c r="F3">
        <f>IF(E3="";"";E3/100*XLOOKUP(XLOOKUP(C3;Portions!$A:$A;Portions!$B:$B);FoodItems!$A:$A;FoodItems!$B:$B))</f>
        <v/>
      </c>
      <c r="G3">
        <f>IF(E3="";"";E3/100*XLOOKUP(XLOOKUP(C3;Portions!$A:$A;Portions!$B:$B);FoodItems!$A:$A;FoodItems!$C:$C))</f>
        <v/>
      </c>
      <c r="H3">
        <f>IF(E3="";"";E3/100*XLOOKUP(XLOOKUP(C3;Portions!$A:$A;Portions!$B:$B);FoodItems!$A:$A;FoodItems!$D:$D))</f>
        <v/>
      </c>
      <c r="I3">
        <f>IF(E3="";"";E3/100*XLOOKUP(XLOOKUP(C3;Portions!$A:$A;Portions!$B:$B);FoodItems!$A:$A;FoodItems!$E:$E))</f>
        <v/>
      </c>
    </row>
    <row r="4">
      <c r="E4">
        <f>IF(C4="";"";D4*XLOOKUP(C4;Portions!$A:$A;Portions!$D:$D))</f>
        <v/>
      </c>
      <c r="F4">
        <f>IF(E4="";"";E4/100*XLOOKUP(XLOOKUP(C4;Portions!$A:$A;Portions!$B:$B);FoodItems!$A:$A;FoodItems!$B:$B))</f>
        <v/>
      </c>
      <c r="G4">
        <f>IF(E4="";"";E4/100*XLOOKUP(XLOOKUP(C4;Portions!$A:$A;Portions!$B:$B);FoodItems!$A:$A;FoodItems!$C:$C))</f>
        <v/>
      </c>
      <c r="H4">
        <f>IF(E4="";"";E4/100*XLOOKUP(XLOOKUP(C4;Portions!$A:$A;Portions!$B:$B);FoodItems!$A:$A;FoodItems!$D:$D))</f>
        <v/>
      </c>
      <c r="I4">
        <f>IF(E4="";"";E4/100*XLOOKUP(XLOOKUP(C4;Portions!$A:$A;Portions!$B:$B);FoodItems!$A:$A;FoodItems!$E:$E))</f>
        <v/>
      </c>
    </row>
    <row r="5">
      <c r="E5">
        <f>IF(C5="";"";D5*XLOOKUP(C5;Portions!$A:$A;Portions!$D:$D))</f>
        <v/>
      </c>
      <c r="F5">
        <f>IF(E5="";"";E5/100*XLOOKUP(XLOOKUP(C5;Portions!$A:$A;Portions!$B:$B);FoodItems!$A:$A;FoodItems!$B:$B))</f>
        <v/>
      </c>
      <c r="G5">
        <f>IF(E5="";"";E5/100*XLOOKUP(XLOOKUP(C5;Portions!$A:$A;Portions!$B:$B);FoodItems!$A:$A;FoodItems!$C:$C))</f>
        <v/>
      </c>
      <c r="H5">
        <f>IF(E5="";"";E5/100*XLOOKUP(XLOOKUP(C5;Portions!$A:$A;Portions!$B:$B);FoodItems!$A:$A;FoodItems!$D:$D))</f>
        <v/>
      </c>
      <c r="I5">
        <f>IF(E5="";"";E5/100*XLOOKUP(XLOOKUP(C5;Portions!$A:$A;Portions!$B:$B);FoodItems!$A:$A;FoodItems!$E:$E))</f>
        <v/>
      </c>
    </row>
    <row r="6">
      <c r="E6">
        <f>IF(C6="";"";D6*XLOOKUP(C6;Portions!$A:$A;Portions!$D:$D))</f>
        <v/>
      </c>
      <c r="F6">
        <f>IF(E6="";"";E6/100*XLOOKUP(XLOOKUP(C6;Portions!$A:$A;Portions!$B:$B);FoodItems!$A:$A;FoodItems!$B:$B))</f>
        <v/>
      </c>
      <c r="G6">
        <f>IF(E6="";"";E6/100*XLOOKUP(XLOOKUP(C6;Portions!$A:$A;Portions!$B:$B);FoodItems!$A:$A;FoodItems!$C:$C))</f>
        <v/>
      </c>
      <c r="H6">
        <f>IF(E6="";"";E6/100*XLOOKUP(XLOOKUP(C6;Portions!$A:$A;Portions!$B:$B);FoodItems!$A:$A;FoodItems!$D:$D))</f>
        <v/>
      </c>
      <c r="I6">
        <f>IF(E6="";"";E6/100*XLOOKUP(XLOOKUP(C6;Portions!$A:$A;Portions!$B:$B);FoodItems!$A:$A;FoodItems!$E:$E))</f>
        <v/>
      </c>
    </row>
    <row r="7">
      <c r="E7">
        <f>IF(C7="";"";D7*XLOOKUP(C7;Portions!$A:$A;Portions!$D:$D))</f>
        <v/>
      </c>
      <c r="F7">
        <f>IF(E7="";"";E7/100*XLOOKUP(XLOOKUP(C7;Portions!$A:$A;Portions!$B:$B);FoodItems!$A:$A;FoodItems!$B:$B))</f>
        <v/>
      </c>
      <c r="G7">
        <f>IF(E7="";"";E7/100*XLOOKUP(XLOOKUP(C7;Portions!$A:$A;Portions!$B:$B);FoodItems!$A:$A;FoodItems!$C:$C))</f>
        <v/>
      </c>
      <c r="H7">
        <f>IF(E7="";"";E7/100*XLOOKUP(XLOOKUP(C7;Portions!$A:$A;Portions!$B:$B);FoodItems!$A:$A;FoodItems!$D:$D))</f>
        <v/>
      </c>
      <c r="I7">
        <f>IF(E7="";"";E7/100*XLOOKUP(XLOOKUP(C7;Portions!$A:$A;Portions!$B:$B);FoodItems!$A:$A;FoodItems!$E:$E))</f>
        <v/>
      </c>
    </row>
    <row r="8">
      <c r="E8">
        <f>IF(C8="";"";D8*XLOOKUP(C8;Portions!$A:$A;Portions!$D:$D))</f>
        <v/>
      </c>
      <c r="F8">
        <f>IF(E8="";"";E8/100*XLOOKUP(XLOOKUP(C8;Portions!$A:$A;Portions!$B:$B);FoodItems!$A:$A;FoodItems!$B:$B))</f>
        <v/>
      </c>
      <c r="G8">
        <f>IF(E8="";"";E8/100*XLOOKUP(XLOOKUP(C8;Portions!$A:$A;Portions!$B:$B);FoodItems!$A:$A;FoodItems!$C:$C))</f>
        <v/>
      </c>
      <c r="H8">
        <f>IF(E8="";"";E8/100*XLOOKUP(XLOOKUP(C8;Portions!$A:$A;Portions!$B:$B);FoodItems!$A:$A;FoodItems!$D:$D))</f>
        <v/>
      </c>
      <c r="I8">
        <f>IF(E8="";"";E8/100*XLOOKUP(XLOOKUP(C8;Portions!$A:$A;Portions!$B:$B);FoodItems!$A:$A;FoodItems!$E:$E))</f>
        <v/>
      </c>
    </row>
    <row r="9">
      <c r="E9">
        <f>IF(C9="";"";D9*XLOOKUP(C9;Portions!$A:$A;Portions!$D:$D))</f>
        <v/>
      </c>
      <c r="F9">
        <f>IF(E9="";"";E9/100*XLOOKUP(XLOOKUP(C9;Portions!$A:$A;Portions!$B:$B);FoodItems!$A:$A;FoodItems!$B:$B))</f>
        <v/>
      </c>
      <c r="G9">
        <f>IF(E9="";"";E9/100*XLOOKUP(XLOOKUP(C9;Portions!$A:$A;Portions!$B:$B);FoodItems!$A:$A;FoodItems!$C:$C))</f>
        <v/>
      </c>
      <c r="H9">
        <f>IF(E9="";"";E9/100*XLOOKUP(XLOOKUP(C9;Portions!$A:$A;Portions!$B:$B);FoodItems!$A:$A;FoodItems!$D:$D))</f>
        <v/>
      </c>
      <c r="I9">
        <f>IF(E9="";"";E9/100*XLOOKUP(XLOOKUP(C9;Portions!$A:$A;Portions!$B:$B);FoodItems!$A:$A;FoodItems!$E:$E))</f>
        <v/>
      </c>
    </row>
    <row r="10">
      <c r="E10">
        <f>IF(C10="";"";D10*XLOOKUP(C10;Portions!$A:$A;Portions!$D:$D))</f>
        <v/>
      </c>
      <c r="F10">
        <f>IF(E10="";"";E10/100*XLOOKUP(XLOOKUP(C10;Portions!$A:$A;Portions!$B:$B);FoodItems!$A:$A;FoodItems!$B:$B))</f>
        <v/>
      </c>
      <c r="G10">
        <f>IF(E10="";"";E10/100*XLOOKUP(XLOOKUP(C10;Portions!$A:$A;Portions!$B:$B);FoodItems!$A:$A;FoodItems!$C:$C))</f>
        <v/>
      </c>
      <c r="H10">
        <f>IF(E10="";"";E10/100*XLOOKUP(XLOOKUP(C10;Portions!$A:$A;Portions!$B:$B);FoodItems!$A:$A;FoodItems!$D:$D))</f>
        <v/>
      </c>
      <c r="I10">
        <f>IF(E10="";"";E10/100*XLOOKUP(XLOOKUP(C10;Portions!$A:$A;Portions!$B:$B);FoodItems!$A:$A;FoodItems!$E:$E))</f>
        <v/>
      </c>
    </row>
    <row r="11">
      <c r="E11">
        <f>IF(C11="";"";D11*XLOOKUP(C11;Portions!$A:$A;Portions!$D:$D))</f>
        <v/>
      </c>
      <c r="F11">
        <f>IF(E11="";"";E11/100*XLOOKUP(XLOOKUP(C11;Portions!$A:$A;Portions!$B:$B);FoodItems!$A:$A;FoodItems!$B:$B))</f>
        <v/>
      </c>
      <c r="G11">
        <f>IF(E11="";"";E11/100*XLOOKUP(XLOOKUP(C11;Portions!$A:$A;Portions!$B:$B);FoodItems!$A:$A;FoodItems!$C:$C))</f>
        <v/>
      </c>
      <c r="H11">
        <f>IF(E11="";"";E11/100*XLOOKUP(XLOOKUP(C11;Portions!$A:$A;Portions!$B:$B);FoodItems!$A:$A;FoodItems!$D:$D))</f>
        <v/>
      </c>
      <c r="I11">
        <f>IF(E11="";"";E11/100*XLOOKUP(XLOOKUP(C11;Portions!$A:$A;Portions!$B:$B);FoodItems!$A:$A;FoodItems!$E:$E))</f>
        <v/>
      </c>
    </row>
    <row r="12">
      <c r="E12">
        <f>IF(C12="";"";D12*XLOOKUP(C12;Portions!$A:$A;Portions!$D:$D))</f>
        <v/>
      </c>
      <c r="F12">
        <f>IF(E12="";"";E12/100*XLOOKUP(XLOOKUP(C12;Portions!$A:$A;Portions!$B:$B);FoodItems!$A:$A;FoodItems!$B:$B))</f>
        <v/>
      </c>
      <c r="G12">
        <f>IF(E12="";"";E12/100*XLOOKUP(XLOOKUP(C12;Portions!$A:$A;Portions!$B:$B);FoodItems!$A:$A;FoodItems!$C:$C))</f>
        <v/>
      </c>
      <c r="H12">
        <f>IF(E12="";"";E12/100*XLOOKUP(XLOOKUP(C12;Portions!$A:$A;Portions!$B:$B);FoodItems!$A:$A;FoodItems!$D:$D))</f>
        <v/>
      </c>
      <c r="I12">
        <f>IF(E12="";"";E12/100*XLOOKUP(XLOOKUP(C12;Portions!$A:$A;Portions!$B:$B);FoodItems!$A:$A;FoodItems!$E:$E))</f>
        <v/>
      </c>
    </row>
    <row r="13">
      <c r="E13">
        <f>IF(C13="";"";D13*XLOOKUP(C13;Portions!$A:$A;Portions!$D:$D))</f>
        <v/>
      </c>
      <c r="F13">
        <f>IF(E13="";"";E13/100*XLOOKUP(XLOOKUP(C13;Portions!$A:$A;Portions!$B:$B);FoodItems!$A:$A;FoodItems!$B:$B))</f>
        <v/>
      </c>
      <c r="G13">
        <f>IF(E13="";"";E13/100*XLOOKUP(XLOOKUP(C13;Portions!$A:$A;Portions!$B:$B);FoodItems!$A:$A;FoodItems!$C:$C))</f>
        <v/>
      </c>
      <c r="H13">
        <f>IF(E13="";"";E13/100*XLOOKUP(XLOOKUP(C13;Portions!$A:$A;Portions!$B:$B);FoodItems!$A:$A;FoodItems!$D:$D))</f>
        <v/>
      </c>
      <c r="I13">
        <f>IF(E13="";"";E13/100*XLOOKUP(XLOOKUP(C13;Portions!$A:$A;Portions!$B:$B);FoodItems!$A:$A;FoodItems!$E:$E))</f>
        <v/>
      </c>
    </row>
    <row r="14">
      <c r="E14">
        <f>IF(C14="";"";D14*XLOOKUP(C14;Portions!$A:$A;Portions!$D:$D))</f>
        <v/>
      </c>
      <c r="F14">
        <f>IF(E14="";"";E14/100*XLOOKUP(XLOOKUP(C14;Portions!$A:$A;Portions!$B:$B);FoodItems!$A:$A;FoodItems!$B:$B))</f>
        <v/>
      </c>
      <c r="G14">
        <f>IF(E14="";"";E14/100*XLOOKUP(XLOOKUP(C14;Portions!$A:$A;Portions!$B:$B);FoodItems!$A:$A;FoodItems!$C:$C))</f>
        <v/>
      </c>
      <c r="H14">
        <f>IF(E14="";"";E14/100*XLOOKUP(XLOOKUP(C14;Portions!$A:$A;Portions!$B:$B);FoodItems!$A:$A;FoodItems!$D:$D))</f>
        <v/>
      </c>
      <c r="I14">
        <f>IF(E14="";"";E14/100*XLOOKUP(XLOOKUP(C14;Portions!$A:$A;Portions!$B:$B);FoodItems!$A:$A;FoodItems!$E:$E))</f>
        <v/>
      </c>
    </row>
    <row r="15">
      <c r="E15">
        <f>IF(C15="";"";D15*XLOOKUP(C15;Portions!$A:$A;Portions!$D:$D))</f>
        <v/>
      </c>
      <c r="F15">
        <f>IF(E15="";"";E15/100*XLOOKUP(XLOOKUP(C15;Portions!$A:$A;Portions!$B:$B);FoodItems!$A:$A;FoodItems!$B:$B))</f>
        <v/>
      </c>
      <c r="G15">
        <f>IF(E15="";"";E15/100*XLOOKUP(XLOOKUP(C15;Portions!$A:$A;Portions!$B:$B);FoodItems!$A:$A;FoodItems!$C:$C))</f>
        <v/>
      </c>
      <c r="H15">
        <f>IF(E15="";"";E15/100*XLOOKUP(XLOOKUP(C15;Portions!$A:$A;Portions!$B:$B);FoodItems!$A:$A;FoodItems!$D:$D))</f>
        <v/>
      </c>
      <c r="I15">
        <f>IF(E15="";"";E15/100*XLOOKUP(XLOOKUP(C15;Portions!$A:$A;Portions!$B:$B);FoodItems!$A:$A;FoodItems!$E:$E))</f>
        <v/>
      </c>
    </row>
    <row r="16">
      <c r="E16">
        <f>IF(C16="";"";D16*XLOOKUP(C16;Portions!$A:$A;Portions!$D:$D))</f>
        <v/>
      </c>
      <c r="F16">
        <f>IF(E16="";"";E16/100*XLOOKUP(XLOOKUP(C16;Portions!$A:$A;Portions!$B:$B);FoodItems!$A:$A;FoodItems!$B:$B))</f>
        <v/>
      </c>
      <c r="G16">
        <f>IF(E16="";"";E16/100*XLOOKUP(XLOOKUP(C16;Portions!$A:$A;Portions!$B:$B);FoodItems!$A:$A;FoodItems!$C:$C))</f>
        <v/>
      </c>
      <c r="H16">
        <f>IF(E16="";"";E16/100*XLOOKUP(XLOOKUP(C16;Portions!$A:$A;Portions!$B:$B);FoodItems!$A:$A;FoodItems!$D:$D))</f>
        <v/>
      </c>
      <c r="I16">
        <f>IF(E16="";"";E16/100*XLOOKUP(XLOOKUP(C16;Portions!$A:$A;Portions!$B:$B);FoodItems!$A:$A;FoodItems!$E:$E))</f>
        <v/>
      </c>
    </row>
    <row r="17">
      <c r="E17">
        <f>IF(C17="";"";D17*XLOOKUP(C17;Portions!$A:$A;Portions!$D:$D))</f>
        <v/>
      </c>
      <c r="F17">
        <f>IF(E17="";"";E17/100*XLOOKUP(XLOOKUP(C17;Portions!$A:$A;Portions!$B:$B);FoodItems!$A:$A;FoodItems!$B:$B))</f>
        <v/>
      </c>
      <c r="G17">
        <f>IF(E17="";"";E17/100*XLOOKUP(XLOOKUP(C17;Portions!$A:$A;Portions!$B:$B);FoodItems!$A:$A;FoodItems!$C:$C))</f>
        <v/>
      </c>
      <c r="H17">
        <f>IF(E17="";"";E17/100*XLOOKUP(XLOOKUP(C17;Portions!$A:$A;Portions!$B:$B);FoodItems!$A:$A;FoodItems!$D:$D))</f>
        <v/>
      </c>
      <c r="I17">
        <f>IF(E17="";"";E17/100*XLOOKUP(XLOOKUP(C17;Portions!$A:$A;Portions!$B:$B);FoodItems!$A:$A;FoodItems!$E:$E))</f>
        <v/>
      </c>
    </row>
    <row r="18">
      <c r="E18">
        <f>IF(C18="";"";D18*XLOOKUP(C18;Portions!$A:$A;Portions!$D:$D))</f>
        <v/>
      </c>
      <c r="F18">
        <f>IF(E18="";"";E18/100*XLOOKUP(XLOOKUP(C18;Portions!$A:$A;Portions!$B:$B);FoodItems!$A:$A;FoodItems!$B:$B))</f>
        <v/>
      </c>
      <c r="G18">
        <f>IF(E18="";"";E18/100*XLOOKUP(XLOOKUP(C18;Portions!$A:$A;Portions!$B:$B);FoodItems!$A:$A;FoodItems!$C:$C))</f>
        <v/>
      </c>
      <c r="H18">
        <f>IF(E18="";"";E18/100*XLOOKUP(XLOOKUP(C18;Portions!$A:$A;Portions!$B:$B);FoodItems!$A:$A;FoodItems!$D:$D))</f>
        <v/>
      </c>
      <c r="I18">
        <f>IF(E18="";"";E18/100*XLOOKUP(XLOOKUP(C18;Portions!$A:$A;Portions!$B:$B);FoodItems!$A:$A;FoodItems!$E:$E))</f>
        <v/>
      </c>
    </row>
    <row r="19">
      <c r="E19">
        <f>IF(C19="";"";D19*XLOOKUP(C19;Portions!$A:$A;Portions!$D:$D))</f>
        <v/>
      </c>
      <c r="F19">
        <f>IF(E19="";"";E19/100*XLOOKUP(XLOOKUP(C19;Portions!$A:$A;Portions!$B:$B);FoodItems!$A:$A;FoodItems!$B:$B))</f>
        <v/>
      </c>
      <c r="G19">
        <f>IF(E19="";"";E19/100*XLOOKUP(XLOOKUP(C19;Portions!$A:$A;Portions!$B:$B);FoodItems!$A:$A;FoodItems!$C:$C))</f>
        <v/>
      </c>
      <c r="H19">
        <f>IF(E19="";"";E19/100*XLOOKUP(XLOOKUP(C19;Portions!$A:$A;Portions!$B:$B);FoodItems!$A:$A;FoodItems!$D:$D))</f>
        <v/>
      </c>
      <c r="I19">
        <f>IF(E19="";"";E19/100*XLOOKUP(XLOOKUP(C19;Portions!$A:$A;Portions!$B:$B);FoodItems!$A:$A;FoodItems!$E:$E))</f>
        <v/>
      </c>
    </row>
    <row r="20">
      <c r="E20">
        <f>IF(C20="";"";D20*XLOOKUP(C20;Portions!$A:$A;Portions!$D:$D))</f>
        <v/>
      </c>
      <c r="F20">
        <f>IF(E20="";"";E20/100*XLOOKUP(XLOOKUP(C20;Portions!$A:$A;Portions!$B:$B);FoodItems!$A:$A;FoodItems!$B:$B))</f>
        <v/>
      </c>
      <c r="G20">
        <f>IF(E20="";"";E20/100*XLOOKUP(XLOOKUP(C20;Portions!$A:$A;Portions!$B:$B);FoodItems!$A:$A;FoodItems!$C:$C))</f>
        <v/>
      </c>
      <c r="H20">
        <f>IF(E20="";"";E20/100*XLOOKUP(XLOOKUP(C20;Portions!$A:$A;Portions!$B:$B);FoodItems!$A:$A;FoodItems!$D:$D))</f>
        <v/>
      </c>
      <c r="I20">
        <f>IF(E20="";"";E20/100*XLOOKUP(XLOOKUP(C20;Portions!$A:$A;Portions!$B:$B);FoodItems!$A:$A;FoodItems!$E:$E))</f>
        <v/>
      </c>
    </row>
    <row r="21">
      <c r="E21">
        <f>IF(C21="";"";D21*XLOOKUP(C21;Portions!$A:$A;Portions!$D:$D))</f>
        <v/>
      </c>
      <c r="F21">
        <f>IF(E21="";"";E21/100*XLOOKUP(XLOOKUP(C21;Portions!$A:$A;Portions!$B:$B);FoodItems!$A:$A;FoodItems!$B:$B))</f>
        <v/>
      </c>
      <c r="G21">
        <f>IF(E21="";"";E21/100*XLOOKUP(XLOOKUP(C21;Portions!$A:$A;Portions!$B:$B);FoodItems!$A:$A;FoodItems!$C:$C))</f>
        <v/>
      </c>
      <c r="H21">
        <f>IF(E21="";"";E21/100*XLOOKUP(XLOOKUP(C21;Portions!$A:$A;Portions!$B:$B);FoodItems!$A:$A;FoodItems!$D:$D))</f>
        <v/>
      </c>
      <c r="I21">
        <f>IF(E21="";"";E21/100*XLOOKUP(XLOOKUP(C21;Portions!$A:$A;Portions!$B:$B);FoodItems!$A:$A;FoodItems!$E:$E))</f>
        <v/>
      </c>
    </row>
    <row r="22">
      <c r="E22">
        <f>IF(C22="";"";D22*XLOOKUP(C22;Portions!$A:$A;Portions!$D:$D))</f>
        <v/>
      </c>
      <c r="F22">
        <f>IF(E22="";"";E22/100*XLOOKUP(XLOOKUP(C22;Portions!$A:$A;Portions!$B:$B);FoodItems!$A:$A;FoodItems!$B:$B))</f>
        <v/>
      </c>
      <c r="G22">
        <f>IF(E22="";"";E22/100*XLOOKUP(XLOOKUP(C22;Portions!$A:$A;Portions!$B:$B);FoodItems!$A:$A;FoodItems!$C:$C))</f>
        <v/>
      </c>
      <c r="H22">
        <f>IF(E22="";"";E22/100*XLOOKUP(XLOOKUP(C22;Portions!$A:$A;Portions!$B:$B);FoodItems!$A:$A;FoodItems!$D:$D))</f>
        <v/>
      </c>
      <c r="I22">
        <f>IF(E22="";"";E22/100*XLOOKUP(XLOOKUP(C22;Portions!$A:$A;Portions!$B:$B);FoodItems!$A:$A;FoodItems!$E:$E))</f>
        <v/>
      </c>
    </row>
    <row r="23">
      <c r="E23">
        <f>IF(C23="";"";D23*XLOOKUP(C23;Portions!$A:$A;Portions!$D:$D))</f>
        <v/>
      </c>
      <c r="F23">
        <f>IF(E23="";"";E23/100*XLOOKUP(XLOOKUP(C23;Portions!$A:$A;Portions!$B:$B);FoodItems!$A:$A;FoodItems!$B:$B))</f>
        <v/>
      </c>
      <c r="G23">
        <f>IF(E23="";"";E23/100*XLOOKUP(XLOOKUP(C23;Portions!$A:$A;Portions!$B:$B);FoodItems!$A:$A;FoodItems!$C:$C))</f>
        <v/>
      </c>
      <c r="H23">
        <f>IF(E23="";"";E23/100*XLOOKUP(XLOOKUP(C23;Portions!$A:$A;Portions!$B:$B);FoodItems!$A:$A;FoodItems!$D:$D))</f>
        <v/>
      </c>
      <c r="I23">
        <f>IF(E23="";"";E23/100*XLOOKUP(XLOOKUP(C23;Portions!$A:$A;Portions!$B:$B);FoodItems!$A:$A;FoodItems!$E:$E))</f>
        <v/>
      </c>
    </row>
    <row r="24">
      <c r="E24">
        <f>IF(C24="";"";D24*XLOOKUP(C24;Portions!$A:$A;Portions!$D:$D))</f>
        <v/>
      </c>
      <c r="F24">
        <f>IF(E24="";"";E24/100*XLOOKUP(XLOOKUP(C24;Portions!$A:$A;Portions!$B:$B);FoodItems!$A:$A;FoodItems!$B:$B))</f>
        <v/>
      </c>
      <c r="G24">
        <f>IF(E24="";"";E24/100*XLOOKUP(XLOOKUP(C24;Portions!$A:$A;Portions!$B:$B);FoodItems!$A:$A;FoodItems!$C:$C))</f>
        <v/>
      </c>
      <c r="H24">
        <f>IF(E24="";"";E24/100*XLOOKUP(XLOOKUP(C24;Portions!$A:$A;Portions!$B:$B);FoodItems!$A:$A;FoodItems!$D:$D))</f>
        <v/>
      </c>
      <c r="I24">
        <f>IF(E24="";"";E24/100*XLOOKUP(XLOOKUP(C24;Portions!$A:$A;Portions!$B:$B);FoodItems!$A:$A;FoodItems!$E:$E))</f>
        <v/>
      </c>
    </row>
    <row r="25">
      <c r="E25">
        <f>IF(C25="";"";D25*XLOOKUP(C25;Portions!$A:$A;Portions!$D:$D))</f>
        <v/>
      </c>
      <c r="F25">
        <f>IF(E25="";"";E25/100*XLOOKUP(XLOOKUP(C25;Portions!$A:$A;Portions!$B:$B);FoodItems!$A:$A;FoodItems!$B:$B))</f>
        <v/>
      </c>
      <c r="G25">
        <f>IF(E25="";"";E25/100*XLOOKUP(XLOOKUP(C25;Portions!$A:$A;Portions!$B:$B);FoodItems!$A:$A;FoodItems!$C:$C))</f>
        <v/>
      </c>
      <c r="H25">
        <f>IF(E25="";"";E25/100*XLOOKUP(XLOOKUP(C25;Portions!$A:$A;Portions!$B:$B);FoodItems!$A:$A;FoodItems!$D:$D))</f>
        <v/>
      </c>
      <c r="I25">
        <f>IF(E25="";"";E25/100*XLOOKUP(XLOOKUP(C25;Portions!$A:$A;Portions!$B:$B);FoodItems!$A:$A;FoodItems!$E:$E))</f>
        <v/>
      </c>
    </row>
    <row r="26">
      <c r="E26">
        <f>IF(C26="";"";D26*XLOOKUP(C26;Portions!$A:$A;Portions!$D:$D))</f>
        <v/>
      </c>
      <c r="F26">
        <f>IF(E26="";"";E26/100*XLOOKUP(XLOOKUP(C26;Portions!$A:$A;Portions!$B:$B);FoodItems!$A:$A;FoodItems!$B:$B))</f>
        <v/>
      </c>
      <c r="G26">
        <f>IF(E26="";"";E26/100*XLOOKUP(XLOOKUP(C26;Portions!$A:$A;Portions!$B:$B);FoodItems!$A:$A;FoodItems!$C:$C))</f>
        <v/>
      </c>
      <c r="H26">
        <f>IF(E26="";"";E26/100*XLOOKUP(XLOOKUP(C26;Portions!$A:$A;Portions!$B:$B);FoodItems!$A:$A;FoodItems!$D:$D))</f>
        <v/>
      </c>
      <c r="I26">
        <f>IF(E26="";"";E26/100*XLOOKUP(XLOOKUP(C26;Portions!$A:$A;Portions!$B:$B);FoodItems!$A:$A;FoodItems!$E:$E))</f>
        <v/>
      </c>
    </row>
    <row r="27">
      <c r="E27">
        <f>IF(C27="";"";D27*XLOOKUP(C27;Portions!$A:$A;Portions!$D:$D))</f>
        <v/>
      </c>
      <c r="F27">
        <f>IF(E27="";"";E27/100*XLOOKUP(XLOOKUP(C27;Portions!$A:$A;Portions!$B:$B);FoodItems!$A:$A;FoodItems!$B:$B))</f>
        <v/>
      </c>
      <c r="G27">
        <f>IF(E27="";"";E27/100*XLOOKUP(XLOOKUP(C27;Portions!$A:$A;Portions!$B:$B);FoodItems!$A:$A;FoodItems!$C:$C))</f>
        <v/>
      </c>
      <c r="H27">
        <f>IF(E27="";"";E27/100*XLOOKUP(XLOOKUP(C27;Portions!$A:$A;Portions!$B:$B);FoodItems!$A:$A;FoodItems!$D:$D))</f>
        <v/>
      </c>
      <c r="I27">
        <f>IF(E27="";"";E27/100*XLOOKUP(XLOOKUP(C27;Portions!$A:$A;Portions!$B:$B);FoodItems!$A:$A;FoodItems!$E:$E))</f>
        <v/>
      </c>
    </row>
    <row r="28">
      <c r="E28">
        <f>IF(C28="";"";D28*XLOOKUP(C28;Portions!$A:$A;Portions!$D:$D))</f>
        <v/>
      </c>
      <c r="F28">
        <f>IF(E28="";"";E28/100*XLOOKUP(XLOOKUP(C28;Portions!$A:$A;Portions!$B:$B);FoodItems!$A:$A;FoodItems!$B:$B))</f>
        <v/>
      </c>
      <c r="G28">
        <f>IF(E28="";"";E28/100*XLOOKUP(XLOOKUP(C28;Portions!$A:$A;Portions!$B:$B);FoodItems!$A:$A;FoodItems!$C:$C))</f>
        <v/>
      </c>
      <c r="H28">
        <f>IF(E28="";"";E28/100*XLOOKUP(XLOOKUP(C28;Portions!$A:$A;Portions!$B:$B);FoodItems!$A:$A;FoodItems!$D:$D))</f>
        <v/>
      </c>
      <c r="I28">
        <f>IF(E28="";"";E28/100*XLOOKUP(XLOOKUP(C28;Portions!$A:$A;Portions!$B:$B);FoodItems!$A:$A;FoodItems!$E:$E))</f>
        <v/>
      </c>
    </row>
    <row r="29">
      <c r="E29">
        <f>IF(C29="";"";D29*XLOOKUP(C29;Portions!$A:$A;Portions!$D:$D))</f>
        <v/>
      </c>
      <c r="F29">
        <f>IF(E29="";"";E29/100*XLOOKUP(XLOOKUP(C29;Portions!$A:$A;Portions!$B:$B);FoodItems!$A:$A;FoodItems!$B:$B))</f>
        <v/>
      </c>
      <c r="G29">
        <f>IF(E29="";"";E29/100*XLOOKUP(XLOOKUP(C29;Portions!$A:$A;Portions!$B:$B);FoodItems!$A:$A;FoodItems!$C:$C))</f>
        <v/>
      </c>
      <c r="H29">
        <f>IF(E29="";"";E29/100*XLOOKUP(XLOOKUP(C29;Portions!$A:$A;Portions!$B:$B);FoodItems!$A:$A;FoodItems!$D:$D))</f>
        <v/>
      </c>
      <c r="I29">
        <f>IF(E29="";"";E29/100*XLOOKUP(XLOOKUP(C29;Portions!$A:$A;Portions!$B:$B);FoodItems!$A:$A;FoodItems!$E:$E))</f>
        <v/>
      </c>
    </row>
    <row r="30">
      <c r="E30">
        <f>IF(C30="";"";D30*XLOOKUP(C30;Portions!$A:$A;Portions!$D:$D))</f>
        <v/>
      </c>
      <c r="F30">
        <f>IF(E30="";"";E30/100*XLOOKUP(XLOOKUP(C30;Portions!$A:$A;Portions!$B:$B);FoodItems!$A:$A;FoodItems!$B:$B))</f>
        <v/>
      </c>
      <c r="G30">
        <f>IF(E30="";"";E30/100*XLOOKUP(XLOOKUP(C30;Portions!$A:$A;Portions!$B:$B);FoodItems!$A:$A;FoodItems!$C:$C))</f>
        <v/>
      </c>
      <c r="H30">
        <f>IF(E30="";"";E30/100*XLOOKUP(XLOOKUP(C30;Portions!$A:$A;Portions!$B:$B);FoodItems!$A:$A;FoodItems!$D:$D))</f>
        <v/>
      </c>
      <c r="I30">
        <f>IF(E30="";"";E30/100*XLOOKUP(XLOOKUP(C30;Portions!$A:$A;Portions!$B:$B);FoodItems!$A:$A;FoodItems!$E:$E))</f>
        <v/>
      </c>
    </row>
    <row r="31">
      <c r="E31">
        <f>IF(C31="";"";D31*XLOOKUP(C31;Portions!$A:$A;Portions!$D:$D))</f>
        <v/>
      </c>
      <c r="F31">
        <f>IF(E31="";"";E31/100*XLOOKUP(XLOOKUP(C31;Portions!$A:$A;Portions!$B:$B);FoodItems!$A:$A;FoodItems!$B:$B))</f>
        <v/>
      </c>
      <c r="G31">
        <f>IF(E31="";"";E31/100*XLOOKUP(XLOOKUP(C31;Portions!$A:$A;Portions!$B:$B);FoodItems!$A:$A;FoodItems!$C:$C))</f>
        <v/>
      </c>
      <c r="H31">
        <f>IF(E31="";"";E31/100*XLOOKUP(XLOOKUP(C31;Portions!$A:$A;Portions!$B:$B);FoodItems!$A:$A;FoodItems!$D:$D))</f>
        <v/>
      </c>
      <c r="I31">
        <f>IF(E31="";"";E31/100*XLOOKUP(XLOOKUP(C31;Portions!$A:$A;Portions!$B:$B);FoodItems!$A:$A;FoodItems!$E:$E))</f>
        <v/>
      </c>
    </row>
    <row r="32">
      <c r="E32">
        <f>IF(C32="";"";D32*XLOOKUP(C32;Portions!$A:$A;Portions!$D:$D))</f>
        <v/>
      </c>
      <c r="F32">
        <f>IF(E32="";"";E32/100*XLOOKUP(XLOOKUP(C32;Portions!$A:$A;Portions!$B:$B);FoodItems!$A:$A;FoodItems!$B:$B))</f>
        <v/>
      </c>
      <c r="G32">
        <f>IF(E32="";"";E32/100*XLOOKUP(XLOOKUP(C32;Portions!$A:$A;Portions!$B:$B);FoodItems!$A:$A;FoodItems!$C:$C))</f>
        <v/>
      </c>
      <c r="H32">
        <f>IF(E32="";"";E32/100*XLOOKUP(XLOOKUP(C32;Portions!$A:$A;Portions!$B:$B);FoodItems!$A:$A;FoodItems!$D:$D))</f>
        <v/>
      </c>
      <c r="I32">
        <f>IF(E32="";"";E32/100*XLOOKUP(XLOOKUP(C32;Portions!$A:$A;Portions!$B:$B);FoodItems!$A:$A;FoodItems!$E:$E))</f>
        <v/>
      </c>
    </row>
    <row r="33">
      <c r="E33">
        <f>IF(C33="";"";D33*XLOOKUP(C33;Portions!$A:$A;Portions!$D:$D))</f>
        <v/>
      </c>
      <c r="F33">
        <f>IF(E33="";"";E33/100*XLOOKUP(XLOOKUP(C33;Portions!$A:$A;Portions!$B:$B);FoodItems!$A:$A;FoodItems!$B:$B))</f>
        <v/>
      </c>
      <c r="G33">
        <f>IF(E33="";"";E33/100*XLOOKUP(XLOOKUP(C33;Portions!$A:$A;Portions!$B:$B);FoodItems!$A:$A;FoodItems!$C:$C))</f>
        <v/>
      </c>
      <c r="H33">
        <f>IF(E33="";"";E33/100*XLOOKUP(XLOOKUP(C33;Portions!$A:$A;Portions!$B:$B);FoodItems!$A:$A;FoodItems!$D:$D))</f>
        <v/>
      </c>
      <c r="I33">
        <f>IF(E33="";"";E33/100*XLOOKUP(XLOOKUP(C33;Portions!$A:$A;Portions!$B:$B);FoodItems!$A:$A;FoodItems!$E:$E))</f>
        <v/>
      </c>
    </row>
    <row r="34">
      <c r="E34">
        <f>IF(C34="";"";D34*XLOOKUP(C34;Portions!$A:$A;Portions!$D:$D))</f>
        <v/>
      </c>
      <c r="F34">
        <f>IF(E34="";"";E34/100*XLOOKUP(XLOOKUP(C34;Portions!$A:$A;Portions!$B:$B);FoodItems!$A:$A;FoodItems!$B:$B))</f>
        <v/>
      </c>
      <c r="G34">
        <f>IF(E34="";"";E34/100*XLOOKUP(XLOOKUP(C34;Portions!$A:$A;Portions!$B:$B);FoodItems!$A:$A;FoodItems!$C:$C))</f>
        <v/>
      </c>
      <c r="H34">
        <f>IF(E34="";"";E34/100*XLOOKUP(XLOOKUP(C34;Portions!$A:$A;Portions!$B:$B);FoodItems!$A:$A;FoodItems!$D:$D))</f>
        <v/>
      </c>
      <c r="I34">
        <f>IF(E34="";"";E34/100*XLOOKUP(XLOOKUP(C34;Portions!$A:$A;Portions!$B:$B);FoodItems!$A:$A;FoodItems!$E:$E))</f>
        <v/>
      </c>
    </row>
    <row r="35">
      <c r="E35">
        <f>IF(C35="";"";D35*XLOOKUP(C35;Portions!$A:$A;Portions!$D:$D))</f>
        <v/>
      </c>
      <c r="F35">
        <f>IF(E35="";"";E35/100*XLOOKUP(XLOOKUP(C35;Portions!$A:$A;Portions!$B:$B);FoodItems!$A:$A;FoodItems!$B:$B))</f>
        <v/>
      </c>
      <c r="G35">
        <f>IF(E35="";"";E35/100*XLOOKUP(XLOOKUP(C35;Portions!$A:$A;Portions!$B:$B);FoodItems!$A:$A;FoodItems!$C:$C))</f>
        <v/>
      </c>
      <c r="H35">
        <f>IF(E35="";"";E35/100*XLOOKUP(XLOOKUP(C35;Portions!$A:$A;Portions!$B:$B);FoodItems!$A:$A;FoodItems!$D:$D))</f>
        <v/>
      </c>
      <c r="I35">
        <f>IF(E35="";"";E35/100*XLOOKUP(XLOOKUP(C35;Portions!$A:$A;Portions!$B:$B);FoodItems!$A:$A;FoodItems!$E:$E))</f>
        <v/>
      </c>
    </row>
    <row r="36">
      <c r="E36">
        <f>IF(C36="";"";D36*XLOOKUP(C36;Portions!$A:$A;Portions!$D:$D))</f>
        <v/>
      </c>
      <c r="F36">
        <f>IF(E36="";"";E36/100*XLOOKUP(XLOOKUP(C36;Portions!$A:$A;Portions!$B:$B);FoodItems!$A:$A;FoodItems!$B:$B))</f>
        <v/>
      </c>
      <c r="G36">
        <f>IF(E36="";"";E36/100*XLOOKUP(XLOOKUP(C36;Portions!$A:$A;Portions!$B:$B);FoodItems!$A:$A;FoodItems!$C:$C))</f>
        <v/>
      </c>
      <c r="H36">
        <f>IF(E36="";"";E36/100*XLOOKUP(XLOOKUP(C36;Portions!$A:$A;Portions!$B:$B);FoodItems!$A:$A;FoodItems!$D:$D))</f>
        <v/>
      </c>
      <c r="I36">
        <f>IF(E36="";"";E36/100*XLOOKUP(XLOOKUP(C36;Portions!$A:$A;Portions!$B:$B);FoodItems!$A:$A;FoodItems!$E:$E))</f>
        <v/>
      </c>
    </row>
    <row r="37">
      <c r="E37">
        <f>IF(C37="";"";D37*XLOOKUP(C37;Portions!$A:$A;Portions!$D:$D))</f>
        <v/>
      </c>
      <c r="F37">
        <f>IF(E37="";"";E37/100*XLOOKUP(XLOOKUP(C37;Portions!$A:$A;Portions!$B:$B);FoodItems!$A:$A;FoodItems!$B:$B))</f>
        <v/>
      </c>
      <c r="G37">
        <f>IF(E37="";"";E37/100*XLOOKUP(XLOOKUP(C37;Portions!$A:$A;Portions!$B:$B);FoodItems!$A:$A;FoodItems!$C:$C))</f>
        <v/>
      </c>
      <c r="H37">
        <f>IF(E37="";"";E37/100*XLOOKUP(XLOOKUP(C37;Portions!$A:$A;Portions!$B:$B);FoodItems!$A:$A;FoodItems!$D:$D))</f>
        <v/>
      </c>
      <c r="I37">
        <f>IF(E37="";"";E37/100*XLOOKUP(XLOOKUP(C37;Portions!$A:$A;Portions!$B:$B);FoodItems!$A:$A;FoodItems!$E:$E))</f>
        <v/>
      </c>
    </row>
    <row r="38">
      <c r="E38">
        <f>IF(C38="";"";D38*XLOOKUP(C38;Portions!$A:$A;Portions!$D:$D))</f>
        <v/>
      </c>
      <c r="F38">
        <f>IF(E38="";"";E38/100*XLOOKUP(XLOOKUP(C38;Portions!$A:$A;Portions!$B:$B);FoodItems!$A:$A;FoodItems!$B:$B))</f>
        <v/>
      </c>
      <c r="G38">
        <f>IF(E38="";"";E38/100*XLOOKUP(XLOOKUP(C38;Portions!$A:$A;Portions!$B:$B);FoodItems!$A:$A;FoodItems!$C:$C))</f>
        <v/>
      </c>
      <c r="H38">
        <f>IF(E38="";"";E38/100*XLOOKUP(XLOOKUP(C38;Portions!$A:$A;Portions!$B:$B);FoodItems!$A:$A;FoodItems!$D:$D))</f>
        <v/>
      </c>
      <c r="I38">
        <f>IF(E38="";"";E38/100*XLOOKUP(XLOOKUP(C38;Portions!$A:$A;Portions!$B:$B);FoodItems!$A:$A;FoodItems!$E:$E))</f>
        <v/>
      </c>
    </row>
    <row r="39">
      <c r="E39">
        <f>IF(C39="";"";D39*XLOOKUP(C39;Portions!$A:$A;Portions!$D:$D))</f>
        <v/>
      </c>
      <c r="F39">
        <f>IF(E39="";"";E39/100*XLOOKUP(XLOOKUP(C39;Portions!$A:$A;Portions!$B:$B);FoodItems!$A:$A;FoodItems!$B:$B))</f>
        <v/>
      </c>
      <c r="G39">
        <f>IF(E39="";"";E39/100*XLOOKUP(XLOOKUP(C39;Portions!$A:$A;Portions!$B:$B);FoodItems!$A:$A;FoodItems!$C:$C))</f>
        <v/>
      </c>
      <c r="H39">
        <f>IF(E39="";"";E39/100*XLOOKUP(XLOOKUP(C39;Portions!$A:$A;Portions!$B:$B);FoodItems!$A:$A;FoodItems!$D:$D))</f>
        <v/>
      </c>
      <c r="I39">
        <f>IF(E39="";"";E39/100*XLOOKUP(XLOOKUP(C39;Portions!$A:$A;Portions!$B:$B);FoodItems!$A:$A;FoodItems!$E:$E))</f>
        <v/>
      </c>
    </row>
    <row r="40">
      <c r="E40">
        <f>IF(C40="";"";D40*XLOOKUP(C40;Portions!$A:$A;Portions!$D:$D))</f>
        <v/>
      </c>
      <c r="F40">
        <f>IF(E40="";"";E40/100*XLOOKUP(XLOOKUP(C40;Portions!$A:$A;Portions!$B:$B);FoodItems!$A:$A;FoodItems!$B:$B))</f>
        <v/>
      </c>
      <c r="G40">
        <f>IF(E40="";"";E40/100*XLOOKUP(XLOOKUP(C40;Portions!$A:$A;Portions!$B:$B);FoodItems!$A:$A;FoodItems!$C:$C))</f>
        <v/>
      </c>
      <c r="H40">
        <f>IF(E40="";"";E40/100*XLOOKUP(XLOOKUP(C40;Portions!$A:$A;Portions!$B:$B);FoodItems!$A:$A;FoodItems!$D:$D))</f>
        <v/>
      </c>
      <c r="I40">
        <f>IF(E40="";"";E40/100*XLOOKUP(XLOOKUP(C40;Portions!$A:$A;Portions!$B:$B);FoodItems!$A:$A;FoodItems!$E:$E))</f>
        <v/>
      </c>
    </row>
    <row r="41">
      <c r="E41">
        <f>IF(C41="";"";D41*XLOOKUP(C41;Portions!$A:$A;Portions!$D:$D))</f>
        <v/>
      </c>
      <c r="F41">
        <f>IF(E41="";"";E41/100*XLOOKUP(XLOOKUP(C41;Portions!$A:$A;Portions!$B:$B);FoodItems!$A:$A;FoodItems!$B:$B))</f>
        <v/>
      </c>
      <c r="G41">
        <f>IF(E41="";"";E41/100*XLOOKUP(XLOOKUP(C41;Portions!$A:$A;Portions!$B:$B);FoodItems!$A:$A;FoodItems!$C:$C))</f>
        <v/>
      </c>
      <c r="H41">
        <f>IF(E41="";"";E41/100*XLOOKUP(XLOOKUP(C41;Portions!$A:$A;Portions!$B:$B);FoodItems!$A:$A;FoodItems!$D:$D))</f>
        <v/>
      </c>
      <c r="I41">
        <f>IF(E41="";"";E41/100*XLOOKUP(XLOOKUP(C41;Portions!$A:$A;Portions!$B:$B);FoodItems!$A:$A;FoodItems!$E:$E))</f>
        <v/>
      </c>
    </row>
    <row r="42">
      <c r="E42">
        <f>IF(C42="";"";D42*XLOOKUP(C42;Portions!$A:$A;Portions!$D:$D))</f>
        <v/>
      </c>
      <c r="F42">
        <f>IF(E42="";"";E42/100*XLOOKUP(XLOOKUP(C42;Portions!$A:$A;Portions!$B:$B);FoodItems!$A:$A;FoodItems!$B:$B))</f>
        <v/>
      </c>
      <c r="G42">
        <f>IF(E42="";"";E42/100*XLOOKUP(XLOOKUP(C42;Portions!$A:$A;Portions!$B:$B);FoodItems!$A:$A;FoodItems!$C:$C))</f>
        <v/>
      </c>
      <c r="H42">
        <f>IF(E42="";"";E42/100*XLOOKUP(XLOOKUP(C42;Portions!$A:$A;Portions!$B:$B);FoodItems!$A:$A;FoodItems!$D:$D))</f>
        <v/>
      </c>
      <c r="I42">
        <f>IF(E42="";"";E42/100*XLOOKUP(XLOOKUP(C42;Portions!$A:$A;Portions!$B:$B);FoodItems!$A:$A;FoodItems!$E:$E))</f>
        <v/>
      </c>
    </row>
    <row r="43">
      <c r="E43">
        <f>IF(C43="";"";D43*XLOOKUP(C43;Portions!$A:$A;Portions!$D:$D))</f>
        <v/>
      </c>
      <c r="F43">
        <f>IF(E43="";"";E43/100*XLOOKUP(XLOOKUP(C43;Portions!$A:$A;Portions!$B:$B);FoodItems!$A:$A;FoodItems!$B:$B))</f>
        <v/>
      </c>
      <c r="G43">
        <f>IF(E43="";"";E43/100*XLOOKUP(XLOOKUP(C43;Portions!$A:$A;Portions!$B:$B);FoodItems!$A:$A;FoodItems!$C:$C))</f>
        <v/>
      </c>
      <c r="H43">
        <f>IF(E43="";"";E43/100*XLOOKUP(XLOOKUP(C43;Portions!$A:$A;Portions!$B:$B);FoodItems!$A:$A;FoodItems!$D:$D))</f>
        <v/>
      </c>
      <c r="I43">
        <f>IF(E43="";"";E43/100*XLOOKUP(XLOOKUP(C43;Portions!$A:$A;Portions!$B:$B);FoodItems!$A:$A;FoodItems!$E:$E))</f>
        <v/>
      </c>
    </row>
    <row r="44">
      <c r="E44">
        <f>IF(C44="";"";D44*XLOOKUP(C44;Portions!$A:$A;Portions!$D:$D))</f>
        <v/>
      </c>
      <c r="F44">
        <f>IF(E44="";"";E44/100*XLOOKUP(XLOOKUP(C44;Portions!$A:$A;Portions!$B:$B);FoodItems!$A:$A;FoodItems!$B:$B))</f>
        <v/>
      </c>
      <c r="G44">
        <f>IF(E44="";"";E44/100*XLOOKUP(XLOOKUP(C44;Portions!$A:$A;Portions!$B:$B);FoodItems!$A:$A;FoodItems!$C:$C))</f>
        <v/>
      </c>
      <c r="H44">
        <f>IF(E44="";"";E44/100*XLOOKUP(XLOOKUP(C44;Portions!$A:$A;Portions!$B:$B);FoodItems!$A:$A;FoodItems!$D:$D))</f>
        <v/>
      </c>
      <c r="I44">
        <f>IF(E44="";"";E44/100*XLOOKUP(XLOOKUP(C44;Portions!$A:$A;Portions!$B:$B);FoodItems!$A:$A;FoodItems!$E:$E))</f>
        <v/>
      </c>
    </row>
    <row r="45">
      <c r="E45">
        <f>IF(C45="";"";D45*XLOOKUP(C45;Portions!$A:$A;Portions!$D:$D))</f>
        <v/>
      </c>
      <c r="F45">
        <f>IF(E45="";"";E45/100*XLOOKUP(XLOOKUP(C45;Portions!$A:$A;Portions!$B:$B);FoodItems!$A:$A;FoodItems!$B:$B))</f>
        <v/>
      </c>
      <c r="G45">
        <f>IF(E45="";"";E45/100*XLOOKUP(XLOOKUP(C45;Portions!$A:$A;Portions!$B:$B);FoodItems!$A:$A;FoodItems!$C:$C))</f>
        <v/>
      </c>
      <c r="H45">
        <f>IF(E45="";"";E45/100*XLOOKUP(XLOOKUP(C45;Portions!$A:$A;Portions!$B:$B);FoodItems!$A:$A;FoodItems!$D:$D))</f>
        <v/>
      </c>
      <c r="I45">
        <f>IF(E45="";"";E45/100*XLOOKUP(XLOOKUP(C45;Portions!$A:$A;Portions!$B:$B);FoodItems!$A:$A;FoodItems!$E:$E))</f>
        <v/>
      </c>
    </row>
    <row r="46">
      <c r="E46">
        <f>IF(C46="";"";D46*XLOOKUP(C46;Portions!$A:$A;Portions!$D:$D))</f>
        <v/>
      </c>
      <c r="F46">
        <f>IF(E46="";"";E46/100*XLOOKUP(XLOOKUP(C46;Portions!$A:$A;Portions!$B:$B);FoodItems!$A:$A;FoodItems!$B:$B))</f>
        <v/>
      </c>
      <c r="G46">
        <f>IF(E46="";"";E46/100*XLOOKUP(XLOOKUP(C46;Portions!$A:$A;Portions!$B:$B);FoodItems!$A:$A;FoodItems!$C:$C))</f>
        <v/>
      </c>
      <c r="H46">
        <f>IF(E46="";"";E46/100*XLOOKUP(XLOOKUP(C46;Portions!$A:$A;Portions!$B:$B);FoodItems!$A:$A;FoodItems!$D:$D))</f>
        <v/>
      </c>
      <c r="I46">
        <f>IF(E46="";"";E46/100*XLOOKUP(XLOOKUP(C46;Portions!$A:$A;Portions!$B:$B);FoodItems!$A:$A;FoodItems!$E:$E))</f>
        <v/>
      </c>
    </row>
    <row r="47">
      <c r="E47">
        <f>IF(C47="";"";D47*XLOOKUP(C47;Portions!$A:$A;Portions!$D:$D))</f>
        <v/>
      </c>
      <c r="F47">
        <f>IF(E47="";"";E47/100*XLOOKUP(XLOOKUP(C47;Portions!$A:$A;Portions!$B:$B);FoodItems!$A:$A;FoodItems!$B:$B))</f>
        <v/>
      </c>
      <c r="G47">
        <f>IF(E47="";"";E47/100*XLOOKUP(XLOOKUP(C47;Portions!$A:$A;Portions!$B:$B);FoodItems!$A:$A;FoodItems!$C:$C))</f>
        <v/>
      </c>
      <c r="H47">
        <f>IF(E47="";"";E47/100*XLOOKUP(XLOOKUP(C47;Portions!$A:$A;Portions!$B:$B);FoodItems!$A:$A;FoodItems!$D:$D))</f>
        <v/>
      </c>
      <c r="I47">
        <f>IF(E47="";"";E47/100*XLOOKUP(XLOOKUP(C47;Portions!$A:$A;Portions!$B:$B);FoodItems!$A:$A;FoodItems!$E:$E))</f>
        <v/>
      </c>
    </row>
    <row r="48">
      <c r="E48">
        <f>IF(C48="";"";D48*XLOOKUP(C48;Portions!$A:$A;Portions!$D:$D))</f>
        <v/>
      </c>
      <c r="F48">
        <f>IF(E48="";"";E48/100*XLOOKUP(XLOOKUP(C48;Portions!$A:$A;Portions!$B:$B);FoodItems!$A:$A;FoodItems!$B:$B))</f>
        <v/>
      </c>
      <c r="G48">
        <f>IF(E48="";"";E48/100*XLOOKUP(XLOOKUP(C48;Portions!$A:$A;Portions!$B:$B);FoodItems!$A:$A;FoodItems!$C:$C))</f>
        <v/>
      </c>
      <c r="H48">
        <f>IF(E48="";"";E48/100*XLOOKUP(XLOOKUP(C48;Portions!$A:$A;Portions!$B:$B);FoodItems!$A:$A;FoodItems!$D:$D))</f>
        <v/>
      </c>
      <c r="I48">
        <f>IF(E48="";"";E48/100*XLOOKUP(XLOOKUP(C48;Portions!$A:$A;Portions!$B:$B);FoodItems!$A:$A;FoodItems!$E:$E))</f>
        <v/>
      </c>
    </row>
    <row r="49">
      <c r="E49">
        <f>IF(C49="";"";D49*XLOOKUP(C49;Portions!$A:$A;Portions!$D:$D))</f>
        <v/>
      </c>
      <c r="F49">
        <f>IF(E49="";"";E49/100*XLOOKUP(XLOOKUP(C49;Portions!$A:$A;Portions!$B:$B);FoodItems!$A:$A;FoodItems!$B:$B))</f>
        <v/>
      </c>
      <c r="G49">
        <f>IF(E49="";"";E49/100*XLOOKUP(XLOOKUP(C49;Portions!$A:$A;Portions!$B:$B);FoodItems!$A:$A;FoodItems!$C:$C))</f>
        <v/>
      </c>
      <c r="H49">
        <f>IF(E49="";"";E49/100*XLOOKUP(XLOOKUP(C49;Portions!$A:$A;Portions!$B:$B);FoodItems!$A:$A;FoodItems!$D:$D))</f>
        <v/>
      </c>
      <c r="I49">
        <f>IF(E49="";"";E49/100*XLOOKUP(XLOOKUP(C49;Portions!$A:$A;Portions!$B:$B);FoodItems!$A:$A;FoodItems!$E:$E))</f>
        <v/>
      </c>
    </row>
    <row r="50">
      <c r="E50">
        <f>IF(C50="";"";D50*XLOOKUP(C50;Portions!$A:$A;Portions!$D:$D))</f>
        <v/>
      </c>
      <c r="F50">
        <f>IF(E50="";"";E50/100*XLOOKUP(XLOOKUP(C50;Portions!$A:$A;Portions!$B:$B);FoodItems!$A:$A;FoodItems!$B:$B))</f>
        <v/>
      </c>
      <c r="G50">
        <f>IF(E50="";"";E50/100*XLOOKUP(XLOOKUP(C50;Portions!$A:$A;Portions!$B:$B);FoodItems!$A:$A;FoodItems!$C:$C))</f>
        <v/>
      </c>
      <c r="H50">
        <f>IF(E50="";"";E50/100*XLOOKUP(XLOOKUP(C50;Portions!$A:$A;Portions!$B:$B);FoodItems!$A:$A;FoodItems!$D:$D))</f>
        <v/>
      </c>
      <c r="I50">
        <f>IF(E50="";"";E50/100*XLOOKUP(XLOOKUP(C50;Portions!$A:$A;Portions!$B:$B);FoodItems!$A:$A;FoodItems!$E:$E))</f>
        <v/>
      </c>
    </row>
    <row r="51">
      <c r="E51">
        <f>IF(C51="";"";D51*XLOOKUP(C51;Portions!$A:$A;Portions!$D:$D))</f>
        <v/>
      </c>
      <c r="F51">
        <f>IF(E51="";"";E51/100*XLOOKUP(XLOOKUP(C51;Portions!$A:$A;Portions!$B:$B);FoodItems!$A:$A;FoodItems!$B:$B))</f>
        <v/>
      </c>
      <c r="G51">
        <f>IF(E51="";"";E51/100*XLOOKUP(XLOOKUP(C51;Portions!$A:$A;Portions!$B:$B);FoodItems!$A:$A;FoodItems!$C:$C))</f>
        <v/>
      </c>
      <c r="H51">
        <f>IF(E51="";"";E51/100*XLOOKUP(XLOOKUP(C51;Portions!$A:$A;Portions!$B:$B);FoodItems!$A:$A;FoodItems!$D:$D))</f>
        <v/>
      </c>
      <c r="I51">
        <f>IF(E51="";"";E51/100*XLOOKUP(XLOOKUP(C51;Portions!$A:$A;Portions!$B:$B);FoodItems!$A:$A;FoodItems!$E:$E))</f>
        <v/>
      </c>
    </row>
    <row r="52">
      <c r="E52">
        <f>IF(C52="";"";D52*XLOOKUP(C52;Portions!$A:$A;Portions!$D:$D))</f>
        <v/>
      </c>
      <c r="F52">
        <f>IF(E52="";"";E52/100*XLOOKUP(XLOOKUP(C52;Portions!$A:$A;Portions!$B:$B);FoodItems!$A:$A;FoodItems!$B:$B))</f>
        <v/>
      </c>
      <c r="G52">
        <f>IF(E52="";"";E52/100*XLOOKUP(XLOOKUP(C52;Portions!$A:$A;Portions!$B:$B);FoodItems!$A:$A;FoodItems!$C:$C))</f>
        <v/>
      </c>
      <c r="H52">
        <f>IF(E52="";"";E52/100*XLOOKUP(XLOOKUP(C52;Portions!$A:$A;Portions!$B:$B);FoodItems!$A:$A;FoodItems!$D:$D))</f>
        <v/>
      </c>
      <c r="I52">
        <f>IF(E52="";"";E52/100*XLOOKUP(XLOOKUP(C52;Portions!$A:$A;Portions!$B:$B);FoodItems!$A:$A;FoodItems!$E:$E))</f>
        <v/>
      </c>
    </row>
    <row r="53">
      <c r="E53">
        <f>IF(C53="";"";D53*XLOOKUP(C53;Portions!$A:$A;Portions!$D:$D))</f>
        <v/>
      </c>
      <c r="F53">
        <f>IF(E53="";"";E53/100*XLOOKUP(XLOOKUP(C53;Portions!$A:$A;Portions!$B:$B);FoodItems!$A:$A;FoodItems!$B:$B))</f>
        <v/>
      </c>
      <c r="G53">
        <f>IF(E53="";"";E53/100*XLOOKUP(XLOOKUP(C53;Portions!$A:$A;Portions!$B:$B);FoodItems!$A:$A;FoodItems!$C:$C))</f>
        <v/>
      </c>
      <c r="H53">
        <f>IF(E53="";"";E53/100*XLOOKUP(XLOOKUP(C53;Portions!$A:$A;Portions!$B:$B);FoodItems!$A:$A;FoodItems!$D:$D))</f>
        <v/>
      </c>
      <c r="I53">
        <f>IF(E53="";"";E53/100*XLOOKUP(XLOOKUP(C53;Portions!$A:$A;Portions!$B:$B);FoodItems!$A:$A;FoodItems!$E:$E))</f>
        <v/>
      </c>
    </row>
    <row r="54">
      <c r="E54">
        <f>IF(C54="";"";D54*XLOOKUP(C54;Portions!$A:$A;Portions!$D:$D))</f>
        <v/>
      </c>
      <c r="F54">
        <f>IF(E54="";"";E54/100*XLOOKUP(XLOOKUP(C54;Portions!$A:$A;Portions!$B:$B);FoodItems!$A:$A;FoodItems!$B:$B))</f>
        <v/>
      </c>
      <c r="G54">
        <f>IF(E54="";"";E54/100*XLOOKUP(XLOOKUP(C54;Portions!$A:$A;Portions!$B:$B);FoodItems!$A:$A;FoodItems!$C:$C))</f>
        <v/>
      </c>
      <c r="H54">
        <f>IF(E54="";"";E54/100*XLOOKUP(XLOOKUP(C54;Portions!$A:$A;Portions!$B:$B);FoodItems!$A:$A;FoodItems!$D:$D))</f>
        <v/>
      </c>
      <c r="I54">
        <f>IF(E54="";"";E54/100*XLOOKUP(XLOOKUP(C54;Portions!$A:$A;Portions!$B:$B);FoodItems!$A:$A;FoodItems!$E:$E))</f>
        <v/>
      </c>
    </row>
    <row r="55">
      <c r="E55">
        <f>IF(C55="";"";D55*XLOOKUP(C55;Portions!$A:$A;Portions!$D:$D))</f>
        <v/>
      </c>
      <c r="F55">
        <f>IF(E55="";"";E55/100*XLOOKUP(XLOOKUP(C55;Portions!$A:$A;Portions!$B:$B);FoodItems!$A:$A;FoodItems!$B:$B))</f>
        <v/>
      </c>
      <c r="G55">
        <f>IF(E55="";"";E55/100*XLOOKUP(XLOOKUP(C55;Portions!$A:$A;Portions!$B:$B);FoodItems!$A:$A;FoodItems!$C:$C))</f>
        <v/>
      </c>
      <c r="H55">
        <f>IF(E55="";"";E55/100*XLOOKUP(XLOOKUP(C55;Portions!$A:$A;Portions!$B:$B);FoodItems!$A:$A;FoodItems!$D:$D))</f>
        <v/>
      </c>
      <c r="I55">
        <f>IF(E55="";"";E55/100*XLOOKUP(XLOOKUP(C55;Portions!$A:$A;Portions!$B:$B);FoodItems!$A:$A;FoodItems!$E:$E))</f>
        <v/>
      </c>
    </row>
    <row r="56">
      <c r="E56">
        <f>IF(C56="";"";D56*XLOOKUP(C56;Portions!$A:$A;Portions!$D:$D))</f>
        <v/>
      </c>
      <c r="F56">
        <f>IF(E56="";"";E56/100*XLOOKUP(XLOOKUP(C56;Portions!$A:$A;Portions!$B:$B);FoodItems!$A:$A;FoodItems!$B:$B))</f>
        <v/>
      </c>
      <c r="G56">
        <f>IF(E56="";"";E56/100*XLOOKUP(XLOOKUP(C56;Portions!$A:$A;Portions!$B:$B);FoodItems!$A:$A;FoodItems!$C:$C))</f>
        <v/>
      </c>
      <c r="H56">
        <f>IF(E56="";"";E56/100*XLOOKUP(XLOOKUP(C56;Portions!$A:$A;Portions!$B:$B);FoodItems!$A:$A;FoodItems!$D:$D))</f>
        <v/>
      </c>
      <c r="I56">
        <f>IF(E56="";"";E56/100*XLOOKUP(XLOOKUP(C56;Portions!$A:$A;Portions!$B:$B);FoodItems!$A:$A;FoodItems!$E:$E))</f>
        <v/>
      </c>
    </row>
    <row r="57">
      <c r="E57">
        <f>IF(C57="";"";D57*XLOOKUP(C57;Portions!$A:$A;Portions!$D:$D))</f>
        <v/>
      </c>
      <c r="F57">
        <f>IF(E57="";"";E57/100*XLOOKUP(XLOOKUP(C57;Portions!$A:$A;Portions!$B:$B);FoodItems!$A:$A;FoodItems!$B:$B))</f>
        <v/>
      </c>
      <c r="G57">
        <f>IF(E57="";"";E57/100*XLOOKUP(XLOOKUP(C57;Portions!$A:$A;Portions!$B:$B);FoodItems!$A:$A;FoodItems!$C:$C))</f>
        <v/>
      </c>
      <c r="H57">
        <f>IF(E57="";"";E57/100*XLOOKUP(XLOOKUP(C57;Portions!$A:$A;Portions!$B:$B);FoodItems!$A:$A;FoodItems!$D:$D))</f>
        <v/>
      </c>
      <c r="I57">
        <f>IF(E57="";"";E57/100*XLOOKUP(XLOOKUP(C57;Portions!$A:$A;Portions!$B:$B);FoodItems!$A:$A;FoodItems!$E:$E))</f>
        <v/>
      </c>
    </row>
    <row r="58">
      <c r="E58">
        <f>IF(C58="";"";D58*XLOOKUP(C58;Portions!$A:$A;Portions!$D:$D))</f>
        <v/>
      </c>
      <c r="F58">
        <f>IF(E58="";"";E58/100*XLOOKUP(XLOOKUP(C58;Portions!$A:$A;Portions!$B:$B);FoodItems!$A:$A;FoodItems!$B:$B))</f>
        <v/>
      </c>
      <c r="G58">
        <f>IF(E58="";"";E58/100*XLOOKUP(XLOOKUP(C58;Portions!$A:$A;Portions!$B:$B);FoodItems!$A:$A;FoodItems!$C:$C))</f>
        <v/>
      </c>
      <c r="H58">
        <f>IF(E58="";"";E58/100*XLOOKUP(XLOOKUP(C58;Portions!$A:$A;Portions!$B:$B);FoodItems!$A:$A;FoodItems!$D:$D))</f>
        <v/>
      </c>
      <c r="I58">
        <f>IF(E58="";"";E58/100*XLOOKUP(XLOOKUP(C58;Portions!$A:$A;Portions!$B:$B);FoodItems!$A:$A;FoodItems!$E:$E))</f>
        <v/>
      </c>
    </row>
    <row r="59">
      <c r="E59">
        <f>IF(C59="";"";D59*XLOOKUP(C59;Portions!$A:$A;Portions!$D:$D))</f>
        <v/>
      </c>
      <c r="F59">
        <f>IF(E59="";"";E59/100*XLOOKUP(XLOOKUP(C59;Portions!$A:$A;Portions!$B:$B);FoodItems!$A:$A;FoodItems!$B:$B))</f>
        <v/>
      </c>
      <c r="G59">
        <f>IF(E59="";"";E59/100*XLOOKUP(XLOOKUP(C59;Portions!$A:$A;Portions!$B:$B);FoodItems!$A:$A;FoodItems!$C:$C))</f>
        <v/>
      </c>
      <c r="H59">
        <f>IF(E59="";"";E59/100*XLOOKUP(XLOOKUP(C59;Portions!$A:$A;Portions!$B:$B);FoodItems!$A:$A;FoodItems!$D:$D))</f>
        <v/>
      </c>
      <c r="I59">
        <f>IF(E59="";"";E59/100*XLOOKUP(XLOOKUP(C59;Portions!$A:$A;Portions!$B:$B);FoodItems!$A:$A;FoodItems!$E:$E))</f>
        <v/>
      </c>
    </row>
    <row r="60">
      <c r="E60">
        <f>IF(C60="";"";D60*XLOOKUP(C60;Portions!$A:$A;Portions!$D:$D))</f>
        <v/>
      </c>
      <c r="F60">
        <f>IF(E60="";"";E60/100*XLOOKUP(XLOOKUP(C60;Portions!$A:$A;Portions!$B:$B);FoodItems!$A:$A;FoodItems!$B:$B))</f>
        <v/>
      </c>
      <c r="G60">
        <f>IF(E60="";"";E60/100*XLOOKUP(XLOOKUP(C60;Portions!$A:$A;Portions!$B:$B);FoodItems!$A:$A;FoodItems!$C:$C))</f>
        <v/>
      </c>
      <c r="H60">
        <f>IF(E60="";"";E60/100*XLOOKUP(XLOOKUP(C60;Portions!$A:$A;Portions!$B:$B);FoodItems!$A:$A;FoodItems!$D:$D))</f>
        <v/>
      </c>
      <c r="I60">
        <f>IF(E60="";"";E60/100*XLOOKUP(XLOOKUP(C60;Portions!$A:$A;Portions!$B:$B);FoodItems!$A:$A;FoodItems!$E:$E))</f>
        <v/>
      </c>
    </row>
    <row r="61">
      <c r="E61">
        <f>IF(C61="";"";D61*XLOOKUP(C61;Portions!$A:$A;Portions!$D:$D))</f>
        <v/>
      </c>
      <c r="F61">
        <f>IF(E61="";"";E61/100*XLOOKUP(XLOOKUP(C61;Portions!$A:$A;Portions!$B:$B);FoodItems!$A:$A;FoodItems!$B:$B))</f>
        <v/>
      </c>
      <c r="G61">
        <f>IF(E61="";"";E61/100*XLOOKUP(XLOOKUP(C61;Portions!$A:$A;Portions!$B:$B);FoodItems!$A:$A;FoodItems!$C:$C))</f>
        <v/>
      </c>
      <c r="H61">
        <f>IF(E61="";"";E61/100*XLOOKUP(XLOOKUP(C61;Portions!$A:$A;Portions!$B:$B);FoodItems!$A:$A;FoodItems!$D:$D))</f>
        <v/>
      </c>
      <c r="I61">
        <f>IF(E61="";"";E61/100*XLOOKUP(XLOOKUP(C61;Portions!$A:$A;Portions!$B:$B);FoodItems!$A:$A;FoodItems!$E:$E))</f>
        <v/>
      </c>
    </row>
    <row r="62">
      <c r="E62">
        <f>IF(C62="";"";D62*XLOOKUP(C62;Portions!$A:$A;Portions!$D:$D))</f>
        <v/>
      </c>
      <c r="F62">
        <f>IF(E62="";"";E62/100*XLOOKUP(XLOOKUP(C62;Portions!$A:$A;Portions!$B:$B);FoodItems!$A:$A;FoodItems!$B:$B))</f>
        <v/>
      </c>
      <c r="G62">
        <f>IF(E62="";"";E62/100*XLOOKUP(XLOOKUP(C62;Portions!$A:$A;Portions!$B:$B);FoodItems!$A:$A;FoodItems!$C:$C))</f>
        <v/>
      </c>
      <c r="H62">
        <f>IF(E62="";"";E62/100*XLOOKUP(XLOOKUP(C62;Portions!$A:$A;Portions!$B:$B);FoodItems!$A:$A;FoodItems!$D:$D))</f>
        <v/>
      </c>
      <c r="I62">
        <f>IF(E62="";"";E62/100*XLOOKUP(XLOOKUP(C62;Portions!$A:$A;Portions!$B:$B);FoodItems!$A:$A;FoodItems!$E:$E))</f>
        <v/>
      </c>
    </row>
    <row r="63">
      <c r="E63">
        <f>IF(C63="";"";D63*XLOOKUP(C63;Portions!$A:$A;Portions!$D:$D))</f>
        <v/>
      </c>
      <c r="F63">
        <f>IF(E63="";"";E63/100*XLOOKUP(XLOOKUP(C63;Portions!$A:$A;Portions!$B:$B);FoodItems!$A:$A;FoodItems!$B:$B))</f>
        <v/>
      </c>
      <c r="G63">
        <f>IF(E63="";"";E63/100*XLOOKUP(XLOOKUP(C63;Portions!$A:$A;Portions!$B:$B);FoodItems!$A:$A;FoodItems!$C:$C))</f>
        <v/>
      </c>
      <c r="H63">
        <f>IF(E63="";"";E63/100*XLOOKUP(XLOOKUP(C63;Portions!$A:$A;Portions!$B:$B);FoodItems!$A:$A;FoodItems!$D:$D))</f>
        <v/>
      </c>
      <c r="I63">
        <f>IF(E63="";"";E63/100*XLOOKUP(XLOOKUP(C63;Portions!$A:$A;Portions!$B:$B);FoodItems!$A:$A;FoodItems!$E:$E))</f>
        <v/>
      </c>
    </row>
    <row r="64">
      <c r="E64">
        <f>IF(C64="";"";D64*XLOOKUP(C64;Portions!$A:$A;Portions!$D:$D))</f>
        <v/>
      </c>
      <c r="F64">
        <f>IF(E64="";"";E64/100*XLOOKUP(XLOOKUP(C64;Portions!$A:$A;Portions!$B:$B);FoodItems!$A:$A;FoodItems!$B:$B))</f>
        <v/>
      </c>
      <c r="G64">
        <f>IF(E64="";"";E64/100*XLOOKUP(XLOOKUP(C64;Portions!$A:$A;Portions!$B:$B);FoodItems!$A:$A;FoodItems!$C:$C))</f>
        <v/>
      </c>
      <c r="H64">
        <f>IF(E64="";"";E64/100*XLOOKUP(XLOOKUP(C64;Portions!$A:$A;Portions!$B:$B);FoodItems!$A:$A;FoodItems!$D:$D))</f>
        <v/>
      </c>
      <c r="I64">
        <f>IF(E64="";"";E64/100*XLOOKUP(XLOOKUP(C64;Portions!$A:$A;Portions!$B:$B);FoodItems!$A:$A;FoodItems!$E:$E))</f>
        <v/>
      </c>
    </row>
    <row r="65">
      <c r="E65">
        <f>IF(C65="";"";D65*XLOOKUP(C65;Portions!$A:$A;Portions!$D:$D))</f>
        <v/>
      </c>
      <c r="F65">
        <f>IF(E65="";"";E65/100*XLOOKUP(XLOOKUP(C65;Portions!$A:$A;Portions!$B:$B);FoodItems!$A:$A;FoodItems!$B:$B))</f>
        <v/>
      </c>
      <c r="G65">
        <f>IF(E65="";"";E65/100*XLOOKUP(XLOOKUP(C65;Portions!$A:$A;Portions!$B:$B);FoodItems!$A:$A;FoodItems!$C:$C))</f>
        <v/>
      </c>
      <c r="H65">
        <f>IF(E65="";"";E65/100*XLOOKUP(XLOOKUP(C65;Portions!$A:$A;Portions!$B:$B);FoodItems!$A:$A;FoodItems!$D:$D))</f>
        <v/>
      </c>
      <c r="I65">
        <f>IF(E65="";"";E65/100*XLOOKUP(XLOOKUP(C65;Portions!$A:$A;Portions!$B:$B);FoodItems!$A:$A;FoodItems!$E:$E))</f>
        <v/>
      </c>
    </row>
    <row r="66">
      <c r="E66">
        <f>IF(C66="";"";D66*XLOOKUP(C66;Portions!$A:$A;Portions!$D:$D))</f>
        <v/>
      </c>
      <c r="F66">
        <f>IF(E66="";"";E66/100*XLOOKUP(XLOOKUP(C66;Portions!$A:$A;Portions!$B:$B);FoodItems!$A:$A;FoodItems!$B:$B))</f>
        <v/>
      </c>
      <c r="G66">
        <f>IF(E66="";"";E66/100*XLOOKUP(XLOOKUP(C66;Portions!$A:$A;Portions!$B:$B);FoodItems!$A:$A;FoodItems!$C:$C))</f>
        <v/>
      </c>
      <c r="H66">
        <f>IF(E66="";"";E66/100*XLOOKUP(XLOOKUP(C66;Portions!$A:$A;Portions!$B:$B);FoodItems!$A:$A;FoodItems!$D:$D))</f>
        <v/>
      </c>
      <c r="I66">
        <f>IF(E66="";"";E66/100*XLOOKUP(XLOOKUP(C66;Portions!$A:$A;Portions!$B:$B);FoodItems!$A:$A;FoodItems!$E:$E))</f>
        <v/>
      </c>
    </row>
    <row r="67">
      <c r="E67">
        <f>IF(C67="";"";D67*XLOOKUP(C67;Portions!$A:$A;Portions!$D:$D))</f>
        <v/>
      </c>
      <c r="F67">
        <f>IF(E67="";"";E67/100*XLOOKUP(XLOOKUP(C67;Portions!$A:$A;Portions!$B:$B);FoodItems!$A:$A;FoodItems!$B:$B))</f>
        <v/>
      </c>
      <c r="G67">
        <f>IF(E67="";"";E67/100*XLOOKUP(XLOOKUP(C67;Portions!$A:$A;Portions!$B:$B);FoodItems!$A:$A;FoodItems!$C:$C))</f>
        <v/>
      </c>
      <c r="H67">
        <f>IF(E67="";"";E67/100*XLOOKUP(XLOOKUP(C67;Portions!$A:$A;Portions!$B:$B);FoodItems!$A:$A;FoodItems!$D:$D))</f>
        <v/>
      </c>
      <c r="I67">
        <f>IF(E67="";"";E67/100*XLOOKUP(XLOOKUP(C67;Portions!$A:$A;Portions!$B:$B);FoodItems!$A:$A;FoodItems!$E:$E))</f>
        <v/>
      </c>
    </row>
    <row r="68">
      <c r="E68">
        <f>IF(C68="";"";D68*XLOOKUP(C68;Portions!$A:$A;Portions!$D:$D))</f>
        <v/>
      </c>
      <c r="F68">
        <f>IF(E68="";"";E68/100*XLOOKUP(XLOOKUP(C68;Portions!$A:$A;Portions!$B:$B);FoodItems!$A:$A;FoodItems!$B:$B))</f>
        <v/>
      </c>
      <c r="G68">
        <f>IF(E68="";"";E68/100*XLOOKUP(XLOOKUP(C68;Portions!$A:$A;Portions!$B:$B);FoodItems!$A:$A;FoodItems!$C:$C))</f>
        <v/>
      </c>
      <c r="H68">
        <f>IF(E68="";"";E68/100*XLOOKUP(XLOOKUP(C68;Portions!$A:$A;Portions!$B:$B);FoodItems!$A:$A;FoodItems!$D:$D))</f>
        <v/>
      </c>
      <c r="I68">
        <f>IF(E68="";"";E68/100*XLOOKUP(XLOOKUP(C68;Portions!$A:$A;Portions!$B:$B);FoodItems!$A:$A;FoodItems!$E:$E))</f>
        <v/>
      </c>
    </row>
    <row r="69">
      <c r="E69">
        <f>IF(C69="";"";D69*XLOOKUP(C69;Portions!$A:$A;Portions!$D:$D))</f>
        <v/>
      </c>
      <c r="F69">
        <f>IF(E69="";"";E69/100*XLOOKUP(XLOOKUP(C69;Portions!$A:$A;Portions!$B:$B);FoodItems!$A:$A;FoodItems!$B:$B))</f>
        <v/>
      </c>
      <c r="G69">
        <f>IF(E69="";"";E69/100*XLOOKUP(XLOOKUP(C69;Portions!$A:$A;Portions!$B:$B);FoodItems!$A:$A;FoodItems!$C:$C))</f>
        <v/>
      </c>
      <c r="H69">
        <f>IF(E69="";"";E69/100*XLOOKUP(XLOOKUP(C69;Portions!$A:$A;Portions!$B:$B);FoodItems!$A:$A;FoodItems!$D:$D))</f>
        <v/>
      </c>
      <c r="I69">
        <f>IF(E69="";"";E69/100*XLOOKUP(XLOOKUP(C69;Portions!$A:$A;Portions!$B:$B);FoodItems!$A:$A;FoodItems!$E:$E))</f>
        <v/>
      </c>
    </row>
    <row r="70">
      <c r="E70">
        <f>IF(C70="";"";D70*XLOOKUP(C70;Portions!$A:$A;Portions!$D:$D))</f>
        <v/>
      </c>
      <c r="F70">
        <f>IF(E70="";"";E70/100*XLOOKUP(XLOOKUP(C70;Portions!$A:$A;Portions!$B:$B);FoodItems!$A:$A;FoodItems!$B:$B))</f>
        <v/>
      </c>
      <c r="G70">
        <f>IF(E70="";"";E70/100*XLOOKUP(XLOOKUP(C70;Portions!$A:$A;Portions!$B:$B);FoodItems!$A:$A;FoodItems!$C:$C))</f>
        <v/>
      </c>
      <c r="H70">
        <f>IF(E70="";"";E70/100*XLOOKUP(XLOOKUP(C70;Portions!$A:$A;Portions!$B:$B);FoodItems!$A:$A;FoodItems!$D:$D))</f>
        <v/>
      </c>
      <c r="I70">
        <f>IF(E70="";"";E70/100*XLOOKUP(XLOOKUP(C70;Portions!$A:$A;Portions!$B:$B);FoodItems!$A:$A;FoodItems!$E:$E))</f>
        <v/>
      </c>
    </row>
    <row r="71">
      <c r="E71">
        <f>IF(C71="";"";D71*XLOOKUP(C71;Portions!$A:$A;Portions!$D:$D))</f>
        <v/>
      </c>
      <c r="F71">
        <f>IF(E71="";"";E71/100*XLOOKUP(XLOOKUP(C71;Portions!$A:$A;Portions!$B:$B);FoodItems!$A:$A;FoodItems!$B:$B))</f>
        <v/>
      </c>
      <c r="G71">
        <f>IF(E71="";"";E71/100*XLOOKUP(XLOOKUP(C71;Portions!$A:$A;Portions!$B:$B);FoodItems!$A:$A;FoodItems!$C:$C))</f>
        <v/>
      </c>
      <c r="H71">
        <f>IF(E71="";"";E71/100*XLOOKUP(XLOOKUP(C71;Portions!$A:$A;Portions!$B:$B);FoodItems!$A:$A;FoodItems!$D:$D))</f>
        <v/>
      </c>
      <c r="I71">
        <f>IF(E71="";"";E71/100*XLOOKUP(XLOOKUP(C71;Portions!$A:$A;Portions!$B:$B);FoodItems!$A:$A;FoodItems!$E:$E))</f>
        <v/>
      </c>
    </row>
    <row r="72">
      <c r="E72">
        <f>IF(C72="";"";D72*XLOOKUP(C72;Portions!$A:$A;Portions!$D:$D))</f>
        <v/>
      </c>
      <c r="F72">
        <f>IF(E72="";"";E72/100*XLOOKUP(XLOOKUP(C72;Portions!$A:$A;Portions!$B:$B);FoodItems!$A:$A;FoodItems!$B:$B))</f>
        <v/>
      </c>
      <c r="G72">
        <f>IF(E72="";"";E72/100*XLOOKUP(XLOOKUP(C72;Portions!$A:$A;Portions!$B:$B);FoodItems!$A:$A;FoodItems!$C:$C))</f>
        <v/>
      </c>
      <c r="H72">
        <f>IF(E72="";"";E72/100*XLOOKUP(XLOOKUP(C72;Portions!$A:$A;Portions!$B:$B);FoodItems!$A:$A;FoodItems!$D:$D))</f>
        <v/>
      </c>
      <c r="I72">
        <f>IF(E72="";"";E72/100*XLOOKUP(XLOOKUP(C72;Portions!$A:$A;Portions!$B:$B);FoodItems!$A:$A;FoodItems!$E:$E))</f>
        <v/>
      </c>
    </row>
    <row r="73">
      <c r="E73">
        <f>IF(C73="";"";D73*XLOOKUP(C73;Portions!$A:$A;Portions!$D:$D))</f>
        <v/>
      </c>
      <c r="F73">
        <f>IF(E73="";"";E73/100*XLOOKUP(XLOOKUP(C73;Portions!$A:$A;Portions!$B:$B);FoodItems!$A:$A;FoodItems!$B:$B))</f>
        <v/>
      </c>
      <c r="G73">
        <f>IF(E73="";"";E73/100*XLOOKUP(XLOOKUP(C73;Portions!$A:$A;Portions!$B:$B);FoodItems!$A:$A;FoodItems!$C:$C))</f>
        <v/>
      </c>
      <c r="H73">
        <f>IF(E73="";"";E73/100*XLOOKUP(XLOOKUP(C73;Portions!$A:$A;Portions!$B:$B);FoodItems!$A:$A;FoodItems!$D:$D))</f>
        <v/>
      </c>
      <c r="I73">
        <f>IF(E73="";"";E73/100*XLOOKUP(XLOOKUP(C73;Portions!$A:$A;Portions!$B:$B);FoodItems!$A:$A;FoodItems!$E:$E))</f>
        <v/>
      </c>
    </row>
    <row r="74">
      <c r="E74">
        <f>IF(C74="";"";D74*XLOOKUP(C74;Portions!$A:$A;Portions!$D:$D))</f>
        <v/>
      </c>
      <c r="F74">
        <f>IF(E74="";"";E74/100*XLOOKUP(XLOOKUP(C74;Portions!$A:$A;Portions!$B:$B);FoodItems!$A:$A;FoodItems!$B:$B))</f>
        <v/>
      </c>
      <c r="G74">
        <f>IF(E74="";"";E74/100*XLOOKUP(XLOOKUP(C74;Portions!$A:$A;Portions!$B:$B);FoodItems!$A:$A;FoodItems!$C:$C))</f>
        <v/>
      </c>
      <c r="H74">
        <f>IF(E74="";"";E74/100*XLOOKUP(XLOOKUP(C74;Portions!$A:$A;Portions!$B:$B);FoodItems!$A:$A;FoodItems!$D:$D))</f>
        <v/>
      </c>
      <c r="I74">
        <f>IF(E74="";"";E74/100*XLOOKUP(XLOOKUP(C74;Portions!$A:$A;Portions!$B:$B);FoodItems!$A:$A;FoodItems!$E:$E))</f>
        <v/>
      </c>
    </row>
    <row r="75">
      <c r="E75">
        <f>IF(C75="";"";D75*XLOOKUP(C75;Portions!$A:$A;Portions!$D:$D))</f>
        <v/>
      </c>
      <c r="F75">
        <f>IF(E75="";"";E75/100*XLOOKUP(XLOOKUP(C75;Portions!$A:$A;Portions!$B:$B);FoodItems!$A:$A;FoodItems!$B:$B))</f>
        <v/>
      </c>
      <c r="G75">
        <f>IF(E75="";"";E75/100*XLOOKUP(XLOOKUP(C75;Portions!$A:$A;Portions!$B:$B);FoodItems!$A:$A;FoodItems!$C:$C))</f>
        <v/>
      </c>
      <c r="H75">
        <f>IF(E75="";"";E75/100*XLOOKUP(XLOOKUP(C75;Portions!$A:$A;Portions!$B:$B);FoodItems!$A:$A;FoodItems!$D:$D))</f>
        <v/>
      </c>
      <c r="I75">
        <f>IF(E75="";"";E75/100*XLOOKUP(XLOOKUP(C75;Portions!$A:$A;Portions!$B:$B);FoodItems!$A:$A;FoodItems!$E:$E))</f>
        <v/>
      </c>
    </row>
    <row r="76">
      <c r="E76">
        <f>IF(C76="";"";D76*XLOOKUP(C76;Portions!$A:$A;Portions!$D:$D))</f>
        <v/>
      </c>
      <c r="F76">
        <f>IF(E76="";"";E76/100*XLOOKUP(XLOOKUP(C76;Portions!$A:$A;Portions!$B:$B);FoodItems!$A:$A;FoodItems!$B:$B))</f>
        <v/>
      </c>
      <c r="G76">
        <f>IF(E76="";"";E76/100*XLOOKUP(XLOOKUP(C76;Portions!$A:$A;Portions!$B:$B);FoodItems!$A:$A;FoodItems!$C:$C))</f>
        <v/>
      </c>
      <c r="H76">
        <f>IF(E76="";"";E76/100*XLOOKUP(XLOOKUP(C76;Portions!$A:$A;Portions!$B:$B);FoodItems!$A:$A;FoodItems!$D:$D))</f>
        <v/>
      </c>
      <c r="I76">
        <f>IF(E76="";"";E76/100*XLOOKUP(XLOOKUP(C76;Portions!$A:$A;Portions!$B:$B);FoodItems!$A:$A;FoodItems!$E:$E))</f>
        <v/>
      </c>
    </row>
    <row r="77">
      <c r="E77">
        <f>IF(C77="";"";D77*XLOOKUP(C77;Portions!$A:$A;Portions!$D:$D))</f>
        <v/>
      </c>
      <c r="F77">
        <f>IF(E77="";"";E77/100*XLOOKUP(XLOOKUP(C77;Portions!$A:$A;Portions!$B:$B);FoodItems!$A:$A;FoodItems!$B:$B))</f>
        <v/>
      </c>
      <c r="G77">
        <f>IF(E77="";"";E77/100*XLOOKUP(XLOOKUP(C77;Portions!$A:$A;Portions!$B:$B);FoodItems!$A:$A;FoodItems!$C:$C))</f>
        <v/>
      </c>
      <c r="H77">
        <f>IF(E77="";"";E77/100*XLOOKUP(XLOOKUP(C77;Portions!$A:$A;Portions!$B:$B);FoodItems!$A:$A;FoodItems!$D:$D))</f>
        <v/>
      </c>
      <c r="I77">
        <f>IF(E77="";"";E77/100*XLOOKUP(XLOOKUP(C77;Portions!$A:$A;Portions!$B:$B);FoodItems!$A:$A;FoodItems!$E:$E))</f>
        <v/>
      </c>
    </row>
    <row r="78">
      <c r="E78">
        <f>IF(C78="";"";D78*XLOOKUP(C78;Portions!$A:$A;Portions!$D:$D))</f>
        <v/>
      </c>
      <c r="F78">
        <f>IF(E78="";"";E78/100*XLOOKUP(XLOOKUP(C78;Portions!$A:$A;Portions!$B:$B);FoodItems!$A:$A;FoodItems!$B:$B))</f>
        <v/>
      </c>
      <c r="G78">
        <f>IF(E78="";"";E78/100*XLOOKUP(XLOOKUP(C78;Portions!$A:$A;Portions!$B:$B);FoodItems!$A:$A;FoodItems!$C:$C))</f>
        <v/>
      </c>
      <c r="H78">
        <f>IF(E78="";"";E78/100*XLOOKUP(XLOOKUP(C78;Portions!$A:$A;Portions!$B:$B);FoodItems!$A:$A;FoodItems!$D:$D))</f>
        <v/>
      </c>
      <c r="I78">
        <f>IF(E78="";"";E78/100*XLOOKUP(XLOOKUP(C78;Portions!$A:$A;Portions!$B:$B);FoodItems!$A:$A;FoodItems!$E:$E))</f>
        <v/>
      </c>
    </row>
    <row r="79">
      <c r="E79">
        <f>IF(C79="";"";D79*XLOOKUP(C79;Portions!$A:$A;Portions!$D:$D))</f>
        <v/>
      </c>
      <c r="F79">
        <f>IF(E79="";"";E79/100*XLOOKUP(XLOOKUP(C79;Portions!$A:$A;Portions!$B:$B);FoodItems!$A:$A;FoodItems!$B:$B))</f>
        <v/>
      </c>
      <c r="G79">
        <f>IF(E79="";"";E79/100*XLOOKUP(XLOOKUP(C79;Portions!$A:$A;Portions!$B:$B);FoodItems!$A:$A;FoodItems!$C:$C))</f>
        <v/>
      </c>
      <c r="H79">
        <f>IF(E79="";"";E79/100*XLOOKUP(XLOOKUP(C79;Portions!$A:$A;Portions!$B:$B);FoodItems!$A:$A;FoodItems!$D:$D))</f>
        <v/>
      </c>
      <c r="I79">
        <f>IF(E79="";"";E79/100*XLOOKUP(XLOOKUP(C79;Portions!$A:$A;Portions!$B:$B);FoodItems!$A:$A;FoodItems!$E:$E))</f>
        <v/>
      </c>
    </row>
    <row r="80">
      <c r="E80">
        <f>IF(C80="";"";D80*XLOOKUP(C80;Portions!$A:$A;Portions!$D:$D))</f>
        <v/>
      </c>
      <c r="F80">
        <f>IF(E80="";"";E80/100*XLOOKUP(XLOOKUP(C80;Portions!$A:$A;Portions!$B:$B);FoodItems!$A:$A;FoodItems!$B:$B))</f>
        <v/>
      </c>
      <c r="G80">
        <f>IF(E80="";"";E80/100*XLOOKUP(XLOOKUP(C80;Portions!$A:$A;Portions!$B:$B);FoodItems!$A:$A;FoodItems!$C:$C))</f>
        <v/>
      </c>
      <c r="H80">
        <f>IF(E80="";"";E80/100*XLOOKUP(XLOOKUP(C80;Portions!$A:$A;Portions!$B:$B);FoodItems!$A:$A;FoodItems!$D:$D))</f>
        <v/>
      </c>
      <c r="I80">
        <f>IF(E80="";"";E80/100*XLOOKUP(XLOOKUP(C80;Portions!$A:$A;Portions!$B:$B);FoodItems!$A:$A;FoodItems!$E:$E))</f>
        <v/>
      </c>
    </row>
    <row r="81">
      <c r="E81">
        <f>IF(C81="";"";D81*XLOOKUP(C81;Portions!$A:$A;Portions!$D:$D))</f>
        <v/>
      </c>
      <c r="F81">
        <f>IF(E81="";"";E81/100*XLOOKUP(XLOOKUP(C81;Portions!$A:$A;Portions!$B:$B);FoodItems!$A:$A;FoodItems!$B:$B))</f>
        <v/>
      </c>
      <c r="G81">
        <f>IF(E81="";"";E81/100*XLOOKUP(XLOOKUP(C81;Portions!$A:$A;Portions!$B:$B);FoodItems!$A:$A;FoodItems!$C:$C))</f>
        <v/>
      </c>
      <c r="H81">
        <f>IF(E81="";"";E81/100*XLOOKUP(XLOOKUP(C81;Portions!$A:$A;Portions!$B:$B);FoodItems!$A:$A;FoodItems!$D:$D))</f>
        <v/>
      </c>
      <c r="I81">
        <f>IF(E81="";"";E81/100*XLOOKUP(XLOOKUP(C81;Portions!$A:$A;Portions!$B:$B);FoodItems!$A:$A;FoodItems!$E:$E))</f>
        <v/>
      </c>
    </row>
    <row r="82">
      <c r="E82">
        <f>IF(C82="";"";D82*XLOOKUP(C82;Portions!$A:$A;Portions!$D:$D))</f>
        <v/>
      </c>
      <c r="F82">
        <f>IF(E82="";"";E82/100*XLOOKUP(XLOOKUP(C82;Portions!$A:$A;Portions!$B:$B);FoodItems!$A:$A;FoodItems!$B:$B))</f>
        <v/>
      </c>
      <c r="G82">
        <f>IF(E82="";"";E82/100*XLOOKUP(XLOOKUP(C82;Portions!$A:$A;Portions!$B:$B);FoodItems!$A:$A;FoodItems!$C:$C))</f>
        <v/>
      </c>
      <c r="H82">
        <f>IF(E82="";"";E82/100*XLOOKUP(XLOOKUP(C82;Portions!$A:$A;Portions!$B:$B);FoodItems!$A:$A;FoodItems!$D:$D))</f>
        <v/>
      </c>
      <c r="I82">
        <f>IF(E82="";"";E82/100*XLOOKUP(XLOOKUP(C82;Portions!$A:$A;Portions!$B:$B);FoodItems!$A:$A;FoodItems!$E:$E))</f>
        <v/>
      </c>
    </row>
    <row r="83">
      <c r="E83">
        <f>IF(C83="";"";D83*XLOOKUP(C83;Portions!$A:$A;Portions!$D:$D))</f>
        <v/>
      </c>
      <c r="F83">
        <f>IF(E83="";"";E83/100*XLOOKUP(XLOOKUP(C83;Portions!$A:$A;Portions!$B:$B);FoodItems!$A:$A;FoodItems!$B:$B))</f>
        <v/>
      </c>
      <c r="G83">
        <f>IF(E83="";"";E83/100*XLOOKUP(XLOOKUP(C83;Portions!$A:$A;Portions!$B:$B);FoodItems!$A:$A;FoodItems!$C:$C))</f>
        <v/>
      </c>
      <c r="H83">
        <f>IF(E83="";"";E83/100*XLOOKUP(XLOOKUP(C83;Portions!$A:$A;Portions!$B:$B);FoodItems!$A:$A;FoodItems!$D:$D))</f>
        <v/>
      </c>
      <c r="I83">
        <f>IF(E83="";"";E83/100*XLOOKUP(XLOOKUP(C83;Portions!$A:$A;Portions!$B:$B);FoodItems!$A:$A;FoodItems!$E:$E))</f>
        <v/>
      </c>
    </row>
    <row r="84">
      <c r="E84">
        <f>IF(C84="";"";D84*XLOOKUP(C84;Portions!$A:$A;Portions!$D:$D))</f>
        <v/>
      </c>
      <c r="F84">
        <f>IF(E84="";"";E84/100*XLOOKUP(XLOOKUP(C84;Portions!$A:$A;Portions!$B:$B);FoodItems!$A:$A;FoodItems!$B:$B))</f>
        <v/>
      </c>
      <c r="G84">
        <f>IF(E84="";"";E84/100*XLOOKUP(XLOOKUP(C84;Portions!$A:$A;Portions!$B:$B);FoodItems!$A:$A;FoodItems!$C:$C))</f>
        <v/>
      </c>
      <c r="H84">
        <f>IF(E84="";"";E84/100*XLOOKUP(XLOOKUP(C84;Portions!$A:$A;Portions!$B:$B);FoodItems!$A:$A;FoodItems!$D:$D))</f>
        <v/>
      </c>
      <c r="I84">
        <f>IF(E84="";"";E84/100*XLOOKUP(XLOOKUP(C84;Portions!$A:$A;Portions!$B:$B);FoodItems!$A:$A;FoodItems!$E:$E))</f>
        <v/>
      </c>
    </row>
    <row r="85">
      <c r="E85">
        <f>IF(C85="";"";D85*XLOOKUP(C85;Portions!$A:$A;Portions!$D:$D))</f>
        <v/>
      </c>
      <c r="F85">
        <f>IF(E85="";"";E85/100*XLOOKUP(XLOOKUP(C85;Portions!$A:$A;Portions!$B:$B);FoodItems!$A:$A;FoodItems!$B:$B))</f>
        <v/>
      </c>
      <c r="G85">
        <f>IF(E85="";"";E85/100*XLOOKUP(XLOOKUP(C85;Portions!$A:$A;Portions!$B:$B);FoodItems!$A:$A;FoodItems!$C:$C))</f>
        <v/>
      </c>
      <c r="H85">
        <f>IF(E85="";"";E85/100*XLOOKUP(XLOOKUP(C85;Portions!$A:$A;Portions!$B:$B);FoodItems!$A:$A;FoodItems!$D:$D))</f>
        <v/>
      </c>
      <c r="I85">
        <f>IF(E85="";"";E85/100*XLOOKUP(XLOOKUP(C85;Portions!$A:$A;Portions!$B:$B);FoodItems!$A:$A;FoodItems!$E:$E))</f>
        <v/>
      </c>
    </row>
    <row r="86">
      <c r="E86">
        <f>IF(C86="";"";D86*XLOOKUP(C86;Portions!$A:$A;Portions!$D:$D))</f>
        <v/>
      </c>
      <c r="F86">
        <f>IF(E86="";"";E86/100*XLOOKUP(XLOOKUP(C86;Portions!$A:$A;Portions!$B:$B);FoodItems!$A:$A;FoodItems!$B:$B))</f>
        <v/>
      </c>
      <c r="G86">
        <f>IF(E86="";"";E86/100*XLOOKUP(XLOOKUP(C86;Portions!$A:$A;Portions!$B:$B);FoodItems!$A:$A;FoodItems!$C:$C))</f>
        <v/>
      </c>
      <c r="H86">
        <f>IF(E86="";"";E86/100*XLOOKUP(XLOOKUP(C86;Portions!$A:$A;Portions!$B:$B);FoodItems!$A:$A;FoodItems!$D:$D))</f>
        <v/>
      </c>
      <c r="I86">
        <f>IF(E86="";"";E86/100*XLOOKUP(XLOOKUP(C86;Portions!$A:$A;Portions!$B:$B);FoodItems!$A:$A;FoodItems!$E:$E))</f>
        <v/>
      </c>
    </row>
    <row r="87">
      <c r="E87">
        <f>IF(C87="";"";D87*XLOOKUP(C87;Portions!$A:$A;Portions!$D:$D))</f>
        <v/>
      </c>
      <c r="F87">
        <f>IF(E87="";"";E87/100*XLOOKUP(XLOOKUP(C87;Portions!$A:$A;Portions!$B:$B);FoodItems!$A:$A;FoodItems!$B:$B))</f>
        <v/>
      </c>
      <c r="G87">
        <f>IF(E87="";"";E87/100*XLOOKUP(XLOOKUP(C87;Portions!$A:$A;Portions!$B:$B);FoodItems!$A:$A;FoodItems!$C:$C))</f>
        <v/>
      </c>
      <c r="H87">
        <f>IF(E87="";"";E87/100*XLOOKUP(XLOOKUP(C87;Portions!$A:$A;Portions!$B:$B);FoodItems!$A:$A;FoodItems!$D:$D))</f>
        <v/>
      </c>
      <c r="I87">
        <f>IF(E87="";"";E87/100*XLOOKUP(XLOOKUP(C87;Portions!$A:$A;Portions!$B:$B);FoodItems!$A:$A;FoodItems!$E:$E))</f>
        <v/>
      </c>
    </row>
    <row r="88">
      <c r="E88">
        <f>IF(C88="";"";D88*XLOOKUP(C88;Portions!$A:$A;Portions!$D:$D))</f>
        <v/>
      </c>
      <c r="F88">
        <f>IF(E88="";"";E88/100*XLOOKUP(XLOOKUP(C88;Portions!$A:$A;Portions!$B:$B);FoodItems!$A:$A;FoodItems!$B:$B))</f>
        <v/>
      </c>
      <c r="G88">
        <f>IF(E88="";"";E88/100*XLOOKUP(XLOOKUP(C88;Portions!$A:$A;Portions!$B:$B);FoodItems!$A:$A;FoodItems!$C:$C))</f>
        <v/>
      </c>
      <c r="H88">
        <f>IF(E88="";"";E88/100*XLOOKUP(XLOOKUP(C88;Portions!$A:$A;Portions!$B:$B);FoodItems!$A:$A;FoodItems!$D:$D))</f>
        <v/>
      </c>
      <c r="I88">
        <f>IF(E88="";"";E88/100*XLOOKUP(XLOOKUP(C88;Portions!$A:$A;Portions!$B:$B);FoodItems!$A:$A;FoodItems!$E:$E))</f>
        <v/>
      </c>
    </row>
    <row r="89">
      <c r="E89">
        <f>IF(C89="";"";D89*XLOOKUP(C89;Portions!$A:$A;Portions!$D:$D))</f>
        <v/>
      </c>
      <c r="F89">
        <f>IF(E89="";"";E89/100*XLOOKUP(XLOOKUP(C89;Portions!$A:$A;Portions!$B:$B);FoodItems!$A:$A;FoodItems!$B:$B))</f>
        <v/>
      </c>
      <c r="G89">
        <f>IF(E89="";"";E89/100*XLOOKUP(XLOOKUP(C89;Portions!$A:$A;Portions!$B:$B);FoodItems!$A:$A;FoodItems!$C:$C))</f>
        <v/>
      </c>
      <c r="H89">
        <f>IF(E89="";"";E89/100*XLOOKUP(XLOOKUP(C89;Portions!$A:$A;Portions!$B:$B);FoodItems!$A:$A;FoodItems!$D:$D))</f>
        <v/>
      </c>
      <c r="I89">
        <f>IF(E89="";"";E89/100*XLOOKUP(XLOOKUP(C89;Portions!$A:$A;Portions!$B:$B);FoodItems!$A:$A;FoodItems!$E:$E))</f>
        <v/>
      </c>
    </row>
    <row r="90">
      <c r="E90">
        <f>IF(C90="";"";D90*XLOOKUP(C90;Portions!$A:$A;Portions!$D:$D))</f>
        <v/>
      </c>
      <c r="F90">
        <f>IF(E90="";"";E90/100*XLOOKUP(XLOOKUP(C90;Portions!$A:$A;Portions!$B:$B);FoodItems!$A:$A;FoodItems!$B:$B))</f>
        <v/>
      </c>
      <c r="G90">
        <f>IF(E90="";"";E90/100*XLOOKUP(XLOOKUP(C90;Portions!$A:$A;Portions!$B:$B);FoodItems!$A:$A;FoodItems!$C:$C))</f>
        <v/>
      </c>
      <c r="H90">
        <f>IF(E90="";"";E90/100*XLOOKUP(XLOOKUP(C90;Portions!$A:$A;Portions!$B:$B);FoodItems!$A:$A;FoodItems!$D:$D))</f>
        <v/>
      </c>
      <c r="I90">
        <f>IF(E90="";"";E90/100*XLOOKUP(XLOOKUP(C90;Portions!$A:$A;Portions!$B:$B);FoodItems!$A:$A;FoodItems!$E:$E))</f>
        <v/>
      </c>
    </row>
    <row r="91">
      <c r="E91">
        <f>IF(C91="";"";D91*XLOOKUP(C91;Portions!$A:$A;Portions!$D:$D))</f>
        <v/>
      </c>
      <c r="F91">
        <f>IF(E91="";"";E91/100*XLOOKUP(XLOOKUP(C91;Portions!$A:$A;Portions!$B:$B);FoodItems!$A:$A;FoodItems!$B:$B))</f>
        <v/>
      </c>
      <c r="G91">
        <f>IF(E91="";"";E91/100*XLOOKUP(XLOOKUP(C91;Portions!$A:$A;Portions!$B:$B);FoodItems!$A:$A;FoodItems!$C:$C))</f>
        <v/>
      </c>
      <c r="H91">
        <f>IF(E91="";"";E91/100*XLOOKUP(XLOOKUP(C91;Portions!$A:$A;Portions!$B:$B);FoodItems!$A:$A;FoodItems!$D:$D))</f>
        <v/>
      </c>
      <c r="I91">
        <f>IF(E91="";"";E91/100*XLOOKUP(XLOOKUP(C91;Portions!$A:$A;Portions!$B:$B);FoodItems!$A:$A;FoodItems!$E:$E))</f>
        <v/>
      </c>
    </row>
    <row r="92">
      <c r="E92">
        <f>IF(C92="";"";D92*XLOOKUP(C92;Portions!$A:$A;Portions!$D:$D))</f>
        <v/>
      </c>
      <c r="F92">
        <f>IF(E92="";"";E92/100*XLOOKUP(XLOOKUP(C92;Portions!$A:$A;Portions!$B:$B);FoodItems!$A:$A;FoodItems!$B:$B))</f>
        <v/>
      </c>
      <c r="G92">
        <f>IF(E92="";"";E92/100*XLOOKUP(XLOOKUP(C92;Portions!$A:$A;Portions!$B:$B);FoodItems!$A:$A;FoodItems!$C:$C))</f>
        <v/>
      </c>
      <c r="H92">
        <f>IF(E92="";"";E92/100*XLOOKUP(XLOOKUP(C92;Portions!$A:$A;Portions!$B:$B);FoodItems!$A:$A;FoodItems!$D:$D))</f>
        <v/>
      </c>
      <c r="I92">
        <f>IF(E92="";"";E92/100*XLOOKUP(XLOOKUP(C92;Portions!$A:$A;Portions!$B:$B);FoodItems!$A:$A;FoodItems!$E:$E))</f>
        <v/>
      </c>
    </row>
    <row r="93">
      <c r="E93">
        <f>IF(C93="";"";D93*XLOOKUP(C93;Portions!$A:$A;Portions!$D:$D))</f>
        <v/>
      </c>
      <c r="F93">
        <f>IF(E93="";"";E93/100*XLOOKUP(XLOOKUP(C93;Portions!$A:$A;Portions!$B:$B);FoodItems!$A:$A;FoodItems!$B:$B))</f>
        <v/>
      </c>
      <c r="G93">
        <f>IF(E93="";"";E93/100*XLOOKUP(XLOOKUP(C93;Portions!$A:$A;Portions!$B:$B);FoodItems!$A:$A;FoodItems!$C:$C))</f>
        <v/>
      </c>
      <c r="H93">
        <f>IF(E93="";"";E93/100*XLOOKUP(XLOOKUP(C93;Portions!$A:$A;Portions!$B:$B);FoodItems!$A:$A;FoodItems!$D:$D))</f>
        <v/>
      </c>
      <c r="I93">
        <f>IF(E93="";"";E93/100*XLOOKUP(XLOOKUP(C93;Portions!$A:$A;Portions!$B:$B);FoodItems!$A:$A;FoodItems!$E:$E))</f>
        <v/>
      </c>
    </row>
    <row r="94">
      <c r="E94">
        <f>IF(C94="";"";D94*XLOOKUP(C94;Portions!$A:$A;Portions!$D:$D))</f>
        <v/>
      </c>
      <c r="F94">
        <f>IF(E94="";"";E94/100*XLOOKUP(XLOOKUP(C94;Portions!$A:$A;Portions!$B:$B);FoodItems!$A:$A;FoodItems!$B:$B))</f>
        <v/>
      </c>
      <c r="G94">
        <f>IF(E94="";"";E94/100*XLOOKUP(XLOOKUP(C94;Portions!$A:$A;Portions!$B:$B);FoodItems!$A:$A;FoodItems!$C:$C))</f>
        <v/>
      </c>
      <c r="H94">
        <f>IF(E94="";"";E94/100*XLOOKUP(XLOOKUP(C94;Portions!$A:$A;Portions!$B:$B);FoodItems!$A:$A;FoodItems!$D:$D))</f>
        <v/>
      </c>
      <c r="I94">
        <f>IF(E94="";"";E94/100*XLOOKUP(XLOOKUP(C94;Portions!$A:$A;Portions!$B:$B);FoodItems!$A:$A;FoodItems!$E:$E))</f>
        <v/>
      </c>
    </row>
    <row r="95">
      <c r="E95">
        <f>IF(C95="";"";D95*XLOOKUP(C95;Portions!$A:$A;Portions!$D:$D))</f>
        <v/>
      </c>
      <c r="F95">
        <f>IF(E95="";"";E95/100*XLOOKUP(XLOOKUP(C95;Portions!$A:$A;Portions!$B:$B);FoodItems!$A:$A;FoodItems!$B:$B))</f>
        <v/>
      </c>
      <c r="G95">
        <f>IF(E95="";"";E95/100*XLOOKUP(XLOOKUP(C95;Portions!$A:$A;Portions!$B:$B);FoodItems!$A:$A;FoodItems!$C:$C))</f>
        <v/>
      </c>
      <c r="H95">
        <f>IF(E95="";"";E95/100*XLOOKUP(XLOOKUP(C95;Portions!$A:$A;Portions!$B:$B);FoodItems!$A:$A;FoodItems!$D:$D))</f>
        <v/>
      </c>
      <c r="I95">
        <f>IF(E95="";"";E95/100*XLOOKUP(XLOOKUP(C95;Portions!$A:$A;Portions!$B:$B);FoodItems!$A:$A;FoodItems!$E:$E))</f>
        <v/>
      </c>
    </row>
    <row r="96">
      <c r="E96">
        <f>IF(C96="";"";D96*XLOOKUP(C96;Portions!$A:$A;Portions!$D:$D))</f>
        <v/>
      </c>
      <c r="F96">
        <f>IF(E96="";"";E96/100*XLOOKUP(XLOOKUP(C96;Portions!$A:$A;Portions!$B:$B);FoodItems!$A:$A;FoodItems!$B:$B))</f>
        <v/>
      </c>
      <c r="G96">
        <f>IF(E96="";"";E96/100*XLOOKUP(XLOOKUP(C96;Portions!$A:$A;Portions!$B:$B);FoodItems!$A:$A;FoodItems!$C:$C))</f>
        <v/>
      </c>
      <c r="H96">
        <f>IF(E96="";"";E96/100*XLOOKUP(XLOOKUP(C96;Portions!$A:$A;Portions!$B:$B);FoodItems!$A:$A;FoodItems!$D:$D))</f>
        <v/>
      </c>
      <c r="I96">
        <f>IF(E96="";"";E96/100*XLOOKUP(XLOOKUP(C96;Portions!$A:$A;Portions!$B:$B);FoodItems!$A:$A;FoodItems!$E:$E))</f>
        <v/>
      </c>
    </row>
    <row r="97">
      <c r="E97">
        <f>IF(C97="";"";D97*XLOOKUP(C97;Portions!$A:$A;Portions!$D:$D))</f>
        <v/>
      </c>
      <c r="F97">
        <f>IF(E97="";"";E97/100*XLOOKUP(XLOOKUP(C97;Portions!$A:$A;Portions!$B:$B);FoodItems!$A:$A;FoodItems!$B:$B))</f>
        <v/>
      </c>
      <c r="G97">
        <f>IF(E97="";"";E97/100*XLOOKUP(XLOOKUP(C97;Portions!$A:$A;Portions!$B:$B);FoodItems!$A:$A;FoodItems!$C:$C))</f>
        <v/>
      </c>
      <c r="H97">
        <f>IF(E97="";"";E97/100*XLOOKUP(XLOOKUP(C97;Portions!$A:$A;Portions!$B:$B);FoodItems!$A:$A;FoodItems!$D:$D))</f>
        <v/>
      </c>
      <c r="I97">
        <f>IF(E97="";"";E97/100*XLOOKUP(XLOOKUP(C97;Portions!$A:$A;Portions!$B:$B);FoodItems!$A:$A;FoodItems!$E:$E))</f>
        <v/>
      </c>
    </row>
    <row r="98">
      <c r="E98">
        <f>IF(C98="";"";D98*XLOOKUP(C98;Portions!$A:$A;Portions!$D:$D))</f>
        <v/>
      </c>
      <c r="F98">
        <f>IF(E98="";"";E98/100*XLOOKUP(XLOOKUP(C98;Portions!$A:$A;Portions!$B:$B);FoodItems!$A:$A;FoodItems!$B:$B))</f>
        <v/>
      </c>
      <c r="G98">
        <f>IF(E98="";"";E98/100*XLOOKUP(XLOOKUP(C98;Portions!$A:$A;Portions!$B:$B);FoodItems!$A:$A;FoodItems!$C:$C))</f>
        <v/>
      </c>
      <c r="H98">
        <f>IF(E98="";"";E98/100*XLOOKUP(XLOOKUP(C98;Portions!$A:$A;Portions!$B:$B);FoodItems!$A:$A;FoodItems!$D:$D))</f>
        <v/>
      </c>
      <c r="I98">
        <f>IF(E98="";"";E98/100*XLOOKUP(XLOOKUP(C98;Portions!$A:$A;Portions!$B:$B);FoodItems!$A:$A;FoodItems!$E:$E))</f>
        <v/>
      </c>
    </row>
    <row r="99">
      <c r="E99">
        <f>IF(C99="";"";D99*XLOOKUP(C99;Portions!$A:$A;Portions!$D:$D))</f>
        <v/>
      </c>
      <c r="F99">
        <f>IF(E99="";"";E99/100*XLOOKUP(XLOOKUP(C99;Portions!$A:$A;Portions!$B:$B);FoodItems!$A:$A;FoodItems!$B:$B))</f>
        <v/>
      </c>
      <c r="G99">
        <f>IF(E99="";"";E99/100*XLOOKUP(XLOOKUP(C99;Portions!$A:$A;Portions!$B:$B);FoodItems!$A:$A;FoodItems!$C:$C))</f>
        <v/>
      </c>
      <c r="H99">
        <f>IF(E99="";"";E99/100*XLOOKUP(XLOOKUP(C99;Portions!$A:$A;Portions!$B:$B);FoodItems!$A:$A;FoodItems!$D:$D))</f>
        <v/>
      </c>
      <c r="I99">
        <f>IF(E99="";"";E99/100*XLOOKUP(XLOOKUP(C99;Portions!$A:$A;Portions!$B:$B);FoodItems!$A:$A;FoodItems!$E:$E))</f>
        <v/>
      </c>
    </row>
    <row r="100">
      <c r="E100">
        <f>IF(C100="";"";D100*XLOOKUP(C100;Portions!$A:$A;Portions!$D:$D))</f>
        <v/>
      </c>
      <c r="F100">
        <f>IF(E100="";"";E100/100*XLOOKUP(XLOOKUP(C100;Portions!$A:$A;Portions!$B:$B);FoodItems!$A:$A;FoodItems!$B:$B))</f>
        <v/>
      </c>
      <c r="G100">
        <f>IF(E100="";"";E100/100*XLOOKUP(XLOOKUP(C100;Portions!$A:$A;Portions!$B:$B);FoodItems!$A:$A;FoodItems!$C:$C))</f>
        <v/>
      </c>
      <c r="H100">
        <f>IF(E100="";"";E100/100*XLOOKUP(XLOOKUP(C100;Portions!$A:$A;Portions!$B:$B);FoodItems!$A:$A;FoodItems!$D:$D))</f>
        <v/>
      </c>
      <c r="I100">
        <f>IF(E100="";"";E100/100*XLOOKUP(XLOOKUP(C100;Portions!$A:$A;Portions!$B:$B);FoodItems!$A:$A;FoodItems!$E:$E))</f>
        <v/>
      </c>
    </row>
    <row r="101">
      <c r="E101">
        <f>IF(C101="";"";D101*XLOOKUP(C101;Portions!$A:$A;Portions!$D:$D))</f>
        <v/>
      </c>
      <c r="F101">
        <f>IF(E101="";"";E101/100*XLOOKUP(XLOOKUP(C101;Portions!$A:$A;Portions!$B:$B);FoodItems!$A:$A;FoodItems!$B:$B))</f>
        <v/>
      </c>
      <c r="G101">
        <f>IF(E101="";"";E101/100*XLOOKUP(XLOOKUP(C101;Portions!$A:$A;Portions!$B:$B);FoodItems!$A:$A;FoodItems!$C:$C))</f>
        <v/>
      </c>
      <c r="H101">
        <f>IF(E101="";"";E101/100*XLOOKUP(XLOOKUP(C101;Portions!$A:$A;Portions!$B:$B);FoodItems!$A:$A;FoodItems!$D:$D))</f>
        <v/>
      </c>
      <c r="I101">
        <f>IF(E101="";"";E101/100*XLOOKUP(XLOOKUP(C101;Portions!$A:$A;Portions!$B:$B);FoodItems!$A:$A;FoodItems!$E:$E))</f>
        <v/>
      </c>
    </row>
    <row r="102">
      <c r="E102">
        <f>IF(C102="";"";D102*XLOOKUP(C102;Portions!$A:$A;Portions!$D:$D))</f>
        <v/>
      </c>
      <c r="F102">
        <f>IF(E102="";"";E102/100*XLOOKUP(XLOOKUP(C102;Portions!$A:$A;Portions!$B:$B);FoodItems!$A:$A;FoodItems!$B:$B))</f>
        <v/>
      </c>
      <c r="G102">
        <f>IF(E102="";"";E102/100*XLOOKUP(XLOOKUP(C102;Portions!$A:$A;Portions!$B:$B);FoodItems!$A:$A;FoodItems!$C:$C))</f>
        <v/>
      </c>
      <c r="H102">
        <f>IF(E102="";"";E102/100*XLOOKUP(XLOOKUP(C102;Portions!$A:$A;Portions!$B:$B);FoodItems!$A:$A;FoodItems!$D:$D))</f>
        <v/>
      </c>
      <c r="I102">
        <f>IF(E102="";"";E102/100*XLOOKUP(XLOOKUP(C102;Portions!$A:$A;Portions!$B:$B);FoodItems!$A:$A;FoodItems!$E:$E))</f>
        <v/>
      </c>
    </row>
    <row r="103">
      <c r="E103">
        <f>IF(C103="";"";D103*XLOOKUP(C103;Portions!$A:$A;Portions!$D:$D))</f>
        <v/>
      </c>
      <c r="F103">
        <f>IF(E103="";"";E103/100*XLOOKUP(XLOOKUP(C103;Portions!$A:$A;Portions!$B:$B);FoodItems!$A:$A;FoodItems!$B:$B))</f>
        <v/>
      </c>
      <c r="G103">
        <f>IF(E103="";"";E103/100*XLOOKUP(XLOOKUP(C103;Portions!$A:$A;Portions!$B:$B);FoodItems!$A:$A;FoodItems!$C:$C))</f>
        <v/>
      </c>
      <c r="H103">
        <f>IF(E103="";"";E103/100*XLOOKUP(XLOOKUP(C103;Portions!$A:$A;Portions!$B:$B);FoodItems!$A:$A;FoodItems!$D:$D))</f>
        <v/>
      </c>
      <c r="I103">
        <f>IF(E103="";"";E103/100*XLOOKUP(XLOOKUP(C103;Portions!$A:$A;Portions!$B:$B);FoodItems!$A:$A;FoodItems!$E:$E))</f>
        <v/>
      </c>
    </row>
    <row r="104">
      <c r="E104">
        <f>IF(C104="";"";D104*XLOOKUP(C104;Portions!$A:$A;Portions!$D:$D))</f>
        <v/>
      </c>
      <c r="F104">
        <f>IF(E104="";"";E104/100*XLOOKUP(XLOOKUP(C104;Portions!$A:$A;Portions!$B:$B);FoodItems!$A:$A;FoodItems!$B:$B))</f>
        <v/>
      </c>
      <c r="G104">
        <f>IF(E104="";"";E104/100*XLOOKUP(XLOOKUP(C104;Portions!$A:$A;Portions!$B:$B);FoodItems!$A:$A;FoodItems!$C:$C))</f>
        <v/>
      </c>
      <c r="H104">
        <f>IF(E104="";"";E104/100*XLOOKUP(XLOOKUP(C104;Portions!$A:$A;Portions!$B:$B);FoodItems!$A:$A;FoodItems!$D:$D))</f>
        <v/>
      </c>
      <c r="I104">
        <f>IF(E104="";"";E104/100*XLOOKUP(XLOOKUP(C104;Portions!$A:$A;Portions!$B:$B);FoodItems!$A:$A;FoodItems!$E:$E))</f>
        <v/>
      </c>
    </row>
    <row r="105">
      <c r="E105">
        <f>IF(C105="";"";D105*XLOOKUP(C105;Portions!$A:$A;Portions!$D:$D))</f>
        <v/>
      </c>
      <c r="F105">
        <f>IF(E105="";"";E105/100*XLOOKUP(XLOOKUP(C105;Portions!$A:$A;Portions!$B:$B);FoodItems!$A:$A;FoodItems!$B:$B))</f>
        <v/>
      </c>
      <c r="G105">
        <f>IF(E105="";"";E105/100*XLOOKUP(XLOOKUP(C105;Portions!$A:$A;Portions!$B:$B);FoodItems!$A:$A;FoodItems!$C:$C))</f>
        <v/>
      </c>
      <c r="H105">
        <f>IF(E105="";"";E105/100*XLOOKUP(XLOOKUP(C105;Portions!$A:$A;Portions!$B:$B);FoodItems!$A:$A;FoodItems!$D:$D))</f>
        <v/>
      </c>
      <c r="I105">
        <f>IF(E105="";"";E105/100*XLOOKUP(XLOOKUP(C105;Portions!$A:$A;Portions!$B:$B);FoodItems!$A:$A;FoodItems!$E:$E))</f>
        <v/>
      </c>
    </row>
    <row r="106">
      <c r="E106">
        <f>IF(C106="";"";D106*XLOOKUP(C106;Portions!$A:$A;Portions!$D:$D))</f>
        <v/>
      </c>
      <c r="F106">
        <f>IF(E106="";"";E106/100*XLOOKUP(XLOOKUP(C106;Portions!$A:$A;Portions!$B:$B);FoodItems!$A:$A;FoodItems!$B:$B))</f>
        <v/>
      </c>
      <c r="G106">
        <f>IF(E106="";"";E106/100*XLOOKUP(XLOOKUP(C106;Portions!$A:$A;Portions!$B:$B);FoodItems!$A:$A;FoodItems!$C:$C))</f>
        <v/>
      </c>
      <c r="H106">
        <f>IF(E106="";"";E106/100*XLOOKUP(XLOOKUP(C106;Portions!$A:$A;Portions!$B:$B);FoodItems!$A:$A;FoodItems!$D:$D))</f>
        <v/>
      </c>
      <c r="I106">
        <f>IF(E106="";"";E106/100*XLOOKUP(XLOOKUP(C106;Portions!$A:$A;Portions!$B:$B);FoodItems!$A:$A;FoodItems!$E:$E))</f>
        <v/>
      </c>
    </row>
    <row r="107">
      <c r="E107">
        <f>IF(C107="";"";D107*XLOOKUP(C107;Portions!$A:$A;Portions!$D:$D))</f>
        <v/>
      </c>
      <c r="F107">
        <f>IF(E107="";"";E107/100*XLOOKUP(XLOOKUP(C107;Portions!$A:$A;Portions!$B:$B);FoodItems!$A:$A;FoodItems!$B:$B))</f>
        <v/>
      </c>
      <c r="G107">
        <f>IF(E107="";"";E107/100*XLOOKUP(XLOOKUP(C107;Portions!$A:$A;Portions!$B:$B);FoodItems!$A:$A;FoodItems!$C:$C))</f>
        <v/>
      </c>
      <c r="H107">
        <f>IF(E107="";"";E107/100*XLOOKUP(XLOOKUP(C107;Portions!$A:$A;Portions!$B:$B);FoodItems!$A:$A;FoodItems!$D:$D))</f>
        <v/>
      </c>
      <c r="I107">
        <f>IF(E107="";"";E107/100*XLOOKUP(XLOOKUP(C107;Portions!$A:$A;Portions!$B:$B);FoodItems!$A:$A;FoodItems!$E:$E))</f>
        <v/>
      </c>
    </row>
    <row r="108">
      <c r="E108">
        <f>IF(C108="";"";D108*XLOOKUP(C108;Portions!$A:$A;Portions!$D:$D))</f>
        <v/>
      </c>
      <c r="F108">
        <f>IF(E108="";"";E108/100*XLOOKUP(XLOOKUP(C108;Portions!$A:$A;Portions!$B:$B);FoodItems!$A:$A;FoodItems!$B:$B))</f>
        <v/>
      </c>
      <c r="G108">
        <f>IF(E108="";"";E108/100*XLOOKUP(XLOOKUP(C108;Portions!$A:$A;Portions!$B:$B);FoodItems!$A:$A;FoodItems!$C:$C))</f>
        <v/>
      </c>
      <c r="H108">
        <f>IF(E108="";"";E108/100*XLOOKUP(XLOOKUP(C108;Portions!$A:$A;Portions!$B:$B);FoodItems!$A:$A;FoodItems!$D:$D))</f>
        <v/>
      </c>
      <c r="I108">
        <f>IF(E108="";"";E108/100*XLOOKUP(XLOOKUP(C108;Portions!$A:$A;Portions!$B:$B);FoodItems!$A:$A;FoodItems!$E:$E))</f>
        <v/>
      </c>
    </row>
    <row r="109">
      <c r="E109">
        <f>IF(C109="";"";D109*XLOOKUP(C109;Portions!$A:$A;Portions!$D:$D))</f>
        <v/>
      </c>
      <c r="F109">
        <f>IF(E109="";"";E109/100*XLOOKUP(XLOOKUP(C109;Portions!$A:$A;Portions!$B:$B);FoodItems!$A:$A;FoodItems!$B:$B))</f>
        <v/>
      </c>
      <c r="G109">
        <f>IF(E109="";"";E109/100*XLOOKUP(XLOOKUP(C109;Portions!$A:$A;Portions!$B:$B);FoodItems!$A:$A;FoodItems!$C:$C))</f>
        <v/>
      </c>
      <c r="H109">
        <f>IF(E109="";"";E109/100*XLOOKUP(XLOOKUP(C109;Portions!$A:$A;Portions!$B:$B);FoodItems!$A:$A;FoodItems!$D:$D))</f>
        <v/>
      </c>
      <c r="I109">
        <f>IF(E109="";"";E109/100*XLOOKUP(XLOOKUP(C109;Portions!$A:$A;Portions!$B:$B);FoodItems!$A:$A;FoodItems!$E:$E))</f>
        <v/>
      </c>
    </row>
    <row r="110">
      <c r="E110">
        <f>IF(C110="";"";D110*XLOOKUP(C110;Portions!$A:$A;Portions!$D:$D))</f>
        <v/>
      </c>
      <c r="F110">
        <f>IF(E110="";"";E110/100*XLOOKUP(XLOOKUP(C110;Portions!$A:$A;Portions!$B:$B);FoodItems!$A:$A;FoodItems!$B:$B))</f>
        <v/>
      </c>
      <c r="G110">
        <f>IF(E110="";"";E110/100*XLOOKUP(XLOOKUP(C110;Portions!$A:$A;Portions!$B:$B);FoodItems!$A:$A;FoodItems!$C:$C))</f>
        <v/>
      </c>
      <c r="H110">
        <f>IF(E110="";"";E110/100*XLOOKUP(XLOOKUP(C110;Portions!$A:$A;Portions!$B:$B);FoodItems!$A:$A;FoodItems!$D:$D))</f>
        <v/>
      </c>
      <c r="I110">
        <f>IF(E110="";"";E110/100*XLOOKUP(XLOOKUP(C110;Portions!$A:$A;Portions!$B:$B);FoodItems!$A:$A;FoodItems!$E:$E))</f>
        <v/>
      </c>
    </row>
    <row r="111">
      <c r="E111">
        <f>IF(C111="";"";D111*XLOOKUP(C111;Portions!$A:$A;Portions!$D:$D))</f>
        <v/>
      </c>
      <c r="F111">
        <f>IF(E111="";"";E111/100*XLOOKUP(XLOOKUP(C111;Portions!$A:$A;Portions!$B:$B);FoodItems!$A:$A;FoodItems!$B:$B))</f>
        <v/>
      </c>
      <c r="G111">
        <f>IF(E111="";"";E111/100*XLOOKUP(XLOOKUP(C111;Portions!$A:$A;Portions!$B:$B);FoodItems!$A:$A;FoodItems!$C:$C))</f>
        <v/>
      </c>
      <c r="H111">
        <f>IF(E111="";"";E111/100*XLOOKUP(XLOOKUP(C111;Portions!$A:$A;Portions!$B:$B);FoodItems!$A:$A;FoodItems!$D:$D))</f>
        <v/>
      </c>
      <c r="I111">
        <f>IF(E111="";"";E111/100*XLOOKUP(XLOOKUP(C111;Portions!$A:$A;Portions!$B:$B);FoodItems!$A:$A;FoodItems!$E:$E))</f>
        <v/>
      </c>
    </row>
    <row r="112">
      <c r="E112">
        <f>IF(C112="";"";D112*XLOOKUP(C112;Portions!$A:$A;Portions!$D:$D))</f>
        <v/>
      </c>
      <c r="F112">
        <f>IF(E112="";"";E112/100*XLOOKUP(XLOOKUP(C112;Portions!$A:$A;Portions!$B:$B);FoodItems!$A:$A;FoodItems!$B:$B))</f>
        <v/>
      </c>
      <c r="G112">
        <f>IF(E112="";"";E112/100*XLOOKUP(XLOOKUP(C112;Portions!$A:$A;Portions!$B:$B);FoodItems!$A:$A;FoodItems!$C:$C))</f>
        <v/>
      </c>
      <c r="H112">
        <f>IF(E112="";"";E112/100*XLOOKUP(XLOOKUP(C112;Portions!$A:$A;Portions!$B:$B);FoodItems!$A:$A;FoodItems!$D:$D))</f>
        <v/>
      </c>
      <c r="I112">
        <f>IF(E112="";"";E112/100*XLOOKUP(XLOOKUP(C112;Portions!$A:$A;Portions!$B:$B);FoodItems!$A:$A;FoodItems!$E:$E))</f>
        <v/>
      </c>
    </row>
    <row r="113">
      <c r="E113">
        <f>IF(C113="";"";D113*XLOOKUP(C113;Portions!$A:$A;Portions!$D:$D))</f>
        <v/>
      </c>
      <c r="F113">
        <f>IF(E113="";"";E113/100*XLOOKUP(XLOOKUP(C113;Portions!$A:$A;Portions!$B:$B);FoodItems!$A:$A;FoodItems!$B:$B))</f>
        <v/>
      </c>
      <c r="G113">
        <f>IF(E113="";"";E113/100*XLOOKUP(XLOOKUP(C113;Portions!$A:$A;Portions!$B:$B);FoodItems!$A:$A;FoodItems!$C:$C))</f>
        <v/>
      </c>
      <c r="H113">
        <f>IF(E113="";"";E113/100*XLOOKUP(XLOOKUP(C113;Portions!$A:$A;Portions!$B:$B);FoodItems!$A:$A;FoodItems!$D:$D))</f>
        <v/>
      </c>
      <c r="I113">
        <f>IF(E113="";"";E113/100*XLOOKUP(XLOOKUP(C113;Portions!$A:$A;Portions!$B:$B);FoodItems!$A:$A;FoodItems!$E:$E))</f>
        <v/>
      </c>
    </row>
    <row r="114">
      <c r="E114">
        <f>IF(C114="";"";D114*XLOOKUP(C114;Portions!$A:$A;Portions!$D:$D))</f>
        <v/>
      </c>
      <c r="F114">
        <f>IF(E114="";"";E114/100*XLOOKUP(XLOOKUP(C114;Portions!$A:$A;Portions!$B:$B);FoodItems!$A:$A;FoodItems!$B:$B))</f>
        <v/>
      </c>
      <c r="G114">
        <f>IF(E114="";"";E114/100*XLOOKUP(XLOOKUP(C114;Portions!$A:$A;Portions!$B:$B);FoodItems!$A:$A;FoodItems!$C:$C))</f>
        <v/>
      </c>
      <c r="H114">
        <f>IF(E114="";"";E114/100*XLOOKUP(XLOOKUP(C114;Portions!$A:$A;Portions!$B:$B);FoodItems!$A:$A;FoodItems!$D:$D))</f>
        <v/>
      </c>
      <c r="I114">
        <f>IF(E114="";"";E114/100*XLOOKUP(XLOOKUP(C114;Portions!$A:$A;Portions!$B:$B);FoodItems!$A:$A;FoodItems!$E:$E))</f>
        <v/>
      </c>
    </row>
    <row r="115">
      <c r="E115">
        <f>IF(C115="";"";D115*XLOOKUP(C115;Portions!$A:$A;Portions!$D:$D))</f>
        <v/>
      </c>
      <c r="F115">
        <f>IF(E115="";"";E115/100*XLOOKUP(XLOOKUP(C115;Portions!$A:$A;Portions!$B:$B);FoodItems!$A:$A;FoodItems!$B:$B))</f>
        <v/>
      </c>
      <c r="G115">
        <f>IF(E115="";"";E115/100*XLOOKUP(XLOOKUP(C115;Portions!$A:$A;Portions!$B:$B);FoodItems!$A:$A;FoodItems!$C:$C))</f>
        <v/>
      </c>
      <c r="H115">
        <f>IF(E115="";"";E115/100*XLOOKUP(XLOOKUP(C115;Portions!$A:$A;Portions!$B:$B);FoodItems!$A:$A;FoodItems!$D:$D))</f>
        <v/>
      </c>
      <c r="I115">
        <f>IF(E115="";"";E115/100*XLOOKUP(XLOOKUP(C115;Portions!$A:$A;Portions!$B:$B);FoodItems!$A:$A;FoodItems!$E:$E))</f>
        <v/>
      </c>
    </row>
    <row r="116">
      <c r="E116">
        <f>IF(C116="";"";D116*XLOOKUP(C116;Portions!$A:$A;Portions!$D:$D))</f>
        <v/>
      </c>
      <c r="F116">
        <f>IF(E116="";"";E116/100*XLOOKUP(XLOOKUP(C116;Portions!$A:$A;Portions!$B:$B);FoodItems!$A:$A;FoodItems!$B:$B))</f>
        <v/>
      </c>
      <c r="G116">
        <f>IF(E116="";"";E116/100*XLOOKUP(XLOOKUP(C116;Portions!$A:$A;Portions!$B:$B);FoodItems!$A:$A;FoodItems!$C:$C))</f>
        <v/>
      </c>
      <c r="H116">
        <f>IF(E116="";"";E116/100*XLOOKUP(XLOOKUP(C116;Portions!$A:$A;Portions!$B:$B);FoodItems!$A:$A;FoodItems!$D:$D))</f>
        <v/>
      </c>
      <c r="I116">
        <f>IF(E116="";"";E116/100*XLOOKUP(XLOOKUP(C116;Portions!$A:$A;Portions!$B:$B);FoodItems!$A:$A;FoodItems!$E:$E))</f>
        <v/>
      </c>
    </row>
    <row r="117">
      <c r="E117">
        <f>IF(C117="";"";D117*XLOOKUP(C117;Portions!$A:$A;Portions!$D:$D))</f>
        <v/>
      </c>
      <c r="F117">
        <f>IF(E117="";"";E117/100*XLOOKUP(XLOOKUP(C117;Portions!$A:$A;Portions!$B:$B);FoodItems!$A:$A;FoodItems!$B:$B))</f>
        <v/>
      </c>
      <c r="G117">
        <f>IF(E117="";"";E117/100*XLOOKUP(XLOOKUP(C117;Portions!$A:$A;Portions!$B:$B);FoodItems!$A:$A;FoodItems!$C:$C))</f>
        <v/>
      </c>
      <c r="H117">
        <f>IF(E117="";"";E117/100*XLOOKUP(XLOOKUP(C117;Portions!$A:$A;Portions!$B:$B);FoodItems!$A:$A;FoodItems!$D:$D))</f>
        <v/>
      </c>
      <c r="I117">
        <f>IF(E117="";"";E117/100*XLOOKUP(XLOOKUP(C117;Portions!$A:$A;Portions!$B:$B);FoodItems!$A:$A;FoodItems!$E:$E))</f>
        <v/>
      </c>
    </row>
    <row r="118">
      <c r="E118">
        <f>IF(C118="";"";D118*XLOOKUP(C118;Portions!$A:$A;Portions!$D:$D))</f>
        <v/>
      </c>
      <c r="F118">
        <f>IF(E118="";"";E118/100*XLOOKUP(XLOOKUP(C118;Portions!$A:$A;Portions!$B:$B);FoodItems!$A:$A;FoodItems!$B:$B))</f>
        <v/>
      </c>
      <c r="G118">
        <f>IF(E118="";"";E118/100*XLOOKUP(XLOOKUP(C118;Portions!$A:$A;Portions!$B:$B);FoodItems!$A:$A;FoodItems!$C:$C))</f>
        <v/>
      </c>
      <c r="H118">
        <f>IF(E118="";"";E118/100*XLOOKUP(XLOOKUP(C118;Portions!$A:$A;Portions!$B:$B);FoodItems!$A:$A;FoodItems!$D:$D))</f>
        <v/>
      </c>
      <c r="I118">
        <f>IF(E118="";"";E118/100*XLOOKUP(XLOOKUP(C118;Portions!$A:$A;Portions!$B:$B);FoodItems!$A:$A;FoodItems!$E:$E))</f>
        <v/>
      </c>
    </row>
    <row r="119">
      <c r="E119">
        <f>IF(C119="";"";D119*XLOOKUP(C119;Portions!$A:$A;Portions!$D:$D))</f>
        <v/>
      </c>
      <c r="F119">
        <f>IF(E119="";"";E119/100*XLOOKUP(XLOOKUP(C119;Portions!$A:$A;Portions!$B:$B);FoodItems!$A:$A;FoodItems!$B:$B))</f>
        <v/>
      </c>
      <c r="G119">
        <f>IF(E119="";"";E119/100*XLOOKUP(XLOOKUP(C119;Portions!$A:$A;Portions!$B:$B);FoodItems!$A:$A;FoodItems!$C:$C))</f>
        <v/>
      </c>
      <c r="H119">
        <f>IF(E119="";"";E119/100*XLOOKUP(XLOOKUP(C119;Portions!$A:$A;Portions!$B:$B);FoodItems!$A:$A;FoodItems!$D:$D))</f>
        <v/>
      </c>
      <c r="I119">
        <f>IF(E119="";"";E119/100*XLOOKUP(XLOOKUP(C119;Portions!$A:$A;Portions!$B:$B);FoodItems!$A:$A;FoodItems!$E:$E))</f>
        <v/>
      </c>
    </row>
    <row r="120">
      <c r="E120">
        <f>IF(C120="";"";D120*XLOOKUP(C120;Portions!$A:$A;Portions!$D:$D))</f>
        <v/>
      </c>
      <c r="F120">
        <f>IF(E120="";"";E120/100*XLOOKUP(XLOOKUP(C120;Portions!$A:$A;Portions!$B:$B);FoodItems!$A:$A;FoodItems!$B:$B))</f>
        <v/>
      </c>
      <c r="G120">
        <f>IF(E120="";"";E120/100*XLOOKUP(XLOOKUP(C120;Portions!$A:$A;Portions!$B:$B);FoodItems!$A:$A;FoodItems!$C:$C))</f>
        <v/>
      </c>
      <c r="H120">
        <f>IF(E120="";"";E120/100*XLOOKUP(XLOOKUP(C120;Portions!$A:$A;Portions!$B:$B);FoodItems!$A:$A;FoodItems!$D:$D))</f>
        <v/>
      </c>
      <c r="I120">
        <f>IF(E120="";"";E120/100*XLOOKUP(XLOOKUP(C120;Portions!$A:$A;Portions!$B:$B);FoodItems!$A:$A;FoodItems!$E:$E))</f>
        <v/>
      </c>
    </row>
    <row r="121">
      <c r="E121">
        <f>IF(C121="";"";D121*XLOOKUP(C121;Portions!$A:$A;Portions!$D:$D))</f>
        <v/>
      </c>
      <c r="F121">
        <f>IF(E121="";"";E121/100*XLOOKUP(XLOOKUP(C121;Portions!$A:$A;Portions!$B:$B);FoodItems!$A:$A;FoodItems!$B:$B))</f>
        <v/>
      </c>
      <c r="G121">
        <f>IF(E121="";"";E121/100*XLOOKUP(XLOOKUP(C121;Portions!$A:$A;Portions!$B:$B);FoodItems!$A:$A;FoodItems!$C:$C))</f>
        <v/>
      </c>
      <c r="H121">
        <f>IF(E121="";"";E121/100*XLOOKUP(XLOOKUP(C121;Portions!$A:$A;Portions!$B:$B);FoodItems!$A:$A;FoodItems!$D:$D))</f>
        <v/>
      </c>
      <c r="I121">
        <f>IF(E121="";"";E121/100*XLOOKUP(XLOOKUP(C121;Portions!$A:$A;Portions!$B:$B);FoodItems!$A:$A;FoodItems!$E:$E))</f>
        <v/>
      </c>
    </row>
    <row r="122">
      <c r="E122">
        <f>IF(C122="";"";D122*XLOOKUP(C122;Portions!$A:$A;Portions!$D:$D))</f>
        <v/>
      </c>
      <c r="F122">
        <f>IF(E122="";"";E122/100*XLOOKUP(XLOOKUP(C122;Portions!$A:$A;Portions!$B:$B);FoodItems!$A:$A;FoodItems!$B:$B))</f>
        <v/>
      </c>
      <c r="G122">
        <f>IF(E122="";"";E122/100*XLOOKUP(XLOOKUP(C122;Portions!$A:$A;Portions!$B:$B);FoodItems!$A:$A;FoodItems!$C:$C))</f>
        <v/>
      </c>
      <c r="H122">
        <f>IF(E122="";"";E122/100*XLOOKUP(XLOOKUP(C122;Portions!$A:$A;Portions!$B:$B);FoodItems!$A:$A;FoodItems!$D:$D))</f>
        <v/>
      </c>
      <c r="I122">
        <f>IF(E122="";"";E122/100*XLOOKUP(XLOOKUP(C122;Portions!$A:$A;Portions!$B:$B);FoodItems!$A:$A;FoodItems!$E:$E))</f>
        <v/>
      </c>
    </row>
    <row r="123">
      <c r="E123">
        <f>IF(C123="";"";D123*XLOOKUP(C123;Portions!$A:$A;Portions!$D:$D))</f>
        <v/>
      </c>
      <c r="F123">
        <f>IF(E123="";"";E123/100*XLOOKUP(XLOOKUP(C123;Portions!$A:$A;Portions!$B:$B);FoodItems!$A:$A;FoodItems!$B:$B))</f>
        <v/>
      </c>
      <c r="G123">
        <f>IF(E123="";"";E123/100*XLOOKUP(XLOOKUP(C123;Portions!$A:$A;Portions!$B:$B);FoodItems!$A:$A;FoodItems!$C:$C))</f>
        <v/>
      </c>
      <c r="H123">
        <f>IF(E123="";"";E123/100*XLOOKUP(XLOOKUP(C123;Portions!$A:$A;Portions!$B:$B);FoodItems!$A:$A;FoodItems!$D:$D))</f>
        <v/>
      </c>
      <c r="I123">
        <f>IF(E123="";"";E123/100*XLOOKUP(XLOOKUP(C123;Portions!$A:$A;Portions!$B:$B);FoodItems!$A:$A;FoodItems!$E:$E))</f>
        <v/>
      </c>
    </row>
    <row r="124">
      <c r="E124">
        <f>IF(C124="";"";D124*XLOOKUP(C124;Portions!$A:$A;Portions!$D:$D))</f>
        <v/>
      </c>
      <c r="F124">
        <f>IF(E124="";"";E124/100*XLOOKUP(XLOOKUP(C124;Portions!$A:$A;Portions!$B:$B);FoodItems!$A:$A;FoodItems!$B:$B))</f>
        <v/>
      </c>
      <c r="G124">
        <f>IF(E124="";"";E124/100*XLOOKUP(XLOOKUP(C124;Portions!$A:$A;Portions!$B:$B);FoodItems!$A:$A;FoodItems!$C:$C))</f>
        <v/>
      </c>
      <c r="H124">
        <f>IF(E124="";"";E124/100*XLOOKUP(XLOOKUP(C124;Portions!$A:$A;Portions!$B:$B);FoodItems!$A:$A;FoodItems!$D:$D))</f>
        <v/>
      </c>
      <c r="I124">
        <f>IF(E124="";"";E124/100*XLOOKUP(XLOOKUP(C124;Portions!$A:$A;Portions!$B:$B);FoodItems!$A:$A;FoodItems!$E:$E))</f>
        <v/>
      </c>
    </row>
    <row r="125">
      <c r="E125">
        <f>IF(C125="";"";D125*XLOOKUP(C125;Portions!$A:$A;Portions!$D:$D))</f>
        <v/>
      </c>
      <c r="F125">
        <f>IF(E125="";"";E125/100*XLOOKUP(XLOOKUP(C125;Portions!$A:$A;Portions!$B:$B);FoodItems!$A:$A;FoodItems!$B:$B))</f>
        <v/>
      </c>
      <c r="G125">
        <f>IF(E125="";"";E125/100*XLOOKUP(XLOOKUP(C125;Portions!$A:$A;Portions!$B:$B);FoodItems!$A:$A;FoodItems!$C:$C))</f>
        <v/>
      </c>
      <c r="H125">
        <f>IF(E125="";"";E125/100*XLOOKUP(XLOOKUP(C125;Portions!$A:$A;Portions!$B:$B);FoodItems!$A:$A;FoodItems!$D:$D))</f>
        <v/>
      </c>
      <c r="I125">
        <f>IF(E125="";"";E125/100*XLOOKUP(XLOOKUP(C125;Portions!$A:$A;Portions!$B:$B);FoodItems!$A:$A;FoodItems!$E:$E))</f>
        <v/>
      </c>
    </row>
    <row r="126">
      <c r="E126">
        <f>IF(C126="";"";D126*XLOOKUP(C126;Portions!$A:$A;Portions!$D:$D))</f>
        <v/>
      </c>
      <c r="F126">
        <f>IF(E126="";"";E126/100*XLOOKUP(XLOOKUP(C126;Portions!$A:$A;Portions!$B:$B);FoodItems!$A:$A;FoodItems!$B:$B))</f>
        <v/>
      </c>
      <c r="G126">
        <f>IF(E126="";"";E126/100*XLOOKUP(XLOOKUP(C126;Portions!$A:$A;Portions!$B:$B);FoodItems!$A:$A;FoodItems!$C:$C))</f>
        <v/>
      </c>
      <c r="H126">
        <f>IF(E126="";"";E126/100*XLOOKUP(XLOOKUP(C126;Portions!$A:$A;Portions!$B:$B);FoodItems!$A:$A;FoodItems!$D:$D))</f>
        <v/>
      </c>
      <c r="I126">
        <f>IF(E126="";"";E126/100*XLOOKUP(XLOOKUP(C126;Portions!$A:$A;Portions!$B:$B);FoodItems!$A:$A;FoodItems!$E:$E))</f>
        <v/>
      </c>
    </row>
    <row r="127">
      <c r="E127">
        <f>IF(C127="";"";D127*XLOOKUP(C127;Portions!$A:$A;Portions!$D:$D))</f>
        <v/>
      </c>
      <c r="F127">
        <f>IF(E127="";"";E127/100*XLOOKUP(XLOOKUP(C127;Portions!$A:$A;Portions!$B:$B);FoodItems!$A:$A;FoodItems!$B:$B))</f>
        <v/>
      </c>
      <c r="G127">
        <f>IF(E127="";"";E127/100*XLOOKUP(XLOOKUP(C127;Portions!$A:$A;Portions!$B:$B);FoodItems!$A:$A;FoodItems!$C:$C))</f>
        <v/>
      </c>
      <c r="H127">
        <f>IF(E127="";"";E127/100*XLOOKUP(XLOOKUP(C127;Portions!$A:$A;Portions!$B:$B);FoodItems!$A:$A;FoodItems!$D:$D))</f>
        <v/>
      </c>
      <c r="I127">
        <f>IF(E127="";"";E127/100*XLOOKUP(XLOOKUP(C127;Portions!$A:$A;Portions!$B:$B);FoodItems!$A:$A;FoodItems!$E:$E))</f>
        <v/>
      </c>
    </row>
    <row r="128">
      <c r="E128">
        <f>IF(C128="";"";D128*XLOOKUP(C128;Portions!$A:$A;Portions!$D:$D))</f>
        <v/>
      </c>
      <c r="F128">
        <f>IF(E128="";"";E128/100*XLOOKUP(XLOOKUP(C128;Portions!$A:$A;Portions!$B:$B);FoodItems!$A:$A;FoodItems!$B:$B))</f>
        <v/>
      </c>
      <c r="G128">
        <f>IF(E128="";"";E128/100*XLOOKUP(XLOOKUP(C128;Portions!$A:$A;Portions!$B:$B);FoodItems!$A:$A;FoodItems!$C:$C))</f>
        <v/>
      </c>
      <c r="H128">
        <f>IF(E128="";"";E128/100*XLOOKUP(XLOOKUP(C128;Portions!$A:$A;Portions!$B:$B);FoodItems!$A:$A;FoodItems!$D:$D))</f>
        <v/>
      </c>
      <c r="I128">
        <f>IF(E128="";"";E128/100*XLOOKUP(XLOOKUP(C128;Portions!$A:$A;Portions!$B:$B);FoodItems!$A:$A;FoodItems!$E:$E))</f>
        <v/>
      </c>
    </row>
    <row r="129">
      <c r="E129">
        <f>IF(C129="";"";D129*XLOOKUP(C129;Portions!$A:$A;Portions!$D:$D))</f>
        <v/>
      </c>
      <c r="F129">
        <f>IF(E129="";"";E129/100*XLOOKUP(XLOOKUP(C129;Portions!$A:$A;Portions!$B:$B);FoodItems!$A:$A;FoodItems!$B:$B))</f>
        <v/>
      </c>
      <c r="G129">
        <f>IF(E129="";"";E129/100*XLOOKUP(XLOOKUP(C129;Portions!$A:$A;Portions!$B:$B);FoodItems!$A:$A;FoodItems!$C:$C))</f>
        <v/>
      </c>
      <c r="H129">
        <f>IF(E129="";"";E129/100*XLOOKUP(XLOOKUP(C129;Portions!$A:$A;Portions!$B:$B);FoodItems!$A:$A;FoodItems!$D:$D))</f>
        <v/>
      </c>
      <c r="I129">
        <f>IF(E129="";"";E129/100*XLOOKUP(XLOOKUP(C129;Portions!$A:$A;Portions!$B:$B);FoodItems!$A:$A;FoodItems!$E:$E))</f>
        <v/>
      </c>
    </row>
    <row r="130">
      <c r="E130">
        <f>IF(C130="";"";D130*XLOOKUP(C130;Portions!$A:$A;Portions!$D:$D))</f>
        <v/>
      </c>
      <c r="F130">
        <f>IF(E130="";"";E130/100*XLOOKUP(XLOOKUP(C130;Portions!$A:$A;Portions!$B:$B);FoodItems!$A:$A;FoodItems!$B:$B))</f>
        <v/>
      </c>
      <c r="G130">
        <f>IF(E130="";"";E130/100*XLOOKUP(XLOOKUP(C130;Portions!$A:$A;Portions!$B:$B);FoodItems!$A:$A;FoodItems!$C:$C))</f>
        <v/>
      </c>
      <c r="H130">
        <f>IF(E130="";"";E130/100*XLOOKUP(XLOOKUP(C130;Portions!$A:$A;Portions!$B:$B);FoodItems!$A:$A;FoodItems!$D:$D))</f>
        <v/>
      </c>
      <c r="I130">
        <f>IF(E130="";"";E130/100*XLOOKUP(XLOOKUP(C130;Portions!$A:$A;Portions!$B:$B);FoodItems!$A:$A;FoodItems!$E:$E))</f>
        <v/>
      </c>
    </row>
    <row r="131">
      <c r="E131">
        <f>IF(C131="";"";D131*XLOOKUP(C131;Portions!$A:$A;Portions!$D:$D))</f>
        <v/>
      </c>
      <c r="F131">
        <f>IF(E131="";"";E131/100*XLOOKUP(XLOOKUP(C131;Portions!$A:$A;Portions!$B:$B);FoodItems!$A:$A;FoodItems!$B:$B))</f>
        <v/>
      </c>
      <c r="G131">
        <f>IF(E131="";"";E131/100*XLOOKUP(XLOOKUP(C131;Portions!$A:$A;Portions!$B:$B);FoodItems!$A:$A;FoodItems!$C:$C))</f>
        <v/>
      </c>
      <c r="H131">
        <f>IF(E131="";"";E131/100*XLOOKUP(XLOOKUP(C131;Portions!$A:$A;Portions!$B:$B);FoodItems!$A:$A;FoodItems!$D:$D))</f>
        <v/>
      </c>
      <c r="I131">
        <f>IF(E131="";"";E131/100*XLOOKUP(XLOOKUP(C131;Portions!$A:$A;Portions!$B:$B);FoodItems!$A:$A;FoodItems!$E:$E))</f>
        <v/>
      </c>
    </row>
    <row r="132">
      <c r="E132">
        <f>IF(C132="";"";D132*XLOOKUP(C132;Portions!$A:$A;Portions!$D:$D))</f>
        <v/>
      </c>
      <c r="F132">
        <f>IF(E132="";"";E132/100*XLOOKUP(XLOOKUP(C132;Portions!$A:$A;Portions!$B:$B);FoodItems!$A:$A;FoodItems!$B:$B))</f>
        <v/>
      </c>
      <c r="G132">
        <f>IF(E132="";"";E132/100*XLOOKUP(XLOOKUP(C132;Portions!$A:$A;Portions!$B:$B);FoodItems!$A:$A;FoodItems!$C:$C))</f>
        <v/>
      </c>
      <c r="H132">
        <f>IF(E132="";"";E132/100*XLOOKUP(XLOOKUP(C132;Portions!$A:$A;Portions!$B:$B);FoodItems!$A:$A;FoodItems!$D:$D))</f>
        <v/>
      </c>
      <c r="I132">
        <f>IF(E132="";"";E132/100*XLOOKUP(XLOOKUP(C132;Portions!$A:$A;Portions!$B:$B);FoodItems!$A:$A;FoodItems!$E:$E))</f>
        <v/>
      </c>
    </row>
    <row r="133">
      <c r="E133">
        <f>IF(C133="";"";D133*XLOOKUP(C133;Portions!$A:$A;Portions!$D:$D))</f>
        <v/>
      </c>
      <c r="F133">
        <f>IF(E133="";"";E133/100*XLOOKUP(XLOOKUP(C133;Portions!$A:$A;Portions!$B:$B);FoodItems!$A:$A;FoodItems!$B:$B))</f>
        <v/>
      </c>
      <c r="G133">
        <f>IF(E133="";"";E133/100*XLOOKUP(XLOOKUP(C133;Portions!$A:$A;Portions!$B:$B);FoodItems!$A:$A;FoodItems!$C:$C))</f>
        <v/>
      </c>
      <c r="H133">
        <f>IF(E133="";"";E133/100*XLOOKUP(XLOOKUP(C133;Portions!$A:$A;Portions!$B:$B);FoodItems!$A:$A;FoodItems!$D:$D))</f>
        <v/>
      </c>
      <c r="I133">
        <f>IF(E133="";"";E133/100*XLOOKUP(XLOOKUP(C133;Portions!$A:$A;Portions!$B:$B);FoodItems!$A:$A;FoodItems!$E:$E))</f>
        <v/>
      </c>
    </row>
    <row r="134">
      <c r="E134">
        <f>IF(C134="";"";D134*XLOOKUP(C134;Portions!$A:$A;Portions!$D:$D))</f>
        <v/>
      </c>
      <c r="F134">
        <f>IF(E134="";"";E134/100*XLOOKUP(XLOOKUP(C134;Portions!$A:$A;Portions!$B:$B);FoodItems!$A:$A;FoodItems!$B:$B))</f>
        <v/>
      </c>
      <c r="G134">
        <f>IF(E134="";"";E134/100*XLOOKUP(XLOOKUP(C134;Portions!$A:$A;Portions!$B:$B);FoodItems!$A:$A;FoodItems!$C:$C))</f>
        <v/>
      </c>
      <c r="H134">
        <f>IF(E134="";"";E134/100*XLOOKUP(XLOOKUP(C134;Portions!$A:$A;Portions!$B:$B);FoodItems!$A:$A;FoodItems!$D:$D))</f>
        <v/>
      </c>
      <c r="I134">
        <f>IF(E134="";"";E134/100*XLOOKUP(XLOOKUP(C134;Portions!$A:$A;Portions!$B:$B);FoodItems!$A:$A;FoodItems!$E:$E))</f>
        <v/>
      </c>
    </row>
    <row r="135">
      <c r="E135">
        <f>IF(C135="";"";D135*XLOOKUP(C135;Portions!$A:$A;Portions!$D:$D))</f>
        <v/>
      </c>
      <c r="F135">
        <f>IF(E135="";"";E135/100*XLOOKUP(XLOOKUP(C135;Portions!$A:$A;Portions!$B:$B);FoodItems!$A:$A;FoodItems!$B:$B))</f>
        <v/>
      </c>
      <c r="G135">
        <f>IF(E135="";"";E135/100*XLOOKUP(XLOOKUP(C135;Portions!$A:$A;Portions!$B:$B);FoodItems!$A:$A;FoodItems!$C:$C))</f>
        <v/>
      </c>
      <c r="H135">
        <f>IF(E135="";"";E135/100*XLOOKUP(XLOOKUP(C135;Portions!$A:$A;Portions!$B:$B);FoodItems!$A:$A;FoodItems!$D:$D))</f>
        <v/>
      </c>
      <c r="I135">
        <f>IF(E135="";"";E135/100*XLOOKUP(XLOOKUP(C135;Portions!$A:$A;Portions!$B:$B);FoodItems!$A:$A;FoodItems!$E:$E))</f>
        <v/>
      </c>
    </row>
    <row r="136">
      <c r="E136">
        <f>IF(C136="";"";D136*XLOOKUP(C136;Portions!$A:$A;Portions!$D:$D))</f>
        <v/>
      </c>
      <c r="F136">
        <f>IF(E136="";"";E136/100*XLOOKUP(XLOOKUP(C136;Portions!$A:$A;Portions!$B:$B);FoodItems!$A:$A;FoodItems!$B:$B))</f>
        <v/>
      </c>
      <c r="G136">
        <f>IF(E136="";"";E136/100*XLOOKUP(XLOOKUP(C136;Portions!$A:$A;Portions!$B:$B);FoodItems!$A:$A;FoodItems!$C:$C))</f>
        <v/>
      </c>
      <c r="H136">
        <f>IF(E136="";"";E136/100*XLOOKUP(XLOOKUP(C136;Portions!$A:$A;Portions!$B:$B);FoodItems!$A:$A;FoodItems!$D:$D))</f>
        <v/>
      </c>
      <c r="I136">
        <f>IF(E136="";"";E136/100*XLOOKUP(XLOOKUP(C136;Portions!$A:$A;Portions!$B:$B);FoodItems!$A:$A;FoodItems!$E:$E))</f>
        <v/>
      </c>
    </row>
    <row r="137">
      <c r="E137">
        <f>IF(C137="";"";D137*XLOOKUP(C137;Portions!$A:$A;Portions!$D:$D))</f>
        <v/>
      </c>
      <c r="F137">
        <f>IF(E137="";"";E137/100*XLOOKUP(XLOOKUP(C137;Portions!$A:$A;Portions!$B:$B);FoodItems!$A:$A;FoodItems!$B:$B))</f>
        <v/>
      </c>
      <c r="G137">
        <f>IF(E137="";"";E137/100*XLOOKUP(XLOOKUP(C137;Portions!$A:$A;Portions!$B:$B);FoodItems!$A:$A;FoodItems!$C:$C))</f>
        <v/>
      </c>
      <c r="H137">
        <f>IF(E137="";"";E137/100*XLOOKUP(XLOOKUP(C137;Portions!$A:$A;Portions!$B:$B);FoodItems!$A:$A;FoodItems!$D:$D))</f>
        <v/>
      </c>
      <c r="I137">
        <f>IF(E137="";"";E137/100*XLOOKUP(XLOOKUP(C137;Portions!$A:$A;Portions!$B:$B);FoodItems!$A:$A;FoodItems!$E:$E))</f>
        <v/>
      </c>
    </row>
    <row r="138">
      <c r="E138">
        <f>IF(C138="";"";D138*XLOOKUP(C138;Portions!$A:$A;Portions!$D:$D))</f>
        <v/>
      </c>
      <c r="F138">
        <f>IF(E138="";"";E138/100*XLOOKUP(XLOOKUP(C138;Portions!$A:$A;Portions!$B:$B);FoodItems!$A:$A;FoodItems!$B:$B))</f>
        <v/>
      </c>
      <c r="G138">
        <f>IF(E138="";"";E138/100*XLOOKUP(XLOOKUP(C138;Portions!$A:$A;Portions!$B:$B);FoodItems!$A:$A;FoodItems!$C:$C))</f>
        <v/>
      </c>
      <c r="H138">
        <f>IF(E138="";"";E138/100*XLOOKUP(XLOOKUP(C138;Portions!$A:$A;Portions!$B:$B);FoodItems!$A:$A;FoodItems!$D:$D))</f>
        <v/>
      </c>
      <c r="I138">
        <f>IF(E138="";"";E138/100*XLOOKUP(XLOOKUP(C138;Portions!$A:$A;Portions!$B:$B);FoodItems!$A:$A;FoodItems!$E:$E))</f>
        <v/>
      </c>
    </row>
    <row r="139">
      <c r="E139">
        <f>IF(C139="";"";D139*XLOOKUP(C139;Portions!$A:$A;Portions!$D:$D))</f>
        <v/>
      </c>
      <c r="F139">
        <f>IF(E139="";"";E139/100*XLOOKUP(XLOOKUP(C139;Portions!$A:$A;Portions!$B:$B);FoodItems!$A:$A;FoodItems!$B:$B))</f>
        <v/>
      </c>
      <c r="G139">
        <f>IF(E139="";"";E139/100*XLOOKUP(XLOOKUP(C139;Portions!$A:$A;Portions!$B:$B);FoodItems!$A:$A;FoodItems!$C:$C))</f>
        <v/>
      </c>
      <c r="H139">
        <f>IF(E139="";"";E139/100*XLOOKUP(XLOOKUP(C139;Portions!$A:$A;Portions!$B:$B);FoodItems!$A:$A;FoodItems!$D:$D))</f>
        <v/>
      </c>
      <c r="I139">
        <f>IF(E139="";"";E139/100*XLOOKUP(XLOOKUP(C139;Portions!$A:$A;Portions!$B:$B);FoodItems!$A:$A;FoodItems!$E:$E))</f>
        <v/>
      </c>
    </row>
    <row r="140">
      <c r="E140">
        <f>IF(C140="";"";D140*XLOOKUP(C140;Portions!$A:$A;Portions!$D:$D))</f>
        <v/>
      </c>
      <c r="F140">
        <f>IF(E140="";"";E140/100*XLOOKUP(XLOOKUP(C140;Portions!$A:$A;Portions!$B:$B);FoodItems!$A:$A;FoodItems!$B:$B))</f>
        <v/>
      </c>
      <c r="G140">
        <f>IF(E140="";"";E140/100*XLOOKUP(XLOOKUP(C140;Portions!$A:$A;Portions!$B:$B);FoodItems!$A:$A;FoodItems!$C:$C))</f>
        <v/>
      </c>
      <c r="H140">
        <f>IF(E140="";"";E140/100*XLOOKUP(XLOOKUP(C140;Portions!$A:$A;Portions!$B:$B);FoodItems!$A:$A;FoodItems!$D:$D))</f>
        <v/>
      </c>
      <c r="I140">
        <f>IF(E140="";"";E140/100*XLOOKUP(XLOOKUP(C140;Portions!$A:$A;Portions!$B:$B);FoodItems!$A:$A;FoodItems!$E:$E))</f>
        <v/>
      </c>
    </row>
    <row r="141">
      <c r="E141">
        <f>IF(C141="";"";D141*XLOOKUP(C141;Portions!$A:$A;Portions!$D:$D))</f>
        <v/>
      </c>
      <c r="F141">
        <f>IF(E141="";"";E141/100*XLOOKUP(XLOOKUP(C141;Portions!$A:$A;Portions!$B:$B);FoodItems!$A:$A;FoodItems!$B:$B))</f>
        <v/>
      </c>
      <c r="G141">
        <f>IF(E141="";"";E141/100*XLOOKUP(XLOOKUP(C141;Portions!$A:$A;Portions!$B:$B);FoodItems!$A:$A;FoodItems!$C:$C))</f>
        <v/>
      </c>
      <c r="H141">
        <f>IF(E141="";"";E141/100*XLOOKUP(XLOOKUP(C141;Portions!$A:$A;Portions!$B:$B);FoodItems!$A:$A;FoodItems!$D:$D))</f>
        <v/>
      </c>
      <c r="I141">
        <f>IF(E141="";"";E141/100*XLOOKUP(XLOOKUP(C141;Portions!$A:$A;Portions!$B:$B);FoodItems!$A:$A;FoodItems!$E:$E))</f>
        <v/>
      </c>
    </row>
    <row r="142">
      <c r="E142">
        <f>IF(C142="";"";D142*XLOOKUP(C142;Portions!$A:$A;Portions!$D:$D))</f>
        <v/>
      </c>
      <c r="F142">
        <f>IF(E142="";"";E142/100*XLOOKUP(XLOOKUP(C142;Portions!$A:$A;Portions!$B:$B);FoodItems!$A:$A;FoodItems!$B:$B))</f>
        <v/>
      </c>
      <c r="G142">
        <f>IF(E142="";"";E142/100*XLOOKUP(XLOOKUP(C142;Portions!$A:$A;Portions!$B:$B);FoodItems!$A:$A;FoodItems!$C:$C))</f>
        <v/>
      </c>
      <c r="H142">
        <f>IF(E142="";"";E142/100*XLOOKUP(XLOOKUP(C142;Portions!$A:$A;Portions!$B:$B);FoodItems!$A:$A;FoodItems!$D:$D))</f>
        <v/>
      </c>
      <c r="I142">
        <f>IF(E142="";"";E142/100*XLOOKUP(XLOOKUP(C142;Portions!$A:$A;Portions!$B:$B);FoodItems!$A:$A;FoodItems!$E:$E))</f>
        <v/>
      </c>
    </row>
    <row r="143">
      <c r="E143">
        <f>IF(C143="";"";D143*XLOOKUP(C143;Portions!$A:$A;Portions!$D:$D))</f>
        <v/>
      </c>
      <c r="F143">
        <f>IF(E143="";"";E143/100*XLOOKUP(XLOOKUP(C143;Portions!$A:$A;Portions!$B:$B);FoodItems!$A:$A;FoodItems!$B:$B))</f>
        <v/>
      </c>
      <c r="G143">
        <f>IF(E143="";"";E143/100*XLOOKUP(XLOOKUP(C143;Portions!$A:$A;Portions!$B:$B);FoodItems!$A:$A;FoodItems!$C:$C))</f>
        <v/>
      </c>
      <c r="H143">
        <f>IF(E143="";"";E143/100*XLOOKUP(XLOOKUP(C143;Portions!$A:$A;Portions!$B:$B);FoodItems!$A:$A;FoodItems!$D:$D))</f>
        <v/>
      </c>
      <c r="I143">
        <f>IF(E143="";"";E143/100*XLOOKUP(XLOOKUP(C143;Portions!$A:$A;Portions!$B:$B);FoodItems!$A:$A;FoodItems!$E:$E))</f>
        <v/>
      </c>
    </row>
    <row r="144">
      <c r="E144">
        <f>IF(C144="";"";D144*XLOOKUP(C144;Portions!$A:$A;Portions!$D:$D))</f>
        <v/>
      </c>
      <c r="F144">
        <f>IF(E144="";"";E144/100*XLOOKUP(XLOOKUP(C144;Portions!$A:$A;Portions!$B:$B);FoodItems!$A:$A;FoodItems!$B:$B))</f>
        <v/>
      </c>
      <c r="G144">
        <f>IF(E144="";"";E144/100*XLOOKUP(XLOOKUP(C144;Portions!$A:$A;Portions!$B:$B);FoodItems!$A:$A;FoodItems!$C:$C))</f>
        <v/>
      </c>
      <c r="H144">
        <f>IF(E144="";"";E144/100*XLOOKUP(XLOOKUP(C144;Portions!$A:$A;Portions!$B:$B);FoodItems!$A:$A;FoodItems!$D:$D))</f>
        <v/>
      </c>
      <c r="I144">
        <f>IF(E144="";"";E144/100*XLOOKUP(XLOOKUP(C144;Portions!$A:$A;Portions!$B:$B);FoodItems!$A:$A;FoodItems!$E:$E))</f>
        <v/>
      </c>
    </row>
    <row r="145">
      <c r="E145">
        <f>IF(C145="";"";D145*XLOOKUP(C145;Portions!$A:$A;Portions!$D:$D))</f>
        <v/>
      </c>
      <c r="F145">
        <f>IF(E145="";"";E145/100*XLOOKUP(XLOOKUP(C145;Portions!$A:$A;Portions!$B:$B);FoodItems!$A:$A;FoodItems!$B:$B))</f>
        <v/>
      </c>
      <c r="G145">
        <f>IF(E145="";"";E145/100*XLOOKUP(XLOOKUP(C145;Portions!$A:$A;Portions!$B:$B);FoodItems!$A:$A;FoodItems!$C:$C))</f>
        <v/>
      </c>
      <c r="H145">
        <f>IF(E145="";"";E145/100*XLOOKUP(XLOOKUP(C145;Portions!$A:$A;Portions!$B:$B);FoodItems!$A:$A;FoodItems!$D:$D))</f>
        <v/>
      </c>
      <c r="I145">
        <f>IF(E145="";"";E145/100*XLOOKUP(XLOOKUP(C145;Portions!$A:$A;Portions!$B:$B);FoodItems!$A:$A;FoodItems!$E:$E))</f>
        <v/>
      </c>
    </row>
    <row r="146">
      <c r="E146">
        <f>IF(C146="";"";D146*XLOOKUP(C146;Portions!$A:$A;Portions!$D:$D))</f>
        <v/>
      </c>
      <c r="F146">
        <f>IF(E146="";"";E146/100*XLOOKUP(XLOOKUP(C146;Portions!$A:$A;Portions!$B:$B);FoodItems!$A:$A;FoodItems!$B:$B))</f>
        <v/>
      </c>
      <c r="G146">
        <f>IF(E146="";"";E146/100*XLOOKUP(XLOOKUP(C146;Portions!$A:$A;Portions!$B:$B);FoodItems!$A:$A;FoodItems!$C:$C))</f>
        <v/>
      </c>
      <c r="H146">
        <f>IF(E146="";"";E146/100*XLOOKUP(XLOOKUP(C146;Portions!$A:$A;Portions!$B:$B);FoodItems!$A:$A;FoodItems!$D:$D))</f>
        <v/>
      </c>
      <c r="I146">
        <f>IF(E146="";"";E146/100*XLOOKUP(XLOOKUP(C146;Portions!$A:$A;Portions!$B:$B);FoodItems!$A:$A;FoodItems!$E:$E))</f>
        <v/>
      </c>
    </row>
    <row r="147">
      <c r="E147">
        <f>IF(C147="";"";D147*XLOOKUP(C147;Portions!$A:$A;Portions!$D:$D))</f>
        <v/>
      </c>
      <c r="F147">
        <f>IF(E147="";"";E147/100*XLOOKUP(XLOOKUP(C147;Portions!$A:$A;Portions!$B:$B);FoodItems!$A:$A;FoodItems!$B:$B))</f>
        <v/>
      </c>
      <c r="G147">
        <f>IF(E147="";"";E147/100*XLOOKUP(XLOOKUP(C147;Portions!$A:$A;Portions!$B:$B);FoodItems!$A:$A;FoodItems!$C:$C))</f>
        <v/>
      </c>
      <c r="H147">
        <f>IF(E147="";"";E147/100*XLOOKUP(XLOOKUP(C147;Portions!$A:$A;Portions!$B:$B);FoodItems!$A:$A;FoodItems!$D:$D))</f>
        <v/>
      </c>
      <c r="I147">
        <f>IF(E147="";"";E147/100*XLOOKUP(XLOOKUP(C147;Portions!$A:$A;Portions!$B:$B);FoodItems!$A:$A;FoodItems!$E:$E))</f>
        <v/>
      </c>
    </row>
    <row r="148">
      <c r="E148">
        <f>IF(C148="";"";D148*XLOOKUP(C148;Portions!$A:$A;Portions!$D:$D))</f>
        <v/>
      </c>
      <c r="F148">
        <f>IF(E148="";"";E148/100*XLOOKUP(XLOOKUP(C148;Portions!$A:$A;Portions!$B:$B);FoodItems!$A:$A;FoodItems!$B:$B))</f>
        <v/>
      </c>
      <c r="G148">
        <f>IF(E148="";"";E148/100*XLOOKUP(XLOOKUP(C148;Portions!$A:$A;Portions!$B:$B);FoodItems!$A:$A;FoodItems!$C:$C))</f>
        <v/>
      </c>
      <c r="H148">
        <f>IF(E148="";"";E148/100*XLOOKUP(XLOOKUP(C148;Portions!$A:$A;Portions!$B:$B);FoodItems!$A:$A;FoodItems!$D:$D))</f>
        <v/>
      </c>
      <c r="I148">
        <f>IF(E148="";"";E148/100*XLOOKUP(XLOOKUP(C148;Portions!$A:$A;Portions!$B:$B);FoodItems!$A:$A;FoodItems!$E:$E))</f>
        <v/>
      </c>
    </row>
    <row r="149">
      <c r="E149">
        <f>IF(C149="";"";D149*XLOOKUP(C149;Portions!$A:$A;Portions!$D:$D))</f>
        <v/>
      </c>
      <c r="F149">
        <f>IF(E149="";"";E149/100*XLOOKUP(XLOOKUP(C149;Portions!$A:$A;Portions!$B:$B);FoodItems!$A:$A;FoodItems!$B:$B))</f>
        <v/>
      </c>
      <c r="G149">
        <f>IF(E149="";"";E149/100*XLOOKUP(XLOOKUP(C149;Portions!$A:$A;Portions!$B:$B);FoodItems!$A:$A;FoodItems!$C:$C))</f>
        <v/>
      </c>
      <c r="H149">
        <f>IF(E149="";"";E149/100*XLOOKUP(XLOOKUP(C149;Portions!$A:$A;Portions!$B:$B);FoodItems!$A:$A;FoodItems!$D:$D))</f>
        <v/>
      </c>
      <c r="I149">
        <f>IF(E149="";"";E149/100*XLOOKUP(XLOOKUP(C149;Portions!$A:$A;Portions!$B:$B);FoodItems!$A:$A;FoodItems!$E:$E))</f>
        <v/>
      </c>
    </row>
    <row r="150">
      <c r="E150">
        <f>IF(C150="";"";D150*XLOOKUP(C150;Portions!$A:$A;Portions!$D:$D))</f>
        <v/>
      </c>
      <c r="F150">
        <f>IF(E150="";"";E150/100*XLOOKUP(XLOOKUP(C150;Portions!$A:$A;Portions!$B:$B);FoodItems!$A:$A;FoodItems!$B:$B))</f>
        <v/>
      </c>
      <c r="G150">
        <f>IF(E150="";"";E150/100*XLOOKUP(XLOOKUP(C150;Portions!$A:$A;Portions!$B:$B);FoodItems!$A:$A;FoodItems!$C:$C))</f>
        <v/>
      </c>
      <c r="H150">
        <f>IF(E150="";"";E150/100*XLOOKUP(XLOOKUP(C150;Portions!$A:$A;Portions!$B:$B);FoodItems!$A:$A;FoodItems!$D:$D))</f>
        <v/>
      </c>
      <c r="I150">
        <f>IF(E150="";"";E150/100*XLOOKUP(XLOOKUP(C150;Portions!$A:$A;Portions!$B:$B);FoodItems!$A:$A;FoodItems!$E:$E))</f>
        <v/>
      </c>
    </row>
    <row r="151">
      <c r="E151">
        <f>IF(C151="";"";D151*XLOOKUP(C151;Portions!$A:$A;Portions!$D:$D))</f>
        <v/>
      </c>
      <c r="F151">
        <f>IF(E151="";"";E151/100*XLOOKUP(XLOOKUP(C151;Portions!$A:$A;Portions!$B:$B);FoodItems!$A:$A;FoodItems!$B:$B))</f>
        <v/>
      </c>
      <c r="G151">
        <f>IF(E151="";"";E151/100*XLOOKUP(XLOOKUP(C151;Portions!$A:$A;Portions!$B:$B);FoodItems!$A:$A;FoodItems!$C:$C))</f>
        <v/>
      </c>
      <c r="H151">
        <f>IF(E151="";"";E151/100*XLOOKUP(XLOOKUP(C151;Portions!$A:$A;Portions!$B:$B);FoodItems!$A:$A;FoodItems!$D:$D))</f>
        <v/>
      </c>
      <c r="I151">
        <f>IF(E151="";"";E151/100*XLOOKUP(XLOOKUP(C151;Portions!$A:$A;Portions!$B:$B);FoodItems!$A:$A;FoodItems!$E:$E))</f>
        <v/>
      </c>
    </row>
    <row r="152">
      <c r="E152">
        <f>IF(C152="";"";D152*XLOOKUP(C152;Portions!$A:$A;Portions!$D:$D))</f>
        <v/>
      </c>
      <c r="F152">
        <f>IF(E152="";"";E152/100*XLOOKUP(XLOOKUP(C152;Portions!$A:$A;Portions!$B:$B);FoodItems!$A:$A;FoodItems!$B:$B))</f>
        <v/>
      </c>
      <c r="G152">
        <f>IF(E152="";"";E152/100*XLOOKUP(XLOOKUP(C152;Portions!$A:$A;Portions!$B:$B);FoodItems!$A:$A;FoodItems!$C:$C))</f>
        <v/>
      </c>
      <c r="H152">
        <f>IF(E152="";"";E152/100*XLOOKUP(XLOOKUP(C152;Portions!$A:$A;Portions!$B:$B);FoodItems!$A:$A;FoodItems!$D:$D))</f>
        <v/>
      </c>
      <c r="I152">
        <f>IF(E152="";"";E152/100*XLOOKUP(XLOOKUP(C152;Portions!$A:$A;Portions!$B:$B);FoodItems!$A:$A;FoodItems!$E:$E))</f>
        <v/>
      </c>
    </row>
    <row r="153">
      <c r="E153">
        <f>IF(C153="";"";D153*XLOOKUP(C153;Portions!$A:$A;Portions!$D:$D))</f>
        <v/>
      </c>
      <c r="F153">
        <f>IF(E153="";"";E153/100*XLOOKUP(XLOOKUP(C153;Portions!$A:$A;Portions!$B:$B);FoodItems!$A:$A;FoodItems!$B:$B))</f>
        <v/>
      </c>
      <c r="G153">
        <f>IF(E153="";"";E153/100*XLOOKUP(XLOOKUP(C153;Portions!$A:$A;Portions!$B:$B);FoodItems!$A:$A;FoodItems!$C:$C))</f>
        <v/>
      </c>
      <c r="H153">
        <f>IF(E153="";"";E153/100*XLOOKUP(XLOOKUP(C153;Portions!$A:$A;Portions!$B:$B);FoodItems!$A:$A;FoodItems!$D:$D))</f>
        <v/>
      </c>
      <c r="I153">
        <f>IF(E153="";"";E153/100*XLOOKUP(XLOOKUP(C153;Portions!$A:$A;Portions!$B:$B);FoodItems!$A:$A;FoodItems!$E:$E))</f>
        <v/>
      </c>
    </row>
    <row r="154">
      <c r="E154">
        <f>IF(C154="";"";D154*XLOOKUP(C154;Portions!$A:$A;Portions!$D:$D))</f>
        <v/>
      </c>
      <c r="F154">
        <f>IF(E154="";"";E154/100*XLOOKUP(XLOOKUP(C154;Portions!$A:$A;Portions!$B:$B);FoodItems!$A:$A;FoodItems!$B:$B))</f>
        <v/>
      </c>
      <c r="G154">
        <f>IF(E154="";"";E154/100*XLOOKUP(XLOOKUP(C154;Portions!$A:$A;Portions!$B:$B);FoodItems!$A:$A;FoodItems!$C:$C))</f>
        <v/>
      </c>
      <c r="H154">
        <f>IF(E154="";"";E154/100*XLOOKUP(XLOOKUP(C154;Portions!$A:$A;Portions!$B:$B);FoodItems!$A:$A;FoodItems!$D:$D))</f>
        <v/>
      </c>
      <c r="I154">
        <f>IF(E154="";"";E154/100*XLOOKUP(XLOOKUP(C154;Portions!$A:$A;Portions!$B:$B);FoodItems!$A:$A;FoodItems!$E:$E))</f>
        <v/>
      </c>
    </row>
    <row r="155">
      <c r="E155">
        <f>IF(C155="";"";D155*XLOOKUP(C155;Portions!$A:$A;Portions!$D:$D))</f>
        <v/>
      </c>
      <c r="F155">
        <f>IF(E155="";"";E155/100*XLOOKUP(XLOOKUP(C155;Portions!$A:$A;Portions!$B:$B);FoodItems!$A:$A;FoodItems!$B:$B))</f>
        <v/>
      </c>
      <c r="G155">
        <f>IF(E155="";"";E155/100*XLOOKUP(XLOOKUP(C155;Portions!$A:$A;Portions!$B:$B);FoodItems!$A:$A;FoodItems!$C:$C))</f>
        <v/>
      </c>
      <c r="H155">
        <f>IF(E155="";"";E155/100*XLOOKUP(XLOOKUP(C155;Portions!$A:$A;Portions!$B:$B);FoodItems!$A:$A;FoodItems!$D:$D))</f>
        <v/>
      </c>
      <c r="I155">
        <f>IF(E155="";"";E155/100*XLOOKUP(XLOOKUP(C155;Portions!$A:$A;Portions!$B:$B);FoodItems!$A:$A;FoodItems!$E:$E))</f>
        <v/>
      </c>
    </row>
    <row r="156">
      <c r="E156">
        <f>IF(C156="";"";D156*XLOOKUP(C156;Portions!$A:$A;Portions!$D:$D))</f>
        <v/>
      </c>
      <c r="F156">
        <f>IF(E156="";"";E156/100*XLOOKUP(XLOOKUP(C156;Portions!$A:$A;Portions!$B:$B);FoodItems!$A:$A;FoodItems!$B:$B))</f>
        <v/>
      </c>
      <c r="G156">
        <f>IF(E156="";"";E156/100*XLOOKUP(XLOOKUP(C156;Portions!$A:$A;Portions!$B:$B);FoodItems!$A:$A;FoodItems!$C:$C))</f>
        <v/>
      </c>
      <c r="H156">
        <f>IF(E156="";"";E156/100*XLOOKUP(XLOOKUP(C156;Portions!$A:$A;Portions!$B:$B);FoodItems!$A:$A;FoodItems!$D:$D))</f>
        <v/>
      </c>
      <c r="I156">
        <f>IF(E156="";"";E156/100*XLOOKUP(XLOOKUP(C156;Portions!$A:$A;Portions!$B:$B);FoodItems!$A:$A;FoodItems!$E:$E))</f>
        <v/>
      </c>
    </row>
    <row r="157">
      <c r="E157">
        <f>IF(C157="";"";D157*XLOOKUP(C157;Portions!$A:$A;Portions!$D:$D))</f>
        <v/>
      </c>
      <c r="F157">
        <f>IF(E157="";"";E157/100*XLOOKUP(XLOOKUP(C157;Portions!$A:$A;Portions!$B:$B);FoodItems!$A:$A;FoodItems!$B:$B))</f>
        <v/>
      </c>
      <c r="G157">
        <f>IF(E157="";"";E157/100*XLOOKUP(XLOOKUP(C157;Portions!$A:$A;Portions!$B:$B);FoodItems!$A:$A;FoodItems!$C:$C))</f>
        <v/>
      </c>
      <c r="H157">
        <f>IF(E157="";"";E157/100*XLOOKUP(XLOOKUP(C157;Portions!$A:$A;Portions!$B:$B);FoodItems!$A:$A;FoodItems!$D:$D))</f>
        <v/>
      </c>
      <c r="I157">
        <f>IF(E157="";"";E157/100*XLOOKUP(XLOOKUP(C157;Portions!$A:$A;Portions!$B:$B);FoodItems!$A:$A;FoodItems!$E:$E))</f>
        <v/>
      </c>
    </row>
    <row r="158">
      <c r="E158">
        <f>IF(C158="";"";D158*XLOOKUP(C158;Portions!$A:$A;Portions!$D:$D))</f>
        <v/>
      </c>
      <c r="F158">
        <f>IF(E158="";"";E158/100*XLOOKUP(XLOOKUP(C158;Portions!$A:$A;Portions!$B:$B);FoodItems!$A:$A;FoodItems!$B:$B))</f>
        <v/>
      </c>
      <c r="G158">
        <f>IF(E158="";"";E158/100*XLOOKUP(XLOOKUP(C158;Portions!$A:$A;Portions!$B:$B);FoodItems!$A:$A;FoodItems!$C:$C))</f>
        <v/>
      </c>
      <c r="H158">
        <f>IF(E158="";"";E158/100*XLOOKUP(XLOOKUP(C158;Portions!$A:$A;Portions!$B:$B);FoodItems!$A:$A;FoodItems!$D:$D))</f>
        <v/>
      </c>
      <c r="I158">
        <f>IF(E158="";"";E158/100*XLOOKUP(XLOOKUP(C158;Portions!$A:$A;Portions!$B:$B);FoodItems!$A:$A;FoodItems!$E:$E))</f>
        <v/>
      </c>
    </row>
    <row r="159">
      <c r="E159">
        <f>IF(C159="";"";D159*XLOOKUP(C159;Portions!$A:$A;Portions!$D:$D))</f>
        <v/>
      </c>
      <c r="F159">
        <f>IF(E159="";"";E159/100*XLOOKUP(XLOOKUP(C159;Portions!$A:$A;Portions!$B:$B);FoodItems!$A:$A;FoodItems!$B:$B))</f>
        <v/>
      </c>
      <c r="G159">
        <f>IF(E159="";"";E159/100*XLOOKUP(XLOOKUP(C159;Portions!$A:$A;Portions!$B:$B);FoodItems!$A:$A;FoodItems!$C:$C))</f>
        <v/>
      </c>
      <c r="H159">
        <f>IF(E159="";"";E159/100*XLOOKUP(XLOOKUP(C159;Portions!$A:$A;Portions!$B:$B);FoodItems!$A:$A;FoodItems!$D:$D))</f>
        <v/>
      </c>
      <c r="I159">
        <f>IF(E159="";"";E159/100*XLOOKUP(XLOOKUP(C159;Portions!$A:$A;Portions!$B:$B);FoodItems!$A:$A;FoodItems!$E:$E))</f>
        <v/>
      </c>
    </row>
    <row r="160">
      <c r="E160">
        <f>IF(C160="";"";D160*XLOOKUP(C160;Portions!$A:$A;Portions!$D:$D))</f>
        <v/>
      </c>
      <c r="F160">
        <f>IF(E160="";"";E160/100*XLOOKUP(XLOOKUP(C160;Portions!$A:$A;Portions!$B:$B);FoodItems!$A:$A;FoodItems!$B:$B))</f>
        <v/>
      </c>
      <c r="G160">
        <f>IF(E160="";"";E160/100*XLOOKUP(XLOOKUP(C160;Portions!$A:$A;Portions!$B:$B);FoodItems!$A:$A;FoodItems!$C:$C))</f>
        <v/>
      </c>
      <c r="H160">
        <f>IF(E160="";"";E160/100*XLOOKUP(XLOOKUP(C160;Portions!$A:$A;Portions!$B:$B);FoodItems!$A:$A;FoodItems!$D:$D))</f>
        <v/>
      </c>
      <c r="I160">
        <f>IF(E160="";"";E160/100*XLOOKUP(XLOOKUP(C160;Portions!$A:$A;Portions!$B:$B);FoodItems!$A:$A;FoodItems!$E:$E))</f>
        <v/>
      </c>
    </row>
    <row r="161">
      <c r="E161">
        <f>IF(C161="";"";D161*XLOOKUP(C161;Portions!$A:$A;Portions!$D:$D))</f>
        <v/>
      </c>
      <c r="F161">
        <f>IF(E161="";"";E161/100*XLOOKUP(XLOOKUP(C161;Portions!$A:$A;Portions!$B:$B);FoodItems!$A:$A;FoodItems!$B:$B))</f>
        <v/>
      </c>
      <c r="G161">
        <f>IF(E161="";"";E161/100*XLOOKUP(XLOOKUP(C161;Portions!$A:$A;Portions!$B:$B);FoodItems!$A:$A;FoodItems!$C:$C))</f>
        <v/>
      </c>
      <c r="H161">
        <f>IF(E161="";"";E161/100*XLOOKUP(XLOOKUP(C161;Portions!$A:$A;Portions!$B:$B);FoodItems!$A:$A;FoodItems!$D:$D))</f>
        <v/>
      </c>
      <c r="I161">
        <f>IF(E161="";"";E161/100*XLOOKUP(XLOOKUP(C161;Portions!$A:$A;Portions!$B:$B);FoodItems!$A:$A;FoodItems!$E:$E))</f>
        <v/>
      </c>
    </row>
    <row r="162">
      <c r="E162">
        <f>IF(C162="";"";D162*XLOOKUP(C162;Portions!$A:$A;Portions!$D:$D))</f>
        <v/>
      </c>
      <c r="F162">
        <f>IF(E162="";"";E162/100*XLOOKUP(XLOOKUP(C162;Portions!$A:$A;Portions!$B:$B);FoodItems!$A:$A;FoodItems!$B:$B))</f>
        <v/>
      </c>
      <c r="G162">
        <f>IF(E162="";"";E162/100*XLOOKUP(XLOOKUP(C162;Portions!$A:$A;Portions!$B:$B);FoodItems!$A:$A;FoodItems!$C:$C))</f>
        <v/>
      </c>
      <c r="H162">
        <f>IF(E162="";"";E162/100*XLOOKUP(XLOOKUP(C162;Portions!$A:$A;Portions!$B:$B);FoodItems!$A:$A;FoodItems!$D:$D))</f>
        <v/>
      </c>
      <c r="I162">
        <f>IF(E162="";"";E162/100*XLOOKUP(XLOOKUP(C162;Portions!$A:$A;Portions!$B:$B);FoodItems!$A:$A;FoodItems!$E:$E))</f>
        <v/>
      </c>
    </row>
    <row r="163">
      <c r="E163">
        <f>IF(C163="";"";D163*XLOOKUP(C163;Portions!$A:$A;Portions!$D:$D))</f>
        <v/>
      </c>
      <c r="F163">
        <f>IF(E163="";"";E163/100*XLOOKUP(XLOOKUP(C163;Portions!$A:$A;Portions!$B:$B);FoodItems!$A:$A;FoodItems!$B:$B))</f>
        <v/>
      </c>
      <c r="G163">
        <f>IF(E163="";"";E163/100*XLOOKUP(XLOOKUP(C163;Portions!$A:$A;Portions!$B:$B);FoodItems!$A:$A;FoodItems!$C:$C))</f>
        <v/>
      </c>
      <c r="H163">
        <f>IF(E163="";"";E163/100*XLOOKUP(XLOOKUP(C163;Portions!$A:$A;Portions!$B:$B);FoodItems!$A:$A;FoodItems!$D:$D))</f>
        <v/>
      </c>
      <c r="I163">
        <f>IF(E163="";"";E163/100*XLOOKUP(XLOOKUP(C163;Portions!$A:$A;Portions!$B:$B);FoodItems!$A:$A;FoodItems!$E:$E))</f>
        <v/>
      </c>
    </row>
    <row r="164">
      <c r="E164">
        <f>IF(C164="";"";D164*XLOOKUP(C164;Portions!$A:$A;Portions!$D:$D))</f>
        <v/>
      </c>
      <c r="F164">
        <f>IF(E164="";"";E164/100*XLOOKUP(XLOOKUP(C164;Portions!$A:$A;Portions!$B:$B);FoodItems!$A:$A;FoodItems!$B:$B))</f>
        <v/>
      </c>
      <c r="G164">
        <f>IF(E164="";"";E164/100*XLOOKUP(XLOOKUP(C164;Portions!$A:$A;Portions!$B:$B);FoodItems!$A:$A;FoodItems!$C:$C))</f>
        <v/>
      </c>
      <c r="H164">
        <f>IF(E164="";"";E164/100*XLOOKUP(XLOOKUP(C164;Portions!$A:$A;Portions!$B:$B);FoodItems!$A:$A;FoodItems!$D:$D))</f>
        <v/>
      </c>
      <c r="I164">
        <f>IF(E164="";"";E164/100*XLOOKUP(XLOOKUP(C164;Portions!$A:$A;Portions!$B:$B);FoodItems!$A:$A;FoodItems!$E:$E))</f>
        <v/>
      </c>
    </row>
    <row r="165">
      <c r="E165">
        <f>IF(C165="";"";D165*XLOOKUP(C165;Portions!$A:$A;Portions!$D:$D))</f>
        <v/>
      </c>
      <c r="F165">
        <f>IF(E165="";"";E165/100*XLOOKUP(XLOOKUP(C165;Portions!$A:$A;Portions!$B:$B);FoodItems!$A:$A;FoodItems!$B:$B))</f>
        <v/>
      </c>
      <c r="G165">
        <f>IF(E165="";"";E165/100*XLOOKUP(XLOOKUP(C165;Portions!$A:$A;Portions!$B:$B);FoodItems!$A:$A;FoodItems!$C:$C))</f>
        <v/>
      </c>
      <c r="H165">
        <f>IF(E165="";"";E165/100*XLOOKUP(XLOOKUP(C165;Portions!$A:$A;Portions!$B:$B);FoodItems!$A:$A;FoodItems!$D:$D))</f>
        <v/>
      </c>
      <c r="I165">
        <f>IF(E165="";"";E165/100*XLOOKUP(XLOOKUP(C165;Portions!$A:$A;Portions!$B:$B);FoodItems!$A:$A;FoodItems!$E:$E))</f>
        <v/>
      </c>
    </row>
    <row r="166">
      <c r="E166">
        <f>IF(C166="";"";D166*XLOOKUP(C166;Portions!$A:$A;Portions!$D:$D))</f>
        <v/>
      </c>
      <c r="F166">
        <f>IF(E166="";"";E166/100*XLOOKUP(XLOOKUP(C166;Portions!$A:$A;Portions!$B:$B);FoodItems!$A:$A;FoodItems!$B:$B))</f>
        <v/>
      </c>
      <c r="G166">
        <f>IF(E166="";"";E166/100*XLOOKUP(XLOOKUP(C166;Portions!$A:$A;Portions!$B:$B);FoodItems!$A:$A;FoodItems!$C:$C))</f>
        <v/>
      </c>
      <c r="H166">
        <f>IF(E166="";"";E166/100*XLOOKUP(XLOOKUP(C166;Portions!$A:$A;Portions!$B:$B);FoodItems!$A:$A;FoodItems!$D:$D))</f>
        <v/>
      </c>
      <c r="I166">
        <f>IF(E166="";"";E166/100*XLOOKUP(XLOOKUP(C166;Portions!$A:$A;Portions!$B:$B);FoodItems!$A:$A;FoodItems!$E:$E))</f>
        <v/>
      </c>
    </row>
    <row r="167">
      <c r="E167">
        <f>IF(C167="";"";D167*XLOOKUP(C167;Portions!$A:$A;Portions!$D:$D))</f>
        <v/>
      </c>
      <c r="F167">
        <f>IF(E167="";"";E167/100*XLOOKUP(XLOOKUP(C167;Portions!$A:$A;Portions!$B:$B);FoodItems!$A:$A;FoodItems!$B:$B))</f>
        <v/>
      </c>
      <c r="G167">
        <f>IF(E167="";"";E167/100*XLOOKUP(XLOOKUP(C167;Portions!$A:$A;Portions!$B:$B);FoodItems!$A:$A;FoodItems!$C:$C))</f>
        <v/>
      </c>
      <c r="H167">
        <f>IF(E167="";"";E167/100*XLOOKUP(XLOOKUP(C167;Portions!$A:$A;Portions!$B:$B);FoodItems!$A:$A;FoodItems!$D:$D))</f>
        <v/>
      </c>
      <c r="I167">
        <f>IF(E167="";"";E167/100*XLOOKUP(XLOOKUP(C167;Portions!$A:$A;Portions!$B:$B);FoodItems!$A:$A;FoodItems!$E:$E))</f>
        <v/>
      </c>
    </row>
    <row r="168">
      <c r="E168">
        <f>IF(C168="";"";D168*XLOOKUP(C168;Portions!$A:$A;Portions!$D:$D))</f>
        <v/>
      </c>
      <c r="F168">
        <f>IF(E168="";"";E168/100*XLOOKUP(XLOOKUP(C168;Portions!$A:$A;Portions!$B:$B);FoodItems!$A:$A;FoodItems!$B:$B))</f>
        <v/>
      </c>
      <c r="G168">
        <f>IF(E168="";"";E168/100*XLOOKUP(XLOOKUP(C168;Portions!$A:$A;Portions!$B:$B);FoodItems!$A:$A;FoodItems!$C:$C))</f>
        <v/>
      </c>
      <c r="H168">
        <f>IF(E168="";"";E168/100*XLOOKUP(XLOOKUP(C168;Portions!$A:$A;Portions!$B:$B);FoodItems!$A:$A;FoodItems!$D:$D))</f>
        <v/>
      </c>
      <c r="I168">
        <f>IF(E168="";"";E168/100*XLOOKUP(XLOOKUP(C168;Portions!$A:$A;Portions!$B:$B);FoodItems!$A:$A;FoodItems!$E:$E))</f>
        <v/>
      </c>
    </row>
    <row r="169">
      <c r="E169">
        <f>IF(C169="";"";D169*XLOOKUP(C169;Portions!$A:$A;Portions!$D:$D))</f>
        <v/>
      </c>
      <c r="F169">
        <f>IF(E169="";"";E169/100*XLOOKUP(XLOOKUP(C169;Portions!$A:$A;Portions!$B:$B);FoodItems!$A:$A;FoodItems!$B:$B))</f>
        <v/>
      </c>
      <c r="G169">
        <f>IF(E169="";"";E169/100*XLOOKUP(XLOOKUP(C169;Portions!$A:$A;Portions!$B:$B);FoodItems!$A:$A;FoodItems!$C:$C))</f>
        <v/>
      </c>
      <c r="H169">
        <f>IF(E169="";"";E169/100*XLOOKUP(XLOOKUP(C169;Portions!$A:$A;Portions!$B:$B);FoodItems!$A:$A;FoodItems!$D:$D))</f>
        <v/>
      </c>
      <c r="I169">
        <f>IF(E169="";"";E169/100*XLOOKUP(XLOOKUP(C169;Portions!$A:$A;Portions!$B:$B);FoodItems!$A:$A;FoodItems!$E:$E))</f>
        <v/>
      </c>
    </row>
    <row r="170">
      <c r="E170">
        <f>IF(C170="";"";D170*XLOOKUP(C170;Portions!$A:$A;Portions!$D:$D))</f>
        <v/>
      </c>
      <c r="F170">
        <f>IF(E170="";"";E170/100*XLOOKUP(XLOOKUP(C170;Portions!$A:$A;Portions!$B:$B);FoodItems!$A:$A;FoodItems!$B:$B))</f>
        <v/>
      </c>
      <c r="G170">
        <f>IF(E170="";"";E170/100*XLOOKUP(XLOOKUP(C170;Portions!$A:$A;Portions!$B:$B);FoodItems!$A:$A;FoodItems!$C:$C))</f>
        <v/>
      </c>
      <c r="H170">
        <f>IF(E170="";"";E170/100*XLOOKUP(XLOOKUP(C170;Portions!$A:$A;Portions!$B:$B);FoodItems!$A:$A;FoodItems!$D:$D))</f>
        <v/>
      </c>
      <c r="I170">
        <f>IF(E170="";"";E170/100*XLOOKUP(XLOOKUP(C170;Portions!$A:$A;Portions!$B:$B);FoodItems!$A:$A;FoodItems!$E:$E))</f>
        <v/>
      </c>
    </row>
    <row r="171">
      <c r="E171">
        <f>IF(C171="";"";D171*XLOOKUP(C171;Portions!$A:$A;Portions!$D:$D))</f>
        <v/>
      </c>
      <c r="F171">
        <f>IF(E171="";"";E171/100*XLOOKUP(XLOOKUP(C171;Portions!$A:$A;Portions!$B:$B);FoodItems!$A:$A;FoodItems!$B:$B))</f>
        <v/>
      </c>
      <c r="G171">
        <f>IF(E171="";"";E171/100*XLOOKUP(XLOOKUP(C171;Portions!$A:$A;Portions!$B:$B);FoodItems!$A:$A;FoodItems!$C:$C))</f>
        <v/>
      </c>
      <c r="H171">
        <f>IF(E171="";"";E171/100*XLOOKUP(XLOOKUP(C171;Portions!$A:$A;Portions!$B:$B);FoodItems!$A:$A;FoodItems!$D:$D))</f>
        <v/>
      </c>
      <c r="I171">
        <f>IF(E171="";"";E171/100*XLOOKUP(XLOOKUP(C171;Portions!$A:$A;Portions!$B:$B);FoodItems!$A:$A;FoodItems!$E:$E))</f>
        <v/>
      </c>
    </row>
    <row r="172">
      <c r="E172">
        <f>IF(C172="";"";D172*XLOOKUP(C172;Portions!$A:$A;Portions!$D:$D))</f>
        <v/>
      </c>
      <c r="F172">
        <f>IF(E172="";"";E172/100*XLOOKUP(XLOOKUP(C172;Portions!$A:$A;Portions!$B:$B);FoodItems!$A:$A;FoodItems!$B:$B))</f>
        <v/>
      </c>
      <c r="G172">
        <f>IF(E172="";"";E172/100*XLOOKUP(XLOOKUP(C172;Portions!$A:$A;Portions!$B:$B);FoodItems!$A:$A;FoodItems!$C:$C))</f>
        <v/>
      </c>
      <c r="H172">
        <f>IF(E172="";"";E172/100*XLOOKUP(XLOOKUP(C172;Portions!$A:$A;Portions!$B:$B);FoodItems!$A:$A;FoodItems!$D:$D))</f>
        <v/>
      </c>
      <c r="I172">
        <f>IF(E172="";"";E172/100*XLOOKUP(XLOOKUP(C172;Portions!$A:$A;Portions!$B:$B);FoodItems!$A:$A;FoodItems!$E:$E))</f>
        <v/>
      </c>
    </row>
    <row r="173">
      <c r="E173">
        <f>IF(C173="";"";D173*XLOOKUP(C173;Portions!$A:$A;Portions!$D:$D))</f>
        <v/>
      </c>
      <c r="F173">
        <f>IF(E173="";"";E173/100*XLOOKUP(XLOOKUP(C173;Portions!$A:$A;Portions!$B:$B);FoodItems!$A:$A;FoodItems!$B:$B))</f>
        <v/>
      </c>
      <c r="G173">
        <f>IF(E173="";"";E173/100*XLOOKUP(XLOOKUP(C173;Portions!$A:$A;Portions!$B:$B);FoodItems!$A:$A;FoodItems!$C:$C))</f>
        <v/>
      </c>
      <c r="H173">
        <f>IF(E173="";"";E173/100*XLOOKUP(XLOOKUP(C173;Portions!$A:$A;Portions!$B:$B);FoodItems!$A:$A;FoodItems!$D:$D))</f>
        <v/>
      </c>
      <c r="I173">
        <f>IF(E173="";"";E173/100*XLOOKUP(XLOOKUP(C173;Portions!$A:$A;Portions!$B:$B);FoodItems!$A:$A;FoodItems!$E:$E))</f>
        <v/>
      </c>
    </row>
    <row r="174">
      <c r="E174">
        <f>IF(C174="";"";D174*XLOOKUP(C174;Portions!$A:$A;Portions!$D:$D))</f>
        <v/>
      </c>
      <c r="F174">
        <f>IF(E174="";"";E174/100*XLOOKUP(XLOOKUP(C174;Portions!$A:$A;Portions!$B:$B);FoodItems!$A:$A;FoodItems!$B:$B))</f>
        <v/>
      </c>
      <c r="G174">
        <f>IF(E174="";"";E174/100*XLOOKUP(XLOOKUP(C174;Portions!$A:$A;Portions!$B:$B);FoodItems!$A:$A;FoodItems!$C:$C))</f>
        <v/>
      </c>
      <c r="H174">
        <f>IF(E174="";"";E174/100*XLOOKUP(XLOOKUP(C174;Portions!$A:$A;Portions!$B:$B);FoodItems!$A:$A;FoodItems!$D:$D))</f>
        <v/>
      </c>
      <c r="I174">
        <f>IF(E174="";"";E174/100*XLOOKUP(XLOOKUP(C174;Portions!$A:$A;Portions!$B:$B);FoodItems!$A:$A;FoodItems!$E:$E))</f>
        <v/>
      </c>
    </row>
    <row r="175">
      <c r="E175">
        <f>IF(C175="";"";D175*XLOOKUP(C175;Portions!$A:$A;Portions!$D:$D))</f>
        <v/>
      </c>
      <c r="F175">
        <f>IF(E175="";"";E175/100*XLOOKUP(XLOOKUP(C175;Portions!$A:$A;Portions!$B:$B);FoodItems!$A:$A;FoodItems!$B:$B))</f>
        <v/>
      </c>
      <c r="G175">
        <f>IF(E175="";"";E175/100*XLOOKUP(XLOOKUP(C175;Portions!$A:$A;Portions!$B:$B);FoodItems!$A:$A;FoodItems!$C:$C))</f>
        <v/>
      </c>
      <c r="H175">
        <f>IF(E175="";"";E175/100*XLOOKUP(XLOOKUP(C175;Portions!$A:$A;Portions!$B:$B);FoodItems!$A:$A;FoodItems!$D:$D))</f>
        <v/>
      </c>
      <c r="I175">
        <f>IF(E175="";"";E175/100*XLOOKUP(XLOOKUP(C175;Portions!$A:$A;Portions!$B:$B);FoodItems!$A:$A;FoodItems!$E:$E))</f>
        <v/>
      </c>
    </row>
    <row r="176">
      <c r="E176">
        <f>IF(C176="";"";D176*XLOOKUP(C176;Portions!$A:$A;Portions!$D:$D))</f>
        <v/>
      </c>
      <c r="F176">
        <f>IF(E176="";"";E176/100*XLOOKUP(XLOOKUP(C176;Portions!$A:$A;Portions!$B:$B);FoodItems!$A:$A;FoodItems!$B:$B))</f>
        <v/>
      </c>
      <c r="G176">
        <f>IF(E176="";"";E176/100*XLOOKUP(XLOOKUP(C176;Portions!$A:$A;Portions!$B:$B);FoodItems!$A:$A;FoodItems!$C:$C))</f>
        <v/>
      </c>
      <c r="H176">
        <f>IF(E176="";"";E176/100*XLOOKUP(XLOOKUP(C176;Portions!$A:$A;Portions!$B:$B);FoodItems!$A:$A;FoodItems!$D:$D))</f>
        <v/>
      </c>
      <c r="I176">
        <f>IF(E176="";"";E176/100*XLOOKUP(XLOOKUP(C176;Portions!$A:$A;Portions!$B:$B);FoodItems!$A:$A;FoodItems!$E:$E))</f>
        <v/>
      </c>
    </row>
    <row r="177">
      <c r="E177">
        <f>IF(C177="";"";D177*XLOOKUP(C177;Portions!$A:$A;Portions!$D:$D))</f>
        <v/>
      </c>
      <c r="F177">
        <f>IF(E177="";"";E177/100*XLOOKUP(XLOOKUP(C177;Portions!$A:$A;Portions!$B:$B);FoodItems!$A:$A;FoodItems!$B:$B))</f>
        <v/>
      </c>
      <c r="G177">
        <f>IF(E177="";"";E177/100*XLOOKUP(XLOOKUP(C177;Portions!$A:$A;Portions!$B:$B);FoodItems!$A:$A;FoodItems!$C:$C))</f>
        <v/>
      </c>
      <c r="H177">
        <f>IF(E177="";"";E177/100*XLOOKUP(XLOOKUP(C177;Portions!$A:$A;Portions!$B:$B);FoodItems!$A:$A;FoodItems!$D:$D))</f>
        <v/>
      </c>
      <c r="I177">
        <f>IF(E177="";"";E177/100*XLOOKUP(XLOOKUP(C177;Portions!$A:$A;Portions!$B:$B);FoodItems!$A:$A;FoodItems!$E:$E))</f>
        <v/>
      </c>
    </row>
    <row r="178">
      <c r="E178">
        <f>IF(C178="";"";D178*XLOOKUP(C178;Portions!$A:$A;Portions!$D:$D))</f>
        <v/>
      </c>
      <c r="F178">
        <f>IF(E178="";"";E178/100*XLOOKUP(XLOOKUP(C178;Portions!$A:$A;Portions!$B:$B);FoodItems!$A:$A;FoodItems!$B:$B))</f>
        <v/>
      </c>
      <c r="G178">
        <f>IF(E178="";"";E178/100*XLOOKUP(XLOOKUP(C178;Portions!$A:$A;Portions!$B:$B);FoodItems!$A:$A;FoodItems!$C:$C))</f>
        <v/>
      </c>
      <c r="H178">
        <f>IF(E178="";"";E178/100*XLOOKUP(XLOOKUP(C178;Portions!$A:$A;Portions!$B:$B);FoodItems!$A:$A;FoodItems!$D:$D))</f>
        <v/>
      </c>
      <c r="I178">
        <f>IF(E178="";"";E178/100*XLOOKUP(XLOOKUP(C178;Portions!$A:$A;Portions!$B:$B);FoodItems!$A:$A;FoodItems!$E:$E))</f>
        <v/>
      </c>
    </row>
    <row r="179">
      <c r="E179">
        <f>IF(C179="";"";D179*XLOOKUP(C179;Portions!$A:$A;Portions!$D:$D))</f>
        <v/>
      </c>
      <c r="F179">
        <f>IF(E179="";"";E179/100*XLOOKUP(XLOOKUP(C179;Portions!$A:$A;Portions!$B:$B);FoodItems!$A:$A;FoodItems!$B:$B))</f>
        <v/>
      </c>
      <c r="G179">
        <f>IF(E179="";"";E179/100*XLOOKUP(XLOOKUP(C179;Portions!$A:$A;Portions!$B:$B);FoodItems!$A:$A;FoodItems!$C:$C))</f>
        <v/>
      </c>
      <c r="H179">
        <f>IF(E179="";"";E179/100*XLOOKUP(XLOOKUP(C179;Portions!$A:$A;Portions!$B:$B);FoodItems!$A:$A;FoodItems!$D:$D))</f>
        <v/>
      </c>
      <c r="I179">
        <f>IF(E179="";"";E179/100*XLOOKUP(XLOOKUP(C179;Portions!$A:$A;Portions!$B:$B);FoodItems!$A:$A;FoodItems!$E:$E))</f>
        <v/>
      </c>
    </row>
    <row r="180">
      <c r="E180">
        <f>IF(C180="";"";D180*XLOOKUP(C180;Portions!$A:$A;Portions!$D:$D))</f>
        <v/>
      </c>
      <c r="F180">
        <f>IF(E180="";"";E180/100*XLOOKUP(XLOOKUP(C180;Portions!$A:$A;Portions!$B:$B);FoodItems!$A:$A;FoodItems!$B:$B))</f>
        <v/>
      </c>
      <c r="G180">
        <f>IF(E180="";"";E180/100*XLOOKUP(XLOOKUP(C180;Portions!$A:$A;Portions!$B:$B);FoodItems!$A:$A;FoodItems!$C:$C))</f>
        <v/>
      </c>
      <c r="H180">
        <f>IF(E180="";"";E180/100*XLOOKUP(XLOOKUP(C180;Portions!$A:$A;Portions!$B:$B);FoodItems!$A:$A;FoodItems!$D:$D))</f>
        <v/>
      </c>
      <c r="I180">
        <f>IF(E180="";"";E180/100*XLOOKUP(XLOOKUP(C180;Portions!$A:$A;Portions!$B:$B);FoodItems!$A:$A;FoodItems!$E:$E))</f>
        <v/>
      </c>
    </row>
    <row r="181">
      <c r="E181">
        <f>IF(C181="";"";D181*XLOOKUP(C181;Portions!$A:$A;Portions!$D:$D))</f>
        <v/>
      </c>
      <c r="F181">
        <f>IF(E181="";"";E181/100*XLOOKUP(XLOOKUP(C181;Portions!$A:$A;Portions!$B:$B);FoodItems!$A:$A;FoodItems!$B:$B))</f>
        <v/>
      </c>
      <c r="G181">
        <f>IF(E181="";"";E181/100*XLOOKUP(XLOOKUP(C181;Portions!$A:$A;Portions!$B:$B);FoodItems!$A:$A;FoodItems!$C:$C))</f>
        <v/>
      </c>
      <c r="H181">
        <f>IF(E181="";"";E181/100*XLOOKUP(XLOOKUP(C181;Portions!$A:$A;Portions!$B:$B);FoodItems!$A:$A;FoodItems!$D:$D))</f>
        <v/>
      </c>
      <c r="I181">
        <f>IF(E181="";"";E181/100*XLOOKUP(XLOOKUP(C181;Portions!$A:$A;Portions!$B:$B);FoodItems!$A:$A;FoodItems!$E:$E))</f>
        <v/>
      </c>
    </row>
    <row r="182">
      <c r="E182">
        <f>IF(C182="";"";D182*XLOOKUP(C182;Portions!$A:$A;Portions!$D:$D))</f>
        <v/>
      </c>
      <c r="F182">
        <f>IF(E182="";"";E182/100*XLOOKUP(XLOOKUP(C182;Portions!$A:$A;Portions!$B:$B);FoodItems!$A:$A;FoodItems!$B:$B))</f>
        <v/>
      </c>
      <c r="G182">
        <f>IF(E182="";"";E182/100*XLOOKUP(XLOOKUP(C182;Portions!$A:$A;Portions!$B:$B);FoodItems!$A:$A;FoodItems!$C:$C))</f>
        <v/>
      </c>
      <c r="H182">
        <f>IF(E182="";"";E182/100*XLOOKUP(XLOOKUP(C182;Portions!$A:$A;Portions!$B:$B);FoodItems!$A:$A;FoodItems!$D:$D))</f>
        <v/>
      </c>
      <c r="I182">
        <f>IF(E182="";"";E182/100*XLOOKUP(XLOOKUP(C182;Portions!$A:$A;Portions!$B:$B);FoodItems!$A:$A;FoodItems!$E:$E))</f>
        <v/>
      </c>
    </row>
    <row r="183">
      <c r="E183">
        <f>IF(C183="";"";D183*XLOOKUP(C183;Portions!$A:$A;Portions!$D:$D))</f>
        <v/>
      </c>
      <c r="F183">
        <f>IF(E183="";"";E183/100*XLOOKUP(XLOOKUP(C183;Portions!$A:$A;Portions!$B:$B);FoodItems!$A:$A;FoodItems!$B:$B))</f>
        <v/>
      </c>
      <c r="G183">
        <f>IF(E183="";"";E183/100*XLOOKUP(XLOOKUP(C183;Portions!$A:$A;Portions!$B:$B);FoodItems!$A:$A;FoodItems!$C:$C))</f>
        <v/>
      </c>
      <c r="H183">
        <f>IF(E183="";"";E183/100*XLOOKUP(XLOOKUP(C183;Portions!$A:$A;Portions!$B:$B);FoodItems!$A:$A;FoodItems!$D:$D))</f>
        <v/>
      </c>
      <c r="I183">
        <f>IF(E183="";"";E183/100*XLOOKUP(XLOOKUP(C183;Portions!$A:$A;Portions!$B:$B);FoodItems!$A:$A;FoodItems!$E:$E))</f>
        <v/>
      </c>
    </row>
    <row r="184">
      <c r="E184">
        <f>IF(C184="";"";D184*XLOOKUP(C184;Portions!$A:$A;Portions!$D:$D))</f>
        <v/>
      </c>
      <c r="F184">
        <f>IF(E184="";"";E184/100*XLOOKUP(XLOOKUP(C184;Portions!$A:$A;Portions!$B:$B);FoodItems!$A:$A;FoodItems!$B:$B))</f>
        <v/>
      </c>
      <c r="G184">
        <f>IF(E184="";"";E184/100*XLOOKUP(XLOOKUP(C184;Portions!$A:$A;Portions!$B:$B);FoodItems!$A:$A;FoodItems!$C:$C))</f>
        <v/>
      </c>
      <c r="H184">
        <f>IF(E184="";"";E184/100*XLOOKUP(XLOOKUP(C184;Portions!$A:$A;Portions!$B:$B);FoodItems!$A:$A;FoodItems!$D:$D))</f>
        <v/>
      </c>
      <c r="I184">
        <f>IF(E184="";"";E184/100*XLOOKUP(XLOOKUP(C184;Portions!$A:$A;Portions!$B:$B);FoodItems!$A:$A;FoodItems!$E:$E))</f>
        <v/>
      </c>
    </row>
    <row r="185">
      <c r="E185">
        <f>IF(C185="";"";D185*XLOOKUP(C185;Portions!$A:$A;Portions!$D:$D))</f>
        <v/>
      </c>
      <c r="F185">
        <f>IF(E185="";"";E185/100*XLOOKUP(XLOOKUP(C185;Portions!$A:$A;Portions!$B:$B);FoodItems!$A:$A;FoodItems!$B:$B))</f>
        <v/>
      </c>
      <c r="G185">
        <f>IF(E185="";"";E185/100*XLOOKUP(XLOOKUP(C185;Portions!$A:$A;Portions!$B:$B);FoodItems!$A:$A;FoodItems!$C:$C))</f>
        <v/>
      </c>
      <c r="H185">
        <f>IF(E185="";"";E185/100*XLOOKUP(XLOOKUP(C185;Portions!$A:$A;Portions!$B:$B);FoodItems!$A:$A;FoodItems!$D:$D))</f>
        <v/>
      </c>
      <c r="I185">
        <f>IF(E185="";"";E185/100*XLOOKUP(XLOOKUP(C185;Portions!$A:$A;Portions!$B:$B);FoodItems!$A:$A;FoodItems!$E:$E))</f>
        <v/>
      </c>
    </row>
    <row r="186">
      <c r="E186">
        <f>IF(C186="";"";D186*XLOOKUP(C186;Portions!$A:$A;Portions!$D:$D))</f>
        <v/>
      </c>
      <c r="F186">
        <f>IF(E186="";"";E186/100*XLOOKUP(XLOOKUP(C186;Portions!$A:$A;Portions!$B:$B);FoodItems!$A:$A;FoodItems!$B:$B))</f>
        <v/>
      </c>
      <c r="G186">
        <f>IF(E186="";"";E186/100*XLOOKUP(XLOOKUP(C186;Portions!$A:$A;Portions!$B:$B);FoodItems!$A:$A;FoodItems!$C:$C))</f>
        <v/>
      </c>
      <c r="H186">
        <f>IF(E186="";"";E186/100*XLOOKUP(XLOOKUP(C186;Portions!$A:$A;Portions!$B:$B);FoodItems!$A:$A;FoodItems!$D:$D))</f>
        <v/>
      </c>
      <c r="I186">
        <f>IF(E186="";"";E186/100*XLOOKUP(XLOOKUP(C186;Portions!$A:$A;Portions!$B:$B);FoodItems!$A:$A;FoodItems!$E:$E))</f>
        <v/>
      </c>
    </row>
    <row r="187">
      <c r="E187">
        <f>IF(C187="";"";D187*XLOOKUP(C187;Portions!$A:$A;Portions!$D:$D))</f>
        <v/>
      </c>
      <c r="F187">
        <f>IF(E187="";"";E187/100*XLOOKUP(XLOOKUP(C187;Portions!$A:$A;Portions!$B:$B);FoodItems!$A:$A;FoodItems!$B:$B))</f>
        <v/>
      </c>
      <c r="G187">
        <f>IF(E187="";"";E187/100*XLOOKUP(XLOOKUP(C187;Portions!$A:$A;Portions!$B:$B);FoodItems!$A:$A;FoodItems!$C:$C))</f>
        <v/>
      </c>
      <c r="H187">
        <f>IF(E187="";"";E187/100*XLOOKUP(XLOOKUP(C187;Portions!$A:$A;Portions!$B:$B);FoodItems!$A:$A;FoodItems!$D:$D))</f>
        <v/>
      </c>
      <c r="I187">
        <f>IF(E187="";"";E187/100*XLOOKUP(XLOOKUP(C187;Portions!$A:$A;Portions!$B:$B);FoodItems!$A:$A;FoodItems!$E:$E))</f>
        <v/>
      </c>
    </row>
    <row r="188">
      <c r="E188">
        <f>IF(C188="";"";D188*XLOOKUP(C188;Portions!$A:$A;Portions!$D:$D))</f>
        <v/>
      </c>
      <c r="F188">
        <f>IF(E188="";"";E188/100*XLOOKUP(XLOOKUP(C188;Portions!$A:$A;Portions!$B:$B);FoodItems!$A:$A;FoodItems!$B:$B))</f>
        <v/>
      </c>
      <c r="G188">
        <f>IF(E188="";"";E188/100*XLOOKUP(XLOOKUP(C188;Portions!$A:$A;Portions!$B:$B);FoodItems!$A:$A;FoodItems!$C:$C))</f>
        <v/>
      </c>
      <c r="H188">
        <f>IF(E188="";"";E188/100*XLOOKUP(XLOOKUP(C188;Portions!$A:$A;Portions!$B:$B);FoodItems!$A:$A;FoodItems!$D:$D))</f>
        <v/>
      </c>
      <c r="I188">
        <f>IF(E188="";"";E188/100*XLOOKUP(XLOOKUP(C188;Portions!$A:$A;Portions!$B:$B);FoodItems!$A:$A;FoodItems!$E:$E))</f>
        <v/>
      </c>
    </row>
    <row r="189">
      <c r="E189">
        <f>IF(C189="";"";D189*XLOOKUP(C189;Portions!$A:$A;Portions!$D:$D))</f>
        <v/>
      </c>
      <c r="F189">
        <f>IF(E189="";"";E189/100*XLOOKUP(XLOOKUP(C189;Portions!$A:$A;Portions!$B:$B);FoodItems!$A:$A;FoodItems!$B:$B))</f>
        <v/>
      </c>
      <c r="G189">
        <f>IF(E189="";"";E189/100*XLOOKUP(XLOOKUP(C189;Portions!$A:$A;Portions!$B:$B);FoodItems!$A:$A;FoodItems!$C:$C))</f>
        <v/>
      </c>
      <c r="H189">
        <f>IF(E189="";"";E189/100*XLOOKUP(XLOOKUP(C189;Portions!$A:$A;Portions!$B:$B);FoodItems!$A:$A;FoodItems!$D:$D))</f>
        <v/>
      </c>
      <c r="I189">
        <f>IF(E189="";"";E189/100*XLOOKUP(XLOOKUP(C189;Portions!$A:$A;Portions!$B:$B);FoodItems!$A:$A;FoodItems!$E:$E))</f>
        <v/>
      </c>
    </row>
    <row r="190">
      <c r="E190">
        <f>IF(C190="";"";D190*XLOOKUP(C190;Portions!$A:$A;Portions!$D:$D))</f>
        <v/>
      </c>
      <c r="F190">
        <f>IF(E190="";"";E190/100*XLOOKUP(XLOOKUP(C190;Portions!$A:$A;Portions!$B:$B);FoodItems!$A:$A;FoodItems!$B:$B))</f>
        <v/>
      </c>
      <c r="G190">
        <f>IF(E190="";"";E190/100*XLOOKUP(XLOOKUP(C190;Portions!$A:$A;Portions!$B:$B);FoodItems!$A:$A;FoodItems!$C:$C))</f>
        <v/>
      </c>
      <c r="H190">
        <f>IF(E190="";"";E190/100*XLOOKUP(XLOOKUP(C190;Portions!$A:$A;Portions!$B:$B);FoodItems!$A:$A;FoodItems!$D:$D))</f>
        <v/>
      </c>
      <c r="I190">
        <f>IF(E190="";"";E190/100*XLOOKUP(XLOOKUP(C190;Portions!$A:$A;Portions!$B:$B);FoodItems!$A:$A;FoodItems!$E:$E))</f>
        <v/>
      </c>
    </row>
    <row r="191">
      <c r="E191">
        <f>IF(C191="";"";D191*XLOOKUP(C191;Portions!$A:$A;Portions!$D:$D))</f>
        <v/>
      </c>
      <c r="F191">
        <f>IF(E191="";"";E191/100*XLOOKUP(XLOOKUP(C191;Portions!$A:$A;Portions!$B:$B);FoodItems!$A:$A;FoodItems!$B:$B))</f>
        <v/>
      </c>
      <c r="G191">
        <f>IF(E191="";"";E191/100*XLOOKUP(XLOOKUP(C191;Portions!$A:$A;Portions!$B:$B);FoodItems!$A:$A;FoodItems!$C:$C))</f>
        <v/>
      </c>
      <c r="H191">
        <f>IF(E191="";"";E191/100*XLOOKUP(XLOOKUP(C191;Portions!$A:$A;Portions!$B:$B);FoodItems!$A:$A;FoodItems!$D:$D))</f>
        <v/>
      </c>
      <c r="I191">
        <f>IF(E191="";"";E191/100*XLOOKUP(XLOOKUP(C191;Portions!$A:$A;Portions!$B:$B);FoodItems!$A:$A;FoodItems!$E:$E))</f>
        <v/>
      </c>
    </row>
    <row r="192">
      <c r="E192">
        <f>IF(C192="";"";D192*XLOOKUP(C192;Portions!$A:$A;Portions!$D:$D))</f>
        <v/>
      </c>
      <c r="F192">
        <f>IF(E192="";"";E192/100*XLOOKUP(XLOOKUP(C192;Portions!$A:$A;Portions!$B:$B);FoodItems!$A:$A;FoodItems!$B:$B))</f>
        <v/>
      </c>
      <c r="G192">
        <f>IF(E192="";"";E192/100*XLOOKUP(XLOOKUP(C192;Portions!$A:$A;Portions!$B:$B);FoodItems!$A:$A;FoodItems!$C:$C))</f>
        <v/>
      </c>
      <c r="H192">
        <f>IF(E192="";"";E192/100*XLOOKUP(XLOOKUP(C192;Portions!$A:$A;Portions!$B:$B);FoodItems!$A:$A;FoodItems!$D:$D))</f>
        <v/>
      </c>
      <c r="I192">
        <f>IF(E192="";"";E192/100*XLOOKUP(XLOOKUP(C192;Portions!$A:$A;Portions!$B:$B);FoodItems!$A:$A;FoodItems!$E:$E))</f>
        <v/>
      </c>
    </row>
    <row r="193">
      <c r="E193">
        <f>IF(C193="";"";D193*XLOOKUP(C193;Portions!$A:$A;Portions!$D:$D))</f>
        <v/>
      </c>
      <c r="F193">
        <f>IF(E193="";"";E193/100*XLOOKUP(XLOOKUP(C193;Portions!$A:$A;Portions!$B:$B);FoodItems!$A:$A;FoodItems!$B:$B))</f>
        <v/>
      </c>
      <c r="G193">
        <f>IF(E193="";"";E193/100*XLOOKUP(XLOOKUP(C193;Portions!$A:$A;Portions!$B:$B);FoodItems!$A:$A;FoodItems!$C:$C))</f>
        <v/>
      </c>
      <c r="H193">
        <f>IF(E193="";"";E193/100*XLOOKUP(XLOOKUP(C193;Portions!$A:$A;Portions!$B:$B);FoodItems!$A:$A;FoodItems!$D:$D))</f>
        <v/>
      </c>
      <c r="I193">
        <f>IF(E193="";"";E193/100*XLOOKUP(XLOOKUP(C193;Portions!$A:$A;Portions!$B:$B);FoodItems!$A:$A;FoodItems!$E:$E))</f>
        <v/>
      </c>
    </row>
    <row r="194">
      <c r="E194">
        <f>IF(C194="";"";D194*XLOOKUP(C194;Portions!$A:$A;Portions!$D:$D))</f>
        <v/>
      </c>
      <c r="F194">
        <f>IF(E194="";"";E194/100*XLOOKUP(XLOOKUP(C194;Portions!$A:$A;Portions!$B:$B);FoodItems!$A:$A;FoodItems!$B:$B))</f>
        <v/>
      </c>
      <c r="G194">
        <f>IF(E194="";"";E194/100*XLOOKUP(XLOOKUP(C194;Portions!$A:$A;Portions!$B:$B);FoodItems!$A:$A;FoodItems!$C:$C))</f>
        <v/>
      </c>
      <c r="H194">
        <f>IF(E194="";"";E194/100*XLOOKUP(XLOOKUP(C194;Portions!$A:$A;Portions!$B:$B);FoodItems!$A:$A;FoodItems!$D:$D))</f>
        <v/>
      </c>
      <c r="I194">
        <f>IF(E194="";"";E194/100*XLOOKUP(XLOOKUP(C194;Portions!$A:$A;Portions!$B:$B);FoodItems!$A:$A;FoodItems!$E:$E))</f>
        <v/>
      </c>
    </row>
    <row r="195">
      <c r="E195">
        <f>IF(C195="";"";D195*XLOOKUP(C195;Portions!$A:$A;Portions!$D:$D))</f>
        <v/>
      </c>
      <c r="F195">
        <f>IF(E195="";"";E195/100*XLOOKUP(XLOOKUP(C195;Portions!$A:$A;Portions!$B:$B);FoodItems!$A:$A;FoodItems!$B:$B))</f>
        <v/>
      </c>
      <c r="G195">
        <f>IF(E195="";"";E195/100*XLOOKUP(XLOOKUP(C195;Portions!$A:$A;Portions!$B:$B);FoodItems!$A:$A;FoodItems!$C:$C))</f>
        <v/>
      </c>
      <c r="H195">
        <f>IF(E195="";"";E195/100*XLOOKUP(XLOOKUP(C195;Portions!$A:$A;Portions!$B:$B);FoodItems!$A:$A;FoodItems!$D:$D))</f>
        <v/>
      </c>
      <c r="I195">
        <f>IF(E195="";"";E195/100*XLOOKUP(XLOOKUP(C195;Portions!$A:$A;Portions!$B:$B);FoodItems!$A:$A;FoodItems!$E:$E))</f>
        <v/>
      </c>
    </row>
    <row r="196">
      <c r="E196">
        <f>IF(C196="";"";D196*XLOOKUP(C196;Portions!$A:$A;Portions!$D:$D))</f>
        <v/>
      </c>
      <c r="F196">
        <f>IF(E196="";"";E196/100*XLOOKUP(XLOOKUP(C196;Portions!$A:$A;Portions!$B:$B);FoodItems!$A:$A;FoodItems!$B:$B))</f>
        <v/>
      </c>
      <c r="G196">
        <f>IF(E196="";"";E196/100*XLOOKUP(XLOOKUP(C196;Portions!$A:$A;Portions!$B:$B);FoodItems!$A:$A;FoodItems!$C:$C))</f>
        <v/>
      </c>
      <c r="H196">
        <f>IF(E196="";"";E196/100*XLOOKUP(XLOOKUP(C196;Portions!$A:$A;Portions!$B:$B);FoodItems!$A:$A;FoodItems!$D:$D))</f>
        <v/>
      </c>
      <c r="I196">
        <f>IF(E196="";"";E196/100*XLOOKUP(XLOOKUP(C196;Portions!$A:$A;Portions!$B:$B);FoodItems!$A:$A;FoodItems!$E:$E))</f>
        <v/>
      </c>
    </row>
    <row r="197">
      <c r="E197">
        <f>IF(C197="";"";D197*XLOOKUP(C197;Portions!$A:$A;Portions!$D:$D))</f>
        <v/>
      </c>
      <c r="F197">
        <f>IF(E197="";"";E197/100*XLOOKUP(XLOOKUP(C197;Portions!$A:$A;Portions!$B:$B);FoodItems!$A:$A;FoodItems!$B:$B))</f>
        <v/>
      </c>
      <c r="G197">
        <f>IF(E197="";"";E197/100*XLOOKUP(XLOOKUP(C197;Portions!$A:$A;Portions!$B:$B);FoodItems!$A:$A;FoodItems!$C:$C))</f>
        <v/>
      </c>
      <c r="H197">
        <f>IF(E197="";"";E197/100*XLOOKUP(XLOOKUP(C197;Portions!$A:$A;Portions!$B:$B);FoodItems!$A:$A;FoodItems!$D:$D))</f>
        <v/>
      </c>
      <c r="I197">
        <f>IF(E197="";"";E197/100*XLOOKUP(XLOOKUP(C197;Portions!$A:$A;Portions!$B:$B);FoodItems!$A:$A;FoodItems!$E:$E))</f>
        <v/>
      </c>
    </row>
    <row r="198">
      <c r="E198">
        <f>IF(C198="";"";D198*XLOOKUP(C198;Portions!$A:$A;Portions!$D:$D))</f>
        <v/>
      </c>
      <c r="F198">
        <f>IF(E198="";"";E198/100*XLOOKUP(XLOOKUP(C198;Portions!$A:$A;Portions!$B:$B);FoodItems!$A:$A;FoodItems!$B:$B))</f>
        <v/>
      </c>
      <c r="G198">
        <f>IF(E198="";"";E198/100*XLOOKUP(XLOOKUP(C198;Portions!$A:$A;Portions!$B:$B);FoodItems!$A:$A;FoodItems!$C:$C))</f>
        <v/>
      </c>
      <c r="H198">
        <f>IF(E198="";"";E198/100*XLOOKUP(XLOOKUP(C198;Portions!$A:$A;Portions!$B:$B);FoodItems!$A:$A;FoodItems!$D:$D))</f>
        <v/>
      </c>
      <c r="I198">
        <f>IF(E198="";"";E198/100*XLOOKUP(XLOOKUP(C198;Portions!$A:$A;Portions!$B:$B);FoodItems!$A:$A;FoodItems!$E:$E))</f>
        <v/>
      </c>
    </row>
    <row r="199">
      <c r="E199">
        <f>IF(C199="";"";D199*XLOOKUP(C199;Portions!$A:$A;Portions!$D:$D))</f>
        <v/>
      </c>
      <c r="F199">
        <f>IF(E199="";"";E199/100*XLOOKUP(XLOOKUP(C199;Portions!$A:$A;Portions!$B:$B);FoodItems!$A:$A;FoodItems!$B:$B))</f>
        <v/>
      </c>
      <c r="G199">
        <f>IF(E199="";"";E199/100*XLOOKUP(XLOOKUP(C199;Portions!$A:$A;Portions!$B:$B);FoodItems!$A:$A;FoodItems!$C:$C))</f>
        <v/>
      </c>
      <c r="H199">
        <f>IF(E199="";"";E199/100*XLOOKUP(XLOOKUP(C199;Portions!$A:$A;Portions!$B:$B);FoodItems!$A:$A;FoodItems!$D:$D))</f>
        <v/>
      </c>
      <c r="I199">
        <f>IF(E199="";"";E199/100*XLOOKUP(XLOOKUP(C199;Portions!$A:$A;Portions!$B:$B);FoodItems!$A:$A;FoodItems!$E:$E))</f>
        <v/>
      </c>
    </row>
    <row r="200">
      <c r="E200">
        <f>IF(C200="";"";D200*XLOOKUP(C200;Portions!$A:$A;Portions!$D:$D))</f>
        <v/>
      </c>
      <c r="F200">
        <f>IF(E200="";"";E200/100*XLOOKUP(XLOOKUP(C200;Portions!$A:$A;Portions!$B:$B);FoodItems!$A:$A;FoodItems!$B:$B))</f>
        <v/>
      </c>
      <c r="G200">
        <f>IF(E200="";"";E200/100*XLOOKUP(XLOOKUP(C200;Portions!$A:$A;Portions!$B:$B);FoodItems!$A:$A;FoodItems!$C:$C))</f>
        <v/>
      </c>
      <c r="H200">
        <f>IF(E200="";"";E200/100*XLOOKUP(XLOOKUP(C200;Portions!$A:$A;Portions!$B:$B);FoodItems!$A:$A;FoodItems!$D:$D))</f>
        <v/>
      </c>
      <c r="I200">
        <f>IF(E200="";"";E200/100*XLOOKUP(XLOOKUP(C200;Portions!$A:$A;Portions!$B:$B);FoodItems!$A:$A;FoodItems!$E:$E))</f>
        <v/>
      </c>
    </row>
    <row r="201">
      <c r="E201">
        <f>IF(C201="";"";D201*XLOOKUP(C201;Portions!$A:$A;Portions!$D:$D))</f>
        <v/>
      </c>
      <c r="F201">
        <f>IF(E201="";"";E201/100*XLOOKUP(XLOOKUP(C201;Portions!$A:$A;Portions!$B:$B);FoodItems!$A:$A;FoodItems!$B:$B))</f>
        <v/>
      </c>
      <c r="G201">
        <f>IF(E201="";"";E201/100*XLOOKUP(XLOOKUP(C201;Portions!$A:$A;Portions!$B:$B);FoodItems!$A:$A;FoodItems!$C:$C))</f>
        <v/>
      </c>
      <c r="H201">
        <f>IF(E201="";"";E201/100*XLOOKUP(XLOOKUP(C201;Portions!$A:$A;Portions!$B:$B);FoodItems!$A:$A;FoodItems!$D:$D))</f>
        <v/>
      </c>
      <c r="I201">
        <f>IF(E201="";"";E201/100*XLOOKUP(XLOOKUP(C201;Portions!$A:$A;Portions!$B:$B);FoodItems!$A:$A;FoodItems!$E:$E))</f>
        <v/>
      </c>
    </row>
    <row r="202">
      <c r="E202">
        <f>IF(C202="";"";D202*XLOOKUP(C202;Portions!$A:$A;Portions!$D:$D))</f>
        <v/>
      </c>
      <c r="F202">
        <f>IF(E202="";"";E202/100*XLOOKUP(XLOOKUP(C202;Portions!$A:$A;Portions!$B:$B);FoodItems!$A:$A;FoodItems!$B:$B))</f>
        <v/>
      </c>
      <c r="G202">
        <f>IF(E202="";"";E202/100*XLOOKUP(XLOOKUP(C202;Portions!$A:$A;Portions!$B:$B);FoodItems!$A:$A;FoodItems!$C:$C))</f>
        <v/>
      </c>
      <c r="H202">
        <f>IF(E202="";"";E202/100*XLOOKUP(XLOOKUP(C202;Portions!$A:$A;Portions!$B:$B);FoodItems!$A:$A;FoodItems!$D:$D))</f>
        <v/>
      </c>
      <c r="I202">
        <f>IF(E202="";"";E202/100*XLOOKUP(XLOOKUP(C202;Portions!$A:$A;Portions!$B:$B);FoodItems!$A:$A;FoodItems!$E:$E))</f>
        <v/>
      </c>
    </row>
    <row r="203">
      <c r="E203">
        <f>IF(C203="";"";D203*XLOOKUP(C203;Portions!$A:$A;Portions!$D:$D))</f>
        <v/>
      </c>
      <c r="F203">
        <f>IF(E203="";"";E203/100*XLOOKUP(XLOOKUP(C203;Portions!$A:$A;Portions!$B:$B);FoodItems!$A:$A;FoodItems!$B:$B))</f>
        <v/>
      </c>
      <c r="G203">
        <f>IF(E203="";"";E203/100*XLOOKUP(XLOOKUP(C203;Portions!$A:$A;Portions!$B:$B);FoodItems!$A:$A;FoodItems!$C:$C))</f>
        <v/>
      </c>
      <c r="H203">
        <f>IF(E203="";"";E203/100*XLOOKUP(XLOOKUP(C203;Portions!$A:$A;Portions!$B:$B);FoodItems!$A:$A;FoodItems!$D:$D))</f>
        <v/>
      </c>
      <c r="I203">
        <f>IF(E203="";"";E203/100*XLOOKUP(XLOOKUP(C203;Portions!$A:$A;Portions!$B:$B);FoodItems!$A:$A;FoodItems!$E:$E))</f>
        <v/>
      </c>
    </row>
    <row r="204">
      <c r="E204">
        <f>IF(C204="";"";D204*XLOOKUP(C204;Portions!$A:$A;Portions!$D:$D))</f>
        <v/>
      </c>
      <c r="F204">
        <f>IF(E204="";"";E204/100*XLOOKUP(XLOOKUP(C204;Portions!$A:$A;Portions!$B:$B);FoodItems!$A:$A;FoodItems!$B:$B))</f>
        <v/>
      </c>
      <c r="G204">
        <f>IF(E204="";"";E204/100*XLOOKUP(XLOOKUP(C204;Portions!$A:$A;Portions!$B:$B);FoodItems!$A:$A;FoodItems!$C:$C))</f>
        <v/>
      </c>
      <c r="H204">
        <f>IF(E204="";"";E204/100*XLOOKUP(XLOOKUP(C204;Portions!$A:$A;Portions!$B:$B);FoodItems!$A:$A;FoodItems!$D:$D))</f>
        <v/>
      </c>
      <c r="I204">
        <f>IF(E204="";"";E204/100*XLOOKUP(XLOOKUP(C204;Portions!$A:$A;Portions!$B:$B);FoodItems!$A:$A;FoodItems!$E:$E))</f>
        <v/>
      </c>
    </row>
    <row r="205">
      <c r="E205">
        <f>IF(C205="";"";D205*XLOOKUP(C205;Portions!$A:$A;Portions!$D:$D))</f>
        <v/>
      </c>
      <c r="F205">
        <f>IF(E205="";"";E205/100*XLOOKUP(XLOOKUP(C205;Portions!$A:$A;Portions!$B:$B);FoodItems!$A:$A;FoodItems!$B:$B))</f>
        <v/>
      </c>
      <c r="G205">
        <f>IF(E205="";"";E205/100*XLOOKUP(XLOOKUP(C205;Portions!$A:$A;Portions!$B:$B);FoodItems!$A:$A;FoodItems!$C:$C))</f>
        <v/>
      </c>
      <c r="H205">
        <f>IF(E205="";"";E205/100*XLOOKUP(XLOOKUP(C205;Portions!$A:$A;Portions!$B:$B);FoodItems!$A:$A;FoodItems!$D:$D))</f>
        <v/>
      </c>
      <c r="I205">
        <f>IF(E205="";"";E205/100*XLOOKUP(XLOOKUP(C205;Portions!$A:$A;Portions!$B:$B);FoodItems!$A:$A;FoodItems!$E:$E))</f>
        <v/>
      </c>
    </row>
    <row r="206">
      <c r="E206">
        <f>IF(C206="";"";D206*XLOOKUP(C206;Portions!$A:$A;Portions!$D:$D))</f>
        <v/>
      </c>
      <c r="F206">
        <f>IF(E206="";"";E206/100*XLOOKUP(XLOOKUP(C206;Portions!$A:$A;Portions!$B:$B);FoodItems!$A:$A;FoodItems!$B:$B))</f>
        <v/>
      </c>
      <c r="G206">
        <f>IF(E206="";"";E206/100*XLOOKUP(XLOOKUP(C206;Portions!$A:$A;Portions!$B:$B);FoodItems!$A:$A;FoodItems!$C:$C))</f>
        <v/>
      </c>
      <c r="H206">
        <f>IF(E206="";"";E206/100*XLOOKUP(XLOOKUP(C206;Portions!$A:$A;Portions!$B:$B);FoodItems!$A:$A;FoodItems!$D:$D))</f>
        <v/>
      </c>
      <c r="I206">
        <f>IF(E206="";"";E206/100*XLOOKUP(XLOOKUP(C206;Portions!$A:$A;Portions!$B:$B);FoodItems!$A:$A;FoodItems!$E:$E))</f>
        <v/>
      </c>
    </row>
    <row r="207">
      <c r="E207">
        <f>IF(C207="";"";D207*XLOOKUP(C207;Portions!$A:$A;Portions!$D:$D))</f>
        <v/>
      </c>
      <c r="F207">
        <f>IF(E207="";"";E207/100*XLOOKUP(XLOOKUP(C207;Portions!$A:$A;Portions!$B:$B);FoodItems!$A:$A;FoodItems!$B:$B))</f>
        <v/>
      </c>
      <c r="G207">
        <f>IF(E207="";"";E207/100*XLOOKUP(XLOOKUP(C207;Portions!$A:$A;Portions!$B:$B);FoodItems!$A:$A;FoodItems!$C:$C))</f>
        <v/>
      </c>
      <c r="H207">
        <f>IF(E207="";"";E207/100*XLOOKUP(XLOOKUP(C207;Portions!$A:$A;Portions!$B:$B);FoodItems!$A:$A;FoodItems!$D:$D))</f>
        <v/>
      </c>
      <c r="I207">
        <f>IF(E207="";"";E207/100*XLOOKUP(XLOOKUP(C207;Portions!$A:$A;Portions!$B:$B);FoodItems!$A:$A;FoodItems!$E:$E))</f>
        <v/>
      </c>
    </row>
    <row r="208">
      <c r="E208">
        <f>IF(C208="";"";D208*XLOOKUP(C208;Portions!$A:$A;Portions!$D:$D))</f>
        <v/>
      </c>
      <c r="F208">
        <f>IF(E208="";"";E208/100*XLOOKUP(XLOOKUP(C208;Portions!$A:$A;Portions!$B:$B);FoodItems!$A:$A;FoodItems!$B:$B))</f>
        <v/>
      </c>
      <c r="G208">
        <f>IF(E208="";"";E208/100*XLOOKUP(XLOOKUP(C208;Portions!$A:$A;Portions!$B:$B);FoodItems!$A:$A;FoodItems!$C:$C))</f>
        <v/>
      </c>
      <c r="H208">
        <f>IF(E208="";"";E208/100*XLOOKUP(XLOOKUP(C208;Portions!$A:$A;Portions!$B:$B);FoodItems!$A:$A;FoodItems!$D:$D))</f>
        <v/>
      </c>
      <c r="I208">
        <f>IF(E208="";"";E208/100*XLOOKUP(XLOOKUP(C208;Portions!$A:$A;Portions!$B:$B);FoodItems!$A:$A;FoodItems!$E:$E))</f>
        <v/>
      </c>
    </row>
    <row r="209">
      <c r="E209">
        <f>IF(C209="";"";D209*XLOOKUP(C209;Portions!$A:$A;Portions!$D:$D))</f>
        <v/>
      </c>
      <c r="F209">
        <f>IF(E209="";"";E209/100*XLOOKUP(XLOOKUP(C209;Portions!$A:$A;Portions!$B:$B);FoodItems!$A:$A;FoodItems!$B:$B))</f>
        <v/>
      </c>
      <c r="G209">
        <f>IF(E209="";"";E209/100*XLOOKUP(XLOOKUP(C209;Portions!$A:$A;Portions!$B:$B);FoodItems!$A:$A;FoodItems!$C:$C))</f>
        <v/>
      </c>
      <c r="H209">
        <f>IF(E209="";"";E209/100*XLOOKUP(XLOOKUP(C209;Portions!$A:$A;Portions!$B:$B);FoodItems!$A:$A;FoodItems!$D:$D))</f>
        <v/>
      </c>
      <c r="I209">
        <f>IF(E209="";"";E209/100*XLOOKUP(XLOOKUP(C209;Portions!$A:$A;Portions!$B:$B);FoodItems!$A:$A;FoodItems!$E:$E))</f>
        <v/>
      </c>
    </row>
    <row r="210">
      <c r="E210">
        <f>IF(C210="";"";D210*XLOOKUP(C210;Portions!$A:$A;Portions!$D:$D))</f>
        <v/>
      </c>
      <c r="F210">
        <f>IF(E210="";"";E210/100*XLOOKUP(XLOOKUP(C210;Portions!$A:$A;Portions!$B:$B);FoodItems!$A:$A;FoodItems!$B:$B))</f>
        <v/>
      </c>
      <c r="G210">
        <f>IF(E210="";"";E210/100*XLOOKUP(XLOOKUP(C210;Portions!$A:$A;Portions!$B:$B);FoodItems!$A:$A;FoodItems!$C:$C))</f>
        <v/>
      </c>
      <c r="H210">
        <f>IF(E210="";"";E210/100*XLOOKUP(XLOOKUP(C210;Portions!$A:$A;Portions!$B:$B);FoodItems!$A:$A;FoodItems!$D:$D))</f>
        <v/>
      </c>
      <c r="I210">
        <f>IF(E210="";"";E210/100*XLOOKUP(XLOOKUP(C210;Portions!$A:$A;Portions!$B:$B);FoodItems!$A:$A;FoodItems!$E:$E))</f>
        <v/>
      </c>
    </row>
    <row r="211">
      <c r="E211">
        <f>IF(C211="";"";D211*XLOOKUP(C211;Portions!$A:$A;Portions!$D:$D))</f>
        <v/>
      </c>
      <c r="F211">
        <f>IF(E211="";"";E211/100*XLOOKUP(XLOOKUP(C211;Portions!$A:$A;Portions!$B:$B);FoodItems!$A:$A;FoodItems!$B:$B))</f>
        <v/>
      </c>
      <c r="G211">
        <f>IF(E211="";"";E211/100*XLOOKUP(XLOOKUP(C211;Portions!$A:$A;Portions!$B:$B);FoodItems!$A:$A;FoodItems!$C:$C))</f>
        <v/>
      </c>
      <c r="H211">
        <f>IF(E211="";"";E211/100*XLOOKUP(XLOOKUP(C211;Portions!$A:$A;Portions!$B:$B);FoodItems!$A:$A;FoodItems!$D:$D))</f>
        <v/>
      </c>
      <c r="I211">
        <f>IF(E211="";"";E211/100*XLOOKUP(XLOOKUP(C211;Portions!$A:$A;Portions!$B:$B);FoodItems!$A:$A;FoodItems!$E:$E))</f>
        <v/>
      </c>
    </row>
    <row r="212">
      <c r="E212">
        <f>IF(C212="";"";D212*XLOOKUP(C212;Portions!$A:$A;Portions!$D:$D))</f>
        <v/>
      </c>
      <c r="F212">
        <f>IF(E212="";"";E212/100*XLOOKUP(XLOOKUP(C212;Portions!$A:$A;Portions!$B:$B);FoodItems!$A:$A;FoodItems!$B:$B))</f>
        <v/>
      </c>
      <c r="G212">
        <f>IF(E212="";"";E212/100*XLOOKUP(XLOOKUP(C212;Portions!$A:$A;Portions!$B:$B);FoodItems!$A:$A;FoodItems!$C:$C))</f>
        <v/>
      </c>
      <c r="H212">
        <f>IF(E212="";"";E212/100*XLOOKUP(XLOOKUP(C212;Portions!$A:$A;Portions!$B:$B);FoodItems!$A:$A;FoodItems!$D:$D))</f>
        <v/>
      </c>
      <c r="I212">
        <f>IF(E212="";"";E212/100*XLOOKUP(XLOOKUP(C212;Portions!$A:$A;Portions!$B:$B);FoodItems!$A:$A;FoodItems!$E:$E))</f>
        <v/>
      </c>
    </row>
    <row r="213">
      <c r="E213">
        <f>IF(C213="";"";D213*XLOOKUP(C213;Portions!$A:$A;Portions!$D:$D))</f>
        <v/>
      </c>
      <c r="F213">
        <f>IF(E213="";"";E213/100*XLOOKUP(XLOOKUP(C213;Portions!$A:$A;Portions!$B:$B);FoodItems!$A:$A;FoodItems!$B:$B))</f>
        <v/>
      </c>
      <c r="G213">
        <f>IF(E213="";"";E213/100*XLOOKUP(XLOOKUP(C213;Portions!$A:$A;Portions!$B:$B);FoodItems!$A:$A;FoodItems!$C:$C))</f>
        <v/>
      </c>
      <c r="H213">
        <f>IF(E213="";"";E213/100*XLOOKUP(XLOOKUP(C213;Portions!$A:$A;Portions!$B:$B);FoodItems!$A:$A;FoodItems!$D:$D))</f>
        <v/>
      </c>
      <c r="I213">
        <f>IF(E213="";"";E213/100*XLOOKUP(XLOOKUP(C213;Portions!$A:$A;Portions!$B:$B);FoodItems!$A:$A;FoodItems!$E:$E))</f>
        <v/>
      </c>
    </row>
    <row r="214">
      <c r="E214">
        <f>IF(C214="";"";D214*XLOOKUP(C214;Portions!$A:$A;Portions!$D:$D))</f>
        <v/>
      </c>
      <c r="F214">
        <f>IF(E214="";"";E214/100*XLOOKUP(XLOOKUP(C214;Portions!$A:$A;Portions!$B:$B);FoodItems!$A:$A;FoodItems!$B:$B))</f>
        <v/>
      </c>
      <c r="G214">
        <f>IF(E214="";"";E214/100*XLOOKUP(XLOOKUP(C214;Portions!$A:$A;Portions!$B:$B);FoodItems!$A:$A;FoodItems!$C:$C))</f>
        <v/>
      </c>
      <c r="H214">
        <f>IF(E214="";"";E214/100*XLOOKUP(XLOOKUP(C214;Portions!$A:$A;Portions!$B:$B);FoodItems!$A:$A;FoodItems!$D:$D))</f>
        <v/>
      </c>
      <c r="I214">
        <f>IF(E214="";"";E214/100*XLOOKUP(XLOOKUP(C214;Portions!$A:$A;Portions!$B:$B);FoodItems!$A:$A;FoodItems!$E:$E))</f>
        <v/>
      </c>
    </row>
    <row r="215">
      <c r="E215">
        <f>IF(C215="";"";D215*XLOOKUP(C215;Portions!$A:$A;Portions!$D:$D))</f>
        <v/>
      </c>
      <c r="F215">
        <f>IF(E215="";"";E215/100*XLOOKUP(XLOOKUP(C215;Portions!$A:$A;Portions!$B:$B);FoodItems!$A:$A;FoodItems!$B:$B))</f>
        <v/>
      </c>
      <c r="G215">
        <f>IF(E215="";"";E215/100*XLOOKUP(XLOOKUP(C215;Portions!$A:$A;Portions!$B:$B);FoodItems!$A:$A;FoodItems!$C:$C))</f>
        <v/>
      </c>
      <c r="H215">
        <f>IF(E215="";"";E215/100*XLOOKUP(XLOOKUP(C215;Portions!$A:$A;Portions!$B:$B);FoodItems!$A:$A;FoodItems!$D:$D))</f>
        <v/>
      </c>
      <c r="I215">
        <f>IF(E215="";"";E215/100*XLOOKUP(XLOOKUP(C215;Portions!$A:$A;Portions!$B:$B);FoodItems!$A:$A;FoodItems!$E:$E))</f>
        <v/>
      </c>
    </row>
    <row r="216">
      <c r="E216">
        <f>IF(C216="";"";D216*XLOOKUP(C216;Portions!$A:$A;Portions!$D:$D))</f>
        <v/>
      </c>
      <c r="F216">
        <f>IF(E216="";"";E216/100*XLOOKUP(XLOOKUP(C216;Portions!$A:$A;Portions!$B:$B);FoodItems!$A:$A;FoodItems!$B:$B))</f>
        <v/>
      </c>
      <c r="G216">
        <f>IF(E216="";"";E216/100*XLOOKUP(XLOOKUP(C216;Portions!$A:$A;Portions!$B:$B);FoodItems!$A:$A;FoodItems!$C:$C))</f>
        <v/>
      </c>
      <c r="H216">
        <f>IF(E216="";"";E216/100*XLOOKUP(XLOOKUP(C216;Portions!$A:$A;Portions!$B:$B);FoodItems!$A:$A;FoodItems!$D:$D))</f>
        <v/>
      </c>
      <c r="I216">
        <f>IF(E216="";"";E216/100*XLOOKUP(XLOOKUP(C216;Portions!$A:$A;Portions!$B:$B);FoodItems!$A:$A;FoodItems!$E:$E))</f>
        <v/>
      </c>
    </row>
    <row r="217">
      <c r="E217">
        <f>IF(C217="";"";D217*XLOOKUP(C217;Portions!$A:$A;Portions!$D:$D))</f>
        <v/>
      </c>
      <c r="F217">
        <f>IF(E217="";"";E217/100*XLOOKUP(XLOOKUP(C217;Portions!$A:$A;Portions!$B:$B);FoodItems!$A:$A;FoodItems!$B:$B))</f>
        <v/>
      </c>
      <c r="G217">
        <f>IF(E217="";"";E217/100*XLOOKUP(XLOOKUP(C217;Portions!$A:$A;Portions!$B:$B);FoodItems!$A:$A;FoodItems!$C:$C))</f>
        <v/>
      </c>
      <c r="H217">
        <f>IF(E217="";"";E217/100*XLOOKUP(XLOOKUP(C217;Portions!$A:$A;Portions!$B:$B);FoodItems!$A:$A;FoodItems!$D:$D))</f>
        <v/>
      </c>
      <c r="I217">
        <f>IF(E217="";"";E217/100*XLOOKUP(XLOOKUP(C217;Portions!$A:$A;Portions!$B:$B);FoodItems!$A:$A;FoodItems!$E:$E))</f>
        <v/>
      </c>
    </row>
    <row r="218">
      <c r="E218">
        <f>IF(C218="";"";D218*XLOOKUP(C218;Portions!$A:$A;Portions!$D:$D))</f>
        <v/>
      </c>
      <c r="F218">
        <f>IF(E218="";"";E218/100*XLOOKUP(XLOOKUP(C218;Portions!$A:$A;Portions!$B:$B);FoodItems!$A:$A;FoodItems!$B:$B))</f>
        <v/>
      </c>
      <c r="G218">
        <f>IF(E218="";"";E218/100*XLOOKUP(XLOOKUP(C218;Portions!$A:$A;Portions!$B:$B);FoodItems!$A:$A;FoodItems!$C:$C))</f>
        <v/>
      </c>
      <c r="H218">
        <f>IF(E218="";"";E218/100*XLOOKUP(XLOOKUP(C218;Portions!$A:$A;Portions!$B:$B);FoodItems!$A:$A;FoodItems!$D:$D))</f>
        <v/>
      </c>
      <c r="I218">
        <f>IF(E218="";"";E218/100*XLOOKUP(XLOOKUP(C218;Portions!$A:$A;Portions!$B:$B);FoodItems!$A:$A;FoodItems!$E:$E))</f>
        <v/>
      </c>
    </row>
    <row r="219">
      <c r="E219">
        <f>IF(C219="";"";D219*XLOOKUP(C219;Portions!$A:$A;Portions!$D:$D))</f>
        <v/>
      </c>
      <c r="F219">
        <f>IF(E219="";"";E219/100*XLOOKUP(XLOOKUP(C219;Portions!$A:$A;Portions!$B:$B);FoodItems!$A:$A;FoodItems!$B:$B))</f>
        <v/>
      </c>
      <c r="G219">
        <f>IF(E219="";"";E219/100*XLOOKUP(XLOOKUP(C219;Portions!$A:$A;Portions!$B:$B);FoodItems!$A:$A;FoodItems!$C:$C))</f>
        <v/>
      </c>
      <c r="H219">
        <f>IF(E219="";"";E219/100*XLOOKUP(XLOOKUP(C219;Portions!$A:$A;Portions!$B:$B);FoodItems!$A:$A;FoodItems!$D:$D))</f>
        <v/>
      </c>
      <c r="I219">
        <f>IF(E219="";"";E219/100*XLOOKUP(XLOOKUP(C219;Portions!$A:$A;Portions!$B:$B);FoodItems!$A:$A;FoodItems!$E:$E))</f>
        <v/>
      </c>
    </row>
    <row r="220">
      <c r="E220">
        <f>IF(C220="";"";D220*XLOOKUP(C220;Portions!$A:$A;Portions!$D:$D))</f>
        <v/>
      </c>
      <c r="F220">
        <f>IF(E220="";"";E220/100*XLOOKUP(XLOOKUP(C220;Portions!$A:$A;Portions!$B:$B);FoodItems!$A:$A;FoodItems!$B:$B))</f>
        <v/>
      </c>
      <c r="G220">
        <f>IF(E220="";"";E220/100*XLOOKUP(XLOOKUP(C220;Portions!$A:$A;Portions!$B:$B);FoodItems!$A:$A;FoodItems!$C:$C))</f>
        <v/>
      </c>
      <c r="H220">
        <f>IF(E220="";"";E220/100*XLOOKUP(XLOOKUP(C220;Portions!$A:$A;Portions!$B:$B);FoodItems!$A:$A;FoodItems!$D:$D))</f>
        <v/>
      </c>
      <c r="I220">
        <f>IF(E220="";"";E220/100*XLOOKUP(XLOOKUP(C220;Portions!$A:$A;Portions!$B:$B);FoodItems!$A:$A;FoodItems!$E:$E))</f>
        <v/>
      </c>
    </row>
    <row r="221">
      <c r="E221">
        <f>IF(C221="";"";D221*XLOOKUP(C221;Portions!$A:$A;Portions!$D:$D))</f>
        <v/>
      </c>
      <c r="F221">
        <f>IF(E221="";"";E221/100*XLOOKUP(XLOOKUP(C221;Portions!$A:$A;Portions!$B:$B);FoodItems!$A:$A;FoodItems!$B:$B))</f>
        <v/>
      </c>
      <c r="G221">
        <f>IF(E221="";"";E221/100*XLOOKUP(XLOOKUP(C221;Portions!$A:$A;Portions!$B:$B);FoodItems!$A:$A;FoodItems!$C:$C))</f>
        <v/>
      </c>
      <c r="H221">
        <f>IF(E221="";"";E221/100*XLOOKUP(XLOOKUP(C221;Portions!$A:$A;Portions!$B:$B);FoodItems!$A:$A;FoodItems!$D:$D))</f>
        <v/>
      </c>
      <c r="I221">
        <f>IF(E221="";"";E221/100*XLOOKUP(XLOOKUP(C221;Portions!$A:$A;Portions!$B:$B);FoodItems!$A:$A;FoodItems!$E:$E))</f>
        <v/>
      </c>
    </row>
    <row r="222">
      <c r="E222">
        <f>IF(C222="";"";D222*XLOOKUP(C222;Portions!$A:$A;Portions!$D:$D))</f>
        <v/>
      </c>
      <c r="F222">
        <f>IF(E222="";"";E222/100*XLOOKUP(XLOOKUP(C222;Portions!$A:$A;Portions!$B:$B);FoodItems!$A:$A;FoodItems!$B:$B))</f>
        <v/>
      </c>
      <c r="G222">
        <f>IF(E222="";"";E222/100*XLOOKUP(XLOOKUP(C222;Portions!$A:$A;Portions!$B:$B);FoodItems!$A:$A;FoodItems!$C:$C))</f>
        <v/>
      </c>
      <c r="H222">
        <f>IF(E222="";"";E222/100*XLOOKUP(XLOOKUP(C222;Portions!$A:$A;Portions!$B:$B);FoodItems!$A:$A;FoodItems!$D:$D))</f>
        <v/>
      </c>
      <c r="I222">
        <f>IF(E222="";"";E222/100*XLOOKUP(XLOOKUP(C222;Portions!$A:$A;Portions!$B:$B);FoodItems!$A:$A;FoodItems!$E:$E))</f>
        <v/>
      </c>
    </row>
    <row r="223">
      <c r="E223">
        <f>IF(C223="";"";D223*XLOOKUP(C223;Portions!$A:$A;Portions!$D:$D))</f>
        <v/>
      </c>
      <c r="F223">
        <f>IF(E223="";"";E223/100*XLOOKUP(XLOOKUP(C223;Portions!$A:$A;Portions!$B:$B);FoodItems!$A:$A;FoodItems!$B:$B))</f>
        <v/>
      </c>
      <c r="G223">
        <f>IF(E223="";"";E223/100*XLOOKUP(XLOOKUP(C223;Portions!$A:$A;Portions!$B:$B);FoodItems!$A:$A;FoodItems!$C:$C))</f>
        <v/>
      </c>
      <c r="H223">
        <f>IF(E223="";"";E223/100*XLOOKUP(XLOOKUP(C223;Portions!$A:$A;Portions!$B:$B);FoodItems!$A:$A;FoodItems!$D:$D))</f>
        <v/>
      </c>
      <c r="I223">
        <f>IF(E223="";"";E223/100*XLOOKUP(XLOOKUP(C223;Portions!$A:$A;Portions!$B:$B);FoodItems!$A:$A;FoodItems!$E:$E))</f>
        <v/>
      </c>
    </row>
    <row r="224">
      <c r="E224">
        <f>IF(C224="";"";D224*XLOOKUP(C224;Portions!$A:$A;Portions!$D:$D))</f>
        <v/>
      </c>
      <c r="F224">
        <f>IF(E224="";"";E224/100*XLOOKUP(XLOOKUP(C224;Portions!$A:$A;Portions!$B:$B);FoodItems!$A:$A;FoodItems!$B:$B))</f>
        <v/>
      </c>
      <c r="G224">
        <f>IF(E224="";"";E224/100*XLOOKUP(XLOOKUP(C224;Portions!$A:$A;Portions!$B:$B);FoodItems!$A:$A;FoodItems!$C:$C))</f>
        <v/>
      </c>
      <c r="H224">
        <f>IF(E224="";"";E224/100*XLOOKUP(XLOOKUP(C224;Portions!$A:$A;Portions!$B:$B);FoodItems!$A:$A;FoodItems!$D:$D))</f>
        <v/>
      </c>
      <c r="I224">
        <f>IF(E224="";"";E224/100*XLOOKUP(XLOOKUP(C224;Portions!$A:$A;Portions!$B:$B);FoodItems!$A:$A;FoodItems!$E:$E))</f>
        <v/>
      </c>
    </row>
    <row r="225">
      <c r="E225">
        <f>IF(C225="";"";D225*XLOOKUP(C225;Portions!$A:$A;Portions!$D:$D))</f>
        <v/>
      </c>
      <c r="F225">
        <f>IF(E225="";"";E225/100*XLOOKUP(XLOOKUP(C225;Portions!$A:$A;Portions!$B:$B);FoodItems!$A:$A;FoodItems!$B:$B))</f>
        <v/>
      </c>
      <c r="G225">
        <f>IF(E225="";"";E225/100*XLOOKUP(XLOOKUP(C225;Portions!$A:$A;Portions!$B:$B);FoodItems!$A:$A;FoodItems!$C:$C))</f>
        <v/>
      </c>
      <c r="H225">
        <f>IF(E225="";"";E225/100*XLOOKUP(XLOOKUP(C225;Portions!$A:$A;Portions!$B:$B);FoodItems!$A:$A;FoodItems!$D:$D))</f>
        <v/>
      </c>
      <c r="I225">
        <f>IF(E225="";"";E225/100*XLOOKUP(XLOOKUP(C225;Portions!$A:$A;Portions!$B:$B);FoodItems!$A:$A;FoodItems!$E:$E))</f>
        <v/>
      </c>
    </row>
    <row r="226">
      <c r="E226">
        <f>IF(C226="";"";D226*XLOOKUP(C226;Portions!$A:$A;Portions!$D:$D))</f>
        <v/>
      </c>
      <c r="F226">
        <f>IF(E226="";"";E226/100*XLOOKUP(XLOOKUP(C226;Portions!$A:$A;Portions!$B:$B);FoodItems!$A:$A;FoodItems!$B:$B))</f>
        <v/>
      </c>
      <c r="G226">
        <f>IF(E226="";"";E226/100*XLOOKUP(XLOOKUP(C226;Portions!$A:$A;Portions!$B:$B);FoodItems!$A:$A;FoodItems!$C:$C))</f>
        <v/>
      </c>
      <c r="H226">
        <f>IF(E226="";"";E226/100*XLOOKUP(XLOOKUP(C226;Portions!$A:$A;Portions!$B:$B);FoodItems!$A:$A;FoodItems!$D:$D))</f>
        <v/>
      </c>
      <c r="I226">
        <f>IF(E226="";"";E226/100*XLOOKUP(XLOOKUP(C226;Portions!$A:$A;Portions!$B:$B);FoodItems!$A:$A;FoodItems!$E:$E))</f>
        <v/>
      </c>
    </row>
    <row r="227">
      <c r="E227">
        <f>IF(C227="";"";D227*XLOOKUP(C227;Portions!$A:$A;Portions!$D:$D))</f>
        <v/>
      </c>
      <c r="F227">
        <f>IF(E227="";"";E227/100*XLOOKUP(XLOOKUP(C227;Portions!$A:$A;Portions!$B:$B);FoodItems!$A:$A;FoodItems!$B:$B))</f>
        <v/>
      </c>
      <c r="G227">
        <f>IF(E227="";"";E227/100*XLOOKUP(XLOOKUP(C227;Portions!$A:$A;Portions!$B:$B);FoodItems!$A:$A;FoodItems!$C:$C))</f>
        <v/>
      </c>
      <c r="H227">
        <f>IF(E227="";"";E227/100*XLOOKUP(XLOOKUP(C227;Portions!$A:$A;Portions!$B:$B);FoodItems!$A:$A;FoodItems!$D:$D))</f>
        <v/>
      </c>
      <c r="I227">
        <f>IF(E227="";"";E227/100*XLOOKUP(XLOOKUP(C227;Portions!$A:$A;Portions!$B:$B);FoodItems!$A:$A;FoodItems!$E:$E))</f>
        <v/>
      </c>
    </row>
    <row r="228">
      <c r="E228">
        <f>IF(C228="";"";D228*XLOOKUP(C228;Portions!$A:$A;Portions!$D:$D))</f>
        <v/>
      </c>
      <c r="F228">
        <f>IF(E228="";"";E228/100*XLOOKUP(XLOOKUP(C228;Portions!$A:$A;Portions!$B:$B);FoodItems!$A:$A;FoodItems!$B:$B))</f>
        <v/>
      </c>
      <c r="G228">
        <f>IF(E228="";"";E228/100*XLOOKUP(XLOOKUP(C228;Portions!$A:$A;Portions!$B:$B);FoodItems!$A:$A;FoodItems!$C:$C))</f>
        <v/>
      </c>
      <c r="H228">
        <f>IF(E228="";"";E228/100*XLOOKUP(XLOOKUP(C228;Portions!$A:$A;Portions!$B:$B);FoodItems!$A:$A;FoodItems!$D:$D))</f>
        <v/>
      </c>
      <c r="I228">
        <f>IF(E228="";"";E228/100*XLOOKUP(XLOOKUP(C228;Portions!$A:$A;Portions!$B:$B);FoodItems!$A:$A;FoodItems!$E:$E))</f>
        <v/>
      </c>
    </row>
    <row r="229">
      <c r="E229">
        <f>IF(C229="";"";D229*XLOOKUP(C229;Portions!$A:$A;Portions!$D:$D))</f>
        <v/>
      </c>
      <c r="F229">
        <f>IF(E229="";"";E229/100*XLOOKUP(XLOOKUP(C229;Portions!$A:$A;Portions!$B:$B);FoodItems!$A:$A;FoodItems!$B:$B))</f>
        <v/>
      </c>
      <c r="G229">
        <f>IF(E229="";"";E229/100*XLOOKUP(XLOOKUP(C229;Portions!$A:$A;Portions!$B:$B);FoodItems!$A:$A;FoodItems!$C:$C))</f>
        <v/>
      </c>
      <c r="H229">
        <f>IF(E229="";"";E229/100*XLOOKUP(XLOOKUP(C229;Portions!$A:$A;Portions!$B:$B);FoodItems!$A:$A;FoodItems!$D:$D))</f>
        <v/>
      </c>
      <c r="I229">
        <f>IF(E229="";"";E229/100*XLOOKUP(XLOOKUP(C229;Portions!$A:$A;Portions!$B:$B);FoodItems!$A:$A;FoodItems!$E:$E))</f>
        <v/>
      </c>
    </row>
    <row r="230">
      <c r="E230">
        <f>IF(C230="";"";D230*XLOOKUP(C230;Portions!$A:$A;Portions!$D:$D))</f>
        <v/>
      </c>
      <c r="F230">
        <f>IF(E230="";"";E230/100*XLOOKUP(XLOOKUP(C230;Portions!$A:$A;Portions!$B:$B);FoodItems!$A:$A;FoodItems!$B:$B))</f>
        <v/>
      </c>
      <c r="G230">
        <f>IF(E230="";"";E230/100*XLOOKUP(XLOOKUP(C230;Portions!$A:$A;Portions!$B:$B);FoodItems!$A:$A;FoodItems!$C:$C))</f>
        <v/>
      </c>
      <c r="H230">
        <f>IF(E230="";"";E230/100*XLOOKUP(XLOOKUP(C230;Portions!$A:$A;Portions!$B:$B);FoodItems!$A:$A;FoodItems!$D:$D))</f>
        <v/>
      </c>
      <c r="I230">
        <f>IF(E230="";"";E230/100*XLOOKUP(XLOOKUP(C230;Portions!$A:$A;Portions!$B:$B);FoodItems!$A:$A;FoodItems!$E:$E))</f>
        <v/>
      </c>
    </row>
    <row r="231">
      <c r="E231">
        <f>IF(C231="";"";D231*XLOOKUP(C231;Portions!$A:$A;Portions!$D:$D))</f>
        <v/>
      </c>
      <c r="F231">
        <f>IF(E231="";"";E231/100*XLOOKUP(XLOOKUP(C231;Portions!$A:$A;Portions!$B:$B);FoodItems!$A:$A;FoodItems!$B:$B))</f>
        <v/>
      </c>
      <c r="G231">
        <f>IF(E231="";"";E231/100*XLOOKUP(XLOOKUP(C231;Portions!$A:$A;Portions!$B:$B);FoodItems!$A:$A;FoodItems!$C:$C))</f>
        <v/>
      </c>
      <c r="H231">
        <f>IF(E231="";"";E231/100*XLOOKUP(XLOOKUP(C231;Portions!$A:$A;Portions!$B:$B);FoodItems!$A:$A;FoodItems!$D:$D))</f>
        <v/>
      </c>
      <c r="I231">
        <f>IF(E231="";"";E231/100*XLOOKUP(XLOOKUP(C231;Portions!$A:$A;Portions!$B:$B);FoodItems!$A:$A;FoodItems!$E:$E))</f>
        <v/>
      </c>
    </row>
    <row r="232">
      <c r="E232">
        <f>IF(C232="";"";D232*XLOOKUP(C232;Portions!$A:$A;Portions!$D:$D))</f>
        <v/>
      </c>
      <c r="F232">
        <f>IF(E232="";"";E232/100*XLOOKUP(XLOOKUP(C232;Portions!$A:$A;Portions!$B:$B);FoodItems!$A:$A;FoodItems!$B:$B))</f>
        <v/>
      </c>
      <c r="G232">
        <f>IF(E232="";"";E232/100*XLOOKUP(XLOOKUP(C232;Portions!$A:$A;Portions!$B:$B);FoodItems!$A:$A;FoodItems!$C:$C))</f>
        <v/>
      </c>
      <c r="H232">
        <f>IF(E232="";"";E232/100*XLOOKUP(XLOOKUP(C232;Portions!$A:$A;Portions!$B:$B);FoodItems!$A:$A;FoodItems!$D:$D))</f>
        <v/>
      </c>
      <c r="I232">
        <f>IF(E232="";"";E232/100*XLOOKUP(XLOOKUP(C232;Portions!$A:$A;Portions!$B:$B);FoodItems!$A:$A;FoodItems!$E:$E))</f>
        <v/>
      </c>
    </row>
    <row r="233">
      <c r="E233">
        <f>IF(C233="";"";D233*XLOOKUP(C233;Portions!$A:$A;Portions!$D:$D))</f>
        <v/>
      </c>
      <c r="F233">
        <f>IF(E233="";"";E233/100*XLOOKUP(XLOOKUP(C233;Portions!$A:$A;Portions!$B:$B);FoodItems!$A:$A;FoodItems!$B:$B))</f>
        <v/>
      </c>
      <c r="G233">
        <f>IF(E233="";"";E233/100*XLOOKUP(XLOOKUP(C233;Portions!$A:$A;Portions!$B:$B);FoodItems!$A:$A;FoodItems!$C:$C))</f>
        <v/>
      </c>
      <c r="H233">
        <f>IF(E233="";"";E233/100*XLOOKUP(XLOOKUP(C233;Portions!$A:$A;Portions!$B:$B);FoodItems!$A:$A;FoodItems!$D:$D))</f>
        <v/>
      </c>
      <c r="I233">
        <f>IF(E233="";"";E233/100*XLOOKUP(XLOOKUP(C233;Portions!$A:$A;Portions!$B:$B);FoodItems!$A:$A;FoodItems!$E:$E))</f>
        <v/>
      </c>
    </row>
    <row r="234">
      <c r="E234">
        <f>IF(C234="";"";D234*XLOOKUP(C234;Portions!$A:$A;Portions!$D:$D))</f>
        <v/>
      </c>
      <c r="F234">
        <f>IF(E234="";"";E234/100*XLOOKUP(XLOOKUP(C234;Portions!$A:$A;Portions!$B:$B);FoodItems!$A:$A;FoodItems!$B:$B))</f>
        <v/>
      </c>
      <c r="G234">
        <f>IF(E234="";"";E234/100*XLOOKUP(XLOOKUP(C234;Portions!$A:$A;Portions!$B:$B);FoodItems!$A:$A;FoodItems!$C:$C))</f>
        <v/>
      </c>
      <c r="H234">
        <f>IF(E234="";"";E234/100*XLOOKUP(XLOOKUP(C234;Portions!$A:$A;Portions!$B:$B);FoodItems!$A:$A;FoodItems!$D:$D))</f>
        <v/>
      </c>
      <c r="I234">
        <f>IF(E234="";"";E234/100*XLOOKUP(XLOOKUP(C234;Portions!$A:$A;Portions!$B:$B);FoodItems!$A:$A;FoodItems!$E:$E))</f>
        <v/>
      </c>
    </row>
    <row r="235">
      <c r="E235">
        <f>IF(C235="";"";D235*XLOOKUP(C235;Portions!$A:$A;Portions!$D:$D))</f>
        <v/>
      </c>
      <c r="F235">
        <f>IF(E235="";"";E235/100*XLOOKUP(XLOOKUP(C235;Portions!$A:$A;Portions!$B:$B);FoodItems!$A:$A;FoodItems!$B:$B))</f>
        <v/>
      </c>
      <c r="G235">
        <f>IF(E235="";"";E235/100*XLOOKUP(XLOOKUP(C235;Portions!$A:$A;Portions!$B:$B);FoodItems!$A:$A;FoodItems!$C:$C))</f>
        <v/>
      </c>
      <c r="H235">
        <f>IF(E235="";"";E235/100*XLOOKUP(XLOOKUP(C235;Portions!$A:$A;Portions!$B:$B);FoodItems!$A:$A;FoodItems!$D:$D))</f>
        <v/>
      </c>
      <c r="I235">
        <f>IF(E235="";"";E235/100*XLOOKUP(XLOOKUP(C235;Portions!$A:$A;Portions!$B:$B);FoodItems!$A:$A;FoodItems!$E:$E))</f>
        <v/>
      </c>
    </row>
    <row r="236">
      <c r="E236">
        <f>IF(C236="";"";D236*XLOOKUP(C236;Portions!$A:$A;Portions!$D:$D))</f>
        <v/>
      </c>
      <c r="F236">
        <f>IF(E236="";"";E236/100*XLOOKUP(XLOOKUP(C236;Portions!$A:$A;Portions!$B:$B);FoodItems!$A:$A;FoodItems!$B:$B))</f>
        <v/>
      </c>
      <c r="G236">
        <f>IF(E236="";"";E236/100*XLOOKUP(XLOOKUP(C236;Portions!$A:$A;Portions!$B:$B);FoodItems!$A:$A;FoodItems!$C:$C))</f>
        <v/>
      </c>
      <c r="H236">
        <f>IF(E236="";"";E236/100*XLOOKUP(XLOOKUP(C236;Portions!$A:$A;Portions!$B:$B);FoodItems!$A:$A;FoodItems!$D:$D))</f>
        <v/>
      </c>
      <c r="I236">
        <f>IF(E236="";"";E236/100*XLOOKUP(XLOOKUP(C236;Portions!$A:$A;Portions!$B:$B);FoodItems!$A:$A;FoodItems!$E:$E))</f>
        <v/>
      </c>
    </row>
    <row r="237">
      <c r="E237">
        <f>IF(C237="";"";D237*XLOOKUP(C237;Portions!$A:$A;Portions!$D:$D))</f>
        <v/>
      </c>
      <c r="F237">
        <f>IF(E237="";"";E237/100*XLOOKUP(XLOOKUP(C237;Portions!$A:$A;Portions!$B:$B);FoodItems!$A:$A;FoodItems!$B:$B))</f>
        <v/>
      </c>
      <c r="G237">
        <f>IF(E237="";"";E237/100*XLOOKUP(XLOOKUP(C237;Portions!$A:$A;Portions!$B:$B);FoodItems!$A:$A;FoodItems!$C:$C))</f>
        <v/>
      </c>
      <c r="H237">
        <f>IF(E237="";"";E237/100*XLOOKUP(XLOOKUP(C237;Portions!$A:$A;Portions!$B:$B);FoodItems!$A:$A;FoodItems!$D:$D))</f>
        <v/>
      </c>
      <c r="I237">
        <f>IF(E237="";"";E237/100*XLOOKUP(XLOOKUP(C237;Portions!$A:$A;Portions!$B:$B);FoodItems!$A:$A;FoodItems!$E:$E))</f>
        <v/>
      </c>
    </row>
    <row r="238">
      <c r="E238">
        <f>IF(C238="";"";D238*XLOOKUP(C238;Portions!$A:$A;Portions!$D:$D))</f>
        <v/>
      </c>
      <c r="F238">
        <f>IF(E238="";"";E238/100*XLOOKUP(XLOOKUP(C238;Portions!$A:$A;Portions!$B:$B);FoodItems!$A:$A;FoodItems!$B:$B))</f>
        <v/>
      </c>
      <c r="G238">
        <f>IF(E238="";"";E238/100*XLOOKUP(XLOOKUP(C238;Portions!$A:$A;Portions!$B:$B);FoodItems!$A:$A;FoodItems!$C:$C))</f>
        <v/>
      </c>
      <c r="H238">
        <f>IF(E238="";"";E238/100*XLOOKUP(XLOOKUP(C238;Portions!$A:$A;Portions!$B:$B);FoodItems!$A:$A;FoodItems!$D:$D))</f>
        <v/>
      </c>
      <c r="I238">
        <f>IF(E238="";"";E238/100*XLOOKUP(XLOOKUP(C238;Portions!$A:$A;Portions!$B:$B);FoodItems!$A:$A;FoodItems!$E:$E))</f>
        <v/>
      </c>
    </row>
    <row r="239">
      <c r="E239">
        <f>IF(C239="";"";D239*XLOOKUP(C239;Portions!$A:$A;Portions!$D:$D))</f>
        <v/>
      </c>
      <c r="F239">
        <f>IF(E239="";"";E239/100*XLOOKUP(XLOOKUP(C239;Portions!$A:$A;Portions!$B:$B);FoodItems!$A:$A;FoodItems!$B:$B))</f>
        <v/>
      </c>
      <c r="G239">
        <f>IF(E239="";"";E239/100*XLOOKUP(XLOOKUP(C239;Portions!$A:$A;Portions!$B:$B);FoodItems!$A:$A;FoodItems!$C:$C))</f>
        <v/>
      </c>
      <c r="H239">
        <f>IF(E239="";"";E239/100*XLOOKUP(XLOOKUP(C239;Portions!$A:$A;Portions!$B:$B);FoodItems!$A:$A;FoodItems!$D:$D))</f>
        <v/>
      </c>
      <c r="I239">
        <f>IF(E239="";"";E239/100*XLOOKUP(XLOOKUP(C239;Portions!$A:$A;Portions!$B:$B);FoodItems!$A:$A;FoodItems!$E:$E))</f>
        <v/>
      </c>
    </row>
    <row r="240">
      <c r="E240">
        <f>IF(C240="";"";D240*XLOOKUP(C240;Portions!$A:$A;Portions!$D:$D))</f>
        <v/>
      </c>
      <c r="F240">
        <f>IF(E240="";"";E240/100*XLOOKUP(XLOOKUP(C240;Portions!$A:$A;Portions!$B:$B);FoodItems!$A:$A;FoodItems!$B:$B))</f>
        <v/>
      </c>
      <c r="G240">
        <f>IF(E240="";"";E240/100*XLOOKUP(XLOOKUP(C240;Portions!$A:$A;Portions!$B:$B);FoodItems!$A:$A;FoodItems!$C:$C))</f>
        <v/>
      </c>
      <c r="H240">
        <f>IF(E240="";"";E240/100*XLOOKUP(XLOOKUP(C240;Portions!$A:$A;Portions!$B:$B);FoodItems!$A:$A;FoodItems!$D:$D))</f>
        <v/>
      </c>
      <c r="I240">
        <f>IF(E240="";"";E240/100*XLOOKUP(XLOOKUP(C240;Portions!$A:$A;Portions!$B:$B);FoodItems!$A:$A;FoodItems!$E:$E))</f>
        <v/>
      </c>
    </row>
    <row r="241">
      <c r="E241">
        <f>IF(C241="";"";D241*XLOOKUP(C241;Portions!$A:$A;Portions!$D:$D))</f>
        <v/>
      </c>
      <c r="F241">
        <f>IF(E241="";"";E241/100*XLOOKUP(XLOOKUP(C241;Portions!$A:$A;Portions!$B:$B);FoodItems!$A:$A;FoodItems!$B:$B))</f>
        <v/>
      </c>
      <c r="G241">
        <f>IF(E241="";"";E241/100*XLOOKUP(XLOOKUP(C241;Portions!$A:$A;Portions!$B:$B);FoodItems!$A:$A;FoodItems!$C:$C))</f>
        <v/>
      </c>
      <c r="H241">
        <f>IF(E241="";"";E241/100*XLOOKUP(XLOOKUP(C241;Portions!$A:$A;Portions!$B:$B);FoodItems!$A:$A;FoodItems!$D:$D))</f>
        <v/>
      </c>
      <c r="I241">
        <f>IF(E241="";"";E241/100*XLOOKUP(XLOOKUP(C241;Portions!$A:$A;Portions!$B:$B);FoodItems!$A:$A;FoodItems!$E:$E))</f>
        <v/>
      </c>
    </row>
    <row r="242">
      <c r="E242">
        <f>IF(C242="";"";D242*XLOOKUP(C242;Portions!$A:$A;Portions!$D:$D))</f>
        <v/>
      </c>
      <c r="F242">
        <f>IF(E242="";"";E242/100*XLOOKUP(XLOOKUP(C242;Portions!$A:$A;Portions!$B:$B);FoodItems!$A:$A;FoodItems!$B:$B))</f>
        <v/>
      </c>
      <c r="G242">
        <f>IF(E242="";"";E242/100*XLOOKUP(XLOOKUP(C242;Portions!$A:$A;Portions!$B:$B);FoodItems!$A:$A;FoodItems!$C:$C))</f>
        <v/>
      </c>
      <c r="H242">
        <f>IF(E242="";"";E242/100*XLOOKUP(XLOOKUP(C242;Portions!$A:$A;Portions!$B:$B);FoodItems!$A:$A;FoodItems!$D:$D))</f>
        <v/>
      </c>
      <c r="I242">
        <f>IF(E242="";"";E242/100*XLOOKUP(XLOOKUP(C242;Portions!$A:$A;Portions!$B:$B);FoodItems!$A:$A;FoodItems!$E:$E))</f>
        <v/>
      </c>
    </row>
    <row r="243">
      <c r="E243">
        <f>IF(C243="";"";D243*XLOOKUP(C243;Portions!$A:$A;Portions!$D:$D))</f>
        <v/>
      </c>
      <c r="F243">
        <f>IF(E243="";"";E243/100*XLOOKUP(XLOOKUP(C243;Portions!$A:$A;Portions!$B:$B);FoodItems!$A:$A;FoodItems!$B:$B))</f>
        <v/>
      </c>
      <c r="G243">
        <f>IF(E243="";"";E243/100*XLOOKUP(XLOOKUP(C243;Portions!$A:$A;Portions!$B:$B);FoodItems!$A:$A;FoodItems!$C:$C))</f>
        <v/>
      </c>
      <c r="H243">
        <f>IF(E243="";"";E243/100*XLOOKUP(XLOOKUP(C243;Portions!$A:$A;Portions!$B:$B);FoodItems!$A:$A;FoodItems!$D:$D))</f>
        <v/>
      </c>
      <c r="I243">
        <f>IF(E243="";"";E243/100*XLOOKUP(XLOOKUP(C243;Portions!$A:$A;Portions!$B:$B);FoodItems!$A:$A;FoodItems!$E:$E))</f>
        <v/>
      </c>
    </row>
    <row r="244">
      <c r="E244">
        <f>IF(C244="";"";D244*XLOOKUP(C244;Portions!$A:$A;Portions!$D:$D))</f>
        <v/>
      </c>
      <c r="F244">
        <f>IF(E244="";"";E244/100*XLOOKUP(XLOOKUP(C244;Portions!$A:$A;Portions!$B:$B);FoodItems!$A:$A;FoodItems!$B:$B))</f>
        <v/>
      </c>
      <c r="G244">
        <f>IF(E244="";"";E244/100*XLOOKUP(XLOOKUP(C244;Portions!$A:$A;Portions!$B:$B);FoodItems!$A:$A;FoodItems!$C:$C))</f>
        <v/>
      </c>
      <c r="H244">
        <f>IF(E244="";"";E244/100*XLOOKUP(XLOOKUP(C244;Portions!$A:$A;Portions!$B:$B);FoodItems!$A:$A;FoodItems!$D:$D))</f>
        <v/>
      </c>
      <c r="I244">
        <f>IF(E244="";"";E244/100*XLOOKUP(XLOOKUP(C244;Portions!$A:$A;Portions!$B:$B);FoodItems!$A:$A;FoodItems!$E:$E))</f>
        <v/>
      </c>
    </row>
    <row r="245">
      <c r="E245">
        <f>IF(C245="";"";D245*XLOOKUP(C245;Portions!$A:$A;Portions!$D:$D))</f>
        <v/>
      </c>
      <c r="F245">
        <f>IF(E245="";"";E245/100*XLOOKUP(XLOOKUP(C245;Portions!$A:$A;Portions!$B:$B);FoodItems!$A:$A;FoodItems!$B:$B))</f>
        <v/>
      </c>
      <c r="G245">
        <f>IF(E245="";"";E245/100*XLOOKUP(XLOOKUP(C245;Portions!$A:$A;Portions!$B:$B);FoodItems!$A:$A;FoodItems!$C:$C))</f>
        <v/>
      </c>
      <c r="H245">
        <f>IF(E245="";"";E245/100*XLOOKUP(XLOOKUP(C245;Portions!$A:$A;Portions!$B:$B);FoodItems!$A:$A;FoodItems!$D:$D))</f>
        <v/>
      </c>
      <c r="I245">
        <f>IF(E245="";"";E245/100*XLOOKUP(XLOOKUP(C245;Portions!$A:$A;Portions!$B:$B);FoodItems!$A:$A;FoodItems!$E:$E))</f>
        <v/>
      </c>
    </row>
    <row r="246">
      <c r="E246">
        <f>IF(C246="";"";D246*XLOOKUP(C246;Portions!$A:$A;Portions!$D:$D))</f>
        <v/>
      </c>
      <c r="F246">
        <f>IF(E246="";"";E246/100*XLOOKUP(XLOOKUP(C246;Portions!$A:$A;Portions!$B:$B);FoodItems!$A:$A;FoodItems!$B:$B))</f>
        <v/>
      </c>
      <c r="G246">
        <f>IF(E246="";"";E246/100*XLOOKUP(XLOOKUP(C246;Portions!$A:$A;Portions!$B:$B);FoodItems!$A:$A;FoodItems!$C:$C))</f>
        <v/>
      </c>
      <c r="H246">
        <f>IF(E246="";"";E246/100*XLOOKUP(XLOOKUP(C246;Portions!$A:$A;Portions!$B:$B);FoodItems!$A:$A;FoodItems!$D:$D))</f>
        <v/>
      </c>
      <c r="I246">
        <f>IF(E246="";"";E246/100*XLOOKUP(XLOOKUP(C246;Portions!$A:$A;Portions!$B:$B);FoodItems!$A:$A;FoodItems!$E:$E))</f>
        <v/>
      </c>
    </row>
    <row r="247">
      <c r="E247">
        <f>IF(C247="";"";D247*XLOOKUP(C247;Portions!$A:$A;Portions!$D:$D))</f>
        <v/>
      </c>
      <c r="F247">
        <f>IF(E247="";"";E247/100*XLOOKUP(XLOOKUP(C247;Portions!$A:$A;Portions!$B:$B);FoodItems!$A:$A;FoodItems!$B:$B))</f>
        <v/>
      </c>
      <c r="G247">
        <f>IF(E247="";"";E247/100*XLOOKUP(XLOOKUP(C247;Portions!$A:$A;Portions!$B:$B);FoodItems!$A:$A;FoodItems!$C:$C))</f>
        <v/>
      </c>
      <c r="H247">
        <f>IF(E247="";"";E247/100*XLOOKUP(XLOOKUP(C247;Portions!$A:$A;Portions!$B:$B);FoodItems!$A:$A;FoodItems!$D:$D))</f>
        <v/>
      </c>
      <c r="I247">
        <f>IF(E247="";"";E247/100*XLOOKUP(XLOOKUP(C247;Portions!$A:$A;Portions!$B:$B);FoodItems!$A:$A;FoodItems!$E:$E))</f>
        <v/>
      </c>
    </row>
    <row r="248">
      <c r="E248">
        <f>IF(C248="";"";D248*XLOOKUP(C248;Portions!$A:$A;Portions!$D:$D))</f>
        <v/>
      </c>
      <c r="F248">
        <f>IF(E248="";"";E248/100*XLOOKUP(XLOOKUP(C248;Portions!$A:$A;Portions!$B:$B);FoodItems!$A:$A;FoodItems!$B:$B))</f>
        <v/>
      </c>
      <c r="G248">
        <f>IF(E248="";"";E248/100*XLOOKUP(XLOOKUP(C248;Portions!$A:$A;Portions!$B:$B);FoodItems!$A:$A;FoodItems!$C:$C))</f>
        <v/>
      </c>
      <c r="H248">
        <f>IF(E248="";"";E248/100*XLOOKUP(XLOOKUP(C248;Portions!$A:$A;Portions!$B:$B);FoodItems!$A:$A;FoodItems!$D:$D))</f>
        <v/>
      </c>
      <c r="I248">
        <f>IF(E248="";"";E248/100*XLOOKUP(XLOOKUP(C248;Portions!$A:$A;Portions!$B:$B);FoodItems!$A:$A;FoodItems!$E:$E))</f>
        <v/>
      </c>
    </row>
    <row r="249">
      <c r="E249">
        <f>IF(C249="";"";D249*XLOOKUP(C249;Portions!$A:$A;Portions!$D:$D))</f>
        <v/>
      </c>
      <c r="F249">
        <f>IF(E249="";"";E249/100*XLOOKUP(XLOOKUP(C249;Portions!$A:$A;Portions!$B:$B);FoodItems!$A:$A;FoodItems!$B:$B))</f>
        <v/>
      </c>
      <c r="G249">
        <f>IF(E249="";"";E249/100*XLOOKUP(XLOOKUP(C249;Portions!$A:$A;Portions!$B:$B);FoodItems!$A:$A;FoodItems!$C:$C))</f>
        <v/>
      </c>
      <c r="H249">
        <f>IF(E249="";"";E249/100*XLOOKUP(XLOOKUP(C249;Portions!$A:$A;Portions!$B:$B);FoodItems!$A:$A;FoodItems!$D:$D))</f>
        <v/>
      </c>
      <c r="I249">
        <f>IF(E249="";"";E249/100*XLOOKUP(XLOOKUP(C249;Portions!$A:$A;Portions!$B:$B);FoodItems!$A:$A;FoodItems!$E:$E))</f>
        <v/>
      </c>
    </row>
    <row r="250">
      <c r="E250">
        <f>IF(C250="";"";D250*XLOOKUP(C250;Portions!$A:$A;Portions!$D:$D))</f>
        <v/>
      </c>
      <c r="F250">
        <f>IF(E250="";"";E250/100*XLOOKUP(XLOOKUP(C250;Portions!$A:$A;Portions!$B:$B);FoodItems!$A:$A;FoodItems!$B:$B))</f>
        <v/>
      </c>
      <c r="G250">
        <f>IF(E250="";"";E250/100*XLOOKUP(XLOOKUP(C250;Portions!$A:$A;Portions!$B:$B);FoodItems!$A:$A;FoodItems!$C:$C))</f>
        <v/>
      </c>
      <c r="H250">
        <f>IF(E250="";"";E250/100*XLOOKUP(XLOOKUP(C250;Portions!$A:$A;Portions!$B:$B);FoodItems!$A:$A;FoodItems!$D:$D))</f>
        <v/>
      </c>
      <c r="I250">
        <f>IF(E250="";"";E250/100*XLOOKUP(XLOOKUP(C250;Portions!$A:$A;Portions!$B:$B);FoodItems!$A:$A;FoodItems!$E:$E))</f>
        <v/>
      </c>
    </row>
    <row r="251">
      <c r="E251">
        <f>IF(C251="";"";D251*XLOOKUP(C251;Portions!$A:$A;Portions!$D:$D))</f>
        <v/>
      </c>
      <c r="F251">
        <f>IF(E251="";"";E251/100*XLOOKUP(XLOOKUP(C251;Portions!$A:$A;Portions!$B:$B);FoodItems!$A:$A;FoodItems!$B:$B))</f>
        <v/>
      </c>
      <c r="G251">
        <f>IF(E251="";"";E251/100*XLOOKUP(XLOOKUP(C251;Portions!$A:$A;Portions!$B:$B);FoodItems!$A:$A;FoodItems!$C:$C))</f>
        <v/>
      </c>
      <c r="H251">
        <f>IF(E251="";"";E251/100*XLOOKUP(XLOOKUP(C251;Portions!$A:$A;Portions!$B:$B);FoodItems!$A:$A;FoodItems!$D:$D))</f>
        <v/>
      </c>
      <c r="I251">
        <f>IF(E251="";"";E251/100*XLOOKUP(XLOOKUP(C251;Portions!$A:$A;Portions!$B:$B);FoodItems!$A:$A;FoodItems!$E:$E))</f>
        <v/>
      </c>
    </row>
    <row r="252">
      <c r="E252">
        <f>IF(C252="";"";D252*XLOOKUP(C252;Portions!$A:$A;Portions!$D:$D))</f>
        <v/>
      </c>
      <c r="F252">
        <f>IF(E252="";"";E252/100*XLOOKUP(XLOOKUP(C252;Portions!$A:$A;Portions!$B:$B);FoodItems!$A:$A;FoodItems!$B:$B))</f>
        <v/>
      </c>
      <c r="G252">
        <f>IF(E252="";"";E252/100*XLOOKUP(XLOOKUP(C252;Portions!$A:$A;Portions!$B:$B);FoodItems!$A:$A;FoodItems!$C:$C))</f>
        <v/>
      </c>
      <c r="H252">
        <f>IF(E252="";"";E252/100*XLOOKUP(XLOOKUP(C252;Portions!$A:$A;Portions!$B:$B);FoodItems!$A:$A;FoodItems!$D:$D))</f>
        <v/>
      </c>
      <c r="I252">
        <f>IF(E252="";"";E252/100*XLOOKUP(XLOOKUP(C252;Portions!$A:$A;Portions!$B:$B);FoodItems!$A:$A;FoodItems!$E:$E))</f>
        <v/>
      </c>
    </row>
    <row r="253">
      <c r="E253">
        <f>IF(C253="";"";D253*XLOOKUP(C253;Portions!$A:$A;Portions!$D:$D))</f>
        <v/>
      </c>
      <c r="F253">
        <f>IF(E253="";"";E253/100*XLOOKUP(XLOOKUP(C253;Portions!$A:$A;Portions!$B:$B);FoodItems!$A:$A;FoodItems!$B:$B))</f>
        <v/>
      </c>
      <c r="G253">
        <f>IF(E253="";"";E253/100*XLOOKUP(XLOOKUP(C253;Portions!$A:$A;Portions!$B:$B);FoodItems!$A:$A;FoodItems!$C:$C))</f>
        <v/>
      </c>
      <c r="H253">
        <f>IF(E253="";"";E253/100*XLOOKUP(XLOOKUP(C253;Portions!$A:$A;Portions!$B:$B);FoodItems!$A:$A;FoodItems!$D:$D))</f>
        <v/>
      </c>
      <c r="I253">
        <f>IF(E253="";"";E253/100*XLOOKUP(XLOOKUP(C253;Portions!$A:$A;Portions!$B:$B);FoodItems!$A:$A;FoodItems!$E:$E))</f>
        <v/>
      </c>
    </row>
    <row r="254">
      <c r="E254">
        <f>IF(C254="";"";D254*XLOOKUP(C254;Portions!$A:$A;Portions!$D:$D))</f>
        <v/>
      </c>
      <c r="F254">
        <f>IF(E254="";"";E254/100*XLOOKUP(XLOOKUP(C254;Portions!$A:$A;Portions!$B:$B);FoodItems!$A:$A;FoodItems!$B:$B))</f>
        <v/>
      </c>
      <c r="G254">
        <f>IF(E254="";"";E254/100*XLOOKUP(XLOOKUP(C254;Portions!$A:$A;Portions!$B:$B);FoodItems!$A:$A;FoodItems!$C:$C))</f>
        <v/>
      </c>
      <c r="H254">
        <f>IF(E254="";"";E254/100*XLOOKUP(XLOOKUP(C254;Portions!$A:$A;Portions!$B:$B);FoodItems!$A:$A;FoodItems!$D:$D))</f>
        <v/>
      </c>
      <c r="I254">
        <f>IF(E254="";"";E254/100*XLOOKUP(XLOOKUP(C254;Portions!$A:$A;Portions!$B:$B);FoodItems!$A:$A;FoodItems!$E:$E))</f>
        <v/>
      </c>
    </row>
    <row r="255">
      <c r="E255">
        <f>IF(C255="";"";D255*XLOOKUP(C255;Portions!$A:$A;Portions!$D:$D))</f>
        <v/>
      </c>
      <c r="F255">
        <f>IF(E255="";"";E255/100*XLOOKUP(XLOOKUP(C255;Portions!$A:$A;Portions!$B:$B);FoodItems!$A:$A;FoodItems!$B:$B))</f>
        <v/>
      </c>
      <c r="G255">
        <f>IF(E255="";"";E255/100*XLOOKUP(XLOOKUP(C255;Portions!$A:$A;Portions!$B:$B);FoodItems!$A:$A;FoodItems!$C:$C))</f>
        <v/>
      </c>
      <c r="H255">
        <f>IF(E255="";"";E255/100*XLOOKUP(XLOOKUP(C255;Portions!$A:$A;Portions!$B:$B);FoodItems!$A:$A;FoodItems!$D:$D))</f>
        <v/>
      </c>
      <c r="I255">
        <f>IF(E255="";"";E255/100*XLOOKUP(XLOOKUP(C255;Portions!$A:$A;Portions!$B:$B);FoodItems!$A:$A;FoodItems!$E:$E))</f>
        <v/>
      </c>
    </row>
    <row r="256">
      <c r="E256">
        <f>IF(C256="";"";D256*XLOOKUP(C256;Portions!$A:$A;Portions!$D:$D))</f>
        <v/>
      </c>
      <c r="F256">
        <f>IF(E256="";"";E256/100*XLOOKUP(XLOOKUP(C256;Portions!$A:$A;Portions!$B:$B);FoodItems!$A:$A;FoodItems!$B:$B))</f>
        <v/>
      </c>
      <c r="G256">
        <f>IF(E256="";"";E256/100*XLOOKUP(XLOOKUP(C256;Portions!$A:$A;Portions!$B:$B);FoodItems!$A:$A;FoodItems!$C:$C))</f>
        <v/>
      </c>
      <c r="H256">
        <f>IF(E256="";"";E256/100*XLOOKUP(XLOOKUP(C256;Portions!$A:$A;Portions!$B:$B);FoodItems!$A:$A;FoodItems!$D:$D))</f>
        <v/>
      </c>
      <c r="I256">
        <f>IF(E256="";"";E256/100*XLOOKUP(XLOOKUP(C256;Portions!$A:$A;Portions!$B:$B);FoodItems!$A:$A;FoodItems!$E:$E))</f>
        <v/>
      </c>
    </row>
    <row r="257">
      <c r="E257">
        <f>IF(C257="";"";D257*XLOOKUP(C257;Portions!$A:$A;Portions!$D:$D))</f>
        <v/>
      </c>
      <c r="F257">
        <f>IF(E257="";"";E257/100*XLOOKUP(XLOOKUP(C257;Portions!$A:$A;Portions!$B:$B);FoodItems!$A:$A;FoodItems!$B:$B))</f>
        <v/>
      </c>
      <c r="G257">
        <f>IF(E257="";"";E257/100*XLOOKUP(XLOOKUP(C257;Portions!$A:$A;Portions!$B:$B);FoodItems!$A:$A;FoodItems!$C:$C))</f>
        <v/>
      </c>
      <c r="H257">
        <f>IF(E257="";"";E257/100*XLOOKUP(XLOOKUP(C257;Portions!$A:$A;Portions!$B:$B);FoodItems!$A:$A;FoodItems!$D:$D))</f>
        <v/>
      </c>
      <c r="I257">
        <f>IF(E257="";"";E257/100*XLOOKUP(XLOOKUP(C257;Portions!$A:$A;Portions!$B:$B);FoodItems!$A:$A;FoodItems!$E:$E))</f>
        <v/>
      </c>
    </row>
    <row r="258">
      <c r="E258">
        <f>IF(C258="";"";D258*XLOOKUP(C258;Portions!$A:$A;Portions!$D:$D))</f>
        <v/>
      </c>
      <c r="F258">
        <f>IF(E258="";"";E258/100*XLOOKUP(XLOOKUP(C258;Portions!$A:$A;Portions!$B:$B);FoodItems!$A:$A;FoodItems!$B:$B))</f>
        <v/>
      </c>
      <c r="G258">
        <f>IF(E258="";"";E258/100*XLOOKUP(XLOOKUP(C258;Portions!$A:$A;Portions!$B:$B);FoodItems!$A:$A;FoodItems!$C:$C))</f>
        <v/>
      </c>
      <c r="H258">
        <f>IF(E258="";"";E258/100*XLOOKUP(XLOOKUP(C258;Portions!$A:$A;Portions!$B:$B);FoodItems!$A:$A;FoodItems!$D:$D))</f>
        <v/>
      </c>
      <c r="I258">
        <f>IF(E258="";"";E258/100*XLOOKUP(XLOOKUP(C258;Portions!$A:$A;Portions!$B:$B);FoodItems!$A:$A;FoodItems!$E:$E))</f>
        <v/>
      </c>
    </row>
    <row r="259">
      <c r="E259">
        <f>IF(C259="";"";D259*XLOOKUP(C259;Portions!$A:$A;Portions!$D:$D))</f>
        <v/>
      </c>
      <c r="F259">
        <f>IF(E259="";"";E259/100*XLOOKUP(XLOOKUP(C259;Portions!$A:$A;Portions!$B:$B);FoodItems!$A:$A;FoodItems!$B:$B))</f>
        <v/>
      </c>
      <c r="G259">
        <f>IF(E259="";"";E259/100*XLOOKUP(XLOOKUP(C259;Portions!$A:$A;Portions!$B:$B);FoodItems!$A:$A;FoodItems!$C:$C))</f>
        <v/>
      </c>
      <c r="H259">
        <f>IF(E259="";"";E259/100*XLOOKUP(XLOOKUP(C259;Portions!$A:$A;Portions!$B:$B);FoodItems!$A:$A;FoodItems!$D:$D))</f>
        <v/>
      </c>
      <c r="I259">
        <f>IF(E259="";"";E259/100*XLOOKUP(XLOOKUP(C259;Portions!$A:$A;Portions!$B:$B);FoodItems!$A:$A;FoodItems!$E:$E))</f>
        <v/>
      </c>
    </row>
    <row r="260">
      <c r="E260">
        <f>IF(C260="";"";D260*XLOOKUP(C260;Portions!$A:$A;Portions!$D:$D))</f>
        <v/>
      </c>
      <c r="F260">
        <f>IF(E260="";"";E260/100*XLOOKUP(XLOOKUP(C260;Portions!$A:$A;Portions!$B:$B);FoodItems!$A:$A;FoodItems!$B:$B))</f>
        <v/>
      </c>
      <c r="G260">
        <f>IF(E260="";"";E260/100*XLOOKUP(XLOOKUP(C260;Portions!$A:$A;Portions!$B:$B);FoodItems!$A:$A;FoodItems!$C:$C))</f>
        <v/>
      </c>
      <c r="H260">
        <f>IF(E260="";"";E260/100*XLOOKUP(XLOOKUP(C260;Portions!$A:$A;Portions!$B:$B);FoodItems!$A:$A;FoodItems!$D:$D))</f>
        <v/>
      </c>
      <c r="I260">
        <f>IF(E260="";"";E260/100*XLOOKUP(XLOOKUP(C260;Portions!$A:$A;Portions!$B:$B);FoodItems!$A:$A;FoodItems!$E:$E))</f>
        <v/>
      </c>
    </row>
    <row r="261">
      <c r="E261">
        <f>IF(C261="";"";D261*XLOOKUP(C261;Portions!$A:$A;Portions!$D:$D))</f>
        <v/>
      </c>
      <c r="F261">
        <f>IF(E261="";"";E261/100*XLOOKUP(XLOOKUP(C261;Portions!$A:$A;Portions!$B:$B);FoodItems!$A:$A;FoodItems!$B:$B))</f>
        <v/>
      </c>
      <c r="G261">
        <f>IF(E261="";"";E261/100*XLOOKUP(XLOOKUP(C261;Portions!$A:$A;Portions!$B:$B);FoodItems!$A:$A;FoodItems!$C:$C))</f>
        <v/>
      </c>
      <c r="H261">
        <f>IF(E261="";"";E261/100*XLOOKUP(XLOOKUP(C261;Portions!$A:$A;Portions!$B:$B);FoodItems!$A:$A;FoodItems!$D:$D))</f>
        <v/>
      </c>
      <c r="I261">
        <f>IF(E261="";"";E261/100*XLOOKUP(XLOOKUP(C261;Portions!$A:$A;Portions!$B:$B);FoodItems!$A:$A;FoodItems!$E:$E))</f>
        <v/>
      </c>
    </row>
    <row r="262">
      <c r="E262">
        <f>IF(C262="";"";D262*XLOOKUP(C262;Portions!$A:$A;Portions!$D:$D))</f>
        <v/>
      </c>
      <c r="F262">
        <f>IF(E262="";"";E262/100*XLOOKUP(XLOOKUP(C262;Portions!$A:$A;Portions!$B:$B);FoodItems!$A:$A;FoodItems!$B:$B))</f>
        <v/>
      </c>
      <c r="G262">
        <f>IF(E262="";"";E262/100*XLOOKUP(XLOOKUP(C262;Portions!$A:$A;Portions!$B:$B);FoodItems!$A:$A;FoodItems!$C:$C))</f>
        <v/>
      </c>
      <c r="H262">
        <f>IF(E262="";"";E262/100*XLOOKUP(XLOOKUP(C262;Portions!$A:$A;Portions!$B:$B);FoodItems!$A:$A;FoodItems!$D:$D))</f>
        <v/>
      </c>
      <c r="I262">
        <f>IF(E262="";"";E262/100*XLOOKUP(XLOOKUP(C262;Portions!$A:$A;Portions!$B:$B);FoodItems!$A:$A;FoodItems!$E:$E))</f>
        <v/>
      </c>
    </row>
    <row r="263">
      <c r="E263">
        <f>IF(C263="";"";D263*XLOOKUP(C263;Portions!$A:$A;Portions!$D:$D))</f>
        <v/>
      </c>
      <c r="F263">
        <f>IF(E263="";"";E263/100*XLOOKUP(XLOOKUP(C263;Portions!$A:$A;Portions!$B:$B);FoodItems!$A:$A;FoodItems!$B:$B))</f>
        <v/>
      </c>
      <c r="G263">
        <f>IF(E263="";"";E263/100*XLOOKUP(XLOOKUP(C263;Portions!$A:$A;Portions!$B:$B);FoodItems!$A:$A;FoodItems!$C:$C))</f>
        <v/>
      </c>
      <c r="H263">
        <f>IF(E263="";"";E263/100*XLOOKUP(XLOOKUP(C263;Portions!$A:$A;Portions!$B:$B);FoodItems!$A:$A;FoodItems!$D:$D))</f>
        <v/>
      </c>
      <c r="I263">
        <f>IF(E263="";"";E263/100*XLOOKUP(XLOOKUP(C263;Portions!$A:$A;Portions!$B:$B);FoodItems!$A:$A;FoodItems!$E:$E))</f>
        <v/>
      </c>
    </row>
    <row r="264">
      <c r="E264">
        <f>IF(C264="";"";D264*XLOOKUP(C264;Portions!$A:$A;Portions!$D:$D))</f>
        <v/>
      </c>
      <c r="F264">
        <f>IF(E264="";"";E264/100*XLOOKUP(XLOOKUP(C264;Portions!$A:$A;Portions!$B:$B);FoodItems!$A:$A;FoodItems!$B:$B))</f>
        <v/>
      </c>
      <c r="G264">
        <f>IF(E264="";"";E264/100*XLOOKUP(XLOOKUP(C264;Portions!$A:$A;Portions!$B:$B);FoodItems!$A:$A;FoodItems!$C:$C))</f>
        <v/>
      </c>
      <c r="H264">
        <f>IF(E264="";"";E264/100*XLOOKUP(XLOOKUP(C264;Portions!$A:$A;Portions!$B:$B);FoodItems!$A:$A;FoodItems!$D:$D))</f>
        <v/>
      </c>
      <c r="I264">
        <f>IF(E264="";"";E264/100*XLOOKUP(XLOOKUP(C264;Portions!$A:$A;Portions!$B:$B);FoodItems!$A:$A;FoodItems!$E:$E))</f>
        <v/>
      </c>
    </row>
    <row r="265">
      <c r="E265">
        <f>IF(C265="";"";D265*XLOOKUP(C265;Portions!$A:$A;Portions!$D:$D))</f>
        <v/>
      </c>
      <c r="F265">
        <f>IF(E265="";"";E265/100*XLOOKUP(XLOOKUP(C265;Portions!$A:$A;Portions!$B:$B);FoodItems!$A:$A;FoodItems!$B:$B))</f>
        <v/>
      </c>
      <c r="G265">
        <f>IF(E265="";"";E265/100*XLOOKUP(XLOOKUP(C265;Portions!$A:$A;Portions!$B:$B);FoodItems!$A:$A;FoodItems!$C:$C))</f>
        <v/>
      </c>
      <c r="H265">
        <f>IF(E265="";"";E265/100*XLOOKUP(XLOOKUP(C265;Portions!$A:$A;Portions!$B:$B);FoodItems!$A:$A;FoodItems!$D:$D))</f>
        <v/>
      </c>
      <c r="I265">
        <f>IF(E265="";"";E265/100*XLOOKUP(XLOOKUP(C265;Portions!$A:$A;Portions!$B:$B);FoodItems!$A:$A;FoodItems!$E:$E))</f>
        <v/>
      </c>
    </row>
    <row r="266">
      <c r="E266">
        <f>IF(C266="";"";D266*XLOOKUP(C266;Portions!$A:$A;Portions!$D:$D))</f>
        <v/>
      </c>
      <c r="F266">
        <f>IF(E266="";"";E266/100*XLOOKUP(XLOOKUP(C266;Portions!$A:$A;Portions!$B:$B);FoodItems!$A:$A;FoodItems!$B:$B))</f>
        <v/>
      </c>
      <c r="G266">
        <f>IF(E266="";"";E266/100*XLOOKUP(XLOOKUP(C266;Portions!$A:$A;Portions!$B:$B);FoodItems!$A:$A;FoodItems!$C:$C))</f>
        <v/>
      </c>
      <c r="H266">
        <f>IF(E266="";"";E266/100*XLOOKUP(XLOOKUP(C266;Portions!$A:$A;Portions!$B:$B);FoodItems!$A:$A;FoodItems!$D:$D))</f>
        <v/>
      </c>
      <c r="I266">
        <f>IF(E266="";"";E266/100*XLOOKUP(XLOOKUP(C266;Portions!$A:$A;Portions!$B:$B);FoodItems!$A:$A;FoodItems!$E:$E))</f>
        <v/>
      </c>
    </row>
    <row r="267">
      <c r="E267">
        <f>IF(C267="";"";D267*XLOOKUP(C267;Portions!$A:$A;Portions!$D:$D))</f>
        <v/>
      </c>
      <c r="F267">
        <f>IF(E267="";"";E267/100*XLOOKUP(XLOOKUP(C267;Portions!$A:$A;Portions!$B:$B);FoodItems!$A:$A;FoodItems!$B:$B))</f>
        <v/>
      </c>
      <c r="G267">
        <f>IF(E267="";"";E267/100*XLOOKUP(XLOOKUP(C267;Portions!$A:$A;Portions!$B:$B);FoodItems!$A:$A;FoodItems!$C:$C))</f>
        <v/>
      </c>
      <c r="H267">
        <f>IF(E267="";"";E267/100*XLOOKUP(XLOOKUP(C267;Portions!$A:$A;Portions!$B:$B);FoodItems!$A:$A;FoodItems!$D:$D))</f>
        <v/>
      </c>
      <c r="I267">
        <f>IF(E267="";"";E267/100*XLOOKUP(XLOOKUP(C267;Portions!$A:$A;Portions!$B:$B);FoodItems!$A:$A;FoodItems!$E:$E))</f>
        <v/>
      </c>
    </row>
    <row r="268">
      <c r="E268">
        <f>IF(C268="";"";D268*XLOOKUP(C268;Portions!$A:$A;Portions!$D:$D))</f>
        <v/>
      </c>
      <c r="F268">
        <f>IF(E268="";"";E268/100*XLOOKUP(XLOOKUP(C268;Portions!$A:$A;Portions!$B:$B);FoodItems!$A:$A;FoodItems!$B:$B))</f>
        <v/>
      </c>
      <c r="G268">
        <f>IF(E268="";"";E268/100*XLOOKUP(XLOOKUP(C268;Portions!$A:$A;Portions!$B:$B);FoodItems!$A:$A;FoodItems!$C:$C))</f>
        <v/>
      </c>
      <c r="H268">
        <f>IF(E268="";"";E268/100*XLOOKUP(XLOOKUP(C268;Portions!$A:$A;Portions!$B:$B);FoodItems!$A:$A;FoodItems!$D:$D))</f>
        <v/>
      </c>
      <c r="I268">
        <f>IF(E268="";"";E268/100*XLOOKUP(XLOOKUP(C268;Portions!$A:$A;Portions!$B:$B);FoodItems!$A:$A;FoodItems!$E:$E))</f>
        <v/>
      </c>
    </row>
    <row r="269">
      <c r="E269">
        <f>IF(C269="";"";D269*XLOOKUP(C269;Portions!$A:$A;Portions!$D:$D))</f>
        <v/>
      </c>
      <c r="F269">
        <f>IF(E269="";"";E269/100*XLOOKUP(XLOOKUP(C269;Portions!$A:$A;Portions!$B:$B);FoodItems!$A:$A;FoodItems!$B:$B))</f>
        <v/>
      </c>
      <c r="G269">
        <f>IF(E269="";"";E269/100*XLOOKUP(XLOOKUP(C269;Portions!$A:$A;Portions!$B:$B);FoodItems!$A:$A;FoodItems!$C:$C))</f>
        <v/>
      </c>
      <c r="H269">
        <f>IF(E269="";"";E269/100*XLOOKUP(XLOOKUP(C269;Portions!$A:$A;Portions!$B:$B);FoodItems!$A:$A;FoodItems!$D:$D))</f>
        <v/>
      </c>
      <c r="I269">
        <f>IF(E269="";"";E269/100*XLOOKUP(XLOOKUP(C269;Portions!$A:$A;Portions!$B:$B);FoodItems!$A:$A;FoodItems!$E:$E))</f>
        <v/>
      </c>
    </row>
    <row r="270">
      <c r="E270">
        <f>IF(C270="";"";D270*XLOOKUP(C270;Portions!$A:$A;Portions!$D:$D))</f>
        <v/>
      </c>
      <c r="F270">
        <f>IF(E270="";"";E270/100*XLOOKUP(XLOOKUP(C270;Portions!$A:$A;Portions!$B:$B);FoodItems!$A:$A;FoodItems!$B:$B))</f>
        <v/>
      </c>
      <c r="G270">
        <f>IF(E270="";"";E270/100*XLOOKUP(XLOOKUP(C270;Portions!$A:$A;Portions!$B:$B);FoodItems!$A:$A;FoodItems!$C:$C))</f>
        <v/>
      </c>
      <c r="H270">
        <f>IF(E270="";"";E270/100*XLOOKUP(XLOOKUP(C270;Portions!$A:$A;Portions!$B:$B);FoodItems!$A:$A;FoodItems!$D:$D))</f>
        <v/>
      </c>
      <c r="I270">
        <f>IF(E270="";"";E270/100*XLOOKUP(XLOOKUP(C270;Portions!$A:$A;Portions!$B:$B);FoodItems!$A:$A;FoodItems!$E:$E))</f>
        <v/>
      </c>
    </row>
    <row r="271">
      <c r="E271">
        <f>IF(C271="";"";D271*XLOOKUP(C271;Portions!$A:$A;Portions!$D:$D))</f>
        <v/>
      </c>
      <c r="F271">
        <f>IF(E271="";"";E271/100*XLOOKUP(XLOOKUP(C271;Portions!$A:$A;Portions!$B:$B);FoodItems!$A:$A;FoodItems!$B:$B))</f>
        <v/>
      </c>
      <c r="G271">
        <f>IF(E271="";"";E271/100*XLOOKUP(XLOOKUP(C271;Portions!$A:$A;Portions!$B:$B);FoodItems!$A:$A;FoodItems!$C:$C))</f>
        <v/>
      </c>
      <c r="H271">
        <f>IF(E271="";"";E271/100*XLOOKUP(XLOOKUP(C271;Portions!$A:$A;Portions!$B:$B);FoodItems!$A:$A;FoodItems!$D:$D))</f>
        <v/>
      </c>
      <c r="I271">
        <f>IF(E271="";"";E271/100*XLOOKUP(XLOOKUP(C271;Portions!$A:$A;Portions!$B:$B);FoodItems!$A:$A;FoodItems!$E:$E))</f>
        <v/>
      </c>
    </row>
    <row r="272">
      <c r="E272">
        <f>IF(C272="";"";D272*XLOOKUP(C272;Portions!$A:$A;Portions!$D:$D))</f>
        <v/>
      </c>
      <c r="F272">
        <f>IF(E272="";"";E272/100*XLOOKUP(XLOOKUP(C272;Portions!$A:$A;Portions!$B:$B);FoodItems!$A:$A;FoodItems!$B:$B))</f>
        <v/>
      </c>
      <c r="G272">
        <f>IF(E272="";"";E272/100*XLOOKUP(XLOOKUP(C272;Portions!$A:$A;Portions!$B:$B);FoodItems!$A:$A;FoodItems!$C:$C))</f>
        <v/>
      </c>
      <c r="H272">
        <f>IF(E272="";"";E272/100*XLOOKUP(XLOOKUP(C272;Portions!$A:$A;Portions!$B:$B);FoodItems!$A:$A;FoodItems!$D:$D))</f>
        <v/>
      </c>
      <c r="I272">
        <f>IF(E272="";"";E272/100*XLOOKUP(XLOOKUP(C272;Portions!$A:$A;Portions!$B:$B);FoodItems!$A:$A;FoodItems!$E:$E))</f>
        <v/>
      </c>
    </row>
    <row r="273">
      <c r="E273">
        <f>IF(C273="";"";D273*XLOOKUP(C273;Portions!$A:$A;Portions!$D:$D))</f>
        <v/>
      </c>
      <c r="F273">
        <f>IF(E273="";"";E273/100*XLOOKUP(XLOOKUP(C273;Portions!$A:$A;Portions!$B:$B);FoodItems!$A:$A;FoodItems!$B:$B))</f>
        <v/>
      </c>
      <c r="G273">
        <f>IF(E273="";"";E273/100*XLOOKUP(XLOOKUP(C273;Portions!$A:$A;Portions!$B:$B);FoodItems!$A:$A;FoodItems!$C:$C))</f>
        <v/>
      </c>
      <c r="H273">
        <f>IF(E273="";"";E273/100*XLOOKUP(XLOOKUP(C273;Portions!$A:$A;Portions!$B:$B);FoodItems!$A:$A;FoodItems!$D:$D))</f>
        <v/>
      </c>
      <c r="I273">
        <f>IF(E273="";"";E273/100*XLOOKUP(XLOOKUP(C273;Portions!$A:$A;Portions!$B:$B);FoodItems!$A:$A;FoodItems!$E:$E))</f>
        <v/>
      </c>
    </row>
    <row r="274">
      <c r="E274">
        <f>IF(C274="";"";D274*XLOOKUP(C274;Portions!$A:$A;Portions!$D:$D))</f>
        <v/>
      </c>
      <c r="F274">
        <f>IF(E274="";"";E274/100*XLOOKUP(XLOOKUP(C274;Portions!$A:$A;Portions!$B:$B);FoodItems!$A:$A;FoodItems!$B:$B))</f>
        <v/>
      </c>
      <c r="G274">
        <f>IF(E274="";"";E274/100*XLOOKUP(XLOOKUP(C274;Portions!$A:$A;Portions!$B:$B);FoodItems!$A:$A;FoodItems!$C:$C))</f>
        <v/>
      </c>
      <c r="H274">
        <f>IF(E274="";"";E274/100*XLOOKUP(XLOOKUP(C274;Portions!$A:$A;Portions!$B:$B);FoodItems!$A:$A;FoodItems!$D:$D))</f>
        <v/>
      </c>
      <c r="I274">
        <f>IF(E274="";"";E274/100*XLOOKUP(XLOOKUP(C274;Portions!$A:$A;Portions!$B:$B);FoodItems!$A:$A;FoodItems!$E:$E))</f>
        <v/>
      </c>
    </row>
    <row r="275">
      <c r="E275">
        <f>IF(C275="";"";D275*XLOOKUP(C275;Portions!$A:$A;Portions!$D:$D))</f>
        <v/>
      </c>
      <c r="F275">
        <f>IF(E275="";"";E275/100*XLOOKUP(XLOOKUP(C275;Portions!$A:$A;Portions!$B:$B);FoodItems!$A:$A;FoodItems!$B:$B))</f>
        <v/>
      </c>
      <c r="G275">
        <f>IF(E275="";"";E275/100*XLOOKUP(XLOOKUP(C275;Portions!$A:$A;Portions!$B:$B);FoodItems!$A:$A;FoodItems!$C:$C))</f>
        <v/>
      </c>
      <c r="H275">
        <f>IF(E275="";"";E275/100*XLOOKUP(XLOOKUP(C275;Portions!$A:$A;Portions!$B:$B);FoodItems!$A:$A;FoodItems!$D:$D))</f>
        <v/>
      </c>
      <c r="I275">
        <f>IF(E275="";"";E275/100*XLOOKUP(XLOOKUP(C275;Portions!$A:$A;Portions!$B:$B);FoodItems!$A:$A;FoodItems!$E:$E))</f>
        <v/>
      </c>
    </row>
    <row r="276">
      <c r="E276">
        <f>IF(C276="";"";D276*XLOOKUP(C276;Portions!$A:$A;Portions!$D:$D))</f>
        <v/>
      </c>
      <c r="F276">
        <f>IF(E276="";"";E276/100*XLOOKUP(XLOOKUP(C276;Portions!$A:$A;Portions!$B:$B);FoodItems!$A:$A;FoodItems!$B:$B))</f>
        <v/>
      </c>
      <c r="G276">
        <f>IF(E276="";"";E276/100*XLOOKUP(XLOOKUP(C276;Portions!$A:$A;Portions!$B:$B);FoodItems!$A:$A;FoodItems!$C:$C))</f>
        <v/>
      </c>
      <c r="H276">
        <f>IF(E276="";"";E276/100*XLOOKUP(XLOOKUP(C276;Portions!$A:$A;Portions!$B:$B);FoodItems!$A:$A;FoodItems!$D:$D))</f>
        <v/>
      </c>
      <c r="I276">
        <f>IF(E276="";"";E276/100*XLOOKUP(XLOOKUP(C276;Portions!$A:$A;Portions!$B:$B);FoodItems!$A:$A;FoodItems!$E:$E))</f>
        <v/>
      </c>
    </row>
    <row r="277">
      <c r="E277">
        <f>IF(C277="";"";D277*XLOOKUP(C277;Portions!$A:$A;Portions!$D:$D))</f>
        <v/>
      </c>
      <c r="F277">
        <f>IF(E277="";"";E277/100*XLOOKUP(XLOOKUP(C277;Portions!$A:$A;Portions!$B:$B);FoodItems!$A:$A;FoodItems!$B:$B))</f>
        <v/>
      </c>
      <c r="G277">
        <f>IF(E277="";"";E277/100*XLOOKUP(XLOOKUP(C277;Portions!$A:$A;Portions!$B:$B);FoodItems!$A:$A;FoodItems!$C:$C))</f>
        <v/>
      </c>
      <c r="H277">
        <f>IF(E277="";"";E277/100*XLOOKUP(XLOOKUP(C277;Portions!$A:$A;Portions!$B:$B);FoodItems!$A:$A;FoodItems!$D:$D))</f>
        <v/>
      </c>
      <c r="I277">
        <f>IF(E277="";"";E277/100*XLOOKUP(XLOOKUP(C277;Portions!$A:$A;Portions!$B:$B);FoodItems!$A:$A;FoodItems!$E:$E))</f>
        <v/>
      </c>
    </row>
    <row r="278">
      <c r="E278">
        <f>IF(C278="";"";D278*XLOOKUP(C278;Portions!$A:$A;Portions!$D:$D))</f>
        <v/>
      </c>
      <c r="F278">
        <f>IF(E278="";"";E278/100*XLOOKUP(XLOOKUP(C278;Portions!$A:$A;Portions!$B:$B);FoodItems!$A:$A;FoodItems!$B:$B))</f>
        <v/>
      </c>
      <c r="G278">
        <f>IF(E278="";"";E278/100*XLOOKUP(XLOOKUP(C278;Portions!$A:$A;Portions!$B:$B);FoodItems!$A:$A;FoodItems!$C:$C))</f>
        <v/>
      </c>
      <c r="H278">
        <f>IF(E278="";"";E278/100*XLOOKUP(XLOOKUP(C278;Portions!$A:$A;Portions!$B:$B);FoodItems!$A:$A;FoodItems!$D:$D))</f>
        <v/>
      </c>
      <c r="I278">
        <f>IF(E278="";"";E278/100*XLOOKUP(XLOOKUP(C278;Portions!$A:$A;Portions!$B:$B);FoodItems!$A:$A;FoodItems!$E:$E))</f>
        <v/>
      </c>
    </row>
    <row r="279">
      <c r="E279">
        <f>IF(C279="";"";D279*XLOOKUP(C279;Portions!$A:$A;Portions!$D:$D))</f>
        <v/>
      </c>
      <c r="F279">
        <f>IF(E279="";"";E279/100*XLOOKUP(XLOOKUP(C279;Portions!$A:$A;Portions!$B:$B);FoodItems!$A:$A;FoodItems!$B:$B))</f>
        <v/>
      </c>
      <c r="G279">
        <f>IF(E279="";"";E279/100*XLOOKUP(XLOOKUP(C279;Portions!$A:$A;Portions!$B:$B);FoodItems!$A:$A;FoodItems!$C:$C))</f>
        <v/>
      </c>
      <c r="H279">
        <f>IF(E279="";"";E279/100*XLOOKUP(XLOOKUP(C279;Portions!$A:$A;Portions!$B:$B);FoodItems!$A:$A;FoodItems!$D:$D))</f>
        <v/>
      </c>
      <c r="I279">
        <f>IF(E279="";"";E279/100*XLOOKUP(XLOOKUP(C279;Portions!$A:$A;Portions!$B:$B);FoodItems!$A:$A;FoodItems!$E:$E))</f>
        <v/>
      </c>
    </row>
    <row r="280">
      <c r="E280">
        <f>IF(C280="";"";D280*XLOOKUP(C280;Portions!$A:$A;Portions!$D:$D))</f>
        <v/>
      </c>
      <c r="F280">
        <f>IF(E280="";"";E280/100*XLOOKUP(XLOOKUP(C280;Portions!$A:$A;Portions!$B:$B);FoodItems!$A:$A;FoodItems!$B:$B))</f>
        <v/>
      </c>
      <c r="G280">
        <f>IF(E280="";"";E280/100*XLOOKUP(XLOOKUP(C280;Portions!$A:$A;Portions!$B:$B);FoodItems!$A:$A;FoodItems!$C:$C))</f>
        <v/>
      </c>
      <c r="H280">
        <f>IF(E280="";"";E280/100*XLOOKUP(XLOOKUP(C280;Portions!$A:$A;Portions!$B:$B);FoodItems!$A:$A;FoodItems!$D:$D))</f>
        <v/>
      </c>
      <c r="I280">
        <f>IF(E280="";"";E280/100*XLOOKUP(XLOOKUP(C280;Portions!$A:$A;Portions!$B:$B);FoodItems!$A:$A;FoodItems!$E:$E))</f>
        <v/>
      </c>
    </row>
    <row r="281">
      <c r="E281">
        <f>IF(C281="";"";D281*XLOOKUP(C281;Portions!$A:$A;Portions!$D:$D))</f>
        <v/>
      </c>
      <c r="F281">
        <f>IF(E281="";"";E281/100*XLOOKUP(XLOOKUP(C281;Portions!$A:$A;Portions!$B:$B);FoodItems!$A:$A;FoodItems!$B:$B))</f>
        <v/>
      </c>
      <c r="G281">
        <f>IF(E281="";"";E281/100*XLOOKUP(XLOOKUP(C281;Portions!$A:$A;Portions!$B:$B);FoodItems!$A:$A;FoodItems!$C:$C))</f>
        <v/>
      </c>
      <c r="H281">
        <f>IF(E281="";"";E281/100*XLOOKUP(XLOOKUP(C281;Portions!$A:$A;Portions!$B:$B);FoodItems!$A:$A;FoodItems!$D:$D))</f>
        <v/>
      </c>
      <c r="I281">
        <f>IF(E281="";"";E281/100*XLOOKUP(XLOOKUP(C281;Portions!$A:$A;Portions!$B:$B);FoodItems!$A:$A;FoodItems!$E:$E))</f>
        <v/>
      </c>
    </row>
    <row r="282">
      <c r="E282">
        <f>IF(C282="";"";D282*XLOOKUP(C282;Portions!$A:$A;Portions!$D:$D))</f>
        <v/>
      </c>
      <c r="F282">
        <f>IF(E282="";"";E282/100*XLOOKUP(XLOOKUP(C282;Portions!$A:$A;Portions!$B:$B);FoodItems!$A:$A;FoodItems!$B:$B))</f>
        <v/>
      </c>
      <c r="G282">
        <f>IF(E282="";"";E282/100*XLOOKUP(XLOOKUP(C282;Portions!$A:$A;Portions!$B:$B);FoodItems!$A:$A;FoodItems!$C:$C))</f>
        <v/>
      </c>
      <c r="H282">
        <f>IF(E282="";"";E282/100*XLOOKUP(XLOOKUP(C282;Portions!$A:$A;Portions!$B:$B);FoodItems!$A:$A;FoodItems!$D:$D))</f>
        <v/>
      </c>
      <c r="I282">
        <f>IF(E282="";"";E282/100*XLOOKUP(XLOOKUP(C282;Portions!$A:$A;Portions!$B:$B);FoodItems!$A:$A;FoodItems!$E:$E))</f>
        <v/>
      </c>
    </row>
    <row r="283">
      <c r="E283">
        <f>IF(C283="";"";D283*XLOOKUP(C283;Portions!$A:$A;Portions!$D:$D))</f>
        <v/>
      </c>
      <c r="F283">
        <f>IF(E283="";"";E283/100*XLOOKUP(XLOOKUP(C283;Portions!$A:$A;Portions!$B:$B);FoodItems!$A:$A;FoodItems!$B:$B))</f>
        <v/>
      </c>
      <c r="G283">
        <f>IF(E283="";"";E283/100*XLOOKUP(XLOOKUP(C283;Portions!$A:$A;Portions!$B:$B);FoodItems!$A:$A;FoodItems!$C:$C))</f>
        <v/>
      </c>
      <c r="H283">
        <f>IF(E283="";"";E283/100*XLOOKUP(XLOOKUP(C283;Portions!$A:$A;Portions!$B:$B);FoodItems!$A:$A;FoodItems!$D:$D))</f>
        <v/>
      </c>
      <c r="I283">
        <f>IF(E283="";"";E283/100*XLOOKUP(XLOOKUP(C283;Portions!$A:$A;Portions!$B:$B);FoodItems!$A:$A;FoodItems!$E:$E))</f>
        <v/>
      </c>
    </row>
    <row r="284">
      <c r="E284">
        <f>IF(C284="";"";D284*XLOOKUP(C284;Portions!$A:$A;Portions!$D:$D))</f>
        <v/>
      </c>
      <c r="F284">
        <f>IF(E284="";"";E284/100*XLOOKUP(XLOOKUP(C284;Portions!$A:$A;Portions!$B:$B);FoodItems!$A:$A;FoodItems!$B:$B))</f>
        <v/>
      </c>
      <c r="G284">
        <f>IF(E284="";"";E284/100*XLOOKUP(XLOOKUP(C284;Portions!$A:$A;Portions!$B:$B);FoodItems!$A:$A;FoodItems!$C:$C))</f>
        <v/>
      </c>
      <c r="H284">
        <f>IF(E284="";"";E284/100*XLOOKUP(XLOOKUP(C284;Portions!$A:$A;Portions!$B:$B);FoodItems!$A:$A;FoodItems!$D:$D))</f>
        <v/>
      </c>
      <c r="I284">
        <f>IF(E284="";"";E284/100*XLOOKUP(XLOOKUP(C284;Portions!$A:$A;Portions!$B:$B);FoodItems!$A:$A;FoodItems!$E:$E))</f>
        <v/>
      </c>
    </row>
    <row r="285">
      <c r="E285">
        <f>IF(C285="";"";D285*XLOOKUP(C285;Portions!$A:$A;Portions!$D:$D))</f>
        <v/>
      </c>
      <c r="F285">
        <f>IF(E285="";"";E285/100*XLOOKUP(XLOOKUP(C285;Portions!$A:$A;Portions!$B:$B);FoodItems!$A:$A;FoodItems!$B:$B))</f>
        <v/>
      </c>
      <c r="G285">
        <f>IF(E285="";"";E285/100*XLOOKUP(XLOOKUP(C285;Portions!$A:$A;Portions!$B:$B);FoodItems!$A:$A;FoodItems!$C:$C))</f>
        <v/>
      </c>
      <c r="H285">
        <f>IF(E285="";"";E285/100*XLOOKUP(XLOOKUP(C285;Portions!$A:$A;Portions!$B:$B);FoodItems!$A:$A;FoodItems!$D:$D))</f>
        <v/>
      </c>
      <c r="I285">
        <f>IF(E285="";"";E285/100*XLOOKUP(XLOOKUP(C285;Portions!$A:$A;Portions!$B:$B);FoodItems!$A:$A;FoodItems!$E:$E))</f>
        <v/>
      </c>
    </row>
    <row r="286">
      <c r="E286">
        <f>IF(C286="";"";D286*XLOOKUP(C286;Portions!$A:$A;Portions!$D:$D))</f>
        <v/>
      </c>
      <c r="F286">
        <f>IF(E286="";"";E286/100*XLOOKUP(XLOOKUP(C286;Portions!$A:$A;Portions!$B:$B);FoodItems!$A:$A;FoodItems!$B:$B))</f>
        <v/>
      </c>
      <c r="G286">
        <f>IF(E286="";"";E286/100*XLOOKUP(XLOOKUP(C286;Portions!$A:$A;Portions!$B:$B);FoodItems!$A:$A;FoodItems!$C:$C))</f>
        <v/>
      </c>
      <c r="H286">
        <f>IF(E286="";"";E286/100*XLOOKUP(XLOOKUP(C286;Portions!$A:$A;Portions!$B:$B);FoodItems!$A:$A;FoodItems!$D:$D))</f>
        <v/>
      </c>
      <c r="I286">
        <f>IF(E286="";"";E286/100*XLOOKUP(XLOOKUP(C286;Portions!$A:$A;Portions!$B:$B);FoodItems!$A:$A;FoodItems!$E:$E))</f>
        <v/>
      </c>
    </row>
    <row r="287">
      <c r="E287">
        <f>IF(C287="";"";D287*XLOOKUP(C287;Portions!$A:$A;Portions!$D:$D))</f>
        <v/>
      </c>
      <c r="F287">
        <f>IF(E287="";"";E287/100*XLOOKUP(XLOOKUP(C287;Portions!$A:$A;Portions!$B:$B);FoodItems!$A:$A;FoodItems!$B:$B))</f>
        <v/>
      </c>
      <c r="G287">
        <f>IF(E287="";"";E287/100*XLOOKUP(XLOOKUP(C287;Portions!$A:$A;Portions!$B:$B);FoodItems!$A:$A;FoodItems!$C:$C))</f>
        <v/>
      </c>
      <c r="H287">
        <f>IF(E287="";"";E287/100*XLOOKUP(XLOOKUP(C287;Portions!$A:$A;Portions!$B:$B);FoodItems!$A:$A;FoodItems!$D:$D))</f>
        <v/>
      </c>
      <c r="I287">
        <f>IF(E287="";"";E287/100*XLOOKUP(XLOOKUP(C287;Portions!$A:$A;Portions!$B:$B);FoodItems!$A:$A;FoodItems!$E:$E))</f>
        <v/>
      </c>
    </row>
    <row r="288">
      <c r="E288">
        <f>IF(C288="";"";D288*XLOOKUP(C288;Portions!$A:$A;Portions!$D:$D))</f>
        <v/>
      </c>
      <c r="F288">
        <f>IF(E288="";"";E288/100*XLOOKUP(XLOOKUP(C288;Portions!$A:$A;Portions!$B:$B);FoodItems!$A:$A;FoodItems!$B:$B))</f>
        <v/>
      </c>
      <c r="G288">
        <f>IF(E288="";"";E288/100*XLOOKUP(XLOOKUP(C288;Portions!$A:$A;Portions!$B:$B);FoodItems!$A:$A;FoodItems!$C:$C))</f>
        <v/>
      </c>
      <c r="H288">
        <f>IF(E288="";"";E288/100*XLOOKUP(XLOOKUP(C288;Portions!$A:$A;Portions!$B:$B);FoodItems!$A:$A;FoodItems!$D:$D))</f>
        <v/>
      </c>
      <c r="I288">
        <f>IF(E288="";"";E288/100*XLOOKUP(XLOOKUP(C288;Portions!$A:$A;Portions!$B:$B);FoodItems!$A:$A;FoodItems!$E:$E))</f>
        <v/>
      </c>
    </row>
    <row r="289">
      <c r="E289">
        <f>IF(C289="";"";D289*XLOOKUP(C289;Portions!$A:$A;Portions!$D:$D))</f>
        <v/>
      </c>
      <c r="F289">
        <f>IF(E289="";"";E289/100*XLOOKUP(XLOOKUP(C289;Portions!$A:$A;Portions!$B:$B);FoodItems!$A:$A;FoodItems!$B:$B))</f>
        <v/>
      </c>
      <c r="G289">
        <f>IF(E289="";"";E289/100*XLOOKUP(XLOOKUP(C289;Portions!$A:$A;Portions!$B:$B);FoodItems!$A:$A;FoodItems!$C:$C))</f>
        <v/>
      </c>
      <c r="H289">
        <f>IF(E289="";"";E289/100*XLOOKUP(XLOOKUP(C289;Portions!$A:$A;Portions!$B:$B);FoodItems!$A:$A;FoodItems!$D:$D))</f>
        <v/>
      </c>
      <c r="I289">
        <f>IF(E289="";"";E289/100*XLOOKUP(XLOOKUP(C289;Portions!$A:$A;Portions!$B:$B);FoodItems!$A:$A;FoodItems!$E:$E))</f>
        <v/>
      </c>
    </row>
    <row r="290">
      <c r="E290">
        <f>IF(C290="";"";D290*XLOOKUP(C290;Portions!$A:$A;Portions!$D:$D))</f>
        <v/>
      </c>
      <c r="F290">
        <f>IF(E290="";"";E290/100*XLOOKUP(XLOOKUP(C290;Portions!$A:$A;Portions!$B:$B);FoodItems!$A:$A;FoodItems!$B:$B))</f>
        <v/>
      </c>
      <c r="G290">
        <f>IF(E290="";"";E290/100*XLOOKUP(XLOOKUP(C290;Portions!$A:$A;Portions!$B:$B);FoodItems!$A:$A;FoodItems!$C:$C))</f>
        <v/>
      </c>
      <c r="H290">
        <f>IF(E290="";"";E290/100*XLOOKUP(XLOOKUP(C290;Portions!$A:$A;Portions!$B:$B);FoodItems!$A:$A;FoodItems!$D:$D))</f>
        <v/>
      </c>
      <c r="I290">
        <f>IF(E290="";"";E290/100*XLOOKUP(XLOOKUP(C290;Portions!$A:$A;Portions!$B:$B);FoodItems!$A:$A;FoodItems!$E:$E))</f>
        <v/>
      </c>
    </row>
    <row r="291">
      <c r="E291">
        <f>IF(C291="";"";D291*XLOOKUP(C291;Portions!$A:$A;Portions!$D:$D))</f>
        <v/>
      </c>
      <c r="F291">
        <f>IF(E291="";"";E291/100*XLOOKUP(XLOOKUP(C291;Portions!$A:$A;Portions!$B:$B);FoodItems!$A:$A;FoodItems!$B:$B))</f>
        <v/>
      </c>
      <c r="G291">
        <f>IF(E291="";"";E291/100*XLOOKUP(XLOOKUP(C291;Portions!$A:$A;Portions!$B:$B);FoodItems!$A:$A;FoodItems!$C:$C))</f>
        <v/>
      </c>
      <c r="H291">
        <f>IF(E291="";"";E291/100*XLOOKUP(XLOOKUP(C291;Portions!$A:$A;Portions!$B:$B);FoodItems!$A:$A;FoodItems!$D:$D))</f>
        <v/>
      </c>
      <c r="I291">
        <f>IF(E291="";"";E291/100*XLOOKUP(XLOOKUP(C291;Portions!$A:$A;Portions!$B:$B);FoodItems!$A:$A;FoodItems!$E:$E))</f>
        <v/>
      </c>
    </row>
    <row r="292">
      <c r="E292">
        <f>IF(C292="";"";D292*XLOOKUP(C292;Portions!$A:$A;Portions!$D:$D))</f>
        <v/>
      </c>
      <c r="F292">
        <f>IF(E292="";"";E292/100*XLOOKUP(XLOOKUP(C292;Portions!$A:$A;Portions!$B:$B);FoodItems!$A:$A;FoodItems!$B:$B))</f>
        <v/>
      </c>
      <c r="G292">
        <f>IF(E292="";"";E292/100*XLOOKUP(XLOOKUP(C292;Portions!$A:$A;Portions!$B:$B);FoodItems!$A:$A;FoodItems!$C:$C))</f>
        <v/>
      </c>
      <c r="H292">
        <f>IF(E292="";"";E292/100*XLOOKUP(XLOOKUP(C292;Portions!$A:$A;Portions!$B:$B);FoodItems!$A:$A;FoodItems!$D:$D))</f>
        <v/>
      </c>
      <c r="I292">
        <f>IF(E292="";"";E292/100*XLOOKUP(XLOOKUP(C292;Portions!$A:$A;Portions!$B:$B);FoodItems!$A:$A;FoodItems!$E:$E))</f>
        <v/>
      </c>
    </row>
    <row r="293">
      <c r="E293">
        <f>IF(C293="";"";D293*XLOOKUP(C293;Portions!$A:$A;Portions!$D:$D))</f>
        <v/>
      </c>
      <c r="F293">
        <f>IF(E293="";"";E293/100*XLOOKUP(XLOOKUP(C293;Portions!$A:$A;Portions!$B:$B);FoodItems!$A:$A;FoodItems!$B:$B))</f>
        <v/>
      </c>
      <c r="G293">
        <f>IF(E293="";"";E293/100*XLOOKUP(XLOOKUP(C293;Portions!$A:$A;Portions!$B:$B);FoodItems!$A:$A;FoodItems!$C:$C))</f>
        <v/>
      </c>
      <c r="H293">
        <f>IF(E293="";"";E293/100*XLOOKUP(XLOOKUP(C293;Portions!$A:$A;Portions!$B:$B);FoodItems!$A:$A;FoodItems!$D:$D))</f>
        <v/>
      </c>
      <c r="I293">
        <f>IF(E293="";"";E293/100*XLOOKUP(XLOOKUP(C293;Portions!$A:$A;Portions!$B:$B);FoodItems!$A:$A;FoodItems!$E:$E))</f>
        <v/>
      </c>
    </row>
    <row r="294">
      <c r="E294">
        <f>IF(C294="";"";D294*XLOOKUP(C294;Portions!$A:$A;Portions!$D:$D))</f>
        <v/>
      </c>
      <c r="F294">
        <f>IF(E294="";"";E294/100*XLOOKUP(XLOOKUP(C294;Portions!$A:$A;Portions!$B:$B);FoodItems!$A:$A;FoodItems!$B:$B))</f>
        <v/>
      </c>
      <c r="G294">
        <f>IF(E294="";"";E294/100*XLOOKUP(XLOOKUP(C294;Portions!$A:$A;Portions!$B:$B);FoodItems!$A:$A;FoodItems!$C:$C))</f>
        <v/>
      </c>
      <c r="H294">
        <f>IF(E294="";"";E294/100*XLOOKUP(XLOOKUP(C294;Portions!$A:$A;Portions!$B:$B);FoodItems!$A:$A;FoodItems!$D:$D))</f>
        <v/>
      </c>
      <c r="I294">
        <f>IF(E294="";"";E294/100*XLOOKUP(XLOOKUP(C294;Portions!$A:$A;Portions!$B:$B);FoodItems!$A:$A;FoodItems!$E:$E))</f>
        <v/>
      </c>
    </row>
    <row r="295">
      <c r="E295">
        <f>IF(C295="";"";D295*XLOOKUP(C295;Portions!$A:$A;Portions!$D:$D))</f>
        <v/>
      </c>
      <c r="F295">
        <f>IF(E295="";"";E295/100*XLOOKUP(XLOOKUP(C295;Portions!$A:$A;Portions!$B:$B);FoodItems!$A:$A;FoodItems!$B:$B))</f>
        <v/>
      </c>
      <c r="G295">
        <f>IF(E295="";"";E295/100*XLOOKUP(XLOOKUP(C295;Portions!$A:$A;Portions!$B:$B);FoodItems!$A:$A;FoodItems!$C:$C))</f>
        <v/>
      </c>
      <c r="H295">
        <f>IF(E295="";"";E295/100*XLOOKUP(XLOOKUP(C295;Portions!$A:$A;Portions!$B:$B);FoodItems!$A:$A;FoodItems!$D:$D))</f>
        <v/>
      </c>
      <c r="I295">
        <f>IF(E295="";"";E295/100*XLOOKUP(XLOOKUP(C295;Portions!$A:$A;Portions!$B:$B);FoodItems!$A:$A;FoodItems!$E:$E))</f>
        <v/>
      </c>
    </row>
    <row r="296">
      <c r="E296">
        <f>IF(C296="";"";D296*XLOOKUP(C296;Portions!$A:$A;Portions!$D:$D))</f>
        <v/>
      </c>
      <c r="F296">
        <f>IF(E296="";"";E296/100*XLOOKUP(XLOOKUP(C296;Portions!$A:$A;Portions!$B:$B);FoodItems!$A:$A;FoodItems!$B:$B))</f>
        <v/>
      </c>
      <c r="G296">
        <f>IF(E296="";"";E296/100*XLOOKUP(XLOOKUP(C296;Portions!$A:$A;Portions!$B:$B);FoodItems!$A:$A;FoodItems!$C:$C))</f>
        <v/>
      </c>
      <c r="H296">
        <f>IF(E296="";"";E296/100*XLOOKUP(XLOOKUP(C296;Portions!$A:$A;Portions!$B:$B);FoodItems!$A:$A;FoodItems!$D:$D))</f>
        <v/>
      </c>
      <c r="I296">
        <f>IF(E296="";"";E296/100*XLOOKUP(XLOOKUP(C296;Portions!$A:$A;Portions!$B:$B);FoodItems!$A:$A;FoodItems!$E:$E))</f>
        <v/>
      </c>
    </row>
    <row r="297">
      <c r="E297">
        <f>IF(C297="";"";D297*XLOOKUP(C297;Portions!$A:$A;Portions!$D:$D))</f>
        <v/>
      </c>
      <c r="F297">
        <f>IF(E297="";"";E297/100*XLOOKUP(XLOOKUP(C297;Portions!$A:$A;Portions!$B:$B);FoodItems!$A:$A;FoodItems!$B:$B))</f>
        <v/>
      </c>
      <c r="G297">
        <f>IF(E297="";"";E297/100*XLOOKUP(XLOOKUP(C297;Portions!$A:$A;Portions!$B:$B);FoodItems!$A:$A;FoodItems!$C:$C))</f>
        <v/>
      </c>
      <c r="H297">
        <f>IF(E297="";"";E297/100*XLOOKUP(XLOOKUP(C297;Portions!$A:$A;Portions!$B:$B);FoodItems!$A:$A;FoodItems!$D:$D))</f>
        <v/>
      </c>
      <c r="I297">
        <f>IF(E297="";"";E297/100*XLOOKUP(XLOOKUP(C297;Portions!$A:$A;Portions!$B:$B);FoodItems!$A:$A;FoodItems!$E:$E))</f>
        <v/>
      </c>
    </row>
    <row r="298">
      <c r="E298">
        <f>IF(C298="";"";D298*XLOOKUP(C298;Portions!$A:$A;Portions!$D:$D))</f>
        <v/>
      </c>
      <c r="F298">
        <f>IF(E298="";"";E298/100*XLOOKUP(XLOOKUP(C298;Portions!$A:$A;Portions!$B:$B);FoodItems!$A:$A;FoodItems!$B:$B))</f>
        <v/>
      </c>
      <c r="G298">
        <f>IF(E298="";"";E298/100*XLOOKUP(XLOOKUP(C298;Portions!$A:$A;Portions!$B:$B);FoodItems!$A:$A;FoodItems!$C:$C))</f>
        <v/>
      </c>
      <c r="H298">
        <f>IF(E298="";"";E298/100*XLOOKUP(XLOOKUP(C298;Portions!$A:$A;Portions!$B:$B);FoodItems!$A:$A;FoodItems!$D:$D))</f>
        <v/>
      </c>
      <c r="I298">
        <f>IF(E298="";"";E298/100*XLOOKUP(XLOOKUP(C298;Portions!$A:$A;Portions!$B:$B);FoodItems!$A:$A;FoodItems!$E:$E))</f>
        <v/>
      </c>
    </row>
    <row r="299">
      <c r="E299">
        <f>IF(C299="";"";D299*XLOOKUP(C299;Portions!$A:$A;Portions!$D:$D))</f>
        <v/>
      </c>
      <c r="F299">
        <f>IF(E299="";"";E299/100*XLOOKUP(XLOOKUP(C299;Portions!$A:$A;Portions!$B:$B);FoodItems!$A:$A;FoodItems!$B:$B))</f>
        <v/>
      </c>
      <c r="G299">
        <f>IF(E299="";"";E299/100*XLOOKUP(XLOOKUP(C299;Portions!$A:$A;Portions!$B:$B);FoodItems!$A:$A;FoodItems!$C:$C))</f>
        <v/>
      </c>
      <c r="H299">
        <f>IF(E299="";"";E299/100*XLOOKUP(XLOOKUP(C299;Portions!$A:$A;Portions!$B:$B);FoodItems!$A:$A;FoodItems!$D:$D))</f>
        <v/>
      </c>
      <c r="I299">
        <f>IF(E299="";"";E299/100*XLOOKUP(XLOOKUP(C299;Portions!$A:$A;Portions!$B:$B);FoodItems!$A:$A;FoodItems!$E:$E))</f>
        <v/>
      </c>
    </row>
    <row r="300">
      <c r="E300">
        <f>IF(C300="";"";D300*XLOOKUP(C300;Portions!$A:$A;Portions!$D:$D))</f>
        <v/>
      </c>
      <c r="F300">
        <f>IF(E300="";"";E300/100*XLOOKUP(XLOOKUP(C300;Portions!$A:$A;Portions!$B:$B);FoodItems!$A:$A;FoodItems!$B:$B))</f>
        <v/>
      </c>
      <c r="G300">
        <f>IF(E300="";"";E300/100*XLOOKUP(XLOOKUP(C300;Portions!$A:$A;Portions!$B:$B);FoodItems!$A:$A;FoodItems!$C:$C))</f>
        <v/>
      </c>
      <c r="H300">
        <f>IF(E300="";"";E300/100*XLOOKUP(XLOOKUP(C300;Portions!$A:$A;Portions!$B:$B);FoodItems!$A:$A;FoodItems!$D:$D))</f>
        <v/>
      </c>
      <c r="I300">
        <f>IF(E300="";"";E300/100*XLOOKUP(XLOOKUP(C300;Portions!$A:$A;Portions!$B:$B);FoodItems!$A:$A;FoodItems!$E:$E))</f>
        <v/>
      </c>
    </row>
    <row r="301">
      <c r="E301">
        <f>IF(C301="";"";D301*XLOOKUP(C301;Portions!$A:$A;Portions!$D:$D))</f>
        <v/>
      </c>
      <c r="F301">
        <f>IF(E301="";"";E301/100*XLOOKUP(XLOOKUP(C301;Portions!$A:$A;Portions!$B:$B);FoodItems!$A:$A;FoodItems!$B:$B))</f>
        <v/>
      </c>
      <c r="G301">
        <f>IF(E301="";"";E301/100*XLOOKUP(XLOOKUP(C301;Portions!$A:$A;Portions!$B:$B);FoodItems!$A:$A;FoodItems!$C:$C))</f>
        <v/>
      </c>
      <c r="H301">
        <f>IF(E301="";"";E301/100*XLOOKUP(XLOOKUP(C301;Portions!$A:$A;Portions!$B:$B);FoodItems!$A:$A;FoodItems!$D:$D))</f>
        <v/>
      </c>
      <c r="I301">
        <f>IF(E301="";"";E301/100*XLOOKUP(XLOOKUP(C301;Portions!$A:$A;Portions!$B:$B);FoodItems!$A:$A;FoodItems!$E:$E))</f>
        <v/>
      </c>
    </row>
    <row r="302">
      <c r="E302">
        <f>IF(C302="";"";D302*XLOOKUP(C302;Portions!$A:$A;Portions!$D:$D))</f>
        <v/>
      </c>
      <c r="F302">
        <f>IF(E302="";"";E302/100*XLOOKUP(XLOOKUP(C302;Portions!$A:$A;Portions!$B:$B);FoodItems!$A:$A;FoodItems!$B:$B))</f>
        <v/>
      </c>
      <c r="G302">
        <f>IF(E302="";"";E302/100*XLOOKUP(XLOOKUP(C302;Portions!$A:$A;Portions!$B:$B);FoodItems!$A:$A;FoodItems!$C:$C))</f>
        <v/>
      </c>
      <c r="H302">
        <f>IF(E302="";"";E302/100*XLOOKUP(XLOOKUP(C302;Portions!$A:$A;Portions!$B:$B);FoodItems!$A:$A;FoodItems!$D:$D))</f>
        <v/>
      </c>
      <c r="I302">
        <f>IF(E302="";"";E302/100*XLOOKUP(XLOOKUP(C302;Portions!$A:$A;Portions!$B:$B);FoodItems!$A:$A;FoodItems!$E:$E))</f>
        <v/>
      </c>
    </row>
    <row r="303">
      <c r="E303">
        <f>IF(C303="";"";D303*XLOOKUP(C303;Portions!$A:$A;Portions!$D:$D))</f>
        <v/>
      </c>
      <c r="F303">
        <f>IF(E303="";"";E303/100*XLOOKUP(XLOOKUP(C303;Portions!$A:$A;Portions!$B:$B);FoodItems!$A:$A;FoodItems!$B:$B))</f>
        <v/>
      </c>
      <c r="G303">
        <f>IF(E303="";"";E303/100*XLOOKUP(XLOOKUP(C303;Portions!$A:$A;Portions!$B:$B);FoodItems!$A:$A;FoodItems!$C:$C))</f>
        <v/>
      </c>
      <c r="H303">
        <f>IF(E303="";"";E303/100*XLOOKUP(XLOOKUP(C303;Portions!$A:$A;Portions!$B:$B);FoodItems!$A:$A;FoodItems!$D:$D))</f>
        <v/>
      </c>
      <c r="I303">
        <f>IF(E303="";"";E303/100*XLOOKUP(XLOOKUP(C303;Portions!$A:$A;Portions!$B:$B);FoodItems!$A:$A;FoodItems!$E:$E))</f>
        <v/>
      </c>
    </row>
    <row r="304">
      <c r="E304">
        <f>IF(C304="";"";D304*XLOOKUP(C304;Portions!$A:$A;Portions!$D:$D))</f>
        <v/>
      </c>
      <c r="F304">
        <f>IF(E304="";"";E304/100*XLOOKUP(XLOOKUP(C304;Portions!$A:$A;Portions!$B:$B);FoodItems!$A:$A;FoodItems!$B:$B))</f>
        <v/>
      </c>
      <c r="G304">
        <f>IF(E304="";"";E304/100*XLOOKUP(XLOOKUP(C304;Portions!$A:$A;Portions!$B:$B);FoodItems!$A:$A;FoodItems!$C:$C))</f>
        <v/>
      </c>
      <c r="H304">
        <f>IF(E304="";"";E304/100*XLOOKUP(XLOOKUP(C304;Portions!$A:$A;Portions!$B:$B);FoodItems!$A:$A;FoodItems!$D:$D))</f>
        <v/>
      </c>
      <c r="I304">
        <f>IF(E304="";"";E304/100*XLOOKUP(XLOOKUP(C304;Portions!$A:$A;Portions!$B:$B);FoodItems!$A:$A;FoodItems!$E:$E))</f>
        <v/>
      </c>
    </row>
    <row r="305">
      <c r="E305">
        <f>IF(C305="";"";D305*XLOOKUP(C305;Portions!$A:$A;Portions!$D:$D))</f>
        <v/>
      </c>
      <c r="F305">
        <f>IF(E305="";"";E305/100*XLOOKUP(XLOOKUP(C305;Portions!$A:$A;Portions!$B:$B);FoodItems!$A:$A;FoodItems!$B:$B))</f>
        <v/>
      </c>
      <c r="G305">
        <f>IF(E305="";"";E305/100*XLOOKUP(XLOOKUP(C305;Portions!$A:$A;Portions!$B:$B);FoodItems!$A:$A;FoodItems!$C:$C))</f>
        <v/>
      </c>
      <c r="H305">
        <f>IF(E305="";"";E305/100*XLOOKUP(XLOOKUP(C305;Portions!$A:$A;Portions!$B:$B);FoodItems!$A:$A;FoodItems!$D:$D))</f>
        <v/>
      </c>
      <c r="I305">
        <f>IF(E305="";"";E305/100*XLOOKUP(XLOOKUP(C305;Portions!$A:$A;Portions!$B:$B);FoodItems!$A:$A;FoodItems!$E:$E))</f>
        <v/>
      </c>
    </row>
    <row r="306">
      <c r="E306">
        <f>IF(C306="";"";D306*XLOOKUP(C306;Portions!$A:$A;Portions!$D:$D))</f>
        <v/>
      </c>
      <c r="F306">
        <f>IF(E306="";"";E306/100*XLOOKUP(XLOOKUP(C306;Portions!$A:$A;Portions!$B:$B);FoodItems!$A:$A;FoodItems!$B:$B))</f>
        <v/>
      </c>
      <c r="G306">
        <f>IF(E306="";"";E306/100*XLOOKUP(XLOOKUP(C306;Portions!$A:$A;Portions!$B:$B);FoodItems!$A:$A;FoodItems!$C:$C))</f>
        <v/>
      </c>
      <c r="H306">
        <f>IF(E306="";"";E306/100*XLOOKUP(XLOOKUP(C306;Portions!$A:$A;Portions!$B:$B);FoodItems!$A:$A;FoodItems!$D:$D))</f>
        <v/>
      </c>
      <c r="I306">
        <f>IF(E306="";"";E306/100*XLOOKUP(XLOOKUP(C306;Portions!$A:$A;Portions!$B:$B);FoodItems!$A:$A;FoodItems!$E:$E))</f>
        <v/>
      </c>
    </row>
    <row r="307">
      <c r="E307">
        <f>IF(C307="";"";D307*XLOOKUP(C307;Portions!$A:$A;Portions!$D:$D))</f>
        <v/>
      </c>
      <c r="F307">
        <f>IF(E307="";"";E307/100*XLOOKUP(XLOOKUP(C307;Portions!$A:$A;Portions!$B:$B);FoodItems!$A:$A;FoodItems!$B:$B))</f>
        <v/>
      </c>
      <c r="G307">
        <f>IF(E307="";"";E307/100*XLOOKUP(XLOOKUP(C307;Portions!$A:$A;Portions!$B:$B);FoodItems!$A:$A;FoodItems!$C:$C))</f>
        <v/>
      </c>
      <c r="H307">
        <f>IF(E307="";"";E307/100*XLOOKUP(XLOOKUP(C307;Portions!$A:$A;Portions!$B:$B);FoodItems!$A:$A;FoodItems!$D:$D))</f>
        <v/>
      </c>
      <c r="I307">
        <f>IF(E307="";"";E307/100*XLOOKUP(XLOOKUP(C307;Portions!$A:$A;Portions!$B:$B);FoodItems!$A:$A;FoodItems!$E:$E))</f>
        <v/>
      </c>
    </row>
    <row r="308">
      <c r="E308">
        <f>IF(C308="";"";D308*XLOOKUP(C308;Portions!$A:$A;Portions!$D:$D))</f>
        <v/>
      </c>
      <c r="F308">
        <f>IF(E308="";"";E308/100*XLOOKUP(XLOOKUP(C308;Portions!$A:$A;Portions!$B:$B);FoodItems!$A:$A;FoodItems!$B:$B))</f>
        <v/>
      </c>
      <c r="G308">
        <f>IF(E308="";"";E308/100*XLOOKUP(XLOOKUP(C308;Portions!$A:$A;Portions!$B:$B);FoodItems!$A:$A;FoodItems!$C:$C))</f>
        <v/>
      </c>
      <c r="H308">
        <f>IF(E308="";"";E308/100*XLOOKUP(XLOOKUP(C308;Portions!$A:$A;Portions!$B:$B);FoodItems!$A:$A;FoodItems!$D:$D))</f>
        <v/>
      </c>
      <c r="I308">
        <f>IF(E308="";"";E308/100*XLOOKUP(XLOOKUP(C308;Portions!$A:$A;Portions!$B:$B);FoodItems!$A:$A;FoodItems!$E:$E))</f>
        <v/>
      </c>
    </row>
    <row r="309">
      <c r="E309">
        <f>IF(C309="";"";D309*XLOOKUP(C309;Portions!$A:$A;Portions!$D:$D))</f>
        <v/>
      </c>
      <c r="F309">
        <f>IF(E309="";"";E309/100*XLOOKUP(XLOOKUP(C309;Portions!$A:$A;Portions!$B:$B);FoodItems!$A:$A;FoodItems!$B:$B))</f>
        <v/>
      </c>
      <c r="G309">
        <f>IF(E309="";"";E309/100*XLOOKUP(XLOOKUP(C309;Portions!$A:$A;Portions!$B:$B);FoodItems!$A:$A;FoodItems!$C:$C))</f>
        <v/>
      </c>
      <c r="H309">
        <f>IF(E309="";"";E309/100*XLOOKUP(XLOOKUP(C309;Portions!$A:$A;Portions!$B:$B);FoodItems!$A:$A;FoodItems!$D:$D))</f>
        <v/>
      </c>
      <c r="I309">
        <f>IF(E309="";"";E309/100*XLOOKUP(XLOOKUP(C309;Portions!$A:$A;Portions!$B:$B);FoodItems!$A:$A;FoodItems!$E:$E))</f>
        <v/>
      </c>
    </row>
    <row r="310">
      <c r="E310">
        <f>IF(C310="";"";D310*XLOOKUP(C310;Portions!$A:$A;Portions!$D:$D))</f>
        <v/>
      </c>
      <c r="F310">
        <f>IF(E310="";"";E310/100*XLOOKUP(XLOOKUP(C310;Portions!$A:$A;Portions!$B:$B);FoodItems!$A:$A;FoodItems!$B:$B))</f>
        <v/>
      </c>
      <c r="G310">
        <f>IF(E310="";"";E310/100*XLOOKUP(XLOOKUP(C310;Portions!$A:$A;Portions!$B:$B);FoodItems!$A:$A;FoodItems!$C:$C))</f>
        <v/>
      </c>
      <c r="H310">
        <f>IF(E310="";"";E310/100*XLOOKUP(XLOOKUP(C310;Portions!$A:$A;Portions!$B:$B);FoodItems!$A:$A;FoodItems!$D:$D))</f>
        <v/>
      </c>
      <c r="I310">
        <f>IF(E310="";"";E310/100*XLOOKUP(XLOOKUP(C310;Portions!$A:$A;Portions!$B:$B);FoodItems!$A:$A;FoodItems!$E:$E))</f>
        <v/>
      </c>
    </row>
    <row r="311">
      <c r="E311">
        <f>IF(C311="";"";D311*XLOOKUP(C311;Portions!$A:$A;Portions!$D:$D))</f>
        <v/>
      </c>
      <c r="F311">
        <f>IF(E311="";"";E311/100*XLOOKUP(XLOOKUP(C311;Portions!$A:$A;Portions!$B:$B);FoodItems!$A:$A;FoodItems!$B:$B))</f>
        <v/>
      </c>
      <c r="G311">
        <f>IF(E311="";"";E311/100*XLOOKUP(XLOOKUP(C311;Portions!$A:$A;Portions!$B:$B);FoodItems!$A:$A;FoodItems!$C:$C))</f>
        <v/>
      </c>
      <c r="H311">
        <f>IF(E311="";"";E311/100*XLOOKUP(XLOOKUP(C311;Portions!$A:$A;Portions!$B:$B);FoodItems!$A:$A;FoodItems!$D:$D))</f>
        <v/>
      </c>
      <c r="I311">
        <f>IF(E311="";"";E311/100*XLOOKUP(XLOOKUP(C311;Portions!$A:$A;Portions!$B:$B);FoodItems!$A:$A;FoodItems!$E:$E))</f>
        <v/>
      </c>
    </row>
    <row r="312">
      <c r="E312">
        <f>IF(C312="";"";D312*XLOOKUP(C312;Portions!$A:$A;Portions!$D:$D))</f>
        <v/>
      </c>
      <c r="F312">
        <f>IF(E312="";"";E312/100*XLOOKUP(XLOOKUP(C312;Portions!$A:$A;Portions!$B:$B);FoodItems!$A:$A;FoodItems!$B:$B))</f>
        <v/>
      </c>
      <c r="G312">
        <f>IF(E312="";"";E312/100*XLOOKUP(XLOOKUP(C312;Portions!$A:$A;Portions!$B:$B);FoodItems!$A:$A;FoodItems!$C:$C))</f>
        <v/>
      </c>
      <c r="H312">
        <f>IF(E312="";"";E312/100*XLOOKUP(XLOOKUP(C312;Portions!$A:$A;Portions!$B:$B);FoodItems!$A:$A;FoodItems!$D:$D))</f>
        <v/>
      </c>
      <c r="I312">
        <f>IF(E312="";"";E312/100*XLOOKUP(XLOOKUP(C312;Portions!$A:$A;Portions!$B:$B);FoodItems!$A:$A;FoodItems!$E:$E))</f>
        <v/>
      </c>
    </row>
    <row r="313">
      <c r="E313">
        <f>IF(C313="";"";D313*XLOOKUP(C313;Portions!$A:$A;Portions!$D:$D))</f>
        <v/>
      </c>
      <c r="F313">
        <f>IF(E313="";"";E313/100*XLOOKUP(XLOOKUP(C313;Portions!$A:$A;Portions!$B:$B);FoodItems!$A:$A;FoodItems!$B:$B))</f>
        <v/>
      </c>
      <c r="G313">
        <f>IF(E313="";"";E313/100*XLOOKUP(XLOOKUP(C313;Portions!$A:$A;Portions!$B:$B);FoodItems!$A:$A;FoodItems!$C:$C))</f>
        <v/>
      </c>
      <c r="H313">
        <f>IF(E313="";"";E313/100*XLOOKUP(XLOOKUP(C313;Portions!$A:$A;Portions!$B:$B);FoodItems!$A:$A;FoodItems!$D:$D))</f>
        <v/>
      </c>
      <c r="I313">
        <f>IF(E313="";"";E313/100*XLOOKUP(XLOOKUP(C313;Portions!$A:$A;Portions!$B:$B);FoodItems!$A:$A;FoodItems!$E:$E))</f>
        <v/>
      </c>
    </row>
    <row r="314">
      <c r="E314">
        <f>IF(C314="";"";D314*XLOOKUP(C314;Portions!$A:$A;Portions!$D:$D))</f>
        <v/>
      </c>
      <c r="F314">
        <f>IF(E314="";"";E314/100*XLOOKUP(XLOOKUP(C314;Portions!$A:$A;Portions!$B:$B);FoodItems!$A:$A;FoodItems!$B:$B))</f>
        <v/>
      </c>
      <c r="G314">
        <f>IF(E314="";"";E314/100*XLOOKUP(XLOOKUP(C314;Portions!$A:$A;Portions!$B:$B);FoodItems!$A:$A;FoodItems!$C:$C))</f>
        <v/>
      </c>
      <c r="H314">
        <f>IF(E314="";"";E314/100*XLOOKUP(XLOOKUP(C314;Portions!$A:$A;Portions!$B:$B);FoodItems!$A:$A;FoodItems!$D:$D))</f>
        <v/>
      </c>
      <c r="I314">
        <f>IF(E314="";"";E314/100*XLOOKUP(XLOOKUP(C314;Portions!$A:$A;Portions!$B:$B);FoodItems!$A:$A;FoodItems!$E:$E))</f>
        <v/>
      </c>
    </row>
    <row r="315">
      <c r="E315">
        <f>IF(C315="";"";D315*XLOOKUP(C315;Portions!$A:$A;Portions!$D:$D))</f>
        <v/>
      </c>
      <c r="F315">
        <f>IF(E315="";"";E315/100*XLOOKUP(XLOOKUP(C315;Portions!$A:$A;Portions!$B:$B);FoodItems!$A:$A;FoodItems!$B:$B))</f>
        <v/>
      </c>
      <c r="G315">
        <f>IF(E315="";"";E315/100*XLOOKUP(XLOOKUP(C315;Portions!$A:$A;Portions!$B:$B);FoodItems!$A:$A;FoodItems!$C:$C))</f>
        <v/>
      </c>
      <c r="H315">
        <f>IF(E315="";"";E315/100*XLOOKUP(XLOOKUP(C315;Portions!$A:$A;Portions!$B:$B);FoodItems!$A:$A;FoodItems!$D:$D))</f>
        <v/>
      </c>
      <c r="I315">
        <f>IF(E315="";"";E315/100*XLOOKUP(XLOOKUP(C315;Portions!$A:$A;Portions!$B:$B);FoodItems!$A:$A;FoodItems!$E:$E))</f>
        <v/>
      </c>
    </row>
    <row r="316">
      <c r="E316">
        <f>IF(C316="";"";D316*XLOOKUP(C316;Portions!$A:$A;Portions!$D:$D))</f>
        <v/>
      </c>
      <c r="F316">
        <f>IF(E316="";"";E316/100*XLOOKUP(XLOOKUP(C316;Portions!$A:$A;Portions!$B:$B);FoodItems!$A:$A;FoodItems!$B:$B))</f>
        <v/>
      </c>
      <c r="G316">
        <f>IF(E316="";"";E316/100*XLOOKUP(XLOOKUP(C316;Portions!$A:$A;Portions!$B:$B);FoodItems!$A:$A;FoodItems!$C:$C))</f>
        <v/>
      </c>
      <c r="H316">
        <f>IF(E316="";"";E316/100*XLOOKUP(XLOOKUP(C316;Portions!$A:$A;Portions!$B:$B);FoodItems!$A:$A;FoodItems!$D:$D))</f>
        <v/>
      </c>
      <c r="I316">
        <f>IF(E316="";"";E316/100*XLOOKUP(XLOOKUP(C316;Portions!$A:$A;Portions!$B:$B);FoodItems!$A:$A;FoodItems!$E:$E))</f>
        <v/>
      </c>
    </row>
    <row r="317">
      <c r="E317">
        <f>IF(C317="";"";D317*XLOOKUP(C317;Portions!$A:$A;Portions!$D:$D))</f>
        <v/>
      </c>
      <c r="F317">
        <f>IF(E317="";"";E317/100*XLOOKUP(XLOOKUP(C317;Portions!$A:$A;Portions!$B:$B);FoodItems!$A:$A;FoodItems!$B:$B))</f>
        <v/>
      </c>
      <c r="G317">
        <f>IF(E317="";"";E317/100*XLOOKUP(XLOOKUP(C317;Portions!$A:$A;Portions!$B:$B);FoodItems!$A:$A;FoodItems!$C:$C))</f>
        <v/>
      </c>
      <c r="H317">
        <f>IF(E317="";"";E317/100*XLOOKUP(XLOOKUP(C317;Portions!$A:$A;Portions!$B:$B);FoodItems!$A:$A;FoodItems!$D:$D))</f>
        <v/>
      </c>
      <c r="I317">
        <f>IF(E317="";"";E317/100*XLOOKUP(XLOOKUP(C317;Portions!$A:$A;Portions!$B:$B);FoodItems!$A:$A;FoodItems!$E:$E))</f>
        <v/>
      </c>
    </row>
    <row r="318">
      <c r="E318">
        <f>IF(C318="";"";D318*XLOOKUP(C318;Portions!$A:$A;Portions!$D:$D))</f>
        <v/>
      </c>
      <c r="F318">
        <f>IF(E318="";"";E318/100*XLOOKUP(XLOOKUP(C318;Portions!$A:$A;Portions!$B:$B);FoodItems!$A:$A;FoodItems!$B:$B))</f>
        <v/>
      </c>
      <c r="G318">
        <f>IF(E318="";"";E318/100*XLOOKUP(XLOOKUP(C318;Portions!$A:$A;Portions!$B:$B);FoodItems!$A:$A;FoodItems!$C:$C))</f>
        <v/>
      </c>
      <c r="H318">
        <f>IF(E318="";"";E318/100*XLOOKUP(XLOOKUP(C318;Portions!$A:$A;Portions!$B:$B);FoodItems!$A:$A;FoodItems!$D:$D))</f>
        <v/>
      </c>
      <c r="I318">
        <f>IF(E318="";"";E318/100*XLOOKUP(XLOOKUP(C318;Portions!$A:$A;Portions!$B:$B);FoodItems!$A:$A;FoodItems!$E:$E))</f>
        <v/>
      </c>
    </row>
    <row r="319">
      <c r="E319">
        <f>IF(C319="";"";D319*XLOOKUP(C319;Portions!$A:$A;Portions!$D:$D))</f>
        <v/>
      </c>
      <c r="F319">
        <f>IF(E319="";"";E319/100*XLOOKUP(XLOOKUP(C319;Portions!$A:$A;Portions!$B:$B);FoodItems!$A:$A;FoodItems!$B:$B))</f>
        <v/>
      </c>
      <c r="G319">
        <f>IF(E319="";"";E319/100*XLOOKUP(XLOOKUP(C319;Portions!$A:$A;Portions!$B:$B);FoodItems!$A:$A;FoodItems!$C:$C))</f>
        <v/>
      </c>
      <c r="H319">
        <f>IF(E319="";"";E319/100*XLOOKUP(XLOOKUP(C319;Portions!$A:$A;Portions!$B:$B);FoodItems!$A:$A;FoodItems!$D:$D))</f>
        <v/>
      </c>
      <c r="I319">
        <f>IF(E319="";"";E319/100*XLOOKUP(XLOOKUP(C319;Portions!$A:$A;Portions!$B:$B);FoodItems!$A:$A;FoodItems!$E:$E))</f>
        <v/>
      </c>
    </row>
    <row r="320">
      <c r="E320">
        <f>IF(C320="";"";D320*XLOOKUP(C320;Portions!$A:$A;Portions!$D:$D))</f>
        <v/>
      </c>
      <c r="F320">
        <f>IF(E320="";"";E320/100*XLOOKUP(XLOOKUP(C320;Portions!$A:$A;Portions!$B:$B);FoodItems!$A:$A;FoodItems!$B:$B))</f>
        <v/>
      </c>
      <c r="G320">
        <f>IF(E320="";"";E320/100*XLOOKUP(XLOOKUP(C320;Portions!$A:$A;Portions!$B:$B);FoodItems!$A:$A;FoodItems!$C:$C))</f>
        <v/>
      </c>
      <c r="H320">
        <f>IF(E320="";"";E320/100*XLOOKUP(XLOOKUP(C320;Portions!$A:$A;Portions!$B:$B);FoodItems!$A:$A;FoodItems!$D:$D))</f>
        <v/>
      </c>
      <c r="I320">
        <f>IF(E320="";"";E320/100*XLOOKUP(XLOOKUP(C320;Portions!$A:$A;Portions!$B:$B);FoodItems!$A:$A;FoodItems!$E:$E))</f>
        <v/>
      </c>
    </row>
    <row r="321">
      <c r="E321">
        <f>IF(C321="";"";D321*XLOOKUP(C321;Portions!$A:$A;Portions!$D:$D))</f>
        <v/>
      </c>
      <c r="F321">
        <f>IF(E321="";"";E321/100*XLOOKUP(XLOOKUP(C321;Portions!$A:$A;Portions!$B:$B);FoodItems!$A:$A;FoodItems!$B:$B))</f>
        <v/>
      </c>
      <c r="G321">
        <f>IF(E321="";"";E321/100*XLOOKUP(XLOOKUP(C321;Portions!$A:$A;Portions!$B:$B);FoodItems!$A:$A;FoodItems!$C:$C))</f>
        <v/>
      </c>
      <c r="H321">
        <f>IF(E321="";"";E321/100*XLOOKUP(XLOOKUP(C321;Portions!$A:$A;Portions!$B:$B);FoodItems!$A:$A;FoodItems!$D:$D))</f>
        <v/>
      </c>
      <c r="I321">
        <f>IF(E321="";"";E321/100*XLOOKUP(XLOOKUP(C321;Portions!$A:$A;Portions!$B:$B);FoodItems!$A:$A;FoodItems!$E:$E))</f>
        <v/>
      </c>
    </row>
    <row r="322">
      <c r="E322">
        <f>IF(C322="";"";D322*XLOOKUP(C322;Portions!$A:$A;Portions!$D:$D))</f>
        <v/>
      </c>
      <c r="F322">
        <f>IF(E322="";"";E322/100*XLOOKUP(XLOOKUP(C322;Portions!$A:$A;Portions!$B:$B);FoodItems!$A:$A;FoodItems!$B:$B))</f>
        <v/>
      </c>
      <c r="G322">
        <f>IF(E322="";"";E322/100*XLOOKUP(XLOOKUP(C322;Portions!$A:$A;Portions!$B:$B);FoodItems!$A:$A;FoodItems!$C:$C))</f>
        <v/>
      </c>
      <c r="H322">
        <f>IF(E322="";"";E322/100*XLOOKUP(XLOOKUP(C322;Portions!$A:$A;Portions!$B:$B);FoodItems!$A:$A;FoodItems!$D:$D))</f>
        <v/>
      </c>
      <c r="I322">
        <f>IF(E322="";"";E322/100*XLOOKUP(XLOOKUP(C322;Portions!$A:$A;Portions!$B:$B);FoodItems!$A:$A;FoodItems!$E:$E))</f>
        <v/>
      </c>
    </row>
    <row r="323">
      <c r="E323">
        <f>IF(C323="";"";D323*XLOOKUP(C323;Portions!$A:$A;Portions!$D:$D))</f>
        <v/>
      </c>
      <c r="F323">
        <f>IF(E323="";"";E323/100*XLOOKUP(XLOOKUP(C323;Portions!$A:$A;Portions!$B:$B);FoodItems!$A:$A;FoodItems!$B:$B))</f>
        <v/>
      </c>
      <c r="G323">
        <f>IF(E323="";"";E323/100*XLOOKUP(XLOOKUP(C323;Portions!$A:$A;Portions!$B:$B);FoodItems!$A:$A;FoodItems!$C:$C))</f>
        <v/>
      </c>
      <c r="H323">
        <f>IF(E323="";"";E323/100*XLOOKUP(XLOOKUP(C323;Portions!$A:$A;Portions!$B:$B);FoodItems!$A:$A;FoodItems!$D:$D))</f>
        <v/>
      </c>
      <c r="I323">
        <f>IF(E323="";"";E323/100*XLOOKUP(XLOOKUP(C323;Portions!$A:$A;Portions!$B:$B);FoodItems!$A:$A;FoodItems!$E:$E))</f>
        <v/>
      </c>
    </row>
    <row r="324">
      <c r="E324">
        <f>IF(C324="";"";D324*XLOOKUP(C324;Portions!$A:$A;Portions!$D:$D))</f>
        <v/>
      </c>
      <c r="F324">
        <f>IF(E324="";"";E324/100*XLOOKUP(XLOOKUP(C324;Portions!$A:$A;Portions!$B:$B);FoodItems!$A:$A;FoodItems!$B:$B))</f>
        <v/>
      </c>
      <c r="G324">
        <f>IF(E324="";"";E324/100*XLOOKUP(XLOOKUP(C324;Portions!$A:$A;Portions!$B:$B);FoodItems!$A:$A;FoodItems!$C:$C))</f>
        <v/>
      </c>
      <c r="H324">
        <f>IF(E324="";"";E324/100*XLOOKUP(XLOOKUP(C324;Portions!$A:$A;Portions!$B:$B);FoodItems!$A:$A;FoodItems!$D:$D))</f>
        <v/>
      </c>
      <c r="I324">
        <f>IF(E324="";"";E324/100*XLOOKUP(XLOOKUP(C324;Portions!$A:$A;Portions!$B:$B);FoodItems!$A:$A;FoodItems!$E:$E))</f>
        <v/>
      </c>
    </row>
    <row r="325">
      <c r="E325">
        <f>IF(C325="";"";D325*XLOOKUP(C325;Portions!$A:$A;Portions!$D:$D))</f>
        <v/>
      </c>
      <c r="F325">
        <f>IF(E325="";"";E325/100*XLOOKUP(XLOOKUP(C325;Portions!$A:$A;Portions!$B:$B);FoodItems!$A:$A;FoodItems!$B:$B))</f>
        <v/>
      </c>
      <c r="G325">
        <f>IF(E325="";"";E325/100*XLOOKUP(XLOOKUP(C325;Portions!$A:$A;Portions!$B:$B);FoodItems!$A:$A;FoodItems!$C:$C))</f>
        <v/>
      </c>
      <c r="H325">
        <f>IF(E325="";"";E325/100*XLOOKUP(XLOOKUP(C325;Portions!$A:$A;Portions!$B:$B);FoodItems!$A:$A;FoodItems!$D:$D))</f>
        <v/>
      </c>
      <c r="I325">
        <f>IF(E325="";"";E325/100*XLOOKUP(XLOOKUP(C325;Portions!$A:$A;Portions!$B:$B);FoodItems!$A:$A;FoodItems!$E:$E))</f>
        <v/>
      </c>
    </row>
    <row r="326">
      <c r="E326">
        <f>IF(C326="";"";D326*XLOOKUP(C326;Portions!$A:$A;Portions!$D:$D))</f>
        <v/>
      </c>
      <c r="F326">
        <f>IF(E326="";"";E326/100*XLOOKUP(XLOOKUP(C326;Portions!$A:$A;Portions!$B:$B);FoodItems!$A:$A;FoodItems!$B:$B))</f>
        <v/>
      </c>
      <c r="G326">
        <f>IF(E326="";"";E326/100*XLOOKUP(XLOOKUP(C326;Portions!$A:$A;Portions!$B:$B);FoodItems!$A:$A;FoodItems!$C:$C))</f>
        <v/>
      </c>
      <c r="H326">
        <f>IF(E326="";"";E326/100*XLOOKUP(XLOOKUP(C326;Portions!$A:$A;Portions!$B:$B);FoodItems!$A:$A;FoodItems!$D:$D))</f>
        <v/>
      </c>
      <c r="I326">
        <f>IF(E326="";"";E326/100*XLOOKUP(XLOOKUP(C326;Portions!$A:$A;Portions!$B:$B);FoodItems!$A:$A;FoodItems!$E:$E))</f>
        <v/>
      </c>
    </row>
    <row r="327">
      <c r="E327">
        <f>IF(C327="";"";D327*XLOOKUP(C327;Portions!$A:$A;Portions!$D:$D))</f>
        <v/>
      </c>
      <c r="F327">
        <f>IF(E327="";"";E327/100*XLOOKUP(XLOOKUP(C327;Portions!$A:$A;Portions!$B:$B);FoodItems!$A:$A;FoodItems!$B:$B))</f>
        <v/>
      </c>
      <c r="G327">
        <f>IF(E327="";"";E327/100*XLOOKUP(XLOOKUP(C327;Portions!$A:$A;Portions!$B:$B);FoodItems!$A:$A;FoodItems!$C:$C))</f>
        <v/>
      </c>
      <c r="H327">
        <f>IF(E327="";"";E327/100*XLOOKUP(XLOOKUP(C327;Portions!$A:$A;Portions!$B:$B);FoodItems!$A:$A;FoodItems!$D:$D))</f>
        <v/>
      </c>
      <c r="I327">
        <f>IF(E327="";"";E327/100*XLOOKUP(XLOOKUP(C327;Portions!$A:$A;Portions!$B:$B);FoodItems!$A:$A;FoodItems!$E:$E))</f>
        <v/>
      </c>
    </row>
    <row r="328">
      <c r="E328">
        <f>IF(C328="";"";D328*XLOOKUP(C328;Portions!$A:$A;Portions!$D:$D))</f>
        <v/>
      </c>
      <c r="F328">
        <f>IF(E328="";"";E328/100*XLOOKUP(XLOOKUP(C328;Portions!$A:$A;Portions!$B:$B);FoodItems!$A:$A;FoodItems!$B:$B))</f>
        <v/>
      </c>
      <c r="G328">
        <f>IF(E328="";"";E328/100*XLOOKUP(XLOOKUP(C328;Portions!$A:$A;Portions!$B:$B);FoodItems!$A:$A;FoodItems!$C:$C))</f>
        <v/>
      </c>
      <c r="H328">
        <f>IF(E328="";"";E328/100*XLOOKUP(XLOOKUP(C328;Portions!$A:$A;Portions!$B:$B);FoodItems!$A:$A;FoodItems!$D:$D))</f>
        <v/>
      </c>
      <c r="I328">
        <f>IF(E328="";"";E328/100*XLOOKUP(XLOOKUP(C328;Portions!$A:$A;Portions!$B:$B);FoodItems!$A:$A;FoodItems!$E:$E))</f>
        <v/>
      </c>
    </row>
    <row r="329">
      <c r="E329">
        <f>IF(C329="";"";D329*XLOOKUP(C329;Portions!$A:$A;Portions!$D:$D))</f>
        <v/>
      </c>
      <c r="F329">
        <f>IF(E329="";"";E329/100*XLOOKUP(XLOOKUP(C329;Portions!$A:$A;Portions!$B:$B);FoodItems!$A:$A;FoodItems!$B:$B))</f>
        <v/>
      </c>
      <c r="G329">
        <f>IF(E329="";"";E329/100*XLOOKUP(XLOOKUP(C329;Portions!$A:$A;Portions!$B:$B);FoodItems!$A:$A;FoodItems!$C:$C))</f>
        <v/>
      </c>
      <c r="H329">
        <f>IF(E329="";"";E329/100*XLOOKUP(XLOOKUP(C329;Portions!$A:$A;Portions!$B:$B);FoodItems!$A:$A;FoodItems!$D:$D))</f>
        <v/>
      </c>
      <c r="I329">
        <f>IF(E329="";"";E329/100*XLOOKUP(XLOOKUP(C329;Portions!$A:$A;Portions!$B:$B);FoodItems!$A:$A;FoodItems!$E:$E))</f>
        <v/>
      </c>
    </row>
    <row r="330">
      <c r="E330">
        <f>IF(C330="";"";D330*XLOOKUP(C330;Portions!$A:$A;Portions!$D:$D))</f>
        <v/>
      </c>
      <c r="F330">
        <f>IF(E330="";"";E330/100*XLOOKUP(XLOOKUP(C330;Portions!$A:$A;Portions!$B:$B);FoodItems!$A:$A;FoodItems!$B:$B))</f>
        <v/>
      </c>
      <c r="G330">
        <f>IF(E330="";"";E330/100*XLOOKUP(XLOOKUP(C330;Portions!$A:$A;Portions!$B:$B);FoodItems!$A:$A;FoodItems!$C:$C))</f>
        <v/>
      </c>
      <c r="H330">
        <f>IF(E330="";"";E330/100*XLOOKUP(XLOOKUP(C330;Portions!$A:$A;Portions!$B:$B);FoodItems!$A:$A;FoodItems!$D:$D))</f>
        <v/>
      </c>
      <c r="I330">
        <f>IF(E330="";"";E330/100*XLOOKUP(XLOOKUP(C330;Portions!$A:$A;Portions!$B:$B);FoodItems!$A:$A;FoodItems!$E:$E))</f>
        <v/>
      </c>
    </row>
    <row r="331">
      <c r="E331">
        <f>IF(C331="";"";D331*XLOOKUP(C331;Portions!$A:$A;Portions!$D:$D))</f>
        <v/>
      </c>
      <c r="F331">
        <f>IF(E331="";"";E331/100*XLOOKUP(XLOOKUP(C331;Portions!$A:$A;Portions!$B:$B);FoodItems!$A:$A;FoodItems!$B:$B))</f>
        <v/>
      </c>
      <c r="G331">
        <f>IF(E331="";"";E331/100*XLOOKUP(XLOOKUP(C331;Portions!$A:$A;Portions!$B:$B);FoodItems!$A:$A;FoodItems!$C:$C))</f>
        <v/>
      </c>
      <c r="H331">
        <f>IF(E331="";"";E331/100*XLOOKUP(XLOOKUP(C331;Portions!$A:$A;Portions!$B:$B);FoodItems!$A:$A;FoodItems!$D:$D))</f>
        <v/>
      </c>
      <c r="I331">
        <f>IF(E331="";"";E331/100*XLOOKUP(XLOOKUP(C331;Portions!$A:$A;Portions!$B:$B);FoodItems!$A:$A;FoodItems!$E:$E))</f>
        <v/>
      </c>
    </row>
    <row r="332">
      <c r="E332">
        <f>IF(C332="";"";D332*XLOOKUP(C332;Portions!$A:$A;Portions!$D:$D))</f>
        <v/>
      </c>
      <c r="F332">
        <f>IF(E332="";"";E332/100*XLOOKUP(XLOOKUP(C332;Portions!$A:$A;Portions!$B:$B);FoodItems!$A:$A;FoodItems!$B:$B))</f>
        <v/>
      </c>
      <c r="G332">
        <f>IF(E332="";"";E332/100*XLOOKUP(XLOOKUP(C332;Portions!$A:$A;Portions!$B:$B);FoodItems!$A:$A;FoodItems!$C:$C))</f>
        <v/>
      </c>
      <c r="H332">
        <f>IF(E332="";"";E332/100*XLOOKUP(XLOOKUP(C332;Portions!$A:$A;Portions!$B:$B);FoodItems!$A:$A;FoodItems!$D:$D))</f>
        <v/>
      </c>
      <c r="I332">
        <f>IF(E332="";"";E332/100*XLOOKUP(XLOOKUP(C332;Portions!$A:$A;Portions!$B:$B);FoodItems!$A:$A;FoodItems!$E:$E))</f>
        <v/>
      </c>
    </row>
    <row r="333">
      <c r="E333">
        <f>IF(C333="";"";D333*XLOOKUP(C333;Portions!$A:$A;Portions!$D:$D))</f>
        <v/>
      </c>
      <c r="F333">
        <f>IF(E333="";"";E333/100*XLOOKUP(XLOOKUP(C333;Portions!$A:$A;Portions!$B:$B);FoodItems!$A:$A;FoodItems!$B:$B))</f>
        <v/>
      </c>
      <c r="G333">
        <f>IF(E333="";"";E333/100*XLOOKUP(XLOOKUP(C333;Portions!$A:$A;Portions!$B:$B);FoodItems!$A:$A;FoodItems!$C:$C))</f>
        <v/>
      </c>
      <c r="H333">
        <f>IF(E333="";"";E333/100*XLOOKUP(XLOOKUP(C333;Portions!$A:$A;Portions!$B:$B);FoodItems!$A:$A;FoodItems!$D:$D))</f>
        <v/>
      </c>
      <c r="I333">
        <f>IF(E333="";"";E333/100*XLOOKUP(XLOOKUP(C333;Portions!$A:$A;Portions!$B:$B);FoodItems!$A:$A;FoodItems!$E:$E))</f>
        <v/>
      </c>
    </row>
    <row r="334">
      <c r="E334">
        <f>IF(C334="";"";D334*XLOOKUP(C334;Portions!$A:$A;Portions!$D:$D))</f>
        <v/>
      </c>
      <c r="F334">
        <f>IF(E334="";"";E334/100*XLOOKUP(XLOOKUP(C334;Portions!$A:$A;Portions!$B:$B);FoodItems!$A:$A;FoodItems!$B:$B))</f>
        <v/>
      </c>
      <c r="G334">
        <f>IF(E334="";"";E334/100*XLOOKUP(XLOOKUP(C334;Portions!$A:$A;Portions!$B:$B);FoodItems!$A:$A;FoodItems!$C:$C))</f>
        <v/>
      </c>
      <c r="H334">
        <f>IF(E334="";"";E334/100*XLOOKUP(XLOOKUP(C334;Portions!$A:$A;Portions!$B:$B);FoodItems!$A:$A;FoodItems!$D:$D))</f>
        <v/>
      </c>
      <c r="I334">
        <f>IF(E334="";"";E334/100*XLOOKUP(XLOOKUP(C334;Portions!$A:$A;Portions!$B:$B);FoodItems!$A:$A;FoodItems!$E:$E))</f>
        <v/>
      </c>
    </row>
    <row r="335">
      <c r="E335">
        <f>IF(C335="";"";D335*XLOOKUP(C335;Portions!$A:$A;Portions!$D:$D))</f>
        <v/>
      </c>
      <c r="F335">
        <f>IF(E335="";"";E335/100*XLOOKUP(XLOOKUP(C335;Portions!$A:$A;Portions!$B:$B);FoodItems!$A:$A;FoodItems!$B:$B))</f>
        <v/>
      </c>
      <c r="G335">
        <f>IF(E335="";"";E335/100*XLOOKUP(XLOOKUP(C335;Portions!$A:$A;Portions!$B:$B);FoodItems!$A:$A;FoodItems!$C:$C))</f>
        <v/>
      </c>
      <c r="H335">
        <f>IF(E335="";"";E335/100*XLOOKUP(XLOOKUP(C335;Portions!$A:$A;Portions!$B:$B);FoodItems!$A:$A;FoodItems!$D:$D))</f>
        <v/>
      </c>
      <c r="I335">
        <f>IF(E335="";"";E335/100*XLOOKUP(XLOOKUP(C335;Portions!$A:$A;Portions!$B:$B);FoodItems!$A:$A;FoodItems!$E:$E))</f>
        <v/>
      </c>
    </row>
    <row r="336">
      <c r="E336">
        <f>IF(C336="";"";D336*XLOOKUP(C336;Portions!$A:$A;Portions!$D:$D))</f>
        <v/>
      </c>
      <c r="F336">
        <f>IF(E336="";"";E336/100*XLOOKUP(XLOOKUP(C336;Portions!$A:$A;Portions!$B:$B);FoodItems!$A:$A;FoodItems!$B:$B))</f>
        <v/>
      </c>
      <c r="G336">
        <f>IF(E336="";"";E336/100*XLOOKUP(XLOOKUP(C336;Portions!$A:$A;Portions!$B:$B);FoodItems!$A:$A;FoodItems!$C:$C))</f>
        <v/>
      </c>
      <c r="H336">
        <f>IF(E336="";"";E336/100*XLOOKUP(XLOOKUP(C336;Portions!$A:$A;Portions!$B:$B);FoodItems!$A:$A;FoodItems!$D:$D))</f>
        <v/>
      </c>
      <c r="I336">
        <f>IF(E336="";"";E336/100*XLOOKUP(XLOOKUP(C336;Portions!$A:$A;Portions!$B:$B);FoodItems!$A:$A;FoodItems!$E:$E))</f>
        <v/>
      </c>
    </row>
    <row r="337">
      <c r="E337">
        <f>IF(C337="";"";D337*XLOOKUP(C337;Portions!$A:$A;Portions!$D:$D))</f>
        <v/>
      </c>
      <c r="F337">
        <f>IF(E337="";"";E337/100*XLOOKUP(XLOOKUP(C337;Portions!$A:$A;Portions!$B:$B);FoodItems!$A:$A;FoodItems!$B:$B))</f>
        <v/>
      </c>
      <c r="G337">
        <f>IF(E337="";"";E337/100*XLOOKUP(XLOOKUP(C337;Portions!$A:$A;Portions!$B:$B);FoodItems!$A:$A;FoodItems!$C:$C))</f>
        <v/>
      </c>
      <c r="H337">
        <f>IF(E337="";"";E337/100*XLOOKUP(XLOOKUP(C337;Portions!$A:$A;Portions!$B:$B);FoodItems!$A:$A;FoodItems!$D:$D))</f>
        <v/>
      </c>
      <c r="I337">
        <f>IF(E337="";"";E337/100*XLOOKUP(XLOOKUP(C337;Portions!$A:$A;Portions!$B:$B);FoodItems!$A:$A;FoodItems!$E:$E))</f>
        <v/>
      </c>
    </row>
    <row r="338">
      <c r="E338">
        <f>IF(C338="";"";D338*XLOOKUP(C338;Portions!$A:$A;Portions!$D:$D))</f>
        <v/>
      </c>
      <c r="F338">
        <f>IF(E338="";"";E338/100*XLOOKUP(XLOOKUP(C338;Portions!$A:$A;Portions!$B:$B);FoodItems!$A:$A;FoodItems!$B:$B))</f>
        <v/>
      </c>
      <c r="G338">
        <f>IF(E338="";"";E338/100*XLOOKUP(XLOOKUP(C338;Portions!$A:$A;Portions!$B:$B);FoodItems!$A:$A;FoodItems!$C:$C))</f>
        <v/>
      </c>
      <c r="H338">
        <f>IF(E338="";"";E338/100*XLOOKUP(XLOOKUP(C338;Portions!$A:$A;Portions!$B:$B);FoodItems!$A:$A;FoodItems!$D:$D))</f>
        <v/>
      </c>
      <c r="I338">
        <f>IF(E338="";"";E338/100*XLOOKUP(XLOOKUP(C338;Portions!$A:$A;Portions!$B:$B);FoodItems!$A:$A;FoodItems!$E:$E))</f>
        <v/>
      </c>
    </row>
    <row r="339">
      <c r="E339">
        <f>IF(C339="";"";D339*XLOOKUP(C339;Portions!$A:$A;Portions!$D:$D))</f>
        <v/>
      </c>
      <c r="F339">
        <f>IF(E339="";"";E339/100*XLOOKUP(XLOOKUP(C339;Portions!$A:$A;Portions!$B:$B);FoodItems!$A:$A;FoodItems!$B:$B))</f>
        <v/>
      </c>
      <c r="G339">
        <f>IF(E339="";"";E339/100*XLOOKUP(XLOOKUP(C339;Portions!$A:$A;Portions!$B:$B);FoodItems!$A:$A;FoodItems!$C:$C))</f>
        <v/>
      </c>
      <c r="H339">
        <f>IF(E339="";"";E339/100*XLOOKUP(XLOOKUP(C339;Portions!$A:$A;Portions!$B:$B);FoodItems!$A:$A;FoodItems!$D:$D))</f>
        <v/>
      </c>
      <c r="I339">
        <f>IF(E339="";"";E339/100*XLOOKUP(XLOOKUP(C339;Portions!$A:$A;Portions!$B:$B);FoodItems!$A:$A;FoodItems!$E:$E))</f>
        <v/>
      </c>
    </row>
    <row r="340">
      <c r="E340">
        <f>IF(C340="";"";D340*XLOOKUP(C340;Portions!$A:$A;Portions!$D:$D))</f>
        <v/>
      </c>
      <c r="F340">
        <f>IF(E340="";"";E340/100*XLOOKUP(XLOOKUP(C340;Portions!$A:$A;Portions!$B:$B);FoodItems!$A:$A;FoodItems!$B:$B))</f>
        <v/>
      </c>
      <c r="G340">
        <f>IF(E340="";"";E340/100*XLOOKUP(XLOOKUP(C340;Portions!$A:$A;Portions!$B:$B);FoodItems!$A:$A;FoodItems!$C:$C))</f>
        <v/>
      </c>
      <c r="H340">
        <f>IF(E340="";"";E340/100*XLOOKUP(XLOOKUP(C340;Portions!$A:$A;Portions!$B:$B);FoodItems!$A:$A;FoodItems!$D:$D))</f>
        <v/>
      </c>
      <c r="I340">
        <f>IF(E340="";"";E340/100*XLOOKUP(XLOOKUP(C340;Portions!$A:$A;Portions!$B:$B);FoodItems!$A:$A;FoodItems!$E:$E))</f>
        <v/>
      </c>
    </row>
    <row r="341">
      <c r="E341">
        <f>IF(C341="";"";D341*XLOOKUP(C341;Portions!$A:$A;Portions!$D:$D))</f>
        <v/>
      </c>
      <c r="F341">
        <f>IF(E341="";"";E341/100*XLOOKUP(XLOOKUP(C341;Portions!$A:$A;Portions!$B:$B);FoodItems!$A:$A;FoodItems!$B:$B))</f>
        <v/>
      </c>
      <c r="G341">
        <f>IF(E341="";"";E341/100*XLOOKUP(XLOOKUP(C341;Portions!$A:$A;Portions!$B:$B);FoodItems!$A:$A;FoodItems!$C:$C))</f>
        <v/>
      </c>
      <c r="H341">
        <f>IF(E341="";"";E341/100*XLOOKUP(XLOOKUP(C341;Portions!$A:$A;Portions!$B:$B);FoodItems!$A:$A;FoodItems!$D:$D))</f>
        <v/>
      </c>
      <c r="I341">
        <f>IF(E341="";"";E341/100*XLOOKUP(XLOOKUP(C341;Portions!$A:$A;Portions!$B:$B);FoodItems!$A:$A;FoodItems!$E:$E))</f>
        <v/>
      </c>
    </row>
    <row r="342">
      <c r="E342">
        <f>IF(C342="";"";D342*XLOOKUP(C342;Portions!$A:$A;Portions!$D:$D))</f>
        <v/>
      </c>
      <c r="F342">
        <f>IF(E342="";"";E342/100*XLOOKUP(XLOOKUP(C342;Portions!$A:$A;Portions!$B:$B);FoodItems!$A:$A;FoodItems!$B:$B))</f>
        <v/>
      </c>
      <c r="G342">
        <f>IF(E342="";"";E342/100*XLOOKUP(XLOOKUP(C342;Portions!$A:$A;Portions!$B:$B);FoodItems!$A:$A;FoodItems!$C:$C))</f>
        <v/>
      </c>
      <c r="H342">
        <f>IF(E342="";"";E342/100*XLOOKUP(XLOOKUP(C342;Portions!$A:$A;Portions!$B:$B);FoodItems!$A:$A;FoodItems!$D:$D))</f>
        <v/>
      </c>
      <c r="I342">
        <f>IF(E342="";"";E342/100*XLOOKUP(XLOOKUP(C342;Portions!$A:$A;Portions!$B:$B);FoodItems!$A:$A;FoodItems!$E:$E))</f>
        <v/>
      </c>
    </row>
    <row r="343">
      <c r="E343">
        <f>IF(C343="";"";D343*XLOOKUP(C343;Portions!$A:$A;Portions!$D:$D))</f>
        <v/>
      </c>
      <c r="F343">
        <f>IF(E343="";"";E343/100*XLOOKUP(XLOOKUP(C343;Portions!$A:$A;Portions!$B:$B);FoodItems!$A:$A;FoodItems!$B:$B))</f>
        <v/>
      </c>
      <c r="G343">
        <f>IF(E343="";"";E343/100*XLOOKUP(XLOOKUP(C343;Portions!$A:$A;Portions!$B:$B);FoodItems!$A:$A;FoodItems!$C:$C))</f>
        <v/>
      </c>
      <c r="H343">
        <f>IF(E343="";"";E343/100*XLOOKUP(XLOOKUP(C343;Portions!$A:$A;Portions!$B:$B);FoodItems!$A:$A;FoodItems!$D:$D))</f>
        <v/>
      </c>
      <c r="I343">
        <f>IF(E343="";"";E343/100*XLOOKUP(XLOOKUP(C343;Portions!$A:$A;Portions!$B:$B);FoodItems!$A:$A;FoodItems!$E:$E))</f>
        <v/>
      </c>
    </row>
    <row r="344">
      <c r="E344">
        <f>IF(C344="";"";D344*XLOOKUP(C344;Portions!$A:$A;Portions!$D:$D))</f>
        <v/>
      </c>
      <c r="F344">
        <f>IF(E344="";"";E344/100*XLOOKUP(XLOOKUP(C344;Portions!$A:$A;Portions!$B:$B);FoodItems!$A:$A;FoodItems!$B:$B))</f>
        <v/>
      </c>
      <c r="G344">
        <f>IF(E344="";"";E344/100*XLOOKUP(XLOOKUP(C344;Portions!$A:$A;Portions!$B:$B);FoodItems!$A:$A;FoodItems!$C:$C))</f>
        <v/>
      </c>
      <c r="H344">
        <f>IF(E344="";"";E344/100*XLOOKUP(XLOOKUP(C344;Portions!$A:$A;Portions!$B:$B);FoodItems!$A:$A;FoodItems!$D:$D))</f>
        <v/>
      </c>
      <c r="I344">
        <f>IF(E344="";"";E344/100*XLOOKUP(XLOOKUP(C344;Portions!$A:$A;Portions!$B:$B);FoodItems!$A:$A;FoodItems!$E:$E))</f>
        <v/>
      </c>
    </row>
    <row r="345">
      <c r="E345">
        <f>IF(C345="";"";D345*XLOOKUP(C345;Portions!$A:$A;Portions!$D:$D))</f>
        <v/>
      </c>
      <c r="F345">
        <f>IF(E345="";"";E345/100*XLOOKUP(XLOOKUP(C345;Portions!$A:$A;Portions!$B:$B);FoodItems!$A:$A;FoodItems!$B:$B))</f>
        <v/>
      </c>
      <c r="G345">
        <f>IF(E345="";"";E345/100*XLOOKUP(XLOOKUP(C345;Portions!$A:$A;Portions!$B:$B);FoodItems!$A:$A;FoodItems!$C:$C))</f>
        <v/>
      </c>
      <c r="H345">
        <f>IF(E345="";"";E345/100*XLOOKUP(XLOOKUP(C345;Portions!$A:$A;Portions!$B:$B);FoodItems!$A:$A;FoodItems!$D:$D))</f>
        <v/>
      </c>
      <c r="I345">
        <f>IF(E345="";"";E345/100*XLOOKUP(XLOOKUP(C345;Portions!$A:$A;Portions!$B:$B);FoodItems!$A:$A;FoodItems!$E:$E))</f>
        <v/>
      </c>
    </row>
    <row r="346">
      <c r="E346">
        <f>IF(C346="";"";D346*XLOOKUP(C346;Portions!$A:$A;Portions!$D:$D))</f>
        <v/>
      </c>
      <c r="F346">
        <f>IF(E346="";"";E346/100*XLOOKUP(XLOOKUP(C346;Portions!$A:$A;Portions!$B:$B);FoodItems!$A:$A;FoodItems!$B:$B))</f>
        <v/>
      </c>
      <c r="G346">
        <f>IF(E346="";"";E346/100*XLOOKUP(XLOOKUP(C346;Portions!$A:$A;Portions!$B:$B);FoodItems!$A:$A;FoodItems!$C:$C))</f>
        <v/>
      </c>
      <c r="H346">
        <f>IF(E346="";"";E346/100*XLOOKUP(XLOOKUP(C346;Portions!$A:$A;Portions!$B:$B);FoodItems!$A:$A;FoodItems!$D:$D))</f>
        <v/>
      </c>
      <c r="I346">
        <f>IF(E346="";"";E346/100*XLOOKUP(XLOOKUP(C346;Portions!$A:$A;Portions!$B:$B);FoodItems!$A:$A;FoodItems!$E:$E))</f>
        <v/>
      </c>
    </row>
    <row r="347">
      <c r="E347">
        <f>IF(C347="";"";D347*XLOOKUP(C347;Portions!$A:$A;Portions!$D:$D))</f>
        <v/>
      </c>
      <c r="F347">
        <f>IF(E347="";"";E347/100*XLOOKUP(XLOOKUP(C347;Portions!$A:$A;Portions!$B:$B);FoodItems!$A:$A;FoodItems!$B:$B))</f>
        <v/>
      </c>
      <c r="G347">
        <f>IF(E347="";"";E347/100*XLOOKUP(XLOOKUP(C347;Portions!$A:$A;Portions!$B:$B);FoodItems!$A:$A;FoodItems!$C:$C))</f>
        <v/>
      </c>
      <c r="H347">
        <f>IF(E347="";"";E347/100*XLOOKUP(XLOOKUP(C347;Portions!$A:$A;Portions!$B:$B);FoodItems!$A:$A;FoodItems!$D:$D))</f>
        <v/>
      </c>
      <c r="I347">
        <f>IF(E347="";"";E347/100*XLOOKUP(XLOOKUP(C347;Portions!$A:$A;Portions!$B:$B);FoodItems!$A:$A;FoodItems!$E:$E))</f>
        <v/>
      </c>
    </row>
    <row r="348">
      <c r="E348">
        <f>IF(C348="";"";D348*XLOOKUP(C348;Portions!$A:$A;Portions!$D:$D))</f>
        <v/>
      </c>
      <c r="F348">
        <f>IF(E348="";"";E348/100*XLOOKUP(XLOOKUP(C348;Portions!$A:$A;Portions!$B:$B);FoodItems!$A:$A;FoodItems!$B:$B))</f>
        <v/>
      </c>
      <c r="G348">
        <f>IF(E348="";"";E348/100*XLOOKUP(XLOOKUP(C348;Portions!$A:$A;Portions!$B:$B);FoodItems!$A:$A;FoodItems!$C:$C))</f>
        <v/>
      </c>
      <c r="H348">
        <f>IF(E348="";"";E348/100*XLOOKUP(XLOOKUP(C348;Portions!$A:$A;Portions!$B:$B);FoodItems!$A:$A;FoodItems!$D:$D))</f>
        <v/>
      </c>
      <c r="I348">
        <f>IF(E348="";"";E348/100*XLOOKUP(XLOOKUP(C348;Portions!$A:$A;Portions!$B:$B);FoodItems!$A:$A;FoodItems!$E:$E))</f>
        <v/>
      </c>
    </row>
    <row r="349">
      <c r="E349">
        <f>IF(C349="";"";D349*XLOOKUP(C349;Portions!$A:$A;Portions!$D:$D))</f>
        <v/>
      </c>
      <c r="F349">
        <f>IF(E349="";"";E349/100*XLOOKUP(XLOOKUP(C349;Portions!$A:$A;Portions!$B:$B);FoodItems!$A:$A;FoodItems!$B:$B))</f>
        <v/>
      </c>
      <c r="G349">
        <f>IF(E349="";"";E349/100*XLOOKUP(XLOOKUP(C349;Portions!$A:$A;Portions!$B:$B);FoodItems!$A:$A;FoodItems!$C:$C))</f>
        <v/>
      </c>
      <c r="H349">
        <f>IF(E349="";"";E349/100*XLOOKUP(XLOOKUP(C349;Portions!$A:$A;Portions!$B:$B);FoodItems!$A:$A;FoodItems!$D:$D))</f>
        <v/>
      </c>
      <c r="I349">
        <f>IF(E349="";"";E349/100*XLOOKUP(XLOOKUP(C349;Portions!$A:$A;Portions!$B:$B);FoodItems!$A:$A;FoodItems!$E:$E))</f>
        <v/>
      </c>
    </row>
    <row r="350">
      <c r="E350">
        <f>IF(C350="";"";D350*XLOOKUP(C350;Portions!$A:$A;Portions!$D:$D))</f>
        <v/>
      </c>
      <c r="F350">
        <f>IF(E350="";"";E350/100*XLOOKUP(XLOOKUP(C350;Portions!$A:$A;Portions!$B:$B);FoodItems!$A:$A;FoodItems!$B:$B))</f>
        <v/>
      </c>
      <c r="G350">
        <f>IF(E350="";"";E350/100*XLOOKUP(XLOOKUP(C350;Portions!$A:$A;Portions!$B:$B);FoodItems!$A:$A;FoodItems!$C:$C))</f>
        <v/>
      </c>
      <c r="H350">
        <f>IF(E350="";"";E350/100*XLOOKUP(XLOOKUP(C350;Portions!$A:$A;Portions!$B:$B);FoodItems!$A:$A;FoodItems!$D:$D))</f>
        <v/>
      </c>
      <c r="I350">
        <f>IF(E350="";"";E350/100*XLOOKUP(XLOOKUP(C350;Portions!$A:$A;Portions!$B:$B);FoodItems!$A:$A;FoodItems!$E:$E))</f>
        <v/>
      </c>
    </row>
    <row r="351">
      <c r="E351">
        <f>IF(C351="";"";D351*XLOOKUP(C351;Portions!$A:$A;Portions!$D:$D))</f>
        <v/>
      </c>
      <c r="F351">
        <f>IF(E351="";"";E351/100*XLOOKUP(XLOOKUP(C351;Portions!$A:$A;Portions!$B:$B);FoodItems!$A:$A;FoodItems!$B:$B))</f>
        <v/>
      </c>
      <c r="G351">
        <f>IF(E351="";"";E351/100*XLOOKUP(XLOOKUP(C351;Portions!$A:$A;Portions!$B:$B);FoodItems!$A:$A;FoodItems!$C:$C))</f>
        <v/>
      </c>
      <c r="H351">
        <f>IF(E351="";"";E351/100*XLOOKUP(XLOOKUP(C351;Portions!$A:$A;Portions!$B:$B);FoodItems!$A:$A;FoodItems!$D:$D))</f>
        <v/>
      </c>
      <c r="I351">
        <f>IF(E351="";"";E351/100*XLOOKUP(XLOOKUP(C351;Portions!$A:$A;Portions!$B:$B);FoodItems!$A:$A;FoodItems!$E:$E))</f>
        <v/>
      </c>
    </row>
    <row r="352">
      <c r="E352">
        <f>IF(C352="";"";D352*XLOOKUP(C352;Portions!$A:$A;Portions!$D:$D))</f>
        <v/>
      </c>
      <c r="F352">
        <f>IF(E352="";"";E352/100*XLOOKUP(XLOOKUP(C352;Portions!$A:$A;Portions!$B:$B);FoodItems!$A:$A;FoodItems!$B:$B))</f>
        <v/>
      </c>
      <c r="G352">
        <f>IF(E352="";"";E352/100*XLOOKUP(XLOOKUP(C352;Portions!$A:$A;Portions!$B:$B);FoodItems!$A:$A;FoodItems!$C:$C))</f>
        <v/>
      </c>
      <c r="H352">
        <f>IF(E352="";"";E352/100*XLOOKUP(XLOOKUP(C352;Portions!$A:$A;Portions!$B:$B);FoodItems!$A:$A;FoodItems!$D:$D))</f>
        <v/>
      </c>
      <c r="I352">
        <f>IF(E352="";"";E352/100*XLOOKUP(XLOOKUP(C352;Portions!$A:$A;Portions!$B:$B);FoodItems!$A:$A;FoodItems!$E:$E))</f>
        <v/>
      </c>
    </row>
    <row r="353">
      <c r="E353">
        <f>IF(C353="";"";D353*XLOOKUP(C353;Portions!$A:$A;Portions!$D:$D))</f>
        <v/>
      </c>
      <c r="F353">
        <f>IF(E353="";"";E353/100*XLOOKUP(XLOOKUP(C353;Portions!$A:$A;Portions!$B:$B);FoodItems!$A:$A;FoodItems!$B:$B))</f>
        <v/>
      </c>
      <c r="G353">
        <f>IF(E353="";"";E353/100*XLOOKUP(XLOOKUP(C353;Portions!$A:$A;Portions!$B:$B);FoodItems!$A:$A;FoodItems!$C:$C))</f>
        <v/>
      </c>
      <c r="H353">
        <f>IF(E353="";"";E353/100*XLOOKUP(XLOOKUP(C353;Portions!$A:$A;Portions!$B:$B);FoodItems!$A:$A;FoodItems!$D:$D))</f>
        <v/>
      </c>
      <c r="I353">
        <f>IF(E353="";"";E353/100*XLOOKUP(XLOOKUP(C353;Portions!$A:$A;Portions!$B:$B);FoodItems!$A:$A;FoodItems!$E:$E))</f>
        <v/>
      </c>
    </row>
    <row r="354">
      <c r="E354">
        <f>IF(C354="";"";D354*XLOOKUP(C354;Portions!$A:$A;Portions!$D:$D))</f>
        <v/>
      </c>
      <c r="F354">
        <f>IF(E354="";"";E354/100*XLOOKUP(XLOOKUP(C354;Portions!$A:$A;Portions!$B:$B);FoodItems!$A:$A;FoodItems!$B:$B))</f>
        <v/>
      </c>
      <c r="G354">
        <f>IF(E354="";"";E354/100*XLOOKUP(XLOOKUP(C354;Portions!$A:$A;Portions!$B:$B);FoodItems!$A:$A;FoodItems!$C:$C))</f>
        <v/>
      </c>
      <c r="H354">
        <f>IF(E354="";"";E354/100*XLOOKUP(XLOOKUP(C354;Portions!$A:$A;Portions!$B:$B);FoodItems!$A:$A;FoodItems!$D:$D))</f>
        <v/>
      </c>
      <c r="I354">
        <f>IF(E354="";"";E354/100*XLOOKUP(XLOOKUP(C354;Portions!$A:$A;Portions!$B:$B);FoodItems!$A:$A;FoodItems!$E:$E))</f>
        <v/>
      </c>
    </row>
    <row r="355">
      <c r="E355">
        <f>IF(C355="";"";D355*XLOOKUP(C355;Portions!$A:$A;Portions!$D:$D))</f>
        <v/>
      </c>
      <c r="F355">
        <f>IF(E355="";"";E355/100*XLOOKUP(XLOOKUP(C355;Portions!$A:$A;Portions!$B:$B);FoodItems!$A:$A;FoodItems!$B:$B))</f>
        <v/>
      </c>
      <c r="G355">
        <f>IF(E355="";"";E355/100*XLOOKUP(XLOOKUP(C355;Portions!$A:$A;Portions!$B:$B);FoodItems!$A:$A;FoodItems!$C:$C))</f>
        <v/>
      </c>
      <c r="H355">
        <f>IF(E355="";"";E355/100*XLOOKUP(XLOOKUP(C355;Portions!$A:$A;Portions!$B:$B);FoodItems!$A:$A;FoodItems!$D:$D))</f>
        <v/>
      </c>
      <c r="I355">
        <f>IF(E355="";"";E355/100*XLOOKUP(XLOOKUP(C355;Portions!$A:$A;Portions!$B:$B);FoodItems!$A:$A;FoodItems!$E:$E))</f>
        <v/>
      </c>
    </row>
    <row r="356">
      <c r="E356">
        <f>IF(C356="";"";D356*XLOOKUP(C356;Portions!$A:$A;Portions!$D:$D))</f>
        <v/>
      </c>
      <c r="F356">
        <f>IF(E356="";"";E356/100*XLOOKUP(XLOOKUP(C356;Portions!$A:$A;Portions!$B:$B);FoodItems!$A:$A;FoodItems!$B:$B))</f>
        <v/>
      </c>
      <c r="G356">
        <f>IF(E356="";"";E356/100*XLOOKUP(XLOOKUP(C356;Portions!$A:$A;Portions!$B:$B);FoodItems!$A:$A;FoodItems!$C:$C))</f>
        <v/>
      </c>
      <c r="H356">
        <f>IF(E356="";"";E356/100*XLOOKUP(XLOOKUP(C356;Portions!$A:$A;Portions!$B:$B);FoodItems!$A:$A;FoodItems!$D:$D))</f>
        <v/>
      </c>
      <c r="I356">
        <f>IF(E356="";"";E356/100*XLOOKUP(XLOOKUP(C356;Portions!$A:$A;Portions!$B:$B);FoodItems!$A:$A;FoodItems!$E:$E))</f>
        <v/>
      </c>
    </row>
    <row r="357">
      <c r="E357">
        <f>IF(C357="";"";D357*XLOOKUP(C357;Portions!$A:$A;Portions!$D:$D))</f>
        <v/>
      </c>
      <c r="F357">
        <f>IF(E357="";"";E357/100*XLOOKUP(XLOOKUP(C357;Portions!$A:$A;Portions!$B:$B);FoodItems!$A:$A;FoodItems!$B:$B))</f>
        <v/>
      </c>
      <c r="G357">
        <f>IF(E357="";"";E357/100*XLOOKUP(XLOOKUP(C357;Portions!$A:$A;Portions!$B:$B);FoodItems!$A:$A;FoodItems!$C:$C))</f>
        <v/>
      </c>
      <c r="H357">
        <f>IF(E357="";"";E357/100*XLOOKUP(XLOOKUP(C357;Portions!$A:$A;Portions!$B:$B);FoodItems!$A:$A;FoodItems!$D:$D))</f>
        <v/>
      </c>
      <c r="I357">
        <f>IF(E357="";"";E357/100*XLOOKUP(XLOOKUP(C357;Portions!$A:$A;Portions!$B:$B);FoodItems!$A:$A;FoodItems!$E:$E))</f>
        <v/>
      </c>
    </row>
    <row r="358">
      <c r="E358">
        <f>IF(C358="";"";D358*XLOOKUP(C358;Portions!$A:$A;Portions!$D:$D))</f>
        <v/>
      </c>
      <c r="F358">
        <f>IF(E358="";"";E358/100*XLOOKUP(XLOOKUP(C358;Portions!$A:$A;Portions!$B:$B);FoodItems!$A:$A;FoodItems!$B:$B))</f>
        <v/>
      </c>
      <c r="G358">
        <f>IF(E358="";"";E358/100*XLOOKUP(XLOOKUP(C358;Portions!$A:$A;Portions!$B:$B);FoodItems!$A:$A;FoodItems!$C:$C))</f>
        <v/>
      </c>
      <c r="H358">
        <f>IF(E358="";"";E358/100*XLOOKUP(XLOOKUP(C358;Portions!$A:$A;Portions!$B:$B);FoodItems!$A:$A;FoodItems!$D:$D))</f>
        <v/>
      </c>
      <c r="I358">
        <f>IF(E358="";"";E358/100*XLOOKUP(XLOOKUP(C358;Portions!$A:$A;Portions!$B:$B);FoodItems!$A:$A;FoodItems!$E:$E))</f>
        <v/>
      </c>
    </row>
    <row r="359">
      <c r="E359">
        <f>IF(C359="";"";D359*XLOOKUP(C359;Portions!$A:$A;Portions!$D:$D))</f>
        <v/>
      </c>
      <c r="F359">
        <f>IF(E359="";"";E359/100*XLOOKUP(XLOOKUP(C359;Portions!$A:$A;Portions!$B:$B);FoodItems!$A:$A;FoodItems!$B:$B))</f>
        <v/>
      </c>
      <c r="G359">
        <f>IF(E359="";"";E359/100*XLOOKUP(XLOOKUP(C359;Portions!$A:$A;Portions!$B:$B);FoodItems!$A:$A;FoodItems!$C:$C))</f>
        <v/>
      </c>
      <c r="H359">
        <f>IF(E359="";"";E359/100*XLOOKUP(XLOOKUP(C359;Portions!$A:$A;Portions!$B:$B);FoodItems!$A:$A;FoodItems!$D:$D))</f>
        <v/>
      </c>
      <c r="I359">
        <f>IF(E359="";"";E359/100*XLOOKUP(XLOOKUP(C359;Portions!$A:$A;Portions!$B:$B);FoodItems!$A:$A;FoodItems!$E:$E))</f>
        <v/>
      </c>
    </row>
    <row r="360">
      <c r="E360">
        <f>IF(C360="";"";D360*XLOOKUP(C360;Portions!$A:$A;Portions!$D:$D))</f>
        <v/>
      </c>
      <c r="F360">
        <f>IF(E360="";"";E360/100*XLOOKUP(XLOOKUP(C360;Portions!$A:$A;Portions!$B:$B);FoodItems!$A:$A;FoodItems!$B:$B))</f>
        <v/>
      </c>
      <c r="G360">
        <f>IF(E360="";"";E360/100*XLOOKUP(XLOOKUP(C360;Portions!$A:$A;Portions!$B:$B);FoodItems!$A:$A;FoodItems!$C:$C))</f>
        <v/>
      </c>
      <c r="H360">
        <f>IF(E360="";"";E360/100*XLOOKUP(XLOOKUP(C360;Portions!$A:$A;Portions!$B:$B);FoodItems!$A:$A;FoodItems!$D:$D))</f>
        <v/>
      </c>
      <c r="I360">
        <f>IF(E360="";"";E360/100*XLOOKUP(XLOOKUP(C360;Portions!$A:$A;Portions!$B:$B);FoodItems!$A:$A;FoodItems!$E:$E))</f>
        <v/>
      </c>
    </row>
    <row r="361">
      <c r="E361">
        <f>IF(C361="";"";D361*XLOOKUP(C361;Portions!$A:$A;Portions!$D:$D))</f>
        <v/>
      </c>
      <c r="F361">
        <f>IF(E361="";"";E361/100*XLOOKUP(XLOOKUP(C361;Portions!$A:$A;Portions!$B:$B);FoodItems!$A:$A;FoodItems!$B:$B))</f>
        <v/>
      </c>
      <c r="G361">
        <f>IF(E361="";"";E361/100*XLOOKUP(XLOOKUP(C361;Portions!$A:$A;Portions!$B:$B);FoodItems!$A:$A;FoodItems!$C:$C))</f>
        <v/>
      </c>
      <c r="H361">
        <f>IF(E361="";"";E361/100*XLOOKUP(XLOOKUP(C361;Portions!$A:$A;Portions!$B:$B);FoodItems!$A:$A;FoodItems!$D:$D))</f>
        <v/>
      </c>
      <c r="I361">
        <f>IF(E361="";"";E361/100*XLOOKUP(XLOOKUP(C361;Portions!$A:$A;Portions!$B:$B);FoodItems!$A:$A;FoodItems!$E:$E))</f>
        <v/>
      </c>
    </row>
    <row r="362">
      <c r="E362">
        <f>IF(C362="";"";D362*XLOOKUP(C362;Portions!$A:$A;Portions!$D:$D))</f>
        <v/>
      </c>
      <c r="F362">
        <f>IF(E362="";"";E362/100*XLOOKUP(XLOOKUP(C362;Portions!$A:$A;Portions!$B:$B);FoodItems!$A:$A;FoodItems!$B:$B))</f>
        <v/>
      </c>
      <c r="G362">
        <f>IF(E362="";"";E362/100*XLOOKUP(XLOOKUP(C362;Portions!$A:$A;Portions!$B:$B);FoodItems!$A:$A;FoodItems!$C:$C))</f>
        <v/>
      </c>
      <c r="H362">
        <f>IF(E362="";"";E362/100*XLOOKUP(XLOOKUP(C362;Portions!$A:$A;Portions!$B:$B);FoodItems!$A:$A;FoodItems!$D:$D))</f>
        <v/>
      </c>
      <c r="I362">
        <f>IF(E362="";"";E362/100*XLOOKUP(XLOOKUP(C362;Portions!$A:$A;Portions!$B:$B);FoodItems!$A:$A;FoodItems!$E:$E))</f>
        <v/>
      </c>
    </row>
    <row r="363">
      <c r="E363">
        <f>IF(C363="";"";D363*XLOOKUP(C363;Portions!$A:$A;Portions!$D:$D))</f>
        <v/>
      </c>
      <c r="F363">
        <f>IF(E363="";"";E363/100*XLOOKUP(XLOOKUP(C363;Portions!$A:$A;Portions!$B:$B);FoodItems!$A:$A;FoodItems!$B:$B))</f>
        <v/>
      </c>
      <c r="G363">
        <f>IF(E363="";"";E363/100*XLOOKUP(XLOOKUP(C363;Portions!$A:$A;Portions!$B:$B);FoodItems!$A:$A;FoodItems!$C:$C))</f>
        <v/>
      </c>
      <c r="H363">
        <f>IF(E363="";"";E363/100*XLOOKUP(XLOOKUP(C363;Portions!$A:$A;Portions!$B:$B);FoodItems!$A:$A;FoodItems!$D:$D))</f>
        <v/>
      </c>
      <c r="I363">
        <f>IF(E363="";"";E363/100*XLOOKUP(XLOOKUP(C363;Portions!$A:$A;Portions!$B:$B);FoodItems!$A:$A;FoodItems!$E:$E))</f>
        <v/>
      </c>
    </row>
    <row r="364">
      <c r="E364">
        <f>IF(C364="";"";D364*XLOOKUP(C364;Portions!$A:$A;Portions!$D:$D))</f>
        <v/>
      </c>
      <c r="F364">
        <f>IF(E364="";"";E364/100*XLOOKUP(XLOOKUP(C364;Portions!$A:$A;Portions!$B:$B);FoodItems!$A:$A;FoodItems!$B:$B))</f>
        <v/>
      </c>
      <c r="G364">
        <f>IF(E364="";"";E364/100*XLOOKUP(XLOOKUP(C364;Portions!$A:$A;Portions!$B:$B);FoodItems!$A:$A;FoodItems!$C:$C))</f>
        <v/>
      </c>
      <c r="H364">
        <f>IF(E364="";"";E364/100*XLOOKUP(XLOOKUP(C364;Portions!$A:$A;Portions!$B:$B);FoodItems!$A:$A;FoodItems!$D:$D))</f>
        <v/>
      </c>
      <c r="I364">
        <f>IF(E364="";"";E364/100*XLOOKUP(XLOOKUP(C364;Portions!$A:$A;Portions!$B:$B);FoodItems!$A:$A;FoodItems!$E:$E))</f>
        <v/>
      </c>
    </row>
    <row r="365">
      <c r="E365">
        <f>IF(C365="";"";D365*XLOOKUP(C365;Portions!$A:$A;Portions!$D:$D))</f>
        <v/>
      </c>
      <c r="F365">
        <f>IF(E365="";"";E365/100*XLOOKUP(XLOOKUP(C365;Portions!$A:$A;Portions!$B:$B);FoodItems!$A:$A;FoodItems!$B:$B))</f>
        <v/>
      </c>
      <c r="G365">
        <f>IF(E365="";"";E365/100*XLOOKUP(XLOOKUP(C365;Portions!$A:$A;Portions!$B:$B);FoodItems!$A:$A;FoodItems!$C:$C))</f>
        <v/>
      </c>
      <c r="H365">
        <f>IF(E365="";"";E365/100*XLOOKUP(XLOOKUP(C365;Portions!$A:$A;Portions!$B:$B);FoodItems!$A:$A;FoodItems!$D:$D))</f>
        <v/>
      </c>
      <c r="I365">
        <f>IF(E365="";"";E365/100*XLOOKUP(XLOOKUP(C365;Portions!$A:$A;Portions!$B:$B);FoodItems!$A:$A;FoodItems!$E:$E))</f>
        <v/>
      </c>
    </row>
    <row r="366">
      <c r="E366">
        <f>IF(C366="";"";D366*XLOOKUP(C366;Portions!$A:$A;Portions!$D:$D))</f>
        <v/>
      </c>
      <c r="F366">
        <f>IF(E366="";"";E366/100*XLOOKUP(XLOOKUP(C366;Portions!$A:$A;Portions!$B:$B);FoodItems!$A:$A;FoodItems!$B:$B))</f>
        <v/>
      </c>
      <c r="G366">
        <f>IF(E366="";"";E366/100*XLOOKUP(XLOOKUP(C366;Portions!$A:$A;Portions!$B:$B);FoodItems!$A:$A;FoodItems!$C:$C))</f>
        <v/>
      </c>
      <c r="H366">
        <f>IF(E366="";"";E366/100*XLOOKUP(XLOOKUP(C366;Portions!$A:$A;Portions!$B:$B);FoodItems!$A:$A;FoodItems!$D:$D))</f>
        <v/>
      </c>
      <c r="I366">
        <f>IF(E366="";"";E366/100*XLOOKUP(XLOOKUP(C366;Portions!$A:$A;Portions!$B:$B);FoodItems!$A:$A;FoodItems!$E:$E))</f>
        <v/>
      </c>
    </row>
    <row r="367">
      <c r="E367">
        <f>IF(C367="";"";D367*XLOOKUP(C367;Portions!$A:$A;Portions!$D:$D))</f>
        <v/>
      </c>
      <c r="F367">
        <f>IF(E367="";"";E367/100*XLOOKUP(XLOOKUP(C367;Portions!$A:$A;Portions!$B:$B);FoodItems!$A:$A;FoodItems!$B:$B))</f>
        <v/>
      </c>
      <c r="G367">
        <f>IF(E367="";"";E367/100*XLOOKUP(XLOOKUP(C367;Portions!$A:$A;Portions!$B:$B);FoodItems!$A:$A;FoodItems!$C:$C))</f>
        <v/>
      </c>
      <c r="H367">
        <f>IF(E367="";"";E367/100*XLOOKUP(XLOOKUP(C367;Portions!$A:$A;Portions!$B:$B);FoodItems!$A:$A;FoodItems!$D:$D))</f>
        <v/>
      </c>
      <c r="I367">
        <f>IF(E367="";"";E367/100*XLOOKUP(XLOOKUP(C367;Portions!$A:$A;Portions!$B:$B);FoodItems!$A:$A;FoodItems!$E:$E))</f>
        <v/>
      </c>
    </row>
    <row r="368">
      <c r="E368">
        <f>IF(C368="";"";D368*XLOOKUP(C368;Portions!$A:$A;Portions!$D:$D))</f>
        <v/>
      </c>
      <c r="F368">
        <f>IF(E368="";"";E368/100*XLOOKUP(XLOOKUP(C368;Portions!$A:$A;Portions!$B:$B);FoodItems!$A:$A;FoodItems!$B:$B))</f>
        <v/>
      </c>
      <c r="G368">
        <f>IF(E368="";"";E368/100*XLOOKUP(XLOOKUP(C368;Portions!$A:$A;Portions!$B:$B);FoodItems!$A:$A;FoodItems!$C:$C))</f>
        <v/>
      </c>
      <c r="H368">
        <f>IF(E368="";"";E368/100*XLOOKUP(XLOOKUP(C368;Portions!$A:$A;Portions!$B:$B);FoodItems!$A:$A;FoodItems!$D:$D))</f>
        <v/>
      </c>
      <c r="I368">
        <f>IF(E368="";"";E368/100*XLOOKUP(XLOOKUP(C368;Portions!$A:$A;Portions!$B:$B);FoodItems!$A:$A;FoodItems!$E:$E))</f>
        <v/>
      </c>
    </row>
    <row r="369">
      <c r="E369">
        <f>IF(C369="";"";D369*XLOOKUP(C369;Portions!$A:$A;Portions!$D:$D))</f>
        <v/>
      </c>
      <c r="F369">
        <f>IF(E369="";"";E369/100*XLOOKUP(XLOOKUP(C369;Portions!$A:$A;Portions!$B:$B);FoodItems!$A:$A;FoodItems!$B:$B))</f>
        <v/>
      </c>
      <c r="G369">
        <f>IF(E369="";"";E369/100*XLOOKUP(XLOOKUP(C369;Portions!$A:$A;Portions!$B:$B);FoodItems!$A:$A;FoodItems!$C:$C))</f>
        <v/>
      </c>
      <c r="H369">
        <f>IF(E369="";"";E369/100*XLOOKUP(XLOOKUP(C369;Portions!$A:$A;Portions!$B:$B);FoodItems!$A:$A;FoodItems!$D:$D))</f>
        <v/>
      </c>
      <c r="I369">
        <f>IF(E369="";"";E369/100*XLOOKUP(XLOOKUP(C369;Portions!$A:$A;Portions!$B:$B);FoodItems!$A:$A;FoodItems!$E:$E))</f>
        <v/>
      </c>
    </row>
    <row r="370">
      <c r="E370">
        <f>IF(C370="";"";D370*XLOOKUP(C370;Portions!$A:$A;Portions!$D:$D))</f>
        <v/>
      </c>
      <c r="F370">
        <f>IF(E370="";"";E370/100*XLOOKUP(XLOOKUP(C370;Portions!$A:$A;Portions!$B:$B);FoodItems!$A:$A;FoodItems!$B:$B))</f>
        <v/>
      </c>
      <c r="G370">
        <f>IF(E370="";"";E370/100*XLOOKUP(XLOOKUP(C370;Portions!$A:$A;Portions!$B:$B);FoodItems!$A:$A;FoodItems!$C:$C))</f>
        <v/>
      </c>
      <c r="H370">
        <f>IF(E370="";"";E370/100*XLOOKUP(XLOOKUP(C370;Portions!$A:$A;Portions!$B:$B);FoodItems!$A:$A;FoodItems!$D:$D))</f>
        <v/>
      </c>
      <c r="I370">
        <f>IF(E370="";"";E370/100*XLOOKUP(XLOOKUP(C370;Portions!$A:$A;Portions!$B:$B);FoodItems!$A:$A;FoodItems!$E:$E))</f>
        <v/>
      </c>
    </row>
    <row r="371">
      <c r="E371">
        <f>IF(C371="";"";D371*XLOOKUP(C371;Portions!$A:$A;Portions!$D:$D))</f>
        <v/>
      </c>
      <c r="F371">
        <f>IF(E371="";"";E371/100*XLOOKUP(XLOOKUP(C371;Portions!$A:$A;Portions!$B:$B);FoodItems!$A:$A;FoodItems!$B:$B))</f>
        <v/>
      </c>
      <c r="G371">
        <f>IF(E371="";"";E371/100*XLOOKUP(XLOOKUP(C371;Portions!$A:$A;Portions!$B:$B);FoodItems!$A:$A;FoodItems!$C:$C))</f>
        <v/>
      </c>
      <c r="H371">
        <f>IF(E371="";"";E371/100*XLOOKUP(XLOOKUP(C371;Portions!$A:$A;Portions!$B:$B);FoodItems!$A:$A;FoodItems!$D:$D))</f>
        <v/>
      </c>
      <c r="I371">
        <f>IF(E371="";"";E371/100*XLOOKUP(XLOOKUP(C371;Portions!$A:$A;Portions!$B:$B);FoodItems!$A:$A;FoodItems!$E:$E))</f>
        <v/>
      </c>
    </row>
    <row r="372">
      <c r="E372">
        <f>IF(C372="";"";D372*XLOOKUP(C372;Portions!$A:$A;Portions!$D:$D))</f>
        <v/>
      </c>
      <c r="F372">
        <f>IF(E372="";"";E372/100*XLOOKUP(XLOOKUP(C372;Portions!$A:$A;Portions!$B:$B);FoodItems!$A:$A;FoodItems!$B:$B))</f>
        <v/>
      </c>
      <c r="G372">
        <f>IF(E372="";"";E372/100*XLOOKUP(XLOOKUP(C372;Portions!$A:$A;Portions!$B:$B);FoodItems!$A:$A;FoodItems!$C:$C))</f>
        <v/>
      </c>
      <c r="H372">
        <f>IF(E372="";"";E372/100*XLOOKUP(XLOOKUP(C372;Portions!$A:$A;Portions!$B:$B);FoodItems!$A:$A;FoodItems!$D:$D))</f>
        <v/>
      </c>
      <c r="I372">
        <f>IF(E372="";"";E372/100*XLOOKUP(XLOOKUP(C372;Portions!$A:$A;Portions!$B:$B);FoodItems!$A:$A;FoodItems!$E:$E))</f>
        <v/>
      </c>
    </row>
    <row r="373">
      <c r="E373">
        <f>IF(C373="";"";D373*XLOOKUP(C373;Portions!$A:$A;Portions!$D:$D))</f>
        <v/>
      </c>
      <c r="F373">
        <f>IF(E373="";"";E373/100*XLOOKUP(XLOOKUP(C373;Portions!$A:$A;Portions!$B:$B);FoodItems!$A:$A;FoodItems!$B:$B))</f>
        <v/>
      </c>
      <c r="G373">
        <f>IF(E373="";"";E373/100*XLOOKUP(XLOOKUP(C373;Portions!$A:$A;Portions!$B:$B);FoodItems!$A:$A;FoodItems!$C:$C))</f>
        <v/>
      </c>
      <c r="H373">
        <f>IF(E373="";"";E373/100*XLOOKUP(XLOOKUP(C373;Portions!$A:$A;Portions!$B:$B);FoodItems!$A:$A;FoodItems!$D:$D))</f>
        <v/>
      </c>
      <c r="I373">
        <f>IF(E373="";"";E373/100*XLOOKUP(XLOOKUP(C373;Portions!$A:$A;Portions!$B:$B);FoodItems!$A:$A;FoodItems!$E:$E))</f>
        <v/>
      </c>
    </row>
    <row r="374">
      <c r="E374">
        <f>IF(C374="";"";D374*XLOOKUP(C374;Portions!$A:$A;Portions!$D:$D))</f>
        <v/>
      </c>
      <c r="F374">
        <f>IF(E374="";"";E374/100*XLOOKUP(XLOOKUP(C374;Portions!$A:$A;Portions!$B:$B);FoodItems!$A:$A;FoodItems!$B:$B))</f>
        <v/>
      </c>
      <c r="G374">
        <f>IF(E374="";"";E374/100*XLOOKUP(XLOOKUP(C374;Portions!$A:$A;Portions!$B:$B);FoodItems!$A:$A;FoodItems!$C:$C))</f>
        <v/>
      </c>
      <c r="H374">
        <f>IF(E374="";"";E374/100*XLOOKUP(XLOOKUP(C374;Portions!$A:$A;Portions!$B:$B);FoodItems!$A:$A;FoodItems!$D:$D))</f>
        <v/>
      </c>
      <c r="I374">
        <f>IF(E374="";"";E374/100*XLOOKUP(XLOOKUP(C374;Portions!$A:$A;Portions!$B:$B);FoodItems!$A:$A;FoodItems!$E:$E))</f>
        <v/>
      </c>
    </row>
    <row r="375">
      <c r="E375">
        <f>IF(C375="";"";D375*XLOOKUP(C375;Portions!$A:$A;Portions!$D:$D))</f>
        <v/>
      </c>
      <c r="F375">
        <f>IF(E375="";"";E375/100*XLOOKUP(XLOOKUP(C375;Portions!$A:$A;Portions!$B:$B);FoodItems!$A:$A;FoodItems!$B:$B))</f>
        <v/>
      </c>
      <c r="G375">
        <f>IF(E375="";"";E375/100*XLOOKUP(XLOOKUP(C375;Portions!$A:$A;Portions!$B:$B);FoodItems!$A:$A;FoodItems!$C:$C))</f>
        <v/>
      </c>
      <c r="H375">
        <f>IF(E375="";"";E375/100*XLOOKUP(XLOOKUP(C375;Portions!$A:$A;Portions!$B:$B);FoodItems!$A:$A;FoodItems!$D:$D))</f>
        <v/>
      </c>
      <c r="I375">
        <f>IF(E375="";"";E375/100*XLOOKUP(XLOOKUP(C375;Portions!$A:$A;Portions!$B:$B);FoodItems!$A:$A;FoodItems!$E:$E))</f>
        <v/>
      </c>
    </row>
    <row r="376">
      <c r="E376">
        <f>IF(C376="";"";D376*XLOOKUP(C376;Portions!$A:$A;Portions!$D:$D))</f>
        <v/>
      </c>
      <c r="F376">
        <f>IF(E376="";"";E376/100*XLOOKUP(XLOOKUP(C376;Portions!$A:$A;Portions!$B:$B);FoodItems!$A:$A;FoodItems!$B:$B))</f>
        <v/>
      </c>
      <c r="G376">
        <f>IF(E376="";"";E376/100*XLOOKUP(XLOOKUP(C376;Portions!$A:$A;Portions!$B:$B);FoodItems!$A:$A;FoodItems!$C:$C))</f>
        <v/>
      </c>
      <c r="H376">
        <f>IF(E376="";"";E376/100*XLOOKUP(XLOOKUP(C376;Portions!$A:$A;Portions!$B:$B);FoodItems!$A:$A;FoodItems!$D:$D))</f>
        <v/>
      </c>
      <c r="I376">
        <f>IF(E376="";"";E376/100*XLOOKUP(XLOOKUP(C376;Portions!$A:$A;Portions!$B:$B);FoodItems!$A:$A;FoodItems!$E:$E))</f>
        <v/>
      </c>
    </row>
    <row r="377">
      <c r="E377">
        <f>IF(C377="";"";D377*XLOOKUP(C377;Portions!$A:$A;Portions!$D:$D))</f>
        <v/>
      </c>
      <c r="F377">
        <f>IF(E377="";"";E377/100*XLOOKUP(XLOOKUP(C377;Portions!$A:$A;Portions!$B:$B);FoodItems!$A:$A;FoodItems!$B:$B))</f>
        <v/>
      </c>
      <c r="G377">
        <f>IF(E377="";"";E377/100*XLOOKUP(XLOOKUP(C377;Portions!$A:$A;Portions!$B:$B);FoodItems!$A:$A;FoodItems!$C:$C))</f>
        <v/>
      </c>
      <c r="H377">
        <f>IF(E377="";"";E377/100*XLOOKUP(XLOOKUP(C377;Portions!$A:$A;Portions!$B:$B);FoodItems!$A:$A;FoodItems!$D:$D))</f>
        <v/>
      </c>
      <c r="I377">
        <f>IF(E377="";"";E377/100*XLOOKUP(XLOOKUP(C377;Portions!$A:$A;Portions!$B:$B);FoodItems!$A:$A;FoodItems!$E:$E))</f>
        <v/>
      </c>
    </row>
    <row r="378">
      <c r="E378">
        <f>IF(C378="";"";D378*XLOOKUP(C378;Portions!$A:$A;Portions!$D:$D))</f>
        <v/>
      </c>
      <c r="F378">
        <f>IF(E378="";"";E378/100*XLOOKUP(XLOOKUP(C378;Portions!$A:$A;Portions!$B:$B);FoodItems!$A:$A;FoodItems!$B:$B))</f>
        <v/>
      </c>
      <c r="G378">
        <f>IF(E378="";"";E378/100*XLOOKUP(XLOOKUP(C378;Portions!$A:$A;Portions!$B:$B);FoodItems!$A:$A;FoodItems!$C:$C))</f>
        <v/>
      </c>
      <c r="H378">
        <f>IF(E378="";"";E378/100*XLOOKUP(XLOOKUP(C378;Portions!$A:$A;Portions!$B:$B);FoodItems!$A:$A;FoodItems!$D:$D))</f>
        <v/>
      </c>
      <c r="I378">
        <f>IF(E378="";"";E378/100*XLOOKUP(XLOOKUP(C378;Portions!$A:$A;Portions!$B:$B);FoodItems!$A:$A;FoodItems!$E:$E))</f>
        <v/>
      </c>
    </row>
    <row r="379">
      <c r="E379">
        <f>IF(C379="";"";D379*XLOOKUP(C379;Portions!$A:$A;Portions!$D:$D))</f>
        <v/>
      </c>
      <c r="F379">
        <f>IF(E379="";"";E379/100*XLOOKUP(XLOOKUP(C379;Portions!$A:$A;Portions!$B:$B);FoodItems!$A:$A;FoodItems!$B:$B))</f>
        <v/>
      </c>
      <c r="G379">
        <f>IF(E379="";"";E379/100*XLOOKUP(XLOOKUP(C379;Portions!$A:$A;Portions!$B:$B);FoodItems!$A:$A;FoodItems!$C:$C))</f>
        <v/>
      </c>
      <c r="H379">
        <f>IF(E379="";"";E379/100*XLOOKUP(XLOOKUP(C379;Portions!$A:$A;Portions!$B:$B);FoodItems!$A:$A;FoodItems!$D:$D))</f>
        <v/>
      </c>
      <c r="I379">
        <f>IF(E379="";"";E379/100*XLOOKUP(XLOOKUP(C379;Portions!$A:$A;Portions!$B:$B);FoodItems!$A:$A;FoodItems!$E:$E))</f>
        <v/>
      </c>
    </row>
    <row r="380">
      <c r="E380">
        <f>IF(C380="";"";D380*XLOOKUP(C380;Portions!$A:$A;Portions!$D:$D))</f>
        <v/>
      </c>
      <c r="F380">
        <f>IF(E380="";"";E380/100*XLOOKUP(XLOOKUP(C380;Portions!$A:$A;Portions!$B:$B);FoodItems!$A:$A;FoodItems!$B:$B))</f>
        <v/>
      </c>
      <c r="G380">
        <f>IF(E380="";"";E380/100*XLOOKUP(XLOOKUP(C380;Portions!$A:$A;Portions!$B:$B);FoodItems!$A:$A;FoodItems!$C:$C))</f>
        <v/>
      </c>
      <c r="H380">
        <f>IF(E380="";"";E380/100*XLOOKUP(XLOOKUP(C380;Portions!$A:$A;Portions!$B:$B);FoodItems!$A:$A;FoodItems!$D:$D))</f>
        <v/>
      </c>
      <c r="I380">
        <f>IF(E380="";"";E380/100*XLOOKUP(XLOOKUP(C380;Portions!$A:$A;Portions!$B:$B);FoodItems!$A:$A;FoodItems!$E:$E))</f>
        <v/>
      </c>
    </row>
    <row r="381">
      <c r="E381">
        <f>IF(C381="";"";D381*XLOOKUP(C381;Portions!$A:$A;Portions!$D:$D))</f>
        <v/>
      </c>
      <c r="F381">
        <f>IF(E381="";"";E381/100*XLOOKUP(XLOOKUP(C381;Portions!$A:$A;Portions!$B:$B);FoodItems!$A:$A;FoodItems!$B:$B))</f>
        <v/>
      </c>
      <c r="G381">
        <f>IF(E381="";"";E381/100*XLOOKUP(XLOOKUP(C381;Portions!$A:$A;Portions!$B:$B);FoodItems!$A:$A;FoodItems!$C:$C))</f>
        <v/>
      </c>
      <c r="H381">
        <f>IF(E381="";"";E381/100*XLOOKUP(XLOOKUP(C381;Portions!$A:$A;Portions!$B:$B);FoodItems!$A:$A;FoodItems!$D:$D))</f>
        <v/>
      </c>
      <c r="I381">
        <f>IF(E381="";"";E381/100*XLOOKUP(XLOOKUP(C381;Portions!$A:$A;Portions!$B:$B);FoodItems!$A:$A;FoodItems!$E:$E))</f>
        <v/>
      </c>
    </row>
    <row r="382">
      <c r="E382">
        <f>IF(C382="";"";D382*XLOOKUP(C382;Portions!$A:$A;Portions!$D:$D))</f>
        <v/>
      </c>
      <c r="F382">
        <f>IF(E382="";"";E382/100*XLOOKUP(XLOOKUP(C382;Portions!$A:$A;Portions!$B:$B);FoodItems!$A:$A;FoodItems!$B:$B))</f>
        <v/>
      </c>
      <c r="G382">
        <f>IF(E382="";"";E382/100*XLOOKUP(XLOOKUP(C382;Portions!$A:$A;Portions!$B:$B);FoodItems!$A:$A;FoodItems!$C:$C))</f>
        <v/>
      </c>
      <c r="H382">
        <f>IF(E382="";"";E382/100*XLOOKUP(XLOOKUP(C382;Portions!$A:$A;Portions!$B:$B);FoodItems!$A:$A;FoodItems!$D:$D))</f>
        <v/>
      </c>
      <c r="I382">
        <f>IF(E382="";"";E382/100*XLOOKUP(XLOOKUP(C382;Portions!$A:$A;Portions!$B:$B);FoodItems!$A:$A;FoodItems!$E:$E))</f>
        <v/>
      </c>
    </row>
    <row r="383">
      <c r="E383">
        <f>IF(C383="";"";D383*XLOOKUP(C383;Portions!$A:$A;Portions!$D:$D))</f>
        <v/>
      </c>
      <c r="F383">
        <f>IF(E383="";"";E383/100*XLOOKUP(XLOOKUP(C383;Portions!$A:$A;Portions!$B:$B);FoodItems!$A:$A;FoodItems!$B:$B))</f>
        <v/>
      </c>
      <c r="G383">
        <f>IF(E383="";"";E383/100*XLOOKUP(XLOOKUP(C383;Portions!$A:$A;Portions!$B:$B);FoodItems!$A:$A;FoodItems!$C:$C))</f>
        <v/>
      </c>
      <c r="H383">
        <f>IF(E383="";"";E383/100*XLOOKUP(XLOOKUP(C383;Portions!$A:$A;Portions!$B:$B);FoodItems!$A:$A;FoodItems!$D:$D))</f>
        <v/>
      </c>
      <c r="I383">
        <f>IF(E383="";"";E383/100*XLOOKUP(XLOOKUP(C383;Portions!$A:$A;Portions!$B:$B);FoodItems!$A:$A;FoodItems!$E:$E))</f>
        <v/>
      </c>
    </row>
    <row r="384">
      <c r="E384">
        <f>IF(C384="";"";D384*XLOOKUP(C384;Portions!$A:$A;Portions!$D:$D))</f>
        <v/>
      </c>
      <c r="F384">
        <f>IF(E384="";"";E384/100*XLOOKUP(XLOOKUP(C384;Portions!$A:$A;Portions!$B:$B);FoodItems!$A:$A;FoodItems!$B:$B))</f>
        <v/>
      </c>
      <c r="G384">
        <f>IF(E384="";"";E384/100*XLOOKUP(XLOOKUP(C384;Portions!$A:$A;Portions!$B:$B);FoodItems!$A:$A;FoodItems!$C:$C))</f>
        <v/>
      </c>
      <c r="H384">
        <f>IF(E384="";"";E384/100*XLOOKUP(XLOOKUP(C384;Portions!$A:$A;Portions!$B:$B);FoodItems!$A:$A;FoodItems!$D:$D))</f>
        <v/>
      </c>
      <c r="I384">
        <f>IF(E384="";"";E384/100*XLOOKUP(XLOOKUP(C384;Portions!$A:$A;Portions!$B:$B);FoodItems!$A:$A;FoodItems!$E:$E))</f>
        <v/>
      </c>
    </row>
    <row r="385">
      <c r="E385">
        <f>IF(C385="";"";D385*XLOOKUP(C385;Portions!$A:$A;Portions!$D:$D))</f>
        <v/>
      </c>
      <c r="F385">
        <f>IF(E385="";"";E385/100*XLOOKUP(XLOOKUP(C385;Portions!$A:$A;Portions!$B:$B);FoodItems!$A:$A;FoodItems!$B:$B))</f>
        <v/>
      </c>
      <c r="G385">
        <f>IF(E385="";"";E385/100*XLOOKUP(XLOOKUP(C385;Portions!$A:$A;Portions!$B:$B);FoodItems!$A:$A;FoodItems!$C:$C))</f>
        <v/>
      </c>
      <c r="H385">
        <f>IF(E385="";"";E385/100*XLOOKUP(XLOOKUP(C385;Portions!$A:$A;Portions!$B:$B);FoodItems!$A:$A;FoodItems!$D:$D))</f>
        <v/>
      </c>
      <c r="I385">
        <f>IF(E385="";"";E385/100*XLOOKUP(XLOOKUP(C385;Portions!$A:$A;Portions!$B:$B);FoodItems!$A:$A;FoodItems!$E:$E))</f>
        <v/>
      </c>
    </row>
    <row r="386">
      <c r="E386">
        <f>IF(C386="";"";D386*XLOOKUP(C386;Portions!$A:$A;Portions!$D:$D))</f>
        <v/>
      </c>
      <c r="F386">
        <f>IF(E386="";"";E386/100*XLOOKUP(XLOOKUP(C386;Portions!$A:$A;Portions!$B:$B);FoodItems!$A:$A;FoodItems!$B:$B))</f>
        <v/>
      </c>
      <c r="G386">
        <f>IF(E386="";"";E386/100*XLOOKUP(XLOOKUP(C386;Portions!$A:$A;Portions!$B:$B);FoodItems!$A:$A;FoodItems!$C:$C))</f>
        <v/>
      </c>
      <c r="H386">
        <f>IF(E386="";"";E386/100*XLOOKUP(XLOOKUP(C386;Portions!$A:$A;Portions!$B:$B);FoodItems!$A:$A;FoodItems!$D:$D))</f>
        <v/>
      </c>
      <c r="I386">
        <f>IF(E386="";"";E386/100*XLOOKUP(XLOOKUP(C386;Portions!$A:$A;Portions!$B:$B);FoodItems!$A:$A;FoodItems!$E:$E))</f>
        <v/>
      </c>
    </row>
    <row r="387">
      <c r="E387">
        <f>IF(C387="";"";D387*XLOOKUP(C387;Portions!$A:$A;Portions!$D:$D))</f>
        <v/>
      </c>
      <c r="F387">
        <f>IF(E387="";"";E387/100*XLOOKUP(XLOOKUP(C387;Portions!$A:$A;Portions!$B:$B);FoodItems!$A:$A;FoodItems!$B:$B))</f>
        <v/>
      </c>
      <c r="G387">
        <f>IF(E387="";"";E387/100*XLOOKUP(XLOOKUP(C387;Portions!$A:$A;Portions!$B:$B);FoodItems!$A:$A;FoodItems!$C:$C))</f>
        <v/>
      </c>
      <c r="H387">
        <f>IF(E387="";"";E387/100*XLOOKUP(XLOOKUP(C387;Portions!$A:$A;Portions!$B:$B);FoodItems!$A:$A;FoodItems!$D:$D))</f>
        <v/>
      </c>
      <c r="I387">
        <f>IF(E387="";"";E387/100*XLOOKUP(XLOOKUP(C387;Portions!$A:$A;Portions!$B:$B);FoodItems!$A:$A;FoodItems!$E:$E))</f>
        <v/>
      </c>
    </row>
    <row r="388">
      <c r="E388">
        <f>IF(C388="";"";D388*XLOOKUP(C388;Portions!$A:$A;Portions!$D:$D))</f>
        <v/>
      </c>
      <c r="F388">
        <f>IF(E388="";"";E388/100*XLOOKUP(XLOOKUP(C388;Portions!$A:$A;Portions!$B:$B);FoodItems!$A:$A;FoodItems!$B:$B))</f>
        <v/>
      </c>
      <c r="G388">
        <f>IF(E388="";"";E388/100*XLOOKUP(XLOOKUP(C388;Portions!$A:$A;Portions!$B:$B);FoodItems!$A:$A;FoodItems!$C:$C))</f>
        <v/>
      </c>
      <c r="H388">
        <f>IF(E388="";"";E388/100*XLOOKUP(XLOOKUP(C388;Portions!$A:$A;Portions!$B:$B);FoodItems!$A:$A;FoodItems!$D:$D))</f>
        <v/>
      </c>
      <c r="I388">
        <f>IF(E388="";"";E388/100*XLOOKUP(XLOOKUP(C388;Portions!$A:$A;Portions!$B:$B);FoodItems!$A:$A;FoodItems!$E:$E))</f>
        <v/>
      </c>
    </row>
    <row r="389">
      <c r="E389">
        <f>IF(C389="";"";D389*XLOOKUP(C389;Portions!$A:$A;Portions!$D:$D))</f>
        <v/>
      </c>
      <c r="F389">
        <f>IF(E389="";"";E389/100*XLOOKUP(XLOOKUP(C389;Portions!$A:$A;Portions!$B:$B);FoodItems!$A:$A;FoodItems!$B:$B))</f>
        <v/>
      </c>
      <c r="G389">
        <f>IF(E389="";"";E389/100*XLOOKUP(XLOOKUP(C389;Portions!$A:$A;Portions!$B:$B);FoodItems!$A:$A;FoodItems!$C:$C))</f>
        <v/>
      </c>
      <c r="H389">
        <f>IF(E389="";"";E389/100*XLOOKUP(XLOOKUP(C389;Portions!$A:$A;Portions!$B:$B);FoodItems!$A:$A;FoodItems!$D:$D))</f>
        <v/>
      </c>
      <c r="I389">
        <f>IF(E389="";"";E389/100*XLOOKUP(XLOOKUP(C389;Portions!$A:$A;Portions!$B:$B);FoodItems!$A:$A;FoodItems!$E:$E))</f>
        <v/>
      </c>
    </row>
    <row r="390">
      <c r="E390">
        <f>IF(C390="";"";D390*XLOOKUP(C390;Portions!$A:$A;Portions!$D:$D))</f>
        <v/>
      </c>
      <c r="F390">
        <f>IF(E390="";"";E390/100*XLOOKUP(XLOOKUP(C390;Portions!$A:$A;Portions!$B:$B);FoodItems!$A:$A;FoodItems!$B:$B))</f>
        <v/>
      </c>
      <c r="G390">
        <f>IF(E390="";"";E390/100*XLOOKUP(XLOOKUP(C390;Portions!$A:$A;Portions!$B:$B);FoodItems!$A:$A;FoodItems!$C:$C))</f>
        <v/>
      </c>
      <c r="H390">
        <f>IF(E390="";"";E390/100*XLOOKUP(XLOOKUP(C390;Portions!$A:$A;Portions!$B:$B);FoodItems!$A:$A;FoodItems!$D:$D))</f>
        <v/>
      </c>
      <c r="I390">
        <f>IF(E390="";"";E390/100*XLOOKUP(XLOOKUP(C390;Portions!$A:$A;Portions!$B:$B);FoodItems!$A:$A;FoodItems!$E:$E))</f>
        <v/>
      </c>
    </row>
    <row r="391">
      <c r="E391">
        <f>IF(C391="";"";D391*XLOOKUP(C391;Portions!$A:$A;Portions!$D:$D))</f>
        <v/>
      </c>
      <c r="F391">
        <f>IF(E391="";"";E391/100*XLOOKUP(XLOOKUP(C391;Portions!$A:$A;Portions!$B:$B);FoodItems!$A:$A;FoodItems!$B:$B))</f>
        <v/>
      </c>
      <c r="G391">
        <f>IF(E391="";"";E391/100*XLOOKUP(XLOOKUP(C391;Portions!$A:$A;Portions!$B:$B);FoodItems!$A:$A;FoodItems!$C:$C))</f>
        <v/>
      </c>
      <c r="H391">
        <f>IF(E391="";"";E391/100*XLOOKUP(XLOOKUP(C391;Portions!$A:$A;Portions!$B:$B);FoodItems!$A:$A;FoodItems!$D:$D))</f>
        <v/>
      </c>
      <c r="I391">
        <f>IF(E391="";"";E391/100*XLOOKUP(XLOOKUP(C391;Portions!$A:$A;Portions!$B:$B);FoodItems!$A:$A;FoodItems!$E:$E))</f>
        <v/>
      </c>
    </row>
    <row r="392">
      <c r="E392">
        <f>IF(C392="";"";D392*XLOOKUP(C392;Portions!$A:$A;Portions!$D:$D))</f>
        <v/>
      </c>
      <c r="F392">
        <f>IF(E392="";"";E392/100*XLOOKUP(XLOOKUP(C392;Portions!$A:$A;Portions!$B:$B);FoodItems!$A:$A;FoodItems!$B:$B))</f>
        <v/>
      </c>
      <c r="G392">
        <f>IF(E392="";"";E392/100*XLOOKUP(XLOOKUP(C392;Portions!$A:$A;Portions!$B:$B);FoodItems!$A:$A;FoodItems!$C:$C))</f>
        <v/>
      </c>
      <c r="H392">
        <f>IF(E392="";"";E392/100*XLOOKUP(XLOOKUP(C392;Portions!$A:$A;Portions!$B:$B);FoodItems!$A:$A;FoodItems!$D:$D))</f>
        <v/>
      </c>
      <c r="I392">
        <f>IF(E392="";"";E392/100*XLOOKUP(XLOOKUP(C392;Portions!$A:$A;Portions!$B:$B);FoodItems!$A:$A;FoodItems!$E:$E))</f>
        <v/>
      </c>
    </row>
    <row r="393">
      <c r="E393">
        <f>IF(C393="";"";D393*XLOOKUP(C393;Portions!$A:$A;Portions!$D:$D))</f>
        <v/>
      </c>
      <c r="F393">
        <f>IF(E393="";"";E393/100*XLOOKUP(XLOOKUP(C393;Portions!$A:$A;Portions!$B:$B);FoodItems!$A:$A;FoodItems!$B:$B))</f>
        <v/>
      </c>
      <c r="G393">
        <f>IF(E393="";"";E393/100*XLOOKUP(XLOOKUP(C393;Portions!$A:$A;Portions!$B:$B);FoodItems!$A:$A;FoodItems!$C:$C))</f>
        <v/>
      </c>
      <c r="H393">
        <f>IF(E393="";"";E393/100*XLOOKUP(XLOOKUP(C393;Portions!$A:$A;Portions!$B:$B);FoodItems!$A:$A;FoodItems!$D:$D))</f>
        <v/>
      </c>
      <c r="I393">
        <f>IF(E393="";"";E393/100*XLOOKUP(XLOOKUP(C393;Portions!$A:$A;Portions!$B:$B);FoodItems!$A:$A;FoodItems!$E:$E))</f>
        <v/>
      </c>
    </row>
    <row r="394">
      <c r="E394">
        <f>IF(C394="";"";D394*XLOOKUP(C394;Portions!$A:$A;Portions!$D:$D))</f>
        <v/>
      </c>
      <c r="F394">
        <f>IF(E394="";"";E394/100*XLOOKUP(XLOOKUP(C394;Portions!$A:$A;Portions!$B:$B);FoodItems!$A:$A;FoodItems!$B:$B))</f>
        <v/>
      </c>
      <c r="G394">
        <f>IF(E394="";"";E394/100*XLOOKUP(XLOOKUP(C394;Portions!$A:$A;Portions!$B:$B);FoodItems!$A:$A;FoodItems!$C:$C))</f>
        <v/>
      </c>
      <c r="H394">
        <f>IF(E394="";"";E394/100*XLOOKUP(XLOOKUP(C394;Portions!$A:$A;Portions!$B:$B);FoodItems!$A:$A;FoodItems!$D:$D))</f>
        <v/>
      </c>
      <c r="I394">
        <f>IF(E394="";"";E394/100*XLOOKUP(XLOOKUP(C394;Portions!$A:$A;Portions!$B:$B);FoodItems!$A:$A;FoodItems!$E:$E))</f>
        <v/>
      </c>
    </row>
    <row r="395">
      <c r="E395">
        <f>IF(C395="";"";D395*XLOOKUP(C395;Portions!$A:$A;Portions!$D:$D))</f>
        <v/>
      </c>
      <c r="F395">
        <f>IF(E395="";"";E395/100*XLOOKUP(XLOOKUP(C395;Portions!$A:$A;Portions!$B:$B);FoodItems!$A:$A;FoodItems!$B:$B))</f>
        <v/>
      </c>
      <c r="G395">
        <f>IF(E395="";"";E395/100*XLOOKUP(XLOOKUP(C395;Portions!$A:$A;Portions!$B:$B);FoodItems!$A:$A;FoodItems!$C:$C))</f>
        <v/>
      </c>
      <c r="H395">
        <f>IF(E395="";"";E395/100*XLOOKUP(XLOOKUP(C395;Portions!$A:$A;Portions!$B:$B);FoodItems!$A:$A;FoodItems!$D:$D))</f>
        <v/>
      </c>
      <c r="I395">
        <f>IF(E395="";"";E395/100*XLOOKUP(XLOOKUP(C395;Portions!$A:$A;Portions!$B:$B);FoodItems!$A:$A;FoodItems!$E:$E))</f>
        <v/>
      </c>
    </row>
    <row r="396">
      <c r="E396">
        <f>IF(C396="";"";D396*XLOOKUP(C396;Portions!$A:$A;Portions!$D:$D))</f>
        <v/>
      </c>
      <c r="F396">
        <f>IF(E396="";"";E396/100*XLOOKUP(XLOOKUP(C396;Portions!$A:$A;Portions!$B:$B);FoodItems!$A:$A;FoodItems!$B:$B))</f>
        <v/>
      </c>
      <c r="G396">
        <f>IF(E396="";"";E396/100*XLOOKUP(XLOOKUP(C396;Portions!$A:$A;Portions!$B:$B);FoodItems!$A:$A;FoodItems!$C:$C))</f>
        <v/>
      </c>
      <c r="H396">
        <f>IF(E396="";"";E396/100*XLOOKUP(XLOOKUP(C396;Portions!$A:$A;Portions!$B:$B);FoodItems!$A:$A;FoodItems!$D:$D))</f>
        <v/>
      </c>
      <c r="I396">
        <f>IF(E396="";"";E396/100*XLOOKUP(XLOOKUP(C396;Portions!$A:$A;Portions!$B:$B);FoodItems!$A:$A;FoodItems!$E:$E))</f>
        <v/>
      </c>
    </row>
    <row r="397">
      <c r="E397">
        <f>IF(C397="";"";D397*XLOOKUP(C397;Portions!$A:$A;Portions!$D:$D))</f>
        <v/>
      </c>
      <c r="F397">
        <f>IF(E397="";"";E397/100*XLOOKUP(XLOOKUP(C397;Portions!$A:$A;Portions!$B:$B);FoodItems!$A:$A;FoodItems!$B:$B))</f>
        <v/>
      </c>
      <c r="G397">
        <f>IF(E397="";"";E397/100*XLOOKUP(XLOOKUP(C397;Portions!$A:$A;Portions!$B:$B);FoodItems!$A:$A;FoodItems!$C:$C))</f>
        <v/>
      </c>
      <c r="H397">
        <f>IF(E397="";"";E397/100*XLOOKUP(XLOOKUP(C397;Portions!$A:$A;Portions!$B:$B);FoodItems!$A:$A;FoodItems!$D:$D))</f>
        <v/>
      </c>
      <c r="I397">
        <f>IF(E397="";"";E397/100*XLOOKUP(XLOOKUP(C397;Portions!$A:$A;Portions!$B:$B);FoodItems!$A:$A;FoodItems!$E:$E))</f>
        <v/>
      </c>
    </row>
    <row r="398">
      <c r="E398">
        <f>IF(C398="";"";D398*XLOOKUP(C398;Portions!$A:$A;Portions!$D:$D))</f>
        <v/>
      </c>
      <c r="F398">
        <f>IF(E398="";"";E398/100*XLOOKUP(XLOOKUP(C398;Portions!$A:$A;Portions!$B:$B);FoodItems!$A:$A;FoodItems!$B:$B))</f>
        <v/>
      </c>
      <c r="G398">
        <f>IF(E398="";"";E398/100*XLOOKUP(XLOOKUP(C398;Portions!$A:$A;Portions!$B:$B);FoodItems!$A:$A;FoodItems!$C:$C))</f>
        <v/>
      </c>
      <c r="H398">
        <f>IF(E398="";"";E398/100*XLOOKUP(XLOOKUP(C398;Portions!$A:$A;Portions!$B:$B);FoodItems!$A:$A;FoodItems!$D:$D))</f>
        <v/>
      </c>
      <c r="I398">
        <f>IF(E398="";"";E398/100*XLOOKUP(XLOOKUP(C398;Portions!$A:$A;Portions!$B:$B);FoodItems!$A:$A;FoodItems!$E:$E))</f>
        <v/>
      </c>
    </row>
    <row r="399">
      <c r="E399">
        <f>IF(C399="";"";D399*XLOOKUP(C399;Portions!$A:$A;Portions!$D:$D))</f>
        <v/>
      </c>
      <c r="F399">
        <f>IF(E399="";"";E399/100*XLOOKUP(XLOOKUP(C399;Portions!$A:$A;Portions!$B:$B);FoodItems!$A:$A;FoodItems!$B:$B))</f>
        <v/>
      </c>
      <c r="G399">
        <f>IF(E399="";"";E399/100*XLOOKUP(XLOOKUP(C399;Portions!$A:$A;Portions!$B:$B);FoodItems!$A:$A;FoodItems!$C:$C))</f>
        <v/>
      </c>
      <c r="H399">
        <f>IF(E399="";"";E399/100*XLOOKUP(XLOOKUP(C399;Portions!$A:$A;Portions!$B:$B);FoodItems!$A:$A;FoodItems!$D:$D))</f>
        <v/>
      </c>
      <c r="I399">
        <f>IF(E399="";"";E399/100*XLOOKUP(XLOOKUP(C399;Portions!$A:$A;Portions!$B:$B);FoodItems!$A:$A;FoodItems!$E:$E))</f>
        <v/>
      </c>
    </row>
    <row r="400">
      <c r="E400">
        <f>IF(C400="";"";D400*XLOOKUP(C400;Portions!$A:$A;Portions!$D:$D))</f>
        <v/>
      </c>
      <c r="F400">
        <f>IF(E400="";"";E400/100*XLOOKUP(XLOOKUP(C400;Portions!$A:$A;Portions!$B:$B);FoodItems!$A:$A;FoodItems!$B:$B))</f>
        <v/>
      </c>
      <c r="G400">
        <f>IF(E400="";"";E400/100*XLOOKUP(XLOOKUP(C400;Portions!$A:$A;Portions!$B:$B);FoodItems!$A:$A;FoodItems!$C:$C))</f>
        <v/>
      </c>
      <c r="H400">
        <f>IF(E400="";"";E400/100*XLOOKUP(XLOOKUP(C400;Portions!$A:$A;Portions!$B:$B);FoodItems!$A:$A;FoodItems!$D:$D))</f>
        <v/>
      </c>
      <c r="I400">
        <f>IF(E400="";"";E400/100*XLOOKUP(XLOOKUP(C400;Portions!$A:$A;Portions!$B:$B);FoodItems!$A:$A;FoodItems!$E:$E))</f>
        <v/>
      </c>
    </row>
    <row r="401">
      <c r="E401">
        <f>IF(C401="";"";D401*XLOOKUP(C401;Portions!$A:$A;Portions!$D:$D))</f>
        <v/>
      </c>
      <c r="F401">
        <f>IF(E401="";"";E401/100*XLOOKUP(XLOOKUP(C401;Portions!$A:$A;Portions!$B:$B);FoodItems!$A:$A;FoodItems!$B:$B))</f>
        <v/>
      </c>
      <c r="G401">
        <f>IF(E401="";"";E401/100*XLOOKUP(XLOOKUP(C401;Portions!$A:$A;Portions!$B:$B);FoodItems!$A:$A;FoodItems!$C:$C))</f>
        <v/>
      </c>
      <c r="H401">
        <f>IF(E401="";"";E401/100*XLOOKUP(XLOOKUP(C401;Portions!$A:$A;Portions!$B:$B);FoodItems!$A:$A;FoodItems!$D:$D))</f>
        <v/>
      </c>
      <c r="I401">
        <f>IF(E401="";"";E401/100*XLOOKUP(XLOOKUP(C401;Portions!$A:$A;Portions!$B:$B);FoodItems!$A:$A;FoodItems!$E:$E))</f>
        <v/>
      </c>
    </row>
    <row r="402">
      <c r="E402">
        <f>IF(C402="";"";D402*XLOOKUP(C402;Portions!$A:$A;Portions!$D:$D))</f>
        <v/>
      </c>
      <c r="F402">
        <f>IF(E402="";"";E402/100*XLOOKUP(XLOOKUP(C402;Portions!$A:$A;Portions!$B:$B);FoodItems!$A:$A;FoodItems!$B:$B))</f>
        <v/>
      </c>
      <c r="G402">
        <f>IF(E402="";"";E402/100*XLOOKUP(XLOOKUP(C402;Portions!$A:$A;Portions!$B:$B);FoodItems!$A:$A;FoodItems!$C:$C))</f>
        <v/>
      </c>
      <c r="H402">
        <f>IF(E402="";"";E402/100*XLOOKUP(XLOOKUP(C402;Portions!$A:$A;Portions!$B:$B);FoodItems!$A:$A;FoodItems!$D:$D))</f>
        <v/>
      </c>
      <c r="I402">
        <f>IF(E402="";"";E402/100*XLOOKUP(XLOOKUP(C402;Portions!$A:$A;Portions!$B:$B);FoodItems!$A:$A;FoodItems!$E:$E))</f>
        <v/>
      </c>
    </row>
    <row r="403">
      <c r="E403">
        <f>IF(C403="";"";D403*XLOOKUP(C403;Portions!$A:$A;Portions!$D:$D))</f>
        <v/>
      </c>
      <c r="F403">
        <f>IF(E403="";"";E403/100*XLOOKUP(XLOOKUP(C403;Portions!$A:$A;Portions!$B:$B);FoodItems!$A:$A;FoodItems!$B:$B))</f>
        <v/>
      </c>
      <c r="G403">
        <f>IF(E403="";"";E403/100*XLOOKUP(XLOOKUP(C403;Portions!$A:$A;Portions!$B:$B);FoodItems!$A:$A;FoodItems!$C:$C))</f>
        <v/>
      </c>
      <c r="H403">
        <f>IF(E403="";"";E403/100*XLOOKUP(XLOOKUP(C403;Portions!$A:$A;Portions!$B:$B);FoodItems!$A:$A;FoodItems!$D:$D))</f>
        <v/>
      </c>
      <c r="I403">
        <f>IF(E403="";"";E403/100*XLOOKUP(XLOOKUP(C403;Portions!$A:$A;Portions!$B:$B);FoodItems!$A:$A;FoodItems!$E:$E))</f>
        <v/>
      </c>
    </row>
    <row r="404">
      <c r="E404">
        <f>IF(C404="";"";D404*XLOOKUP(C404;Portions!$A:$A;Portions!$D:$D))</f>
        <v/>
      </c>
      <c r="F404">
        <f>IF(E404="";"";E404/100*XLOOKUP(XLOOKUP(C404;Portions!$A:$A;Portions!$B:$B);FoodItems!$A:$A;FoodItems!$B:$B))</f>
        <v/>
      </c>
      <c r="G404">
        <f>IF(E404="";"";E404/100*XLOOKUP(XLOOKUP(C404;Portions!$A:$A;Portions!$B:$B);FoodItems!$A:$A;FoodItems!$C:$C))</f>
        <v/>
      </c>
      <c r="H404">
        <f>IF(E404="";"";E404/100*XLOOKUP(XLOOKUP(C404;Portions!$A:$A;Portions!$B:$B);FoodItems!$A:$A;FoodItems!$D:$D))</f>
        <v/>
      </c>
      <c r="I404">
        <f>IF(E404="";"";E404/100*XLOOKUP(XLOOKUP(C404;Portions!$A:$A;Portions!$B:$B);FoodItems!$A:$A;FoodItems!$E:$E))</f>
        <v/>
      </c>
    </row>
    <row r="405">
      <c r="E405">
        <f>IF(C405="";"";D405*XLOOKUP(C405;Portions!$A:$A;Portions!$D:$D))</f>
        <v/>
      </c>
      <c r="F405">
        <f>IF(E405="";"";E405/100*XLOOKUP(XLOOKUP(C405;Portions!$A:$A;Portions!$B:$B);FoodItems!$A:$A;FoodItems!$B:$B))</f>
        <v/>
      </c>
      <c r="G405">
        <f>IF(E405="";"";E405/100*XLOOKUP(XLOOKUP(C405;Portions!$A:$A;Portions!$B:$B);FoodItems!$A:$A;FoodItems!$C:$C))</f>
        <v/>
      </c>
      <c r="H405">
        <f>IF(E405="";"";E405/100*XLOOKUP(XLOOKUP(C405;Portions!$A:$A;Portions!$B:$B);FoodItems!$A:$A;FoodItems!$D:$D))</f>
        <v/>
      </c>
      <c r="I405">
        <f>IF(E405="";"";E405/100*XLOOKUP(XLOOKUP(C405;Portions!$A:$A;Portions!$B:$B);FoodItems!$A:$A;FoodItems!$E:$E))</f>
        <v/>
      </c>
    </row>
    <row r="406">
      <c r="E406">
        <f>IF(C406="";"";D406*XLOOKUP(C406;Portions!$A:$A;Portions!$D:$D))</f>
        <v/>
      </c>
      <c r="F406">
        <f>IF(E406="";"";E406/100*XLOOKUP(XLOOKUP(C406;Portions!$A:$A;Portions!$B:$B);FoodItems!$A:$A;FoodItems!$B:$B))</f>
        <v/>
      </c>
      <c r="G406">
        <f>IF(E406="";"";E406/100*XLOOKUP(XLOOKUP(C406;Portions!$A:$A;Portions!$B:$B);FoodItems!$A:$A;FoodItems!$C:$C))</f>
        <v/>
      </c>
      <c r="H406">
        <f>IF(E406="";"";E406/100*XLOOKUP(XLOOKUP(C406;Portions!$A:$A;Portions!$B:$B);FoodItems!$A:$A;FoodItems!$D:$D))</f>
        <v/>
      </c>
      <c r="I406">
        <f>IF(E406="";"";E406/100*XLOOKUP(XLOOKUP(C406;Portions!$A:$A;Portions!$B:$B);FoodItems!$A:$A;FoodItems!$E:$E))</f>
        <v/>
      </c>
    </row>
    <row r="407">
      <c r="E407">
        <f>IF(C407="";"";D407*XLOOKUP(C407;Portions!$A:$A;Portions!$D:$D))</f>
        <v/>
      </c>
      <c r="F407">
        <f>IF(E407="";"";E407/100*XLOOKUP(XLOOKUP(C407;Portions!$A:$A;Portions!$B:$B);FoodItems!$A:$A;FoodItems!$B:$B))</f>
        <v/>
      </c>
      <c r="G407">
        <f>IF(E407="";"";E407/100*XLOOKUP(XLOOKUP(C407;Portions!$A:$A;Portions!$B:$B);FoodItems!$A:$A;FoodItems!$C:$C))</f>
        <v/>
      </c>
      <c r="H407">
        <f>IF(E407="";"";E407/100*XLOOKUP(XLOOKUP(C407;Portions!$A:$A;Portions!$B:$B);FoodItems!$A:$A;FoodItems!$D:$D))</f>
        <v/>
      </c>
      <c r="I407">
        <f>IF(E407="";"";E407/100*XLOOKUP(XLOOKUP(C407;Portions!$A:$A;Portions!$B:$B);FoodItems!$A:$A;FoodItems!$E:$E))</f>
        <v/>
      </c>
    </row>
    <row r="408">
      <c r="E408">
        <f>IF(C408="";"";D408*XLOOKUP(C408;Portions!$A:$A;Portions!$D:$D))</f>
        <v/>
      </c>
      <c r="F408">
        <f>IF(E408="";"";E408/100*XLOOKUP(XLOOKUP(C408;Portions!$A:$A;Portions!$B:$B);FoodItems!$A:$A;FoodItems!$B:$B))</f>
        <v/>
      </c>
      <c r="G408">
        <f>IF(E408="";"";E408/100*XLOOKUP(XLOOKUP(C408;Portions!$A:$A;Portions!$B:$B);FoodItems!$A:$A;FoodItems!$C:$C))</f>
        <v/>
      </c>
      <c r="H408">
        <f>IF(E408="";"";E408/100*XLOOKUP(XLOOKUP(C408;Portions!$A:$A;Portions!$B:$B);FoodItems!$A:$A;FoodItems!$D:$D))</f>
        <v/>
      </c>
      <c r="I408">
        <f>IF(E408="";"";E408/100*XLOOKUP(XLOOKUP(C408;Portions!$A:$A;Portions!$B:$B);FoodItems!$A:$A;FoodItems!$E:$E))</f>
        <v/>
      </c>
    </row>
    <row r="409">
      <c r="E409">
        <f>IF(C409="";"";D409*XLOOKUP(C409;Portions!$A:$A;Portions!$D:$D))</f>
        <v/>
      </c>
      <c r="F409">
        <f>IF(E409="";"";E409/100*XLOOKUP(XLOOKUP(C409;Portions!$A:$A;Portions!$B:$B);FoodItems!$A:$A;FoodItems!$B:$B))</f>
        <v/>
      </c>
      <c r="G409">
        <f>IF(E409="";"";E409/100*XLOOKUP(XLOOKUP(C409;Portions!$A:$A;Portions!$B:$B);FoodItems!$A:$A;FoodItems!$C:$C))</f>
        <v/>
      </c>
      <c r="H409">
        <f>IF(E409="";"";E409/100*XLOOKUP(XLOOKUP(C409;Portions!$A:$A;Portions!$B:$B);FoodItems!$A:$A;FoodItems!$D:$D))</f>
        <v/>
      </c>
      <c r="I409">
        <f>IF(E409="";"";E409/100*XLOOKUP(XLOOKUP(C409;Portions!$A:$A;Portions!$B:$B);FoodItems!$A:$A;FoodItems!$E:$E))</f>
        <v/>
      </c>
    </row>
    <row r="410">
      <c r="E410">
        <f>IF(C410="";"";D410*XLOOKUP(C410;Portions!$A:$A;Portions!$D:$D))</f>
        <v/>
      </c>
      <c r="F410">
        <f>IF(E410="";"";E410/100*XLOOKUP(XLOOKUP(C410;Portions!$A:$A;Portions!$B:$B);FoodItems!$A:$A;FoodItems!$B:$B))</f>
        <v/>
      </c>
      <c r="G410">
        <f>IF(E410="";"";E410/100*XLOOKUP(XLOOKUP(C410;Portions!$A:$A;Portions!$B:$B);FoodItems!$A:$A;FoodItems!$C:$C))</f>
        <v/>
      </c>
      <c r="H410">
        <f>IF(E410="";"";E410/100*XLOOKUP(XLOOKUP(C410;Portions!$A:$A;Portions!$B:$B);FoodItems!$A:$A;FoodItems!$D:$D))</f>
        <v/>
      </c>
      <c r="I410">
        <f>IF(E410="";"";E410/100*XLOOKUP(XLOOKUP(C410;Portions!$A:$A;Portions!$B:$B);FoodItems!$A:$A;FoodItems!$E:$E))</f>
        <v/>
      </c>
    </row>
    <row r="411">
      <c r="E411">
        <f>IF(C411="";"";D411*XLOOKUP(C411;Portions!$A:$A;Portions!$D:$D))</f>
        <v/>
      </c>
      <c r="F411">
        <f>IF(E411="";"";E411/100*XLOOKUP(XLOOKUP(C411;Portions!$A:$A;Portions!$B:$B);FoodItems!$A:$A;FoodItems!$B:$B))</f>
        <v/>
      </c>
      <c r="G411">
        <f>IF(E411="";"";E411/100*XLOOKUP(XLOOKUP(C411;Portions!$A:$A;Portions!$B:$B);FoodItems!$A:$A;FoodItems!$C:$C))</f>
        <v/>
      </c>
      <c r="H411">
        <f>IF(E411="";"";E411/100*XLOOKUP(XLOOKUP(C411;Portions!$A:$A;Portions!$B:$B);FoodItems!$A:$A;FoodItems!$D:$D))</f>
        <v/>
      </c>
      <c r="I411">
        <f>IF(E411="";"";E411/100*XLOOKUP(XLOOKUP(C411;Portions!$A:$A;Portions!$B:$B);FoodItems!$A:$A;FoodItems!$E:$E))</f>
        <v/>
      </c>
    </row>
    <row r="412">
      <c r="E412">
        <f>IF(C412="";"";D412*XLOOKUP(C412;Portions!$A:$A;Portions!$D:$D))</f>
        <v/>
      </c>
      <c r="F412">
        <f>IF(E412="";"";E412/100*XLOOKUP(XLOOKUP(C412;Portions!$A:$A;Portions!$B:$B);FoodItems!$A:$A;FoodItems!$B:$B))</f>
        <v/>
      </c>
      <c r="G412">
        <f>IF(E412="";"";E412/100*XLOOKUP(XLOOKUP(C412;Portions!$A:$A;Portions!$B:$B);FoodItems!$A:$A;FoodItems!$C:$C))</f>
        <v/>
      </c>
      <c r="H412">
        <f>IF(E412="";"";E412/100*XLOOKUP(XLOOKUP(C412;Portions!$A:$A;Portions!$B:$B);FoodItems!$A:$A;FoodItems!$D:$D))</f>
        <v/>
      </c>
      <c r="I412">
        <f>IF(E412="";"";E412/100*XLOOKUP(XLOOKUP(C412;Portions!$A:$A;Portions!$B:$B);FoodItems!$A:$A;FoodItems!$E:$E))</f>
        <v/>
      </c>
    </row>
    <row r="413">
      <c r="E413">
        <f>IF(C413="";"";D413*XLOOKUP(C413;Portions!$A:$A;Portions!$D:$D))</f>
        <v/>
      </c>
      <c r="F413">
        <f>IF(E413="";"";E413/100*XLOOKUP(XLOOKUP(C413;Portions!$A:$A;Portions!$B:$B);FoodItems!$A:$A;FoodItems!$B:$B))</f>
        <v/>
      </c>
      <c r="G413">
        <f>IF(E413="";"";E413/100*XLOOKUP(XLOOKUP(C413;Portions!$A:$A;Portions!$B:$B);FoodItems!$A:$A;FoodItems!$C:$C))</f>
        <v/>
      </c>
      <c r="H413">
        <f>IF(E413="";"";E413/100*XLOOKUP(XLOOKUP(C413;Portions!$A:$A;Portions!$B:$B);FoodItems!$A:$A;FoodItems!$D:$D))</f>
        <v/>
      </c>
      <c r="I413">
        <f>IF(E413="";"";E413/100*XLOOKUP(XLOOKUP(C413;Portions!$A:$A;Portions!$B:$B);FoodItems!$A:$A;FoodItems!$E:$E))</f>
        <v/>
      </c>
    </row>
    <row r="414">
      <c r="E414">
        <f>IF(C414="";"";D414*XLOOKUP(C414;Portions!$A:$A;Portions!$D:$D))</f>
        <v/>
      </c>
      <c r="F414">
        <f>IF(E414="";"";E414/100*XLOOKUP(XLOOKUP(C414;Portions!$A:$A;Portions!$B:$B);FoodItems!$A:$A;FoodItems!$B:$B))</f>
        <v/>
      </c>
      <c r="G414">
        <f>IF(E414="";"";E414/100*XLOOKUP(XLOOKUP(C414;Portions!$A:$A;Portions!$B:$B);FoodItems!$A:$A;FoodItems!$C:$C))</f>
        <v/>
      </c>
      <c r="H414">
        <f>IF(E414="";"";E414/100*XLOOKUP(XLOOKUP(C414;Portions!$A:$A;Portions!$B:$B);FoodItems!$A:$A;FoodItems!$D:$D))</f>
        <v/>
      </c>
      <c r="I414">
        <f>IF(E414="";"";E414/100*XLOOKUP(XLOOKUP(C414;Portions!$A:$A;Portions!$B:$B);FoodItems!$A:$A;FoodItems!$E:$E))</f>
        <v/>
      </c>
    </row>
    <row r="415">
      <c r="E415">
        <f>IF(C415="";"";D415*XLOOKUP(C415;Portions!$A:$A;Portions!$D:$D))</f>
        <v/>
      </c>
      <c r="F415">
        <f>IF(E415="";"";E415/100*XLOOKUP(XLOOKUP(C415;Portions!$A:$A;Portions!$B:$B);FoodItems!$A:$A;FoodItems!$B:$B))</f>
        <v/>
      </c>
      <c r="G415">
        <f>IF(E415="";"";E415/100*XLOOKUP(XLOOKUP(C415;Portions!$A:$A;Portions!$B:$B);FoodItems!$A:$A;FoodItems!$C:$C))</f>
        <v/>
      </c>
      <c r="H415">
        <f>IF(E415="";"";E415/100*XLOOKUP(XLOOKUP(C415;Portions!$A:$A;Portions!$B:$B);FoodItems!$A:$A;FoodItems!$D:$D))</f>
        <v/>
      </c>
      <c r="I415">
        <f>IF(E415="";"";E415/100*XLOOKUP(XLOOKUP(C415;Portions!$A:$A;Portions!$B:$B);FoodItems!$A:$A;FoodItems!$E:$E))</f>
        <v/>
      </c>
    </row>
    <row r="416">
      <c r="E416">
        <f>IF(C416="";"";D416*XLOOKUP(C416;Portions!$A:$A;Portions!$D:$D))</f>
        <v/>
      </c>
      <c r="F416">
        <f>IF(E416="";"";E416/100*XLOOKUP(XLOOKUP(C416;Portions!$A:$A;Portions!$B:$B);FoodItems!$A:$A;FoodItems!$B:$B))</f>
        <v/>
      </c>
      <c r="G416">
        <f>IF(E416="";"";E416/100*XLOOKUP(XLOOKUP(C416;Portions!$A:$A;Portions!$B:$B);FoodItems!$A:$A;FoodItems!$C:$C))</f>
        <v/>
      </c>
      <c r="H416">
        <f>IF(E416="";"";E416/100*XLOOKUP(XLOOKUP(C416;Portions!$A:$A;Portions!$B:$B);FoodItems!$A:$A;FoodItems!$D:$D))</f>
        <v/>
      </c>
      <c r="I416">
        <f>IF(E416="";"";E416/100*XLOOKUP(XLOOKUP(C416;Portions!$A:$A;Portions!$B:$B);FoodItems!$A:$A;FoodItems!$E:$E))</f>
        <v/>
      </c>
    </row>
    <row r="417">
      <c r="E417">
        <f>IF(C417="";"";D417*XLOOKUP(C417;Portions!$A:$A;Portions!$D:$D))</f>
        <v/>
      </c>
      <c r="F417">
        <f>IF(E417="";"";E417/100*XLOOKUP(XLOOKUP(C417;Portions!$A:$A;Portions!$B:$B);FoodItems!$A:$A;FoodItems!$B:$B))</f>
        <v/>
      </c>
      <c r="G417">
        <f>IF(E417="";"";E417/100*XLOOKUP(XLOOKUP(C417;Portions!$A:$A;Portions!$B:$B);FoodItems!$A:$A;FoodItems!$C:$C))</f>
        <v/>
      </c>
      <c r="H417">
        <f>IF(E417="";"";E417/100*XLOOKUP(XLOOKUP(C417;Portions!$A:$A;Portions!$B:$B);FoodItems!$A:$A;FoodItems!$D:$D))</f>
        <v/>
      </c>
      <c r="I417">
        <f>IF(E417="";"";E417/100*XLOOKUP(XLOOKUP(C417;Portions!$A:$A;Portions!$B:$B);FoodItems!$A:$A;FoodItems!$E:$E))</f>
        <v/>
      </c>
    </row>
    <row r="418">
      <c r="E418">
        <f>IF(C418="";"";D418*XLOOKUP(C418;Portions!$A:$A;Portions!$D:$D))</f>
        <v/>
      </c>
      <c r="F418">
        <f>IF(E418="";"";E418/100*XLOOKUP(XLOOKUP(C418;Portions!$A:$A;Portions!$B:$B);FoodItems!$A:$A;FoodItems!$B:$B))</f>
        <v/>
      </c>
      <c r="G418">
        <f>IF(E418="";"";E418/100*XLOOKUP(XLOOKUP(C418;Portions!$A:$A;Portions!$B:$B);FoodItems!$A:$A;FoodItems!$C:$C))</f>
        <v/>
      </c>
      <c r="H418">
        <f>IF(E418="";"";E418/100*XLOOKUP(XLOOKUP(C418;Portions!$A:$A;Portions!$B:$B);FoodItems!$A:$A;FoodItems!$D:$D))</f>
        <v/>
      </c>
      <c r="I418">
        <f>IF(E418="";"";E418/100*XLOOKUP(XLOOKUP(C418;Portions!$A:$A;Portions!$B:$B);FoodItems!$A:$A;FoodItems!$E:$E))</f>
        <v/>
      </c>
    </row>
    <row r="419">
      <c r="E419">
        <f>IF(C419="";"";D419*XLOOKUP(C419;Portions!$A:$A;Portions!$D:$D))</f>
        <v/>
      </c>
      <c r="F419">
        <f>IF(E419="";"";E419/100*XLOOKUP(XLOOKUP(C419;Portions!$A:$A;Portions!$B:$B);FoodItems!$A:$A;FoodItems!$B:$B))</f>
        <v/>
      </c>
      <c r="G419">
        <f>IF(E419="";"";E419/100*XLOOKUP(XLOOKUP(C419;Portions!$A:$A;Portions!$B:$B);FoodItems!$A:$A;FoodItems!$C:$C))</f>
        <v/>
      </c>
      <c r="H419">
        <f>IF(E419="";"";E419/100*XLOOKUP(XLOOKUP(C419;Portions!$A:$A;Portions!$B:$B);FoodItems!$A:$A;FoodItems!$D:$D))</f>
        <v/>
      </c>
      <c r="I419">
        <f>IF(E419="";"";E419/100*XLOOKUP(XLOOKUP(C419;Portions!$A:$A;Portions!$B:$B);FoodItems!$A:$A;FoodItems!$E:$E))</f>
        <v/>
      </c>
    </row>
    <row r="420">
      <c r="E420">
        <f>IF(C420="";"";D420*XLOOKUP(C420;Portions!$A:$A;Portions!$D:$D))</f>
        <v/>
      </c>
      <c r="F420">
        <f>IF(E420="";"";E420/100*XLOOKUP(XLOOKUP(C420;Portions!$A:$A;Portions!$B:$B);FoodItems!$A:$A;FoodItems!$B:$B))</f>
        <v/>
      </c>
      <c r="G420">
        <f>IF(E420="";"";E420/100*XLOOKUP(XLOOKUP(C420;Portions!$A:$A;Portions!$B:$B);FoodItems!$A:$A;FoodItems!$C:$C))</f>
        <v/>
      </c>
      <c r="H420">
        <f>IF(E420="";"";E420/100*XLOOKUP(XLOOKUP(C420;Portions!$A:$A;Portions!$B:$B);FoodItems!$A:$A;FoodItems!$D:$D))</f>
        <v/>
      </c>
      <c r="I420">
        <f>IF(E420="";"";E420/100*XLOOKUP(XLOOKUP(C420;Portions!$A:$A;Portions!$B:$B);FoodItems!$A:$A;FoodItems!$E:$E))</f>
        <v/>
      </c>
    </row>
    <row r="421">
      <c r="E421">
        <f>IF(C421="";"";D421*XLOOKUP(C421;Portions!$A:$A;Portions!$D:$D))</f>
        <v/>
      </c>
      <c r="F421">
        <f>IF(E421="";"";E421/100*XLOOKUP(XLOOKUP(C421;Portions!$A:$A;Portions!$B:$B);FoodItems!$A:$A;FoodItems!$B:$B))</f>
        <v/>
      </c>
      <c r="G421">
        <f>IF(E421="";"";E421/100*XLOOKUP(XLOOKUP(C421;Portions!$A:$A;Portions!$B:$B);FoodItems!$A:$A;FoodItems!$C:$C))</f>
        <v/>
      </c>
      <c r="H421">
        <f>IF(E421="";"";E421/100*XLOOKUP(XLOOKUP(C421;Portions!$A:$A;Portions!$B:$B);FoodItems!$A:$A;FoodItems!$D:$D))</f>
        <v/>
      </c>
      <c r="I421">
        <f>IF(E421="";"";E421/100*XLOOKUP(XLOOKUP(C421;Portions!$A:$A;Portions!$B:$B);FoodItems!$A:$A;FoodItems!$E:$E))</f>
        <v/>
      </c>
    </row>
    <row r="422">
      <c r="E422">
        <f>IF(C422="";"";D422*XLOOKUP(C422;Portions!$A:$A;Portions!$D:$D))</f>
        <v/>
      </c>
      <c r="F422">
        <f>IF(E422="";"";E422/100*XLOOKUP(XLOOKUP(C422;Portions!$A:$A;Portions!$B:$B);FoodItems!$A:$A;FoodItems!$B:$B))</f>
        <v/>
      </c>
      <c r="G422">
        <f>IF(E422="";"";E422/100*XLOOKUP(XLOOKUP(C422;Portions!$A:$A;Portions!$B:$B);FoodItems!$A:$A;FoodItems!$C:$C))</f>
        <v/>
      </c>
      <c r="H422">
        <f>IF(E422="";"";E422/100*XLOOKUP(XLOOKUP(C422;Portions!$A:$A;Portions!$B:$B);FoodItems!$A:$A;FoodItems!$D:$D))</f>
        <v/>
      </c>
      <c r="I422">
        <f>IF(E422="";"";E422/100*XLOOKUP(XLOOKUP(C422;Portions!$A:$A;Portions!$B:$B);FoodItems!$A:$A;FoodItems!$E:$E))</f>
        <v/>
      </c>
    </row>
    <row r="423">
      <c r="E423">
        <f>IF(C423="";"";D423*XLOOKUP(C423;Portions!$A:$A;Portions!$D:$D))</f>
        <v/>
      </c>
      <c r="F423">
        <f>IF(E423="";"";E423/100*XLOOKUP(XLOOKUP(C423;Portions!$A:$A;Portions!$B:$B);FoodItems!$A:$A;FoodItems!$B:$B))</f>
        <v/>
      </c>
      <c r="G423">
        <f>IF(E423="";"";E423/100*XLOOKUP(XLOOKUP(C423;Portions!$A:$A;Portions!$B:$B);FoodItems!$A:$A;FoodItems!$C:$C))</f>
        <v/>
      </c>
      <c r="H423">
        <f>IF(E423="";"";E423/100*XLOOKUP(XLOOKUP(C423;Portions!$A:$A;Portions!$B:$B);FoodItems!$A:$A;FoodItems!$D:$D))</f>
        <v/>
      </c>
      <c r="I423">
        <f>IF(E423="";"";E423/100*XLOOKUP(XLOOKUP(C423;Portions!$A:$A;Portions!$B:$B);FoodItems!$A:$A;FoodItems!$E:$E))</f>
        <v/>
      </c>
    </row>
    <row r="424">
      <c r="E424">
        <f>IF(C424="";"";D424*XLOOKUP(C424;Portions!$A:$A;Portions!$D:$D))</f>
        <v/>
      </c>
      <c r="F424">
        <f>IF(E424="";"";E424/100*XLOOKUP(XLOOKUP(C424;Portions!$A:$A;Portions!$B:$B);FoodItems!$A:$A;FoodItems!$B:$B))</f>
        <v/>
      </c>
      <c r="G424">
        <f>IF(E424="";"";E424/100*XLOOKUP(XLOOKUP(C424;Portions!$A:$A;Portions!$B:$B);FoodItems!$A:$A;FoodItems!$C:$C))</f>
        <v/>
      </c>
      <c r="H424">
        <f>IF(E424="";"";E424/100*XLOOKUP(XLOOKUP(C424;Portions!$A:$A;Portions!$B:$B);FoodItems!$A:$A;FoodItems!$D:$D))</f>
        <v/>
      </c>
      <c r="I424">
        <f>IF(E424="";"";E424/100*XLOOKUP(XLOOKUP(C424;Portions!$A:$A;Portions!$B:$B);FoodItems!$A:$A;FoodItems!$E:$E))</f>
        <v/>
      </c>
    </row>
    <row r="425">
      <c r="E425">
        <f>IF(C425="";"";D425*XLOOKUP(C425;Portions!$A:$A;Portions!$D:$D))</f>
        <v/>
      </c>
      <c r="F425">
        <f>IF(E425="";"";E425/100*XLOOKUP(XLOOKUP(C425;Portions!$A:$A;Portions!$B:$B);FoodItems!$A:$A;FoodItems!$B:$B))</f>
        <v/>
      </c>
      <c r="G425">
        <f>IF(E425="";"";E425/100*XLOOKUP(XLOOKUP(C425;Portions!$A:$A;Portions!$B:$B);FoodItems!$A:$A;FoodItems!$C:$C))</f>
        <v/>
      </c>
      <c r="H425">
        <f>IF(E425="";"";E425/100*XLOOKUP(XLOOKUP(C425;Portions!$A:$A;Portions!$B:$B);FoodItems!$A:$A;FoodItems!$D:$D))</f>
        <v/>
      </c>
      <c r="I425">
        <f>IF(E425="";"";E425/100*XLOOKUP(XLOOKUP(C425;Portions!$A:$A;Portions!$B:$B);FoodItems!$A:$A;FoodItems!$E:$E))</f>
        <v/>
      </c>
    </row>
    <row r="426">
      <c r="E426">
        <f>IF(C426="";"";D426*XLOOKUP(C426;Portions!$A:$A;Portions!$D:$D))</f>
        <v/>
      </c>
      <c r="F426">
        <f>IF(E426="";"";E426/100*XLOOKUP(XLOOKUP(C426;Portions!$A:$A;Portions!$B:$B);FoodItems!$A:$A;FoodItems!$B:$B))</f>
        <v/>
      </c>
      <c r="G426">
        <f>IF(E426="";"";E426/100*XLOOKUP(XLOOKUP(C426;Portions!$A:$A;Portions!$B:$B);FoodItems!$A:$A;FoodItems!$C:$C))</f>
        <v/>
      </c>
      <c r="H426">
        <f>IF(E426="";"";E426/100*XLOOKUP(XLOOKUP(C426;Portions!$A:$A;Portions!$B:$B);FoodItems!$A:$A;FoodItems!$D:$D))</f>
        <v/>
      </c>
      <c r="I426">
        <f>IF(E426="";"";E426/100*XLOOKUP(XLOOKUP(C426;Portions!$A:$A;Portions!$B:$B);FoodItems!$A:$A;FoodItems!$E:$E))</f>
        <v/>
      </c>
    </row>
    <row r="427">
      <c r="E427">
        <f>IF(C427="";"";D427*XLOOKUP(C427;Portions!$A:$A;Portions!$D:$D))</f>
        <v/>
      </c>
      <c r="F427">
        <f>IF(E427="";"";E427/100*XLOOKUP(XLOOKUP(C427;Portions!$A:$A;Portions!$B:$B);FoodItems!$A:$A;FoodItems!$B:$B))</f>
        <v/>
      </c>
      <c r="G427">
        <f>IF(E427="";"";E427/100*XLOOKUP(XLOOKUP(C427;Portions!$A:$A;Portions!$B:$B);FoodItems!$A:$A;FoodItems!$C:$C))</f>
        <v/>
      </c>
      <c r="H427">
        <f>IF(E427="";"";E427/100*XLOOKUP(XLOOKUP(C427;Portions!$A:$A;Portions!$B:$B);FoodItems!$A:$A;FoodItems!$D:$D))</f>
        <v/>
      </c>
      <c r="I427">
        <f>IF(E427="";"";E427/100*XLOOKUP(XLOOKUP(C427;Portions!$A:$A;Portions!$B:$B);FoodItems!$A:$A;FoodItems!$E:$E))</f>
        <v/>
      </c>
    </row>
    <row r="428">
      <c r="E428">
        <f>IF(C428="";"";D428*XLOOKUP(C428;Portions!$A:$A;Portions!$D:$D))</f>
        <v/>
      </c>
      <c r="F428">
        <f>IF(E428="";"";E428/100*XLOOKUP(XLOOKUP(C428;Portions!$A:$A;Portions!$B:$B);FoodItems!$A:$A;FoodItems!$B:$B))</f>
        <v/>
      </c>
      <c r="G428">
        <f>IF(E428="";"";E428/100*XLOOKUP(XLOOKUP(C428;Portions!$A:$A;Portions!$B:$B);FoodItems!$A:$A;FoodItems!$C:$C))</f>
        <v/>
      </c>
      <c r="H428">
        <f>IF(E428="";"";E428/100*XLOOKUP(XLOOKUP(C428;Portions!$A:$A;Portions!$B:$B);FoodItems!$A:$A;FoodItems!$D:$D))</f>
        <v/>
      </c>
      <c r="I428">
        <f>IF(E428="";"";E428/100*XLOOKUP(XLOOKUP(C428;Portions!$A:$A;Portions!$B:$B);FoodItems!$A:$A;FoodItems!$E:$E))</f>
        <v/>
      </c>
    </row>
    <row r="429">
      <c r="E429">
        <f>IF(C429="";"";D429*XLOOKUP(C429;Portions!$A:$A;Portions!$D:$D))</f>
        <v/>
      </c>
      <c r="F429">
        <f>IF(E429="";"";E429/100*XLOOKUP(XLOOKUP(C429;Portions!$A:$A;Portions!$B:$B);FoodItems!$A:$A;FoodItems!$B:$B))</f>
        <v/>
      </c>
      <c r="G429">
        <f>IF(E429="";"";E429/100*XLOOKUP(XLOOKUP(C429;Portions!$A:$A;Portions!$B:$B);FoodItems!$A:$A;FoodItems!$C:$C))</f>
        <v/>
      </c>
      <c r="H429">
        <f>IF(E429="";"";E429/100*XLOOKUP(XLOOKUP(C429;Portions!$A:$A;Portions!$B:$B);FoodItems!$A:$A;FoodItems!$D:$D))</f>
        <v/>
      </c>
      <c r="I429">
        <f>IF(E429="";"";E429/100*XLOOKUP(XLOOKUP(C429;Portions!$A:$A;Portions!$B:$B);FoodItems!$A:$A;FoodItems!$E:$E))</f>
        <v/>
      </c>
    </row>
    <row r="430">
      <c r="E430">
        <f>IF(C430="";"";D430*XLOOKUP(C430;Portions!$A:$A;Portions!$D:$D))</f>
        <v/>
      </c>
      <c r="F430">
        <f>IF(E430="";"";E430/100*XLOOKUP(XLOOKUP(C430;Portions!$A:$A;Portions!$B:$B);FoodItems!$A:$A;FoodItems!$B:$B))</f>
        <v/>
      </c>
      <c r="G430">
        <f>IF(E430="";"";E430/100*XLOOKUP(XLOOKUP(C430;Portions!$A:$A;Portions!$B:$B);FoodItems!$A:$A;FoodItems!$C:$C))</f>
        <v/>
      </c>
      <c r="H430">
        <f>IF(E430="";"";E430/100*XLOOKUP(XLOOKUP(C430;Portions!$A:$A;Portions!$B:$B);FoodItems!$A:$A;FoodItems!$D:$D))</f>
        <v/>
      </c>
      <c r="I430">
        <f>IF(E430="";"";E430/100*XLOOKUP(XLOOKUP(C430;Portions!$A:$A;Portions!$B:$B);FoodItems!$A:$A;FoodItems!$E:$E))</f>
        <v/>
      </c>
    </row>
    <row r="431">
      <c r="E431">
        <f>IF(C431="";"";D431*XLOOKUP(C431;Portions!$A:$A;Portions!$D:$D))</f>
        <v/>
      </c>
      <c r="F431">
        <f>IF(E431="";"";E431/100*XLOOKUP(XLOOKUP(C431;Portions!$A:$A;Portions!$B:$B);FoodItems!$A:$A;FoodItems!$B:$B))</f>
        <v/>
      </c>
      <c r="G431">
        <f>IF(E431="";"";E431/100*XLOOKUP(XLOOKUP(C431;Portions!$A:$A;Portions!$B:$B);FoodItems!$A:$A;FoodItems!$C:$C))</f>
        <v/>
      </c>
      <c r="H431">
        <f>IF(E431="";"";E431/100*XLOOKUP(XLOOKUP(C431;Portions!$A:$A;Portions!$B:$B);FoodItems!$A:$A;FoodItems!$D:$D))</f>
        <v/>
      </c>
      <c r="I431">
        <f>IF(E431="";"";E431/100*XLOOKUP(XLOOKUP(C431;Portions!$A:$A;Portions!$B:$B);FoodItems!$A:$A;FoodItems!$E:$E))</f>
        <v/>
      </c>
    </row>
    <row r="432">
      <c r="E432">
        <f>IF(C432="";"";D432*XLOOKUP(C432;Portions!$A:$A;Portions!$D:$D))</f>
        <v/>
      </c>
      <c r="F432">
        <f>IF(E432="";"";E432/100*XLOOKUP(XLOOKUP(C432;Portions!$A:$A;Portions!$B:$B);FoodItems!$A:$A;FoodItems!$B:$B))</f>
        <v/>
      </c>
      <c r="G432">
        <f>IF(E432="";"";E432/100*XLOOKUP(XLOOKUP(C432;Portions!$A:$A;Portions!$B:$B);FoodItems!$A:$A;FoodItems!$C:$C))</f>
        <v/>
      </c>
      <c r="H432">
        <f>IF(E432="";"";E432/100*XLOOKUP(XLOOKUP(C432;Portions!$A:$A;Portions!$B:$B);FoodItems!$A:$A;FoodItems!$D:$D))</f>
        <v/>
      </c>
      <c r="I432">
        <f>IF(E432="";"";E432/100*XLOOKUP(XLOOKUP(C432;Portions!$A:$A;Portions!$B:$B);FoodItems!$A:$A;FoodItems!$E:$E))</f>
        <v/>
      </c>
    </row>
    <row r="433">
      <c r="E433">
        <f>IF(C433="";"";D433*XLOOKUP(C433;Portions!$A:$A;Portions!$D:$D))</f>
        <v/>
      </c>
      <c r="F433">
        <f>IF(E433="";"";E433/100*XLOOKUP(XLOOKUP(C433;Portions!$A:$A;Portions!$B:$B);FoodItems!$A:$A;FoodItems!$B:$B))</f>
        <v/>
      </c>
      <c r="G433">
        <f>IF(E433="";"";E433/100*XLOOKUP(XLOOKUP(C433;Portions!$A:$A;Portions!$B:$B);FoodItems!$A:$A;FoodItems!$C:$C))</f>
        <v/>
      </c>
      <c r="H433">
        <f>IF(E433="";"";E433/100*XLOOKUP(XLOOKUP(C433;Portions!$A:$A;Portions!$B:$B);FoodItems!$A:$A;FoodItems!$D:$D))</f>
        <v/>
      </c>
      <c r="I433">
        <f>IF(E433="";"";E433/100*XLOOKUP(XLOOKUP(C433;Portions!$A:$A;Portions!$B:$B);FoodItems!$A:$A;FoodItems!$E:$E))</f>
        <v/>
      </c>
    </row>
    <row r="434">
      <c r="E434">
        <f>IF(C434="";"";D434*XLOOKUP(C434;Portions!$A:$A;Portions!$D:$D))</f>
        <v/>
      </c>
      <c r="F434">
        <f>IF(E434="";"";E434/100*XLOOKUP(XLOOKUP(C434;Portions!$A:$A;Portions!$B:$B);FoodItems!$A:$A;FoodItems!$B:$B))</f>
        <v/>
      </c>
      <c r="G434">
        <f>IF(E434="";"";E434/100*XLOOKUP(XLOOKUP(C434;Portions!$A:$A;Portions!$B:$B);FoodItems!$A:$A;FoodItems!$C:$C))</f>
        <v/>
      </c>
      <c r="H434">
        <f>IF(E434="";"";E434/100*XLOOKUP(XLOOKUP(C434;Portions!$A:$A;Portions!$B:$B);FoodItems!$A:$A;FoodItems!$D:$D))</f>
        <v/>
      </c>
      <c r="I434">
        <f>IF(E434="";"";E434/100*XLOOKUP(XLOOKUP(C434;Portions!$A:$A;Portions!$B:$B);FoodItems!$A:$A;FoodItems!$E:$E))</f>
        <v/>
      </c>
    </row>
    <row r="435">
      <c r="E435">
        <f>IF(C435="";"";D435*XLOOKUP(C435;Portions!$A:$A;Portions!$D:$D))</f>
        <v/>
      </c>
      <c r="F435">
        <f>IF(E435="";"";E435/100*XLOOKUP(XLOOKUP(C435;Portions!$A:$A;Portions!$B:$B);FoodItems!$A:$A;FoodItems!$B:$B))</f>
        <v/>
      </c>
      <c r="G435">
        <f>IF(E435="";"";E435/100*XLOOKUP(XLOOKUP(C435;Portions!$A:$A;Portions!$B:$B);FoodItems!$A:$A;FoodItems!$C:$C))</f>
        <v/>
      </c>
      <c r="H435">
        <f>IF(E435="";"";E435/100*XLOOKUP(XLOOKUP(C435;Portions!$A:$A;Portions!$B:$B);FoodItems!$A:$A;FoodItems!$D:$D))</f>
        <v/>
      </c>
      <c r="I435">
        <f>IF(E435="";"";E435/100*XLOOKUP(XLOOKUP(C435;Portions!$A:$A;Portions!$B:$B);FoodItems!$A:$A;FoodItems!$E:$E))</f>
        <v/>
      </c>
    </row>
    <row r="436">
      <c r="E436">
        <f>IF(C436="";"";D436*XLOOKUP(C436;Portions!$A:$A;Portions!$D:$D))</f>
        <v/>
      </c>
      <c r="F436">
        <f>IF(E436="";"";E436/100*XLOOKUP(XLOOKUP(C436;Portions!$A:$A;Portions!$B:$B);FoodItems!$A:$A;FoodItems!$B:$B))</f>
        <v/>
      </c>
      <c r="G436">
        <f>IF(E436="";"";E436/100*XLOOKUP(XLOOKUP(C436;Portions!$A:$A;Portions!$B:$B);FoodItems!$A:$A;FoodItems!$C:$C))</f>
        <v/>
      </c>
      <c r="H436">
        <f>IF(E436="";"";E436/100*XLOOKUP(XLOOKUP(C436;Portions!$A:$A;Portions!$B:$B);FoodItems!$A:$A;FoodItems!$D:$D))</f>
        <v/>
      </c>
      <c r="I436">
        <f>IF(E436="";"";E436/100*XLOOKUP(XLOOKUP(C436;Portions!$A:$A;Portions!$B:$B);FoodItems!$A:$A;FoodItems!$E:$E))</f>
        <v/>
      </c>
    </row>
    <row r="437">
      <c r="E437">
        <f>IF(C437="";"";D437*XLOOKUP(C437;Portions!$A:$A;Portions!$D:$D))</f>
        <v/>
      </c>
      <c r="F437">
        <f>IF(E437="";"";E437/100*XLOOKUP(XLOOKUP(C437;Portions!$A:$A;Portions!$B:$B);FoodItems!$A:$A;FoodItems!$B:$B))</f>
        <v/>
      </c>
      <c r="G437">
        <f>IF(E437="";"";E437/100*XLOOKUP(XLOOKUP(C437;Portions!$A:$A;Portions!$B:$B);FoodItems!$A:$A;FoodItems!$C:$C))</f>
        <v/>
      </c>
      <c r="H437">
        <f>IF(E437="";"";E437/100*XLOOKUP(XLOOKUP(C437;Portions!$A:$A;Portions!$B:$B);FoodItems!$A:$A;FoodItems!$D:$D))</f>
        <v/>
      </c>
      <c r="I437">
        <f>IF(E437="";"";E437/100*XLOOKUP(XLOOKUP(C437;Portions!$A:$A;Portions!$B:$B);FoodItems!$A:$A;FoodItems!$E:$E))</f>
        <v/>
      </c>
    </row>
    <row r="438">
      <c r="E438">
        <f>IF(C438="";"";D438*XLOOKUP(C438;Portions!$A:$A;Portions!$D:$D))</f>
        <v/>
      </c>
      <c r="F438">
        <f>IF(E438="";"";E438/100*XLOOKUP(XLOOKUP(C438;Portions!$A:$A;Portions!$B:$B);FoodItems!$A:$A;FoodItems!$B:$B))</f>
        <v/>
      </c>
      <c r="G438">
        <f>IF(E438="";"";E438/100*XLOOKUP(XLOOKUP(C438;Portions!$A:$A;Portions!$B:$B);FoodItems!$A:$A;FoodItems!$C:$C))</f>
        <v/>
      </c>
      <c r="H438">
        <f>IF(E438="";"";E438/100*XLOOKUP(XLOOKUP(C438;Portions!$A:$A;Portions!$B:$B);FoodItems!$A:$A;FoodItems!$D:$D))</f>
        <v/>
      </c>
      <c r="I438">
        <f>IF(E438="";"";E438/100*XLOOKUP(XLOOKUP(C438;Portions!$A:$A;Portions!$B:$B);FoodItems!$A:$A;FoodItems!$E:$E))</f>
        <v/>
      </c>
    </row>
    <row r="439">
      <c r="E439">
        <f>IF(C439="";"";D439*XLOOKUP(C439;Portions!$A:$A;Portions!$D:$D))</f>
        <v/>
      </c>
      <c r="F439">
        <f>IF(E439="";"";E439/100*XLOOKUP(XLOOKUP(C439;Portions!$A:$A;Portions!$B:$B);FoodItems!$A:$A;FoodItems!$B:$B))</f>
        <v/>
      </c>
      <c r="G439">
        <f>IF(E439="";"";E439/100*XLOOKUP(XLOOKUP(C439;Portions!$A:$A;Portions!$B:$B);FoodItems!$A:$A;FoodItems!$C:$C))</f>
        <v/>
      </c>
      <c r="H439">
        <f>IF(E439="";"";E439/100*XLOOKUP(XLOOKUP(C439;Portions!$A:$A;Portions!$B:$B);FoodItems!$A:$A;FoodItems!$D:$D))</f>
        <v/>
      </c>
      <c r="I439">
        <f>IF(E439="";"";E439/100*XLOOKUP(XLOOKUP(C439;Portions!$A:$A;Portions!$B:$B);FoodItems!$A:$A;FoodItems!$E:$E))</f>
        <v/>
      </c>
    </row>
    <row r="440">
      <c r="E440">
        <f>IF(C440="";"";D440*XLOOKUP(C440;Portions!$A:$A;Portions!$D:$D))</f>
        <v/>
      </c>
      <c r="F440">
        <f>IF(E440="";"";E440/100*XLOOKUP(XLOOKUP(C440;Portions!$A:$A;Portions!$B:$B);FoodItems!$A:$A;FoodItems!$B:$B))</f>
        <v/>
      </c>
      <c r="G440">
        <f>IF(E440="";"";E440/100*XLOOKUP(XLOOKUP(C440;Portions!$A:$A;Portions!$B:$B);FoodItems!$A:$A;FoodItems!$C:$C))</f>
        <v/>
      </c>
      <c r="H440">
        <f>IF(E440="";"";E440/100*XLOOKUP(XLOOKUP(C440;Portions!$A:$A;Portions!$B:$B);FoodItems!$A:$A;FoodItems!$D:$D))</f>
        <v/>
      </c>
      <c r="I440">
        <f>IF(E440="";"";E440/100*XLOOKUP(XLOOKUP(C440;Portions!$A:$A;Portions!$B:$B);FoodItems!$A:$A;FoodItems!$E:$E))</f>
        <v/>
      </c>
    </row>
    <row r="441">
      <c r="E441">
        <f>IF(C441="";"";D441*XLOOKUP(C441;Portions!$A:$A;Portions!$D:$D))</f>
        <v/>
      </c>
      <c r="F441">
        <f>IF(E441="";"";E441/100*XLOOKUP(XLOOKUP(C441;Portions!$A:$A;Portions!$B:$B);FoodItems!$A:$A;FoodItems!$B:$B))</f>
        <v/>
      </c>
      <c r="G441">
        <f>IF(E441="";"";E441/100*XLOOKUP(XLOOKUP(C441;Portions!$A:$A;Portions!$B:$B);FoodItems!$A:$A;FoodItems!$C:$C))</f>
        <v/>
      </c>
      <c r="H441">
        <f>IF(E441="";"";E441/100*XLOOKUP(XLOOKUP(C441;Portions!$A:$A;Portions!$B:$B);FoodItems!$A:$A;FoodItems!$D:$D))</f>
        <v/>
      </c>
      <c r="I441">
        <f>IF(E441="";"";E441/100*XLOOKUP(XLOOKUP(C441;Portions!$A:$A;Portions!$B:$B);FoodItems!$A:$A;FoodItems!$E:$E))</f>
        <v/>
      </c>
    </row>
    <row r="442">
      <c r="E442">
        <f>IF(C442="";"";D442*XLOOKUP(C442;Portions!$A:$A;Portions!$D:$D))</f>
        <v/>
      </c>
      <c r="F442">
        <f>IF(E442="";"";E442/100*XLOOKUP(XLOOKUP(C442;Portions!$A:$A;Portions!$B:$B);FoodItems!$A:$A;FoodItems!$B:$B))</f>
        <v/>
      </c>
      <c r="G442">
        <f>IF(E442="";"";E442/100*XLOOKUP(XLOOKUP(C442;Portions!$A:$A;Portions!$B:$B);FoodItems!$A:$A;FoodItems!$C:$C))</f>
        <v/>
      </c>
      <c r="H442">
        <f>IF(E442="";"";E442/100*XLOOKUP(XLOOKUP(C442;Portions!$A:$A;Portions!$B:$B);FoodItems!$A:$A;FoodItems!$D:$D))</f>
        <v/>
      </c>
      <c r="I442">
        <f>IF(E442="";"";E442/100*XLOOKUP(XLOOKUP(C442;Portions!$A:$A;Portions!$B:$B);FoodItems!$A:$A;FoodItems!$E:$E))</f>
        <v/>
      </c>
    </row>
    <row r="443">
      <c r="E443">
        <f>IF(C443="";"";D443*XLOOKUP(C443;Portions!$A:$A;Portions!$D:$D))</f>
        <v/>
      </c>
      <c r="F443">
        <f>IF(E443="";"";E443/100*XLOOKUP(XLOOKUP(C443;Portions!$A:$A;Portions!$B:$B);FoodItems!$A:$A;FoodItems!$B:$B))</f>
        <v/>
      </c>
      <c r="G443">
        <f>IF(E443="";"";E443/100*XLOOKUP(XLOOKUP(C443;Portions!$A:$A;Portions!$B:$B);FoodItems!$A:$A;FoodItems!$C:$C))</f>
        <v/>
      </c>
      <c r="H443">
        <f>IF(E443="";"";E443/100*XLOOKUP(XLOOKUP(C443;Portions!$A:$A;Portions!$B:$B);FoodItems!$A:$A;FoodItems!$D:$D))</f>
        <v/>
      </c>
      <c r="I443">
        <f>IF(E443="";"";E443/100*XLOOKUP(XLOOKUP(C443;Portions!$A:$A;Portions!$B:$B);FoodItems!$A:$A;FoodItems!$E:$E))</f>
        <v/>
      </c>
    </row>
    <row r="444">
      <c r="E444">
        <f>IF(C444="";"";D444*XLOOKUP(C444;Portions!$A:$A;Portions!$D:$D))</f>
        <v/>
      </c>
      <c r="F444">
        <f>IF(E444="";"";E444/100*XLOOKUP(XLOOKUP(C444;Portions!$A:$A;Portions!$B:$B);FoodItems!$A:$A;FoodItems!$B:$B))</f>
        <v/>
      </c>
      <c r="G444">
        <f>IF(E444="";"";E444/100*XLOOKUP(XLOOKUP(C444;Portions!$A:$A;Portions!$B:$B);FoodItems!$A:$A;FoodItems!$C:$C))</f>
        <v/>
      </c>
      <c r="H444">
        <f>IF(E444="";"";E444/100*XLOOKUP(XLOOKUP(C444;Portions!$A:$A;Portions!$B:$B);FoodItems!$A:$A;FoodItems!$D:$D))</f>
        <v/>
      </c>
      <c r="I444">
        <f>IF(E444="";"";E444/100*XLOOKUP(XLOOKUP(C444;Portions!$A:$A;Portions!$B:$B);FoodItems!$A:$A;FoodItems!$E:$E))</f>
        <v/>
      </c>
    </row>
    <row r="445">
      <c r="E445">
        <f>IF(C445="";"";D445*XLOOKUP(C445;Portions!$A:$A;Portions!$D:$D))</f>
        <v/>
      </c>
      <c r="F445">
        <f>IF(E445="";"";E445/100*XLOOKUP(XLOOKUP(C445;Portions!$A:$A;Portions!$B:$B);FoodItems!$A:$A;FoodItems!$B:$B))</f>
        <v/>
      </c>
      <c r="G445">
        <f>IF(E445="";"";E445/100*XLOOKUP(XLOOKUP(C445;Portions!$A:$A;Portions!$B:$B);FoodItems!$A:$A;FoodItems!$C:$C))</f>
        <v/>
      </c>
      <c r="H445">
        <f>IF(E445="";"";E445/100*XLOOKUP(XLOOKUP(C445;Portions!$A:$A;Portions!$B:$B);FoodItems!$A:$A;FoodItems!$D:$D))</f>
        <v/>
      </c>
      <c r="I445">
        <f>IF(E445="";"";E445/100*XLOOKUP(XLOOKUP(C445;Portions!$A:$A;Portions!$B:$B);FoodItems!$A:$A;FoodItems!$E:$E))</f>
        <v/>
      </c>
    </row>
    <row r="446">
      <c r="E446">
        <f>IF(C446="";"";D446*XLOOKUP(C446;Portions!$A:$A;Portions!$D:$D))</f>
        <v/>
      </c>
      <c r="F446">
        <f>IF(E446="";"";E446/100*XLOOKUP(XLOOKUP(C446;Portions!$A:$A;Portions!$B:$B);FoodItems!$A:$A;FoodItems!$B:$B))</f>
        <v/>
      </c>
      <c r="G446">
        <f>IF(E446="";"";E446/100*XLOOKUP(XLOOKUP(C446;Portions!$A:$A;Portions!$B:$B);FoodItems!$A:$A;FoodItems!$C:$C))</f>
        <v/>
      </c>
      <c r="H446">
        <f>IF(E446="";"";E446/100*XLOOKUP(XLOOKUP(C446;Portions!$A:$A;Portions!$B:$B);FoodItems!$A:$A;FoodItems!$D:$D))</f>
        <v/>
      </c>
      <c r="I446">
        <f>IF(E446="";"";E446/100*XLOOKUP(XLOOKUP(C446;Portions!$A:$A;Portions!$B:$B);FoodItems!$A:$A;FoodItems!$E:$E))</f>
        <v/>
      </c>
    </row>
    <row r="447">
      <c r="E447">
        <f>IF(C447="";"";D447*XLOOKUP(C447;Portions!$A:$A;Portions!$D:$D))</f>
        <v/>
      </c>
      <c r="F447">
        <f>IF(E447="";"";E447/100*XLOOKUP(XLOOKUP(C447;Portions!$A:$A;Portions!$B:$B);FoodItems!$A:$A;FoodItems!$B:$B))</f>
        <v/>
      </c>
      <c r="G447">
        <f>IF(E447="";"";E447/100*XLOOKUP(XLOOKUP(C447;Portions!$A:$A;Portions!$B:$B);FoodItems!$A:$A;FoodItems!$C:$C))</f>
        <v/>
      </c>
      <c r="H447">
        <f>IF(E447="";"";E447/100*XLOOKUP(XLOOKUP(C447;Portions!$A:$A;Portions!$B:$B);FoodItems!$A:$A;FoodItems!$D:$D))</f>
        <v/>
      </c>
      <c r="I447">
        <f>IF(E447="";"";E447/100*XLOOKUP(XLOOKUP(C447;Portions!$A:$A;Portions!$B:$B);FoodItems!$A:$A;FoodItems!$E:$E))</f>
        <v/>
      </c>
    </row>
    <row r="448">
      <c r="E448">
        <f>IF(C448="";"";D448*XLOOKUP(C448;Portions!$A:$A;Portions!$D:$D))</f>
        <v/>
      </c>
      <c r="F448">
        <f>IF(E448="";"";E448/100*XLOOKUP(XLOOKUP(C448;Portions!$A:$A;Portions!$B:$B);FoodItems!$A:$A;FoodItems!$B:$B))</f>
        <v/>
      </c>
      <c r="G448">
        <f>IF(E448="";"";E448/100*XLOOKUP(XLOOKUP(C448;Portions!$A:$A;Portions!$B:$B);FoodItems!$A:$A;FoodItems!$C:$C))</f>
        <v/>
      </c>
      <c r="H448">
        <f>IF(E448="";"";E448/100*XLOOKUP(XLOOKUP(C448;Portions!$A:$A;Portions!$B:$B);FoodItems!$A:$A;FoodItems!$D:$D))</f>
        <v/>
      </c>
      <c r="I448">
        <f>IF(E448="";"";E448/100*XLOOKUP(XLOOKUP(C448;Portions!$A:$A;Portions!$B:$B);FoodItems!$A:$A;FoodItems!$E:$E))</f>
        <v/>
      </c>
    </row>
    <row r="449">
      <c r="E449">
        <f>IF(C449="";"";D449*XLOOKUP(C449;Portions!$A:$A;Portions!$D:$D))</f>
        <v/>
      </c>
      <c r="F449">
        <f>IF(E449="";"";E449/100*XLOOKUP(XLOOKUP(C449;Portions!$A:$A;Portions!$B:$B);FoodItems!$A:$A;FoodItems!$B:$B))</f>
        <v/>
      </c>
      <c r="G449">
        <f>IF(E449="";"";E449/100*XLOOKUP(XLOOKUP(C449;Portions!$A:$A;Portions!$B:$B);FoodItems!$A:$A;FoodItems!$C:$C))</f>
        <v/>
      </c>
      <c r="H449">
        <f>IF(E449="";"";E449/100*XLOOKUP(XLOOKUP(C449;Portions!$A:$A;Portions!$B:$B);FoodItems!$A:$A;FoodItems!$D:$D))</f>
        <v/>
      </c>
      <c r="I449">
        <f>IF(E449="";"";E449/100*XLOOKUP(XLOOKUP(C449;Portions!$A:$A;Portions!$B:$B);FoodItems!$A:$A;FoodItems!$E:$E))</f>
        <v/>
      </c>
    </row>
    <row r="450">
      <c r="E450">
        <f>IF(C450="";"";D450*XLOOKUP(C450;Portions!$A:$A;Portions!$D:$D))</f>
        <v/>
      </c>
      <c r="F450">
        <f>IF(E450="";"";E450/100*XLOOKUP(XLOOKUP(C450;Portions!$A:$A;Portions!$B:$B);FoodItems!$A:$A;FoodItems!$B:$B))</f>
        <v/>
      </c>
      <c r="G450">
        <f>IF(E450="";"";E450/100*XLOOKUP(XLOOKUP(C450;Portions!$A:$A;Portions!$B:$B);FoodItems!$A:$A;FoodItems!$C:$C))</f>
        <v/>
      </c>
      <c r="H450">
        <f>IF(E450="";"";E450/100*XLOOKUP(XLOOKUP(C450;Portions!$A:$A;Portions!$B:$B);FoodItems!$A:$A;FoodItems!$D:$D))</f>
        <v/>
      </c>
      <c r="I450">
        <f>IF(E450="";"";E450/100*XLOOKUP(XLOOKUP(C450;Portions!$A:$A;Portions!$B:$B);FoodItems!$A:$A;FoodItems!$E:$E))</f>
        <v/>
      </c>
    </row>
    <row r="451">
      <c r="E451">
        <f>IF(C451="";"";D451*XLOOKUP(C451;Portions!$A:$A;Portions!$D:$D))</f>
        <v/>
      </c>
      <c r="F451">
        <f>IF(E451="";"";E451/100*XLOOKUP(XLOOKUP(C451;Portions!$A:$A;Portions!$B:$B);FoodItems!$A:$A;FoodItems!$B:$B))</f>
        <v/>
      </c>
      <c r="G451">
        <f>IF(E451="";"";E451/100*XLOOKUP(XLOOKUP(C451;Portions!$A:$A;Portions!$B:$B);FoodItems!$A:$A;FoodItems!$C:$C))</f>
        <v/>
      </c>
      <c r="H451">
        <f>IF(E451="";"";E451/100*XLOOKUP(XLOOKUP(C451;Portions!$A:$A;Portions!$B:$B);FoodItems!$A:$A;FoodItems!$D:$D))</f>
        <v/>
      </c>
      <c r="I451">
        <f>IF(E451="";"";E451/100*XLOOKUP(XLOOKUP(C451;Portions!$A:$A;Portions!$B:$B);FoodItems!$A:$A;FoodItems!$E:$E))</f>
        <v/>
      </c>
    </row>
    <row r="452">
      <c r="E452">
        <f>IF(C452="";"";D452*XLOOKUP(C452;Portions!$A:$A;Portions!$D:$D))</f>
        <v/>
      </c>
      <c r="F452">
        <f>IF(E452="";"";E452/100*XLOOKUP(XLOOKUP(C452;Portions!$A:$A;Portions!$B:$B);FoodItems!$A:$A;FoodItems!$B:$B))</f>
        <v/>
      </c>
      <c r="G452">
        <f>IF(E452="";"";E452/100*XLOOKUP(XLOOKUP(C452;Portions!$A:$A;Portions!$B:$B);FoodItems!$A:$A;FoodItems!$C:$C))</f>
        <v/>
      </c>
      <c r="H452">
        <f>IF(E452="";"";E452/100*XLOOKUP(XLOOKUP(C452;Portions!$A:$A;Portions!$B:$B);FoodItems!$A:$A;FoodItems!$D:$D))</f>
        <v/>
      </c>
      <c r="I452">
        <f>IF(E452="";"";E452/100*XLOOKUP(XLOOKUP(C452;Portions!$A:$A;Portions!$B:$B);FoodItems!$A:$A;FoodItems!$E:$E))</f>
        <v/>
      </c>
    </row>
    <row r="453">
      <c r="E453">
        <f>IF(C453="";"";D453*XLOOKUP(C453;Portions!$A:$A;Portions!$D:$D))</f>
        <v/>
      </c>
      <c r="F453">
        <f>IF(E453="";"";E453/100*XLOOKUP(XLOOKUP(C453;Portions!$A:$A;Portions!$B:$B);FoodItems!$A:$A;FoodItems!$B:$B))</f>
        <v/>
      </c>
      <c r="G453">
        <f>IF(E453="";"";E453/100*XLOOKUP(XLOOKUP(C453;Portions!$A:$A;Portions!$B:$B);FoodItems!$A:$A;FoodItems!$C:$C))</f>
        <v/>
      </c>
      <c r="H453">
        <f>IF(E453="";"";E453/100*XLOOKUP(XLOOKUP(C453;Portions!$A:$A;Portions!$B:$B);FoodItems!$A:$A;FoodItems!$D:$D))</f>
        <v/>
      </c>
      <c r="I453">
        <f>IF(E453="";"";E453/100*XLOOKUP(XLOOKUP(C453;Portions!$A:$A;Portions!$B:$B);FoodItems!$A:$A;FoodItems!$E:$E))</f>
        <v/>
      </c>
    </row>
    <row r="454">
      <c r="E454">
        <f>IF(C454="";"";D454*XLOOKUP(C454;Portions!$A:$A;Portions!$D:$D))</f>
        <v/>
      </c>
      <c r="F454">
        <f>IF(E454="";"";E454/100*XLOOKUP(XLOOKUP(C454;Portions!$A:$A;Portions!$B:$B);FoodItems!$A:$A;FoodItems!$B:$B))</f>
        <v/>
      </c>
      <c r="G454">
        <f>IF(E454="";"";E454/100*XLOOKUP(XLOOKUP(C454;Portions!$A:$A;Portions!$B:$B);FoodItems!$A:$A;FoodItems!$C:$C))</f>
        <v/>
      </c>
      <c r="H454">
        <f>IF(E454="";"";E454/100*XLOOKUP(XLOOKUP(C454;Portions!$A:$A;Portions!$B:$B);FoodItems!$A:$A;FoodItems!$D:$D))</f>
        <v/>
      </c>
      <c r="I454">
        <f>IF(E454="";"";E454/100*XLOOKUP(XLOOKUP(C454;Portions!$A:$A;Portions!$B:$B);FoodItems!$A:$A;FoodItems!$E:$E))</f>
        <v/>
      </c>
    </row>
    <row r="455">
      <c r="E455">
        <f>IF(C455="";"";D455*XLOOKUP(C455;Portions!$A:$A;Portions!$D:$D))</f>
        <v/>
      </c>
      <c r="F455">
        <f>IF(E455="";"";E455/100*XLOOKUP(XLOOKUP(C455;Portions!$A:$A;Portions!$B:$B);FoodItems!$A:$A;FoodItems!$B:$B))</f>
        <v/>
      </c>
      <c r="G455">
        <f>IF(E455="";"";E455/100*XLOOKUP(XLOOKUP(C455;Portions!$A:$A;Portions!$B:$B);FoodItems!$A:$A;FoodItems!$C:$C))</f>
        <v/>
      </c>
      <c r="H455">
        <f>IF(E455="";"";E455/100*XLOOKUP(XLOOKUP(C455;Portions!$A:$A;Portions!$B:$B);FoodItems!$A:$A;FoodItems!$D:$D))</f>
        <v/>
      </c>
      <c r="I455">
        <f>IF(E455="";"";E455/100*XLOOKUP(XLOOKUP(C455;Portions!$A:$A;Portions!$B:$B);FoodItems!$A:$A;FoodItems!$E:$E))</f>
        <v/>
      </c>
    </row>
    <row r="456">
      <c r="E456">
        <f>IF(C456="";"";D456*XLOOKUP(C456;Portions!$A:$A;Portions!$D:$D))</f>
        <v/>
      </c>
      <c r="F456">
        <f>IF(E456="";"";E456/100*XLOOKUP(XLOOKUP(C456;Portions!$A:$A;Portions!$B:$B);FoodItems!$A:$A;FoodItems!$B:$B))</f>
        <v/>
      </c>
      <c r="G456">
        <f>IF(E456="";"";E456/100*XLOOKUP(XLOOKUP(C456;Portions!$A:$A;Portions!$B:$B);FoodItems!$A:$A;FoodItems!$C:$C))</f>
        <v/>
      </c>
      <c r="H456">
        <f>IF(E456="";"";E456/100*XLOOKUP(XLOOKUP(C456;Portions!$A:$A;Portions!$B:$B);FoodItems!$A:$A;FoodItems!$D:$D))</f>
        <v/>
      </c>
      <c r="I456">
        <f>IF(E456="";"";E456/100*XLOOKUP(XLOOKUP(C456;Portions!$A:$A;Portions!$B:$B);FoodItems!$A:$A;FoodItems!$E:$E))</f>
        <v/>
      </c>
    </row>
    <row r="457">
      <c r="E457">
        <f>IF(C457="";"";D457*XLOOKUP(C457;Portions!$A:$A;Portions!$D:$D))</f>
        <v/>
      </c>
      <c r="F457">
        <f>IF(E457="";"";E457/100*XLOOKUP(XLOOKUP(C457;Portions!$A:$A;Portions!$B:$B);FoodItems!$A:$A;FoodItems!$B:$B))</f>
        <v/>
      </c>
      <c r="G457">
        <f>IF(E457="";"";E457/100*XLOOKUP(XLOOKUP(C457;Portions!$A:$A;Portions!$B:$B);FoodItems!$A:$A;FoodItems!$C:$C))</f>
        <v/>
      </c>
      <c r="H457">
        <f>IF(E457="";"";E457/100*XLOOKUP(XLOOKUP(C457;Portions!$A:$A;Portions!$B:$B);FoodItems!$A:$A;FoodItems!$D:$D))</f>
        <v/>
      </c>
      <c r="I457">
        <f>IF(E457="";"";E457/100*XLOOKUP(XLOOKUP(C457;Portions!$A:$A;Portions!$B:$B);FoodItems!$A:$A;FoodItems!$E:$E))</f>
        <v/>
      </c>
    </row>
    <row r="458">
      <c r="E458">
        <f>IF(C458="";"";D458*XLOOKUP(C458;Portions!$A:$A;Portions!$D:$D))</f>
        <v/>
      </c>
      <c r="F458">
        <f>IF(E458="";"";E458/100*XLOOKUP(XLOOKUP(C458;Portions!$A:$A;Portions!$B:$B);FoodItems!$A:$A;FoodItems!$B:$B))</f>
        <v/>
      </c>
      <c r="G458">
        <f>IF(E458="";"";E458/100*XLOOKUP(XLOOKUP(C458;Portions!$A:$A;Portions!$B:$B);FoodItems!$A:$A;FoodItems!$C:$C))</f>
        <v/>
      </c>
      <c r="H458">
        <f>IF(E458="";"";E458/100*XLOOKUP(XLOOKUP(C458;Portions!$A:$A;Portions!$B:$B);FoodItems!$A:$A;FoodItems!$D:$D))</f>
        <v/>
      </c>
      <c r="I458">
        <f>IF(E458="";"";E458/100*XLOOKUP(XLOOKUP(C458;Portions!$A:$A;Portions!$B:$B);FoodItems!$A:$A;FoodItems!$E:$E))</f>
        <v/>
      </c>
    </row>
    <row r="459">
      <c r="E459">
        <f>IF(C459="";"";D459*XLOOKUP(C459;Portions!$A:$A;Portions!$D:$D))</f>
        <v/>
      </c>
      <c r="F459">
        <f>IF(E459="";"";E459/100*XLOOKUP(XLOOKUP(C459;Portions!$A:$A;Portions!$B:$B);FoodItems!$A:$A;FoodItems!$B:$B))</f>
        <v/>
      </c>
      <c r="G459">
        <f>IF(E459="";"";E459/100*XLOOKUP(XLOOKUP(C459;Portions!$A:$A;Portions!$B:$B);FoodItems!$A:$A;FoodItems!$C:$C))</f>
        <v/>
      </c>
      <c r="H459">
        <f>IF(E459="";"";E459/100*XLOOKUP(XLOOKUP(C459;Portions!$A:$A;Portions!$B:$B);FoodItems!$A:$A;FoodItems!$D:$D))</f>
        <v/>
      </c>
      <c r="I459">
        <f>IF(E459="";"";E459/100*XLOOKUP(XLOOKUP(C459;Portions!$A:$A;Portions!$B:$B);FoodItems!$A:$A;FoodItems!$E:$E))</f>
        <v/>
      </c>
    </row>
    <row r="460">
      <c r="E460">
        <f>IF(C460="";"";D460*XLOOKUP(C460;Portions!$A:$A;Portions!$D:$D))</f>
        <v/>
      </c>
      <c r="F460">
        <f>IF(E460="";"";E460/100*XLOOKUP(XLOOKUP(C460;Portions!$A:$A;Portions!$B:$B);FoodItems!$A:$A;FoodItems!$B:$B))</f>
        <v/>
      </c>
      <c r="G460">
        <f>IF(E460="";"";E460/100*XLOOKUP(XLOOKUP(C460;Portions!$A:$A;Portions!$B:$B);FoodItems!$A:$A;FoodItems!$C:$C))</f>
        <v/>
      </c>
      <c r="H460">
        <f>IF(E460="";"";E460/100*XLOOKUP(XLOOKUP(C460;Portions!$A:$A;Portions!$B:$B);FoodItems!$A:$A;FoodItems!$D:$D))</f>
        <v/>
      </c>
      <c r="I460">
        <f>IF(E460="";"";E460/100*XLOOKUP(XLOOKUP(C460;Portions!$A:$A;Portions!$B:$B);FoodItems!$A:$A;FoodItems!$E:$E))</f>
        <v/>
      </c>
    </row>
    <row r="461">
      <c r="E461">
        <f>IF(C461="";"";D461*XLOOKUP(C461;Portions!$A:$A;Portions!$D:$D))</f>
        <v/>
      </c>
      <c r="F461">
        <f>IF(E461="";"";E461/100*XLOOKUP(XLOOKUP(C461;Portions!$A:$A;Portions!$B:$B);FoodItems!$A:$A;FoodItems!$B:$B))</f>
        <v/>
      </c>
      <c r="G461">
        <f>IF(E461="";"";E461/100*XLOOKUP(XLOOKUP(C461;Portions!$A:$A;Portions!$B:$B);FoodItems!$A:$A;FoodItems!$C:$C))</f>
        <v/>
      </c>
      <c r="H461">
        <f>IF(E461="";"";E461/100*XLOOKUP(XLOOKUP(C461;Portions!$A:$A;Portions!$B:$B);FoodItems!$A:$A;FoodItems!$D:$D))</f>
        <v/>
      </c>
      <c r="I461">
        <f>IF(E461="";"";E461/100*XLOOKUP(XLOOKUP(C461;Portions!$A:$A;Portions!$B:$B);FoodItems!$A:$A;FoodItems!$E:$E))</f>
        <v/>
      </c>
    </row>
    <row r="462">
      <c r="E462">
        <f>IF(C462="";"";D462*XLOOKUP(C462;Portions!$A:$A;Portions!$D:$D))</f>
        <v/>
      </c>
      <c r="F462">
        <f>IF(E462="";"";E462/100*XLOOKUP(XLOOKUP(C462;Portions!$A:$A;Portions!$B:$B);FoodItems!$A:$A;FoodItems!$B:$B))</f>
        <v/>
      </c>
      <c r="G462">
        <f>IF(E462="";"";E462/100*XLOOKUP(XLOOKUP(C462;Portions!$A:$A;Portions!$B:$B);FoodItems!$A:$A;FoodItems!$C:$C))</f>
        <v/>
      </c>
      <c r="H462">
        <f>IF(E462="";"";E462/100*XLOOKUP(XLOOKUP(C462;Portions!$A:$A;Portions!$B:$B);FoodItems!$A:$A;FoodItems!$D:$D))</f>
        <v/>
      </c>
      <c r="I462">
        <f>IF(E462="";"";E462/100*XLOOKUP(XLOOKUP(C462;Portions!$A:$A;Portions!$B:$B);FoodItems!$A:$A;FoodItems!$E:$E))</f>
        <v/>
      </c>
    </row>
    <row r="463">
      <c r="E463">
        <f>IF(C463="";"";D463*XLOOKUP(C463;Portions!$A:$A;Portions!$D:$D))</f>
        <v/>
      </c>
      <c r="F463">
        <f>IF(E463="";"";E463/100*XLOOKUP(XLOOKUP(C463;Portions!$A:$A;Portions!$B:$B);FoodItems!$A:$A;FoodItems!$B:$B))</f>
        <v/>
      </c>
      <c r="G463">
        <f>IF(E463="";"";E463/100*XLOOKUP(XLOOKUP(C463;Portions!$A:$A;Portions!$B:$B);FoodItems!$A:$A;FoodItems!$C:$C))</f>
        <v/>
      </c>
      <c r="H463">
        <f>IF(E463="";"";E463/100*XLOOKUP(XLOOKUP(C463;Portions!$A:$A;Portions!$B:$B);FoodItems!$A:$A;FoodItems!$D:$D))</f>
        <v/>
      </c>
      <c r="I463">
        <f>IF(E463="";"";E463/100*XLOOKUP(XLOOKUP(C463;Portions!$A:$A;Portions!$B:$B);FoodItems!$A:$A;FoodItems!$E:$E))</f>
        <v/>
      </c>
    </row>
    <row r="464">
      <c r="E464">
        <f>IF(C464="";"";D464*XLOOKUP(C464;Portions!$A:$A;Portions!$D:$D))</f>
        <v/>
      </c>
      <c r="F464">
        <f>IF(E464="";"";E464/100*XLOOKUP(XLOOKUP(C464;Portions!$A:$A;Portions!$B:$B);FoodItems!$A:$A;FoodItems!$B:$B))</f>
        <v/>
      </c>
      <c r="G464">
        <f>IF(E464="";"";E464/100*XLOOKUP(XLOOKUP(C464;Portions!$A:$A;Portions!$B:$B);FoodItems!$A:$A;FoodItems!$C:$C))</f>
        <v/>
      </c>
      <c r="H464">
        <f>IF(E464="";"";E464/100*XLOOKUP(XLOOKUP(C464;Portions!$A:$A;Portions!$B:$B);FoodItems!$A:$A;FoodItems!$D:$D))</f>
        <v/>
      </c>
      <c r="I464">
        <f>IF(E464="";"";E464/100*XLOOKUP(XLOOKUP(C464;Portions!$A:$A;Portions!$B:$B);FoodItems!$A:$A;FoodItems!$E:$E))</f>
        <v/>
      </c>
    </row>
    <row r="465">
      <c r="E465">
        <f>IF(C465="";"";D465*XLOOKUP(C465;Portions!$A:$A;Portions!$D:$D))</f>
        <v/>
      </c>
      <c r="F465">
        <f>IF(E465="";"";E465/100*XLOOKUP(XLOOKUP(C465;Portions!$A:$A;Portions!$B:$B);FoodItems!$A:$A;FoodItems!$B:$B))</f>
        <v/>
      </c>
      <c r="G465">
        <f>IF(E465="";"";E465/100*XLOOKUP(XLOOKUP(C465;Portions!$A:$A;Portions!$B:$B);FoodItems!$A:$A;FoodItems!$C:$C))</f>
        <v/>
      </c>
      <c r="H465">
        <f>IF(E465="";"";E465/100*XLOOKUP(XLOOKUP(C465;Portions!$A:$A;Portions!$B:$B);FoodItems!$A:$A;FoodItems!$D:$D))</f>
        <v/>
      </c>
      <c r="I465">
        <f>IF(E465="";"";E465/100*XLOOKUP(XLOOKUP(C465;Portions!$A:$A;Portions!$B:$B);FoodItems!$A:$A;FoodItems!$E:$E))</f>
        <v/>
      </c>
    </row>
    <row r="466">
      <c r="E466">
        <f>IF(C466="";"";D466*XLOOKUP(C466;Portions!$A:$A;Portions!$D:$D))</f>
        <v/>
      </c>
      <c r="F466">
        <f>IF(E466="";"";E466/100*XLOOKUP(XLOOKUP(C466;Portions!$A:$A;Portions!$B:$B);FoodItems!$A:$A;FoodItems!$B:$B))</f>
        <v/>
      </c>
      <c r="G466">
        <f>IF(E466="";"";E466/100*XLOOKUP(XLOOKUP(C466;Portions!$A:$A;Portions!$B:$B);FoodItems!$A:$A;FoodItems!$C:$C))</f>
        <v/>
      </c>
      <c r="H466">
        <f>IF(E466="";"";E466/100*XLOOKUP(XLOOKUP(C466;Portions!$A:$A;Portions!$B:$B);FoodItems!$A:$A;FoodItems!$D:$D))</f>
        <v/>
      </c>
      <c r="I466">
        <f>IF(E466="";"";E466/100*XLOOKUP(XLOOKUP(C466;Portions!$A:$A;Portions!$B:$B);FoodItems!$A:$A;FoodItems!$E:$E))</f>
        <v/>
      </c>
    </row>
    <row r="467">
      <c r="E467">
        <f>IF(C467="";"";D467*XLOOKUP(C467;Portions!$A:$A;Portions!$D:$D))</f>
        <v/>
      </c>
      <c r="F467">
        <f>IF(E467="";"";E467/100*XLOOKUP(XLOOKUP(C467;Portions!$A:$A;Portions!$B:$B);FoodItems!$A:$A;FoodItems!$B:$B))</f>
        <v/>
      </c>
      <c r="G467">
        <f>IF(E467="";"";E467/100*XLOOKUP(XLOOKUP(C467;Portions!$A:$A;Portions!$B:$B);FoodItems!$A:$A;FoodItems!$C:$C))</f>
        <v/>
      </c>
      <c r="H467">
        <f>IF(E467="";"";E467/100*XLOOKUP(XLOOKUP(C467;Portions!$A:$A;Portions!$B:$B);FoodItems!$A:$A;FoodItems!$D:$D))</f>
        <v/>
      </c>
      <c r="I467">
        <f>IF(E467="";"";E467/100*XLOOKUP(XLOOKUP(C467;Portions!$A:$A;Portions!$B:$B);FoodItems!$A:$A;FoodItems!$E:$E))</f>
        <v/>
      </c>
    </row>
    <row r="468">
      <c r="E468">
        <f>IF(C468="";"";D468*XLOOKUP(C468;Portions!$A:$A;Portions!$D:$D))</f>
        <v/>
      </c>
      <c r="F468">
        <f>IF(E468="";"";E468/100*XLOOKUP(XLOOKUP(C468;Portions!$A:$A;Portions!$B:$B);FoodItems!$A:$A;FoodItems!$B:$B))</f>
        <v/>
      </c>
      <c r="G468">
        <f>IF(E468="";"";E468/100*XLOOKUP(XLOOKUP(C468;Portions!$A:$A;Portions!$B:$B);FoodItems!$A:$A;FoodItems!$C:$C))</f>
        <v/>
      </c>
      <c r="H468">
        <f>IF(E468="";"";E468/100*XLOOKUP(XLOOKUP(C468;Portions!$A:$A;Portions!$B:$B);FoodItems!$A:$A;FoodItems!$D:$D))</f>
        <v/>
      </c>
      <c r="I468">
        <f>IF(E468="";"";E468/100*XLOOKUP(XLOOKUP(C468;Portions!$A:$A;Portions!$B:$B);FoodItems!$A:$A;FoodItems!$E:$E))</f>
        <v/>
      </c>
    </row>
    <row r="469">
      <c r="E469">
        <f>IF(C469="";"";D469*XLOOKUP(C469;Portions!$A:$A;Portions!$D:$D))</f>
        <v/>
      </c>
      <c r="F469">
        <f>IF(E469="";"";E469/100*XLOOKUP(XLOOKUP(C469;Portions!$A:$A;Portions!$B:$B);FoodItems!$A:$A;FoodItems!$B:$B))</f>
        <v/>
      </c>
      <c r="G469">
        <f>IF(E469="";"";E469/100*XLOOKUP(XLOOKUP(C469;Portions!$A:$A;Portions!$B:$B);FoodItems!$A:$A;FoodItems!$C:$C))</f>
        <v/>
      </c>
      <c r="H469">
        <f>IF(E469="";"";E469/100*XLOOKUP(XLOOKUP(C469;Portions!$A:$A;Portions!$B:$B);FoodItems!$A:$A;FoodItems!$D:$D))</f>
        <v/>
      </c>
      <c r="I469">
        <f>IF(E469="";"";E469/100*XLOOKUP(XLOOKUP(C469;Portions!$A:$A;Portions!$B:$B);FoodItems!$A:$A;FoodItems!$E:$E))</f>
        <v/>
      </c>
    </row>
    <row r="470">
      <c r="E470">
        <f>IF(C470="";"";D470*XLOOKUP(C470;Portions!$A:$A;Portions!$D:$D))</f>
        <v/>
      </c>
      <c r="F470">
        <f>IF(E470="";"";E470/100*XLOOKUP(XLOOKUP(C470;Portions!$A:$A;Portions!$B:$B);FoodItems!$A:$A;FoodItems!$B:$B))</f>
        <v/>
      </c>
      <c r="G470">
        <f>IF(E470="";"";E470/100*XLOOKUP(XLOOKUP(C470;Portions!$A:$A;Portions!$B:$B);FoodItems!$A:$A;FoodItems!$C:$C))</f>
        <v/>
      </c>
      <c r="H470">
        <f>IF(E470="";"";E470/100*XLOOKUP(XLOOKUP(C470;Portions!$A:$A;Portions!$B:$B);FoodItems!$A:$A;FoodItems!$D:$D))</f>
        <v/>
      </c>
      <c r="I470">
        <f>IF(E470="";"";E470/100*XLOOKUP(XLOOKUP(C470;Portions!$A:$A;Portions!$B:$B);FoodItems!$A:$A;FoodItems!$E:$E))</f>
        <v/>
      </c>
    </row>
    <row r="471">
      <c r="E471">
        <f>IF(C471="";"";D471*XLOOKUP(C471;Portions!$A:$A;Portions!$D:$D))</f>
        <v/>
      </c>
      <c r="F471">
        <f>IF(E471="";"";E471/100*XLOOKUP(XLOOKUP(C471;Portions!$A:$A;Portions!$B:$B);FoodItems!$A:$A;FoodItems!$B:$B))</f>
        <v/>
      </c>
      <c r="G471">
        <f>IF(E471="";"";E471/100*XLOOKUP(XLOOKUP(C471;Portions!$A:$A;Portions!$B:$B);FoodItems!$A:$A;FoodItems!$C:$C))</f>
        <v/>
      </c>
      <c r="H471">
        <f>IF(E471="";"";E471/100*XLOOKUP(XLOOKUP(C471;Portions!$A:$A;Portions!$B:$B);FoodItems!$A:$A;FoodItems!$D:$D))</f>
        <v/>
      </c>
      <c r="I471">
        <f>IF(E471="";"";E471/100*XLOOKUP(XLOOKUP(C471;Portions!$A:$A;Portions!$B:$B);FoodItems!$A:$A;FoodItems!$E:$E))</f>
        <v/>
      </c>
    </row>
    <row r="472">
      <c r="E472">
        <f>IF(C472="";"";D472*XLOOKUP(C472;Portions!$A:$A;Portions!$D:$D))</f>
        <v/>
      </c>
      <c r="F472">
        <f>IF(E472="";"";E472/100*XLOOKUP(XLOOKUP(C472;Portions!$A:$A;Portions!$B:$B);FoodItems!$A:$A;FoodItems!$B:$B))</f>
        <v/>
      </c>
      <c r="G472">
        <f>IF(E472="";"";E472/100*XLOOKUP(XLOOKUP(C472;Portions!$A:$A;Portions!$B:$B);FoodItems!$A:$A;FoodItems!$C:$C))</f>
        <v/>
      </c>
      <c r="H472">
        <f>IF(E472="";"";E472/100*XLOOKUP(XLOOKUP(C472;Portions!$A:$A;Portions!$B:$B);FoodItems!$A:$A;FoodItems!$D:$D))</f>
        <v/>
      </c>
      <c r="I472">
        <f>IF(E472="";"";E472/100*XLOOKUP(XLOOKUP(C472;Portions!$A:$A;Portions!$B:$B);FoodItems!$A:$A;FoodItems!$E:$E))</f>
        <v/>
      </c>
    </row>
    <row r="473">
      <c r="E473">
        <f>IF(C473="";"";D473*XLOOKUP(C473;Portions!$A:$A;Portions!$D:$D))</f>
        <v/>
      </c>
      <c r="F473">
        <f>IF(E473="";"";E473/100*XLOOKUP(XLOOKUP(C473;Portions!$A:$A;Portions!$B:$B);FoodItems!$A:$A;FoodItems!$B:$B))</f>
        <v/>
      </c>
      <c r="G473">
        <f>IF(E473="";"";E473/100*XLOOKUP(XLOOKUP(C473;Portions!$A:$A;Portions!$B:$B);FoodItems!$A:$A;FoodItems!$C:$C))</f>
        <v/>
      </c>
      <c r="H473">
        <f>IF(E473="";"";E473/100*XLOOKUP(XLOOKUP(C473;Portions!$A:$A;Portions!$B:$B);FoodItems!$A:$A;FoodItems!$D:$D))</f>
        <v/>
      </c>
      <c r="I473">
        <f>IF(E473="";"";E473/100*XLOOKUP(XLOOKUP(C473;Portions!$A:$A;Portions!$B:$B);FoodItems!$A:$A;FoodItems!$E:$E))</f>
        <v/>
      </c>
    </row>
    <row r="474">
      <c r="E474">
        <f>IF(C474="";"";D474*XLOOKUP(C474;Portions!$A:$A;Portions!$D:$D))</f>
        <v/>
      </c>
      <c r="F474">
        <f>IF(E474="";"";E474/100*XLOOKUP(XLOOKUP(C474;Portions!$A:$A;Portions!$B:$B);FoodItems!$A:$A;FoodItems!$B:$B))</f>
        <v/>
      </c>
      <c r="G474">
        <f>IF(E474="";"";E474/100*XLOOKUP(XLOOKUP(C474;Portions!$A:$A;Portions!$B:$B);FoodItems!$A:$A;FoodItems!$C:$C))</f>
        <v/>
      </c>
      <c r="H474">
        <f>IF(E474="";"";E474/100*XLOOKUP(XLOOKUP(C474;Portions!$A:$A;Portions!$B:$B);FoodItems!$A:$A;FoodItems!$D:$D))</f>
        <v/>
      </c>
      <c r="I474">
        <f>IF(E474="";"";E474/100*XLOOKUP(XLOOKUP(C474;Portions!$A:$A;Portions!$B:$B);FoodItems!$A:$A;FoodItems!$E:$E))</f>
        <v/>
      </c>
    </row>
    <row r="475">
      <c r="E475">
        <f>IF(C475="";"";D475*XLOOKUP(C475;Portions!$A:$A;Portions!$D:$D))</f>
        <v/>
      </c>
      <c r="F475">
        <f>IF(E475="";"";E475/100*XLOOKUP(XLOOKUP(C475;Portions!$A:$A;Portions!$B:$B);FoodItems!$A:$A;FoodItems!$B:$B))</f>
        <v/>
      </c>
      <c r="G475">
        <f>IF(E475="";"";E475/100*XLOOKUP(XLOOKUP(C475;Portions!$A:$A;Portions!$B:$B);FoodItems!$A:$A;FoodItems!$C:$C))</f>
        <v/>
      </c>
      <c r="H475">
        <f>IF(E475="";"";E475/100*XLOOKUP(XLOOKUP(C475;Portions!$A:$A;Portions!$B:$B);FoodItems!$A:$A;FoodItems!$D:$D))</f>
        <v/>
      </c>
      <c r="I475">
        <f>IF(E475="";"";E475/100*XLOOKUP(XLOOKUP(C475;Portions!$A:$A;Portions!$B:$B);FoodItems!$A:$A;FoodItems!$E:$E))</f>
        <v/>
      </c>
    </row>
    <row r="476">
      <c r="E476">
        <f>IF(C476="";"";D476*XLOOKUP(C476;Portions!$A:$A;Portions!$D:$D))</f>
        <v/>
      </c>
      <c r="F476">
        <f>IF(E476="";"";E476/100*XLOOKUP(XLOOKUP(C476;Portions!$A:$A;Portions!$B:$B);FoodItems!$A:$A;FoodItems!$B:$B))</f>
        <v/>
      </c>
      <c r="G476">
        <f>IF(E476="";"";E476/100*XLOOKUP(XLOOKUP(C476;Portions!$A:$A;Portions!$B:$B);FoodItems!$A:$A;FoodItems!$C:$C))</f>
        <v/>
      </c>
      <c r="H476">
        <f>IF(E476="";"";E476/100*XLOOKUP(XLOOKUP(C476;Portions!$A:$A;Portions!$B:$B);FoodItems!$A:$A;FoodItems!$D:$D))</f>
        <v/>
      </c>
      <c r="I476">
        <f>IF(E476="";"";E476/100*XLOOKUP(XLOOKUP(C476;Portions!$A:$A;Portions!$B:$B);FoodItems!$A:$A;FoodItems!$E:$E))</f>
        <v/>
      </c>
    </row>
    <row r="477">
      <c r="E477">
        <f>IF(C477="";"";D477*XLOOKUP(C477;Portions!$A:$A;Portions!$D:$D))</f>
        <v/>
      </c>
      <c r="F477">
        <f>IF(E477="";"";E477/100*XLOOKUP(XLOOKUP(C477;Portions!$A:$A;Portions!$B:$B);FoodItems!$A:$A;FoodItems!$B:$B))</f>
        <v/>
      </c>
      <c r="G477">
        <f>IF(E477="";"";E477/100*XLOOKUP(XLOOKUP(C477;Portions!$A:$A;Portions!$B:$B);FoodItems!$A:$A;FoodItems!$C:$C))</f>
        <v/>
      </c>
      <c r="H477">
        <f>IF(E477="";"";E477/100*XLOOKUP(XLOOKUP(C477;Portions!$A:$A;Portions!$B:$B);FoodItems!$A:$A;FoodItems!$D:$D))</f>
        <v/>
      </c>
      <c r="I477">
        <f>IF(E477="";"";E477/100*XLOOKUP(XLOOKUP(C477;Portions!$A:$A;Portions!$B:$B);FoodItems!$A:$A;FoodItems!$E:$E))</f>
        <v/>
      </c>
    </row>
    <row r="478">
      <c r="E478">
        <f>IF(C478="";"";D478*XLOOKUP(C478;Portions!$A:$A;Portions!$D:$D))</f>
        <v/>
      </c>
      <c r="F478">
        <f>IF(E478="";"";E478/100*XLOOKUP(XLOOKUP(C478;Portions!$A:$A;Portions!$B:$B);FoodItems!$A:$A;FoodItems!$B:$B))</f>
        <v/>
      </c>
      <c r="G478">
        <f>IF(E478="";"";E478/100*XLOOKUP(XLOOKUP(C478;Portions!$A:$A;Portions!$B:$B);FoodItems!$A:$A;FoodItems!$C:$C))</f>
        <v/>
      </c>
      <c r="H478">
        <f>IF(E478="";"";E478/100*XLOOKUP(XLOOKUP(C478;Portions!$A:$A;Portions!$B:$B);FoodItems!$A:$A;FoodItems!$D:$D))</f>
        <v/>
      </c>
      <c r="I478">
        <f>IF(E478="";"";E478/100*XLOOKUP(XLOOKUP(C478;Portions!$A:$A;Portions!$B:$B);FoodItems!$A:$A;FoodItems!$E:$E))</f>
        <v/>
      </c>
    </row>
    <row r="479">
      <c r="E479">
        <f>IF(C479="";"";D479*XLOOKUP(C479;Portions!$A:$A;Portions!$D:$D))</f>
        <v/>
      </c>
      <c r="F479">
        <f>IF(E479="";"";E479/100*XLOOKUP(XLOOKUP(C479;Portions!$A:$A;Portions!$B:$B);FoodItems!$A:$A;FoodItems!$B:$B))</f>
        <v/>
      </c>
      <c r="G479">
        <f>IF(E479="";"";E479/100*XLOOKUP(XLOOKUP(C479;Portions!$A:$A;Portions!$B:$B);FoodItems!$A:$A;FoodItems!$C:$C))</f>
        <v/>
      </c>
      <c r="H479">
        <f>IF(E479="";"";E479/100*XLOOKUP(XLOOKUP(C479;Portions!$A:$A;Portions!$B:$B);FoodItems!$A:$A;FoodItems!$D:$D))</f>
        <v/>
      </c>
      <c r="I479">
        <f>IF(E479="";"";E479/100*XLOOKUP(XLOOKUP(C479;Portions!$A:$A;Portions!$B:$B);FoodItems!$A:$A;FoodItems!$E:$E))</f>
        <v/>
      </c>
    </row>
    <row r="480">
      <c r="E480">
        <f>IF(C480="";"";D480*XLOOKUP(C480;Portions!$A:$A;Portions!$D:$D))</f>
        <v/>
      </c>
      <c r="F480">
        <f>IF(E480="";"";E480/100*XLOOKUP(XLOOKUP(C480;Portions!$A:$A;Portions!$B:$B);FoodItems!$A:$A;FoodItems!$B:$B))</f>
        <v/>
      </c>
      <c r="G480">
        <f>IF(E480="";"";E480/100*XLOOKUP(XLOOKUP(C480;Portions!$A:$A;Portions!$B:$B);FoodItems!$A:$A;FoodItems!$C:$C))</f>
        <v/>
      </c>
      <c r="H480">
        <f>IF(E480="";"";E480/100*XLOOKUP(XLOOKUP(C480;Portions!$A:$A;Portions!$B:$B);FoodItems!$A:$A;FoodItems!$D:$D))</f>
        <v/>
      </c>
      <c r="I480">
        <f>IF(E480="";"";E480/100*XLOOKUP(XLOOKUP(C480;Portions!$A:$A;Portions!$B:$B);FoodItems!$A:$A;FoodItems!$E:$E))</f>
        <v/>
      </c>
    </row>
    <row r="481">
      <c r="E481">
        <f>IF(C481="";"";D481*XLOOKUP(C481;Portions!$A:$A;Portions!$D:$D))</f>
        <v/>
      </c>
      <c r="F481">
        <f>IF(E481="";"";E481/100*XLOOKUP(XLOOKUP(C481;Portions!$A:$A;Portions!$B:$B);FoodItems!$A:$A;FoodItems!$B:$B))</f>
        <v/>
      </c>
      <c r="G481">
        <f>IF(E481="";"";E481/100*XLOOKUP(XLOOKUP(C481;Portions!$A:$A;Portions!$B:$B);FoodItems!$A:$A;FoodItems!$C:$C))</f>
        <v/>
      </c>
      <c r="H481">
        <f>IF(E481="";"";E481/100*XLOOKUP(XLOOKUP(C481;Portions!$A:$A;Portions!$B:$B);FoodItems!$A:$A;FoodItems!$D:$D))</f>
        <v/>
      </c>
      <c r="I481">
        <f>IF(E481="";"";E481/100*XLOOKUP(XLOOKUP(C481;Portions!$A:$A;Portions!$B:$B);FoodItems!$A:$A;FoodItems!$E:$E))</f>
        <v/>
      </c>
    </row>
    <row r="482">
      <c r="E482">
        <f>IF(C482="";"";D482*XLOOKUP(C482;Portions!$A:$A;Portions!$D:$D))</f>
        <v/>
      </c>
      <c r="F482">
        <f>IF(E482="";"";E482/100*XLOOKUP(XLOOKUP(C482;Portions!$A:$A;Portions!$B:$B);FoodItems!$A:$A;FoodItems!$B:$B))</f>
        <v/>
      </c>
      <c r="G482">
        <f>IF(E482="";"";E482/100*XLOOKUP(XLOOKUP(C482;Portions!$A:$A;Portions!$B:$B);FoodItems!$A:$A;FoodItems!$C:$C))</f>
        <v/>
      </c>
      <c r="H482">
        <f>IF(E482="";"";E482/100*XLOOKUP(XLOOKUP(C482;Portions!$A:$A;Portions!$B:$B);FoodItems!$A:$A;FoodItems!$D:$D))</f>
        <v/>
      </c>
      <c r="I482">
        <f>IF(E482="";"";E482/100*XLOOKUP(XLOOKUP(C482;Portions!$A:$A;Portions!$B:$B);FoodItems!$A:$A;FoodItems!$E:$E))</f>
        <v/>
      </c>
    </row>
    <row r="483">
      <c r="E483">
        <f>IF(C483="";"";D483*XLOOKUP(C483;Portions!$A:$A;Portions!$D:$D))</f>
        <v/>
      </c>
      <c r="F483">
        <f>IF(E483="";"";E483/100*XLOOKUP(XLOOKUP(C483;Portions!$A:$A;Portions!$B:$B);FoodItems!$A:$A;FoodItems!$B:$B))</f>
        <v/>
      </c>
      <c r="G483">
        <f>IF(E483="";"";E483/100*XLOOKUP(XLOOKUP(C483;Portions!$A:$A;Portions!$B:$B);FoodItems!$A:$A;FoodItems!$C:$C))</f>
        <v/>
      </c>
      <c r="H483">
        <f>IF(E483="";"";E483/100*XLOOKUP(XLOOKUP(C483;Portions!$A:$A;Portions!$B:$B);FoodItems!$A:$A;FoodItems!$D:$D))</f>
        <v/>
      </c>
      <c r="I483">
        <f>IF(E483="";"";E483/100*XLOOKUP(XLOOKUP(C483;Portions!$A:$A;Portions!$B:$B);FoodItems!$A:$A;FoodItems!$E:$E))</f>
        <v/>
      </c>
    </row>
    <row r="484">
      <c r="E484">
        <f>IF(C484="";"";D484*XLOOKUP(C484;Portions!$A:$A;Portions!$D:$D))</f>
        <v/>
      </c>
      <c r="F484">
        <f>IF(E484="";"";E484/100*XLOOKUP(XLOOKUP(C484;Portions!$A:$A;Portions!$B:$B);FoodItems!$A:$A;FoodItems!$B:$B))</f>
        <v/>
      </c>
      <c r="G484">
        <f>IF(E484="";"";E484/100*XLOOKUP(XLOOKUP(C484;Portions!$A:$A;Portions!$B:$B);FoodItems!$A:$A;FoodItems!$C:$C))</f>
        <v/>
      </c>
      <c r="H484">
        <f>IF(E484="";"";E484/100*XLOOKUP(XLOOKUP(C484;Portions!$A:$A;Portions!$B:$B);FoodItems!$A:$A;FoodItems!$D:$D))</f>
        <v/>
      </c>
      <c r="I484">
        <f>IF(E484="";"";E484/100*XLOOKUP(XLOOKUP(C484;Portions!$A:$A;Portions!$B:$B);FoodItems!$A:$A;FoodItems!$E:$E))</f>
        <v/>
      </c>
    </row>
    <row r="485">
      <c r="E485">
        <f>IF(C485="";"";D485*XLOOKUP(C485;Portions!$A:$A;Portions!$D:$D))</f>
        <v/>
      </c>
      <c r="F485">
        <f>IF(E485="";"";E485/100*XLOOKUP(XLOOKUP(C485;Portions!$A:$A;Portions!$B:$B);FoodItems!$A:$A;FoodItems!$B:$B))</f>
        <v/>
      </c>
      <c r="G485">
        <f>IF(E485="";"";E485/100*XLOOKUP(XLOOKUP(C485;Portions!$A:$A;Portions!$B:$B);FoodItems!$A:$A;FoodItems!$C:$C))</f>
        <v/>
      </c>
      <c r="H485">
        <f>IF(E485="";"";E485/100*XLOOKUP(XLOOKUP(C485;Portions!$A:$A;Portions!$B:$B);FoodItems!$A:$A;FoodItems!$D:$D))</f>
        <v/>
      </c>
      <c r="I485">
        <f>IF(E485="";"";E485/100*XLOOKUP(XLOOKUP(C485;Portions!$A:$A;Portions!$B:$B);FoodItems!$A:$A;FoodItems!$E:$E))</f>
        <v/>
      </c>
    </row>
    <row r="486">
      <c r="E486">
        <f>IF(C486="";"";D486*XLOOKUP(C486;Portions!$A:$A;Portions!$D:$D))</f>
        <v/>
      </c>
      <c r="F486">
        <f>IF(E486="";"";E486/100*XLOOKUP(XLOOKUP(C486;Portions!$A:$A;Portions!$B:$B);FoodItems!$A:$A;FoodItems!$B:$B))</f>
        <v/>
      </c>
      <c r="G486">
        <f>IF(E486="";"";E486/100*XLOOKUP(XLOOKUP(C486;Portions!$A:$A;Portions!$B:$B);FoodItems!$A:$A;FoodItems!$C:$C))</f>
        <v/>
      </c>
      <c r="H486">
        <f>IF(E486="";"";E486/100*XLOOKUP(XLOOKUP(C486;Portions!$A:$A;Portions!$B:$B);FoodItems!$A:$A;FoodItems!$D:$D))</f>
        <v/>
      </c>
      <c r="I486">
        <f>IF(E486="";"";E486/100*XLOOKUP(XLOOKUP(C486;Portions!$A:$A;Portions!$B:$B);FoodItems!$A:$A;FoodItems!$E:$E))</f>
        <v/>
      </c>
    </row>
    <row r="487">
      <c r="E487">
        <f>IF(C487="";"";D487*XLOOKUP(C487;Portions!$A:$A;Portions!$D:$D))</f>
        <v/>
      </c>
      <c r="F487">
        <f>IF(E487="";"";E487/100*XLOOKUP(XLOOKUP(C487;Portions!$A:$A;Portions!$B:$B);FoodItems!$A:$A;FoodItems!$B:$B))</f>
        <v/>
      </c>
      <c r="G487">
        <f>IF(E487="";"";E487/100*XLOOKUP(XLOOKUP(C487;Portions!$A:$A;Portions!$B:$B);FoodItems!$A:$A;FoodItems!$C:$C))</f>
        <v/>
      </c>
      <c r="H487">
        <f>IF(E487="";"";E487/100*XLOOKUP(XLOOKUP(C487;Portions!$A:$A;Portions!$B:$B);FoodItems!$A:$A;FoodItems!$D:$D))</f>
        <v/>
      </c>
      <c r="I487">
        <f>IF(E487="";"";E487/100*XLOOKUP(XLOOKUP(C487;Portions!$A:$A;Portions!$B:$B);FoodItems!$A:$A;FoodItems!$E:$E))</f>
        <v/>
      </c>
    </row>
    <row r="488">
      <c r="E488">
        <f>IF(C488="";"";D488*XLOOKUP(C488;Portions!$A:$A;Portions!$D:$D))</f>
        <v/>
      </c>
      <c r="F488">
        <f>IF(E488="";"";E488/100*XLOOKUP(XLOOKUP(C488;Portions!$A:$A;Portions!$B:$B);FoodItems!$A:$A;FoodItems!$B:$B))</f>
        <v/>
      </c>
      <c r="G488">
        <f>IF(E488="";"";E488/100*XLOOKUP(XLOOKUP(C488;Portions!$A:$A;Portions!$B:$B);FoodItems!$A:$A;FoodItems!$C:$C))</f>
        <v/>
      </c>
      <c r="H488">
        <f>IF(E488="";"";E488/100*XLOOKUP(XLOOKUP(C488;Portions!$A:$A;Portions!$B:$B);FoodItems!$A:$A;FoodItems!$D:$D))</f>
        <v/>
      </c>
      <c r="I488">
        <f>IF(E488="";"";E488/100*XLOOKUP(XLOOKUP(C488;Portions!$A:$A;Portions!$B:$B);FoodItems!$A:$A;FoodItems!$E:$E))</f>
        <v/>
      </c>
    </row>
    <row r="489">
      <c r="E489">
        <f>IF(C489="";"";D489*XLOOKUP(C489;Portions!$A:$A;Portions!$D:$D))</f>
        <v/>
      </c>
      <c r="F489">
        <f>IF(E489="";"";E489/100*XLOOKUP(XLOOKUP(C489;Portions!$A:$A;Portions!$B:$B);FoodItems!$A:$A;FoodItems!$B:$B))</f>
        <v/>
      </c>
      <c r="G489">
        <f>IF(E489="";"";E489/100*XLOOKUP(XLOOKUP(C489;Portions!$A:$A;Portions!$B:$B);FoodItems!$A:$A;FoodItems!$C:$C))</f>
        <v/>
      </c>
      <c r="H489">
        <f>IF(E489="";"";E489/100*XLOOKUP(XLOOKUP(C489;Portions!$A:$A;Portions!$B:$B);FoodItems!$A:$A;FoodItems!$D:$D))</f>
        <v/>
      </c>
      <c r="I489">
        <f>IF(E489="";"";E489/100*XLOOKUP(XLOOKUP(C489;Portions!$A:$A;Portions!$B:$B);FoodItems!$A:$A;FoodItems!$E:$E))</f>
        <v/>
      </c>
    </row>
    <row r="490">
      <c r="E490">
        <f>IF(C490="";"";D490*XLOOKUP(C490;Portions!$A:$A;Portions!$D:$D))</f>
        <v/>
      </c>
      <c r="F490">
        <f>IF(E490="";"";E490/100*XLOOKUP(XLOOKUP(C490;Portions!$A:$A;Portions!$B:$B);FoodItems!$A:$A;FoodItems!$B:$B))</f>
        <v/>
      </c>
      <c r="G490">
        <f>IF(E490="";"";E490/100*XLOOKUP(XLOOKUP(C490;Portions!$A:$A;Portions!$B:$B);FoodItems!$A:$A;FoodItems!$C:$C))</f>
        <v/>
      </c>
      <c r="H490">
        <f>IF(E490="";"";E490/100*XLOOKUP(XLOOKUP(C490;Portions!$A:$A;Portions!$B:$B);FoodItems!$A:$A;FoodItems!$D:$D))</f>
        <v/>
      </c>
      <c r="I490">
        <f>IF(E490="";"";E490/100*XLOOKUP(XLOOKUP(C490;Portions!$A:$A;Portions!$B:$B);FoodItems!$A:$A;FoodItems!$E:$E))</f>
        <v/>
      </c>
    </row>
    <row r="491">
      <c r="E491">
        <f>IF(C491="";"";D491*XLOOKUP(C491;Portions!$A:$A;Portions!$D:$D))</f>
        <v/>
      </c>
      <c r="F491">
        <f>IF(E491="";"";E491/100*XLOOKUP(XLOOKUP(C491;Portions!$A:$A;Portions!$B:$B);FoodItems!$A:$A;FoodItems!$B:$B))</f>
        <v/>
      </c>
      <c r="G491">
        <f>IF(E491="";"";E491/100*XLOOKUP(XLOOKUP(C491;Portions!$A:$A;Portions!$B:$B);FoodItems!$A:$A;FoodItems!$C:$C))</f>
        <v/>
      </c>
      <c r="H491">
        <f>IF(E491="";"";E491/100*XLOOKUP(XLOOKUP(C491;Portions!$A:$A;Portions!$B:$B);FoodItems!$A:$A;FoodItems!$D:$D))</f>
        <v/>
      </c>
      <c r="I491">
        <f>IF(E491="";"";E491/100*XLOOKUP(XLOOKUP(C491;Portions!$A:$A;Portions!$B:$B);FoodItems!$A:$A;FoodItems!$E:$E))</f>
        <v/>
      </c>
    </row>
    <row r="492">
      <c r="E492">
        <f>IF(C492="";"";D492*XLOOKUP(C492;Portions!$A:$A;Portions!$D:$D))</f>
        <v/>
      </c>
      <c r="F492">
        <f>IF(E492="";"";E492/100*XLOOKUP(XLOOKUP(C492;Portions!$A:$A;Portions!$B:$B);FoodItems!$A:$A;FoodItems!$B:$B))</f>
        <v/>
      </c>
      <c r="G492">
        <f>IF(E492="";"";E492/100*XLOOKUP(XLOOKUP(C492;Portions!$A:$A;Portions!$B:$B);FoodItems!$A:$A;FoodItems!$C:$C))</f>
        <v/>
      </c>
      <c r="H492">
        <f>IF(E492="";"";E492/100*XLOOKUP(XLOOKUP(C492;Portions!$A:$A;Portions!$B:$B);FoodItems!$A:$A;FoodItems!$D:$D))</f>
        <v/>
      </c>
      <c r="I492">
        <f>IF(E492="";"";E492/100*XLOOKUP(XLOOKUP(C492;Portions!$A:$A;Portions!$B:$B);FoodItems!$A:$A;FoodItems!$E:$E))</f>
        <v/>
      </c>
    </row>
    <row r="493">
      <c r="E493">
        <f>IF(C493="";"";D493*XLOOKUP(C493;Portions!$A:$A;Portions!$D:$D))</f>
        <v/>
      </c>
      <c r="F493">
        <f>IF(E493="";"";E493/100*XLOOKUP(XLOOKUP(C493;Portions!$A:$A;Portions!$B:$B);FoodItems!$A:$A;FoodItems!$B:$B))</f>
        <v/>
      </c>
      <c r="G493">
        <f>IF(E493="";"";E493/100*XLOOKUP(XLOOKUP(C493;Portions!$A:$A;Portions!$B:$B);FoodItems!$A:$A;FoodItems!$C:$C))</f>
        <v/>
      </c>
      <c r="H493">
        <f>IF(E493="";"";E493/100*XLOOKUP(XLOOKUP(C493;Portions!$A:$A;Portions!$B:$B);FoodItems!$A:$A;FoodItems!$D:$D))</f>
        <v/>
      </c>
      <c r="I493">
        <f>IF(E493="";"";E493/100*XLOOKUP(XLOOKUP(C493;Portions!$A:$A;Portions!$B:$B);FoodItems!$A:$A;FoodItems!$E:$E))</f>
        <v/>
      </c>
    </row>
    <row r="494">
      <c r="E494">
        <f>IF(C494="";"";D494*XLOOKUP(C494;Portions!$A:$A;Portions!$D:$D))</f>
        <v/>
      </c>
      <c r="F494">
        <f>IF(E494="";"";E494/100*XLOOKUP(XLOOKUP(C494;Portions!$A:$A;Portions!$B:$B);FoodItems!$A:$A;FoodItems!$B:$B))</f>
        <v/>
      </c>
      <c r="G494">
        <f>IF(E494="";"";E494/100*XLOOKUP(XLOOKUP(C494;Portions!$A:$A;Portions!$B:$B);FoodItems!$A:$A;FoodItems!$C:$C))</f>
        <v/>
      </c>
      <c r="H494">
        <f>IF(E494="";"";E494/100*XLOOKUP(XLOOKUP(C494;Portions!$A:$A;Portions!$B:$B);FoodItems!$A:$A;FoodItems!$D:$D))</f>
        <v/>
      </c>
      <c r="I494">
        <f>IF(E494="";"";E494/100*XLOOKUP(XLOOKUP(C494;Portions!$A:$A;Portions!$B:$B);FoodItems!$A:$A;FoodItems!$E:$E))</f>
        <v/>
      </c>
    </row>
    <row r="495">
      <c r="E495">
        <f>IF(C495="";"";D495*XLOOKUP(C495;Portions!$A:$A;Portions!$D:$D))</f>
        <v/>
      </c>
      <c r="F495">
        <f>IF(E495="";"";E495/100*XLOOKUP(XLOOKUP(C495;Portions!$A:$A;Portions!$B:$B);FoodItems!$A:$A;FoodItems!$B:$B))</f>
        <v/>
      </c>
      <c r="G495">
        <f>IF(E495="";"";E495/100*XLOOKUP(XLOOKUP(C495;Portions!$A:$A;Portions!$B:$B);FoodItems!$A:$A;FoodItems!$C:$C))</f>
        <v/>
      </c>
      <c r="H495">
        <f>IF(E495="";"";E495/100*XLOOKUP(XLOOKUP(C495;Portions!$A:$A;Portions!$B:$B);FoodItems!$A:$A;FoodItems!$D:$D))</f>
        <v/>
      </c>
      <c r="I495">
        <f>IF(E495="";"";E495/100*XLOOKUP(XLOOKUP(C495;Portions!$A:$A;Portions!$B:$B);FoodItems!$A:$A;FoodItems!$E:$E))</f>
        <v/>
      </c>
    </row>
    <row r="496">
      <c r="E496">
        <f>IF(C496="";"";D496*XLOOKUP(C496;Portions!$A:$A;Portions!$D:$D))</f>
        <v/>
      </c>
      <c r="F496">
        <f>IF(E496="";"";E496/100*XLOOKUP(XLOOKUP(C496;Portions!$A:$A;Portions!$B:$B);FoodItems!$A:$A;FoodItems!$B:$B))</f>
        <v/>
      </c>
      <c r="G496">
        <f>IF(E496="";"";E496/100*XLOOKUP(XLOOKUP(C496;Portions!$A:$A;Portions!$B:$B);FoodItems!$A:$A;FoodItems!$C:$C))</f>
        <v/>
      </c>
      <c r="H496">
        <f>IF(E496="";"";E496/100*XLOOKUP(XLOOKUP(C496;Portions!$A:$A;Portions!$B:$B);FoodItems!$A:$A;FoodItems!$D:$D))</f>
        <v/>
      </c>
      <c r="I496">
        <f>IF(E496="";"";E496/100*XLOOKUP(XLOOKUP(C496;Portions!$A:$A;Portions!$B:$B);FoodItems!$A:$A;FoodItems!$E:$E))</f>
        <v/>
      </c>
    </row>
    <row r="497">
      <c r="E497">
        <f>IF(C497="";"";D497*XLOOKUP(C497;Portions!$A:$A;Portions!$D:$D))</f>
        <v/>
      </c>
      <c r="F497">
        <f>IF(E497="";"";E497/100*XLOOKUP(XLOOKUP(C497;Portions!$A:$A;Portions!$B:$B);FoodItems!$A:$A;FoodItems!$B:$B))</f>
        <v/>
      </c>
      <c r="G497">
        <f>IF(E497="";"";E497/100*XLOOKUP(XLOOKUP(C497;Portions!$A:$A;Portions!$B:$B);FoodItems!$A:$A;FoodItems!$C:$C))</f>
        <v/>
      </c>
      <c r="H497">
        <f>IF(E497="";"";E497/100*XLOOKUP(XLOOKUP(C497;Portions!$A:$A;Portions!$B:$B);FoodItems!$A:$A;FoodItems!$D:$D))</f>
        <v/>
      </c>
      <c r="I497">
        <f>IF(E497="";"";E497/100*XLOOKUP(XLOOKUP(C497;Portions!$A:$A;Portions!$B:$B);FoodItems!$A:$A;FoodItems!$E:$E))</f>
        <v/>
      </c>
    </row>
    <row r="498">
      <c r="E498">
        <f>IF(C498="";"";D498*XLOOKUP(C498;Portions!$A:$A;Portions!$D:$D))</f>
        <v/>
      </c>
      <c r="F498">
        <f>IF(E498="";"";E498/100*XLOOKUP(XLOOKUP(C498;Portions!$A:$A;Portions!$B:$B);FoodItems!$A:$A;FoodItems!$B:$B))</f>
        <v/>
      </c>
      <c r="G498">
        <f>IF(E498="";"";E498/100*XLOOKUP(XLOOKUP(C498;Portions!$A:$A;Portions!$B:$B);FoodItems!$A:$A;FoodItems!$C:$C))</f>
        <v/>
      </c>
      <c r="H498">
        <f>IF(E498="";"";E498/100*XLOOKUP(XLOOKUP(C498;Portions!$A:$A;Portions!$B:$B);FoodItems!$A:$A;FoodItems!$D:$D))</f>
        <v/>
      </c>
      <c r="I498">
        <f>IF(E498="";"";E498/100*XLOOKUP(XLOOKUP(C498;Portions!$A:$A;Portions!$B:$B);FoodItems!$A:$A;FoodItems!$E:$E))</f>
        <v/>
      </c>
    </row>
    <row r="499">
      <c r="E499">
        <f>IF(C499="";"";D499*XLOOKUP(C499;Portions!$A:$A;Portions!$D:$D))</f>
        <v/>
      </c>
      <c r="F499">
        <f>IF(E499="";"";E499/100*XLOOKUP(XLOOKUP(C499;Portions!$A:$A;Portions!$B:$B);FoodItems!$A:$A;FoodItems!$B:$B))</f>
        <v/>
      </c>
      <c r="G499">
        <f>IF(E499="";"";E499/100*XLOOKUP(XLOOKUP(C499;Portions!$A:$A;Portions!$B:$B);FoodItems!$A:$A;FoodItems!$C:$C))</f>
        <v/>
      </c>
      <c r="H499">
        <f>IF(E499="";"";E499/100*XLOOKUP(XLOOKUP(C499;Portions!$A:$A;Portions!$B:$B);FoodItems!$A:$A;FoodItems!$D:$D))</f>
        <v/>
      </c>
      <c r="I499">
        <f>IF(E499="";"";E499/100*XLOOKUP(XLOOKUP(C499;Portions!$A:$A;Portions!$B:$B);FoodItems!$A:$A;FoodItems!$E:$E))</f>
        <v/>
      </c>
    </row>
    <row r="500">
      <c r="E500">
        <f>IF(C500="";"";D500*XLOOKUP(C500;Portions!$A:$A;Portions!$D:$D))</f>
        <v/>
      </c>
      <c r="F500">
        <f>IF(E500="";"";E500/100*XLOOKUP(XLOOKUP(C500;Portions!$A:$A;Portions!$B:$B);FoodItems!$A:$A;FoodItems!$B:$B))</f>
        <v/>
      </c>
      <c r="G500">
        <f>IF(E500="";"";E500/100*XLOOKUP(XLOOKUP(C500;Portions!$A:$A;Portions!$B:$B);FoodItems!$A:$A;FoodItems!$C:$C))</f>
        <v/>
      </c>
      <c r="H500">
        <f>IF(E500="";"";E500/100*XLOOKUP(XLOOKUP(C500;Portions!$A:$A;Portions!$B:$B);FoodItems!$A:$A;FoodItems!$D:$D))</f>
        <v/>
      </c>
      <c r="I500">
        <f>IF(E500="";"";E500/100*XLOOKUP(XLOOKUP(C500;Portions!$A:$A;Portions!$B:$B);FoodItems!$A:$A;FoodItems!$E:$E))</f>
        <v/>
      </c>
    </row>
    <row r="501">
      <c r="E501">
        <f>IF(C501="";"";D501*XLOOKUP(C501;Portions!$A:$A;Portions!$D:$D))</f>
        <v/>
      </c>
      <c r="F501">
        <f>IF(E501="";"";E501/100*XLOOKUP(XLOOKUP(C501;Portions!$A:$A;Portions!$B:$B);FoodItems!$A:$A;FoodItems!$B:$B))</f>
        <v/>
      </c>
      <c r="G501">
        <f>IF(E501="";"";E501/100*XLOOKUP(XLOOKUP(C501;Portions!$A:$A;Portions!$B:$B);FoodItems!$A:$A;FoodItems!$C:$C))</f>
        <v/>
      </c>
      <c r="H501">
        <f>IF(E501="";"";E501/100*XLOOKUP(XLOOKUP(C501;Portions!$A:$A;Portions!$B:$B);FoodItems!$A:$A;FoodItems!$D:$D))</f>
        <v/>
      </c>
      <c r="I501">
        <f>IF(E501="";"";E501/100*XLOOKUP(XLOOKUP(C501;Portions!$A:$A;Portions!$B:$B);FoodItems!$A:$A;FoodItems!$E:$E))</f>
        <v/>
      </c>
    </row>
    <row r="502">
      <c r="E502">
        <f>IF(C502="";"";D502*XLOOKUP(C502;Portions!$A:$A;Portions!$D:$D))</f>
        <v/>
      </c>
      <c r="F502">
        <f>IF(E502="";"";E502/100*XLOOKUP(XLOOKUP(C502;Portions!$A:$A;Portions!$B:$B);FoodItems!$A:$A;FoodItems!$B:$B))</f>
        <v/>
      </c>
      <c r="G502">
        <f>IF(E502="";"";E502/100*XLOOKUP(XLOOKUP(C502;Portions!$A:$A;Portions!$B:$B);FoodItems!$A:$A;FoodItems!$C:$C))</f>
        <v/>
      </c>
      <c r="H502">
        <f>IF(E502="";"";E502/100*XLOOKUP(XLOOKUP(C502;Portions!$A:$A;Portions!$B:$B);FoodItems!$A:$A;FoodItems!$D:$D))</f>
        <v/>
      </c>
      <c r="I502">
        <f>IF(E502="";"";E502/100*XLOOKUP(XLOOKUP(C502;Portions!$A:$A;Portions!$B:$B);FoodItems!$A:$A;FoodItems!$E:$E))</f>
        <v/>
      </c>
    </row>
    <row r="503">
      <c r="E503">
        <f>IF(C503="";"";D503*XLOOKUP(C503;Portions!$A:$A;Portions!$D:$D))</f>
        <v/>
      </c>
      <c r="F503">
        <f>IF(E503="";"";E503/100*XLOOKUP(XLOOKUP(C503;Portions!$A:$A;Portions!$B:$B);FoodItems!$A:$A;FoodItems!$B:$B))</f>
        <v/>
      </c>
      <c r="G503">
        <f>IF(E503="";"";E503/100*XLOOKUP(XLOOKUP(C503;Portions!$A:$A;Portions!$B:$B);FoodItems!$A:$A;FoodItems!$C:$C))</f>
        <v/>
      </c>
      <c r="H503">
        <f>IF(E503="";"";E503/100*XLOOKUP(XLOOKUP(C503;Portions!$A:$A;Portions!$B:$B);FoodItems!$A:$A;FoodItems!$D:$D))</f>
        <v/>
      </c>
      <c r="I503">
        <f>IF(E503="";"";E503/100*XLOOKUP(XLOOKUP(C503;Portions!$A:$A;Portions!$B:$B);FoodItems!$A:$A;FoodItems!$E:$E))</f>
        <v/>
      </c>
    </row>
    <row r="504">
      <c r="E504">
        <f>IF(C504="";"";D504*XLOOKUP(C504;Portions!$A:$A;Portions!$D:$D))</f>
        <v/>
      </c>
      <c r="F504">
        <f>IF(E504="";"";E504/100*XLOOKUP(XLOOKUP(C504;Portions!$A:$A;Portions!$B:$B);FoodItems!$A:$A;FoodItems!$B:$B))</f>
        <v/>
      </c>
      <c r="G504">
        <f>IF(E504="";"";E504/100*XLOOKUP(XLOOKUP(C504;Portions!$A:$A;Portions!$B:$B);FoodItems!$A:$A;FoodItems!$C:$C))</f>
        <v/>
      </c>
      <c r="H504">
        <f>IF(E504="";"";E504/100*XLOOKUP(XLOOKUP(C504;Portions!$A:$A;Portions!$B:$B);FoodItems!$A:$A;FoodItems!$D:$D))</f>
        <v/>
      </c>
      <c r="I504">
        <f>IF(E504="";"";E504/100*XLOOKUP(XLOOKUP(C504;Portions!$A:$A;Portions!$B:$B);FoodItems!$A:$A;FoodItems!$E:$E))</f>
        <v/>
      </c>
    </row>
    <row r="505">
      <c r="E505">
        <f>IF(C505="";"";D505*XLOOKUP(C505;Portions!$A:$A;Portions!$D:$D))</f>
        <v/>
      </c>
      <c r="F505">
        <f>IF(E505="";"";E505/100*XLOOKUP(XLOOKUP(C505;Portions!$A:$A;Portions!$B:$B);FoodItems!$A:$A;FoodItems!$B:$B))</f>
        <v/>
      </c>
      <c r="G505">
        <f>IF(E505="";"";E505/100*XLOOKUP(XLOOKUP(C505;Portions!$A:$A;Portions!$B:$B);FoodItems!$A:$A;FoodItems!$C:$C))</f>
        <v/>
      </c>
      <c r="H505">
        <f>IF(E505="";"";E505/100*XLOOKUP(XLOOKUP(C505;Portions!$A:$A;Portions!$B:$B);FoodItems!$A:$A;FoodItems!$D:$D))</f>
        <v/>
      </c>
      <c r="I505">
        <f>IF(E505="";"";E505/100*XLOOKUP(XLOOKUP(C505;Portions!$A:$A;Portions!$B:$B);FoodItems!$A:$A;FoodItems!$E:$E))</f>
        <v/>
      </c>
    </row>
    <row r="506">
      <c r="E506">
        <f>IF(C506="";"";D506*XLOOKUP(C506;Portions!$A:$A;Portions!$D:$D))</f>
        <v/>
      </c>
      <c r="F506">
        <f>IF(E506="";"";E506/100*XLOOKUP(XLOOKUP(C506;Portions!$A:$A;Portions!$B:$B);FoodItems!$A:$A;FoodItems!$B:$B))</f>
        <v/>
      </c>
      <c r="G506">
        <f>IF(E506="";"";E506/100*XLOOKUP(XLOOKUP(C506;Portions!$A:$A;Portions!$B:$B);FoodItems!$A:$A;FoodItems!$C:$C))</f>
        <v/>
      </c>
      <c r="H506">
        <f>IF(E506="";"";E506/100*XLOOKUP(XLOOKUP(C506;Portions!$A:$A;Portions!$B:$B);FoodItems!$A:$A;FoodItems!$D:$D))</f>
        <v/>
      </c>
      <c r="I506">
        <f>IF(E506="";"";E506/100*XLOOKUP(XLOOKUP(C506;Portions!$A:$A;Portions!$B:$B);FoodItems!$A:$A;FoodItems!$E:$E))</f>
        <v/>
      </c>
    </row>
    <row r="507">
      <c r="E507">
        <f>IF(C507="";"";D507*XLOOKUP(C507;Portions!$A:$A;Portions!$D:$D))</f>
        <v/>
      </c>
      <c r="F507">
        <f>IF(E507="";"";E507/100*XLOOKUP(XLOOKUP(C507;Portions!$A:$A;Portions!$B:$B);FoodItems!$A:$A;FoodItems!$B:$B))</f>
        <v/>
      </c>
      <c r="G507">
        <f>IF(E507="";"";E507/100*XLOOKUP(XLOOKUP(C507;Portions!$A:$A;Portions!$B:$B);FoodItems!$A:$A;FoodItems!$C:$C))</f>
        <v/>
      </c>
      <c r="H507">
        <f>IF(E507="";"";E507/100*XLOOKUP(XLOOKUP(C507;Portions!$A:$A;Portions!$B:$B);FoodItems!$A:$A;FoodItems!$D:$D))</f>
        <v/>
      </c>
      <c r="I507">
        <f>IF(E507="";"";E507/100*XLOOKUP(XLOOKUP(C507;Portions!$A:$A;Portions!$B:$B);FoodItems!$A:$A;FoodItems!$E:$E))</f>
        <v/>
      </c>
    </row>
    <row r="508">
      <c r="E508">
        <f>IF(C508="";"";D508*XLOOKUP(C508;Portions!$A:$A;Portions!$D:$D))</f>
        <v/>
      </c>
      <c r="F508">
        <f>IF(E508="";"";E508/100*XLOOKUP(XLOOKUP(C508;Portions!$A:$A;Portions!$B:$B);FoodItems!$A:$A;FoodItems!$B:$B))</f>
        <v/>
      </c>
      <c r="G508">
        <f>IF(E508="";"";E508/100*XLOOKUP(XLOOKUP(C508;Portions!$A:$A;Portions!$B:$B);FoodItems!$A:$A;FoodItems!$C:$C))</f>
        <v/>
      </c>
      <c r="H508">
        <f>IF(E508="";"";E508/100*XLOOKUP(XLOOKUP(C508;Portions!$A:$A;Portions!$B:$B);FoodItems!$A:$A;FoodItems!$D:$D))</f>
        <v/>
      </c>
      <c r="I508">
        <f>IF(E508="";"";E508/100*XLOOKUP(XLOOKUP(C508;Portions!$A:$A;Portions!$B:$B);FoodItems!$A:$A;FoodItems!$E:$E))</f>
        <v/>
      </c>
    </row>
    <row r="509">
      <c r="E509">
        <f>IF(C509="";"";D509*XLOOKUP(C509;Portions!$A:$A;Portions!$D:$D))</f>
        <v/>
      </c>
      <c r="F509">
        <f>IF(E509="";"";E509/100*XLOOKUP(XLOOKUP(C509;Portions!$A:$A;Portions!$B:$B);FoodItems!$A:$A;FoodItems!$B:$B))</f>
        <v/>
      </c>
      <c r="G509">
        <f>IF(E509="";"";E509/100*XLOOKUP(XLOOKUP(C509;Portions!$A:$A;Portions!$B:$B);FoodItems!$A:$A;FoodItems!$C:$C))</f>
        <v/>
      </c>
      <c r="H509">
        <f>IF(E509="";"";E509/100*XLOOKUP(XLOOKUP(C509;Portions!$A:$A;Portions!$B:$B);FoodItems!$A:$A;FoodItems!$D:$D))</f>
        <v/>
      </c>
      <c r="I509">
        <f>IF(E509="";"";E509/100*XLOOKUP(XLOOKUP(C509;Portions!$A:$A;Portions!$B:$B);FoodItems!$A:$A;FoodItems!$E:$E))</f>
        <v/>
      </c>
    </row>
    <row r="510">
      <c r="E510">
        <f>IF(C510="";"";D510*XLOOKUP(C510;Portions!$A:$A;Portions!$D:$D))</f>
        <v/>
      </c>
      <c r="F510">
        <f>IF(E510="";"";E510/100*XLOOKUP(XLOOKUP(C510;Portions!$A:$A;Portions!$B:$B);FoodItems!$A:$A;FoodItems!$B:$B))</f>
        <v/>
      </c>
      <c r="G510">
        <f>IF(E510="";"";E510/100*XLOOKUP(XLOOKUP(C510;Portions!$A:$A;Portions!$B:$B);FoodItems!$A:$A;FoodItems!$C:$C))</f>
        <v/>
      </c>
      <c r="H510">
        <f>IF(E510="";"";E510/100*XLOOKUP(XLOOKUP(C510;Portions!$A:$A;Portions!$B:$B);FoodItems!$A:$A;FoodItems!$D:$D))</f>
        <v/>
      </c>
      <c r="I510">
        <f>IF(E510="";"";E510/100*XLOOKUP(XLOOKUP(C510;Portions!$A:$A;Portions!$B:$B);FoodItems!$A:$A;FoodItems!$E:$E))</f>
        <v/>
      </c>
    </row>
    <row r="511">
      <c r="E511">
        <f>IF(C511="";"";D511*XLOOKUP(C511;Portions!$A:$A;Portions!$D:$D))</f>
        <v/>
      </c>
      <c r="F511">
        <f>IF(E511="";"";E511/100*XLOOKUP(XLOOKUP(C511;Portions!$A:$A;Portions!$B:$B);FoodItems!$A:$A;FoodItems!$B:$B))</f>
        <v/>
      </c>
      <c r="G511">
        <f>IF(E511="";"";E511/100*XLOOKUP(XLOOKUP(C511;Portions!$A:$A;Portions!$B:$B);FoodItems!$A:$A;FoodItems!$C:$C))</f>
        <v/>
      </c>
      <c r="H511">
        <f>IF(E511="";"";E511/100*XLOOKUP(XLOOKUP(C511;Portions!$A:$A;Portions!$B:$B);FoodItems!$A:$A;FoodItems!$D:$D))</f>
        <v/>
      </c>
      <c r="I511">
        <f>IF(E511="";"";E511/100*XLOOKUP(XLOOKUP(C511;Portions!$A:$A;Portions!$B:$B);FoodItems!$A:$A;FoodItems!$E:$E))</f>
        <v/>
      </c>
    </row>
    <row r="512">
      <c r="E512">
        <f>IF(C512="";"";D512*XLOOKUP(C512;Portions!$A:$A;Portions!$D:$D))</f>
        <v/>
      </c>
      <c r="F512">
        <f>IF(E512="";"";E512/100*XLOOKUP(XLOOKUP(C512;Portions!$A:$A;Portions!$B:$B);FoodItems!$A:$A;FoodItems!$B:$B))</f>
        <v/>
      </c>
      <c r="G512">
        <f>IF(E512="";"";E512/100*XLOOKUP(XLOOKUP(C512;Portions!$A:$A;Portions!$B:$B);FoodItems!$A:$A;FoodItems!$C:$C))</f>
        <v/>
      </c>
      <c r="H512">
        <f>IF(E512="";"";E512/100*XLOOKUP(XLOOKUP(C512;Portions!$A:$A;Portions!$B:$B);FoodItems!$A:$A;FoodItems!$D:$D))</f>
        <v/>
      </c>
      <c r="I512">
        <f>IF(E512="";"";E512/100*XLOOKUP(XLOOKUP(C512;Portions!$A:$A;Portions!$B:$B);FoodItems!$A:$A;FoodItems!$E:$E))</f>
        <v/>
      </c>
    </row>
    <row r="513">
      <c r="E513">
        <f>IF(C513="";"";D513*XLOOKUP(C513;Portions!$A:$A;Portions!$D:$D))</f>
        <v/>
      </c>
      <c r="F513">
        <f>IF(E513="";"";E513/100*XLOOKUP(XLOOKUP(C513;Portions!$A:$A;Portions!$B:$B);FoodItems!$A:$A;FoodItems!$B:$B))</f>
        <v/>
      </c>
      <c r="G513">
        <f>IF(E513="";"";E513/100*XLOOKUP(XLOOKUP(C513;Portions!$A:$A;Portions!$B:$B);FoodItems!$A:$A;FoodItems!$C:$C))</f>
        <v/>
      </c>
      <c r="H513">
        <f>IF(E513="";"";E513/100*XLOOKUP(XLOOKUP(C513;Portions!$A:$A;Portions!$B:$B);FoodItems!$A:$A;FoodItems!$D:$D))</f>
        <v/>
      </c>
      <c r="I513">
        <f>IF(E513="";"";E513/100*XLOOKUP(XLOOKUP(C513;Portions!$A:$A;Portions!$B:$B);FoodItems!$A:$A;FoodItems!$E:$E))</f>
        <v/>
      </c>
    </row>
    <row r="514">
      <c r="E514">
        <f>IF(C514="";"";D514*XLOOKUP(C514;Portions!$A:$A;Portions!$D:$D))</f>
        <v/>
      </c>
      <c r="F514">
        <f>IF(E514="";"";E514/100*XLOOKUP(XLOOKUP(C514;Portions!$A:$A;Portions!$B:$B);FoodItems!$A:$A;FoodItems!$B:$B))</f>
        <v/>
      </c>
      <c r="G514">
        <f>IF(E514="";"";E514/100*XLOOKUP(XLOOKUP(C514;Portions!$A:$A;Portions!$B:$B);FoodItems!$A:$A;FoodItems!$C:$C))</f>
        <v/>
      </c>
      <c r="H514">
        <f>IF(E514="";"";E514/100*XLOOKUP(XLOOKUP(C514;Portions!$A:$A;Portions!$B:$B);FoodItems!$A:$A;FoodItems!$D:$D))</f>
        <v/>
      </c>
      <c r="I514">
        <f>IF(E514="";"";E514/100*XLOOKUP(XLOOKUP(C514;Portions!$A:$A;Portions!$B:$B);FoodItems!$A:$A;FoodItems!$E:$E))</f>
        <v/>
      </c>
    </row>
    <row r="515">
      <c r="E515">
        <f>IF(C515="";"";D515*XLOOKUP(C515;Portions!$A:$A;Portions!$D:$D))</f>
        <v/>
      </c>
      <c r="F515">
        <f>IF(E515="";"";E515/100*XLOOKUP(XLOOKUP(C515;Portions!$A:$A;Portions!$B:$B);FoodItems!$A:$A;FoodItems!$B:$B))</f>
        <v/>
      </c>
      <c r="G515">
        <f>IF(E515="";"";E515/100*XLOOKUP(XLOOKUP(C515;Portions!$A:$A;Portions!$B:$B);FoodItems!$A:$A;FoodItems!$C:$C))</f>
        <v/>
      </c>
      <c r="H515">
        <f>IF(E515="";"";E515/100*XLOOKUP(XLOOKUP(C515;Portions!$A:$A;Portions!$B:$B);FoodItems!$A:$A;FoodItems!$D:$D))</f>
        <v/>
      </c>
      <c r="I515">
        <f>IF(E515="";"";E515/100*XLOOKUP(XLOOKUP(C515;Portions!$A:$A;Portions!$B:$B);FoodItems!$A:$A;FoodItems!$E:$E))</f>
        <v/>
      </c>
    </row>
    <row r="516">
      <c r="E516">
        <f>IF(C516="";"";D516*XLOOKUP(C516;Portions!$A:$A;Portions!$D:$D))</f>
        <v/>
      </c>
      <c r="F516">
        <f>IF(E516="";"";E516/100*XLOOKUP(XLOOKUP(C516;Portions!$A:$A;Portions!$B:$B);FoodItems!$A:$A;FoodItems!$B:$B))</f>
        <v/>
      </c>
      <c r="G516">
        <f>IF(E516="";"";E516/100*XLOOKUP(XLOOKUP(C516;Portions!$A:$A;Portions!$B:$B);FoodItems!$A:$A;FoodItems!$C:$C))</f>
        <v/>
      </c>
      <c r="H516">
        <f>IF(E516="";"";E516/100*XLOOKUP(XLOOKUP(C516;Portions!$A:$A;Portions!$B:$B);FoodItems!$A:$A;FoodItems!$D:$D))</f>
        <v/>
      </c>
      <c r="I516">
        <f>IF(E516="";"";E516/100*XLOOKUP(XLOOKUP(C516;Portions!$A:$A;Portions!$B:$B);FoodItems!$A:$A;FoodItems!$E:$E))</f>
        <v/>
      </c>
    </row>
    <row r="517">
      <c r="E517">
        <f>IF(C517="";"";D517*XLOOKUP(C517;Portions!$A:$A;Portions!$D:$D))</f>
        <v/>
      </c>
      <c r="F517">
        <f>IF(E517="";"";E517/100*XLOOKUP(XLOOKUP(C517;Portions!$A:$A;Portions!$B:$B);FoodItems!$A:$A;FoodItems!$B:$B))</f>
        <v/>
      </c>
      <c r="G517">
        <f>IF(E517="";"";E517/100*XLOOKUP(XLOOKUP(C517;Portions!$A:$A;Portions!$B:$B);FoodItems!$A:$A;FoodItems!$C:$C))</f>
        <v/>
      </c>
      <c r="H517">
        <f>IF(E517="";"";E517/100*XLOOKUP(XLOOKUP(C517;Portions!$A:$A;Portions!$B:$B);FoodItems!$A:$A;FoodItems!$D:$D))</f>
        <v/>
      </c>
      <c r="I517">
        <f>IF(E517="";"";E517/100*XLOOKUP(XLOOKUP(C517;Portions!$A:$A;Portions!$B:$B);FoodItems!$A:$A;FoodItems!$E:$E))</f>
        <v/>
      </c>
    </row>
    <row r="518">
      <c r="E518">
        <f>IF(C518="";"";D518*XLOOKUP(C518;Portions!$A:$A;Portions!$D:$D))</f>
        <v/>
      </c>
      <c r="F518">
        <f>IF(E518="";"";E518/100*XLOOKUP(XLOOKUP(C518;Portions!$A:$A;Portions!$B:$B);FoodItems!$A:$A;FoodItems!$B:$B))</f>
        <v/>
      </c>
      <c r="G518">
        <f>IF(E518="";"";E518/100*XLOOKUP(XLOOKUP(C518;Portions!$A:$A;Portions!$B:$B);FoodItems!$A:$A;FoodItems!$C:$C))</f>
        <v/>
      </c>
      <c r="H518">
        <f>IF(E518="";"";E518/100*XLOOKUP(XLOOKUP(C518;Portions!$A:$A;Portions!$B:$B);FoodItems!$A:$A;FoodItems!$D:$D))</f>
        <v/>
      </c>
      <c r="I518">
        <f>IF(E518="";"";E518/100*XLOOKUP(XLOOKUP(C518;Portions!$A:$A;Portions!$B:$B);FoodItems!$A:$A;FoodItems!$E:$E))</f>
        <v/>
      </c>
    </row>
    <row r="519">
      <c r="E519">
        <f>IF(C519="";"";D519*XLOOKUP(C519;Portions!$A:$A;Portions!$D:$D))</f>
        <v/>
      </c>
      <c r="F519">
        <f>IF(E519="";"";E519/100*XLOOKUP(XLOOKUP(C519;Portions!$A:$A;Portions!$B:$B);FoodItems!$A:$A;FoodItems!$B:$B))</f>
        <v/>
      </c>
      <c r="G519">
        <f>IF(E519="";"";E519/100*XLOOKUP(XLOOKUP(C519;Portions!$A:$A;Portions!$B:$B);FoodItems!$A:$A;FoodItems!$C:$C))</f>
        <v/>
      </c>
      <c r="H519">
        <f>IF(E519="";"";E519/100*XLOOKUP(XLOOKUP(C519;Portions!$A:$A;Portions!$B:$B);FoodItems!$A:$A;FoodItems!$D:$D))</f>
        <v/>
      </c>
      <c r="I519">
        <f>IF(E519="";"";E519/100*XLOOKUP(XLOOKUP(C519;Portions!$A:$A;Portions!$B:$B);FoodItems!$A:$A;FoodItems!$E:$E))</f>
        <v/>
      </c>
    </row>
    <row r="520">
      <c r="E520">
        <f>IF(C520="";"";D520*XLOOKUP(C520;Portions!$A:$A;Portions!$D:$D))</f>
        <v/>
      </c>
      <c r="F520">
        <f>IF(E520="";"";E520/100*XLOOKUP(XLOOKUP(C520;Portions!$A:$A;Portions!$B:$B);FoodItems!$A:$A;FoodItems!$B:$B))</f>
        <v/>
      </c>
      <c r="G520">
        <f>IF(E520="";"";E520/100*XLOOKUP(XLOOKUP(C520;Portions!$A:$A;Portions!$B:$B);FoodItems!$A:$A;FoodItems!$C:$C))</f>
        <v/>
      </c>
      <c r="H520">
        <f>IF(E520="";"";E520/100*XLOOKUP(XLOOKUP(C520;Portions!$A:$A;Portions!$B:$B);FoodItems!$A:$A;FoodItems!$D:$D))</f>
        <v/>
      </c>
      <c r="I520">
        <f>IF(E520="";"";E520/100*XLOOKUP(XLOOKUP(C520;Portions!$A:$A;Portions!$B:$B);FoodItems!$A:$A;FoodItems!$E:$E))</f>
        <v/>
      </c>
    </row>
    <row r="521">
      <c r="E521">
        <f>IF(C521="";"";D521*XLOOKUP(C521;Portions!$A:$A;Portions!$D:$D))</f>
        <v/>
      </c>
      <c r="F521">
        <f>IF(E521="";"";E521/100*XLOOKUP(XLOOKUP(C521;Portions!$A:$A;Portions!$B:$B);FoodItems!$A:$A;FoodItems!$B:$B))</f>
        <v/>
      </c>
      <c r="G521">
        <f>IF(E521="";"";E521/100*XLOOKUP(XLOOKUP(C521;Portions!$A:$A;Portions!$B:$B);FoodItems!$A:$A;FoodItems!$C:$C))</f>
        <v/>
      </c>
      <c r="H521">
        <f>IF(E521="";"";E521/100*XLOOKUP(XLOOKUP(C521;Portions!$A:$A;Portions!$B:$B);FoodItems!$A:$A;FoodItems!$D:$D))</f>
        <v/>
      </c>
      <c r="I521">
        <f>IF(E521="";"";E521/100*XLOOKUP(XLOOKUP(C521;Portions!$A:$A;Portions!$B:$B);FoodItems!$A:$A;FoodItems!$E:$E))</f>
        <v/>
      </c>
    </row>
    <row r="522">
      <c r="E522">
        <f>IF(C522="";"";D522*XLOOKUP(C522;Portions!$A:$A;Portions!$D:$D))</f>
        <v/>
      </c>
      <c r="F522">
        <f>IF(E522="";"";E522/100*XLOOKUP(XLOOKUP(C522;Portions!$A:$A;Portions!$B:$B);FoodItems!$A:$A;FoodItems!$B:$B))</f>
        <v/>
      </c>
      <c r="G522">
        <f>IF(E522="";"";E522/100*XLOOKUP(XLOOKUP(C522;Portions!$A:$A;Portions!$B:$B);FoodItems!$A:$A;FoodItems!$C:$C))</f>
        <v/>
      </c>
      <c r="H522">
        <f>IF(E522="";"";E522/100*XLOOKUP(XLOOKUP(C522;Portions!$A:$A;Portions!$B:$B);FoodItems!$A:$A;FoodItems!$D:$D))</f>
        <v/>
      </c>
      <c r="I522">
        <f>IF(E522="";"";E522/100*XLOOKUP(XLOOKUP(C522;Portions!$A:$A;Portions!$B:$B);FoodItems!$A:$A;FoodItems!$E:$E))</f>
        <v/>
      </c>
    </row>
    <row r="523">
      <c r="E523">
        <f>IF(C523="";"";D523*XLOOKUP(C523;Portions!$A:$A;Portions!$D:$D))</f>
        <v/>
      </c>
      <c r="F523">
        <f>IF(E523="";"";E523/100*XLOOKUP(XLOOKUP(C523;Portions!$A:$A;Portions!$B:$B);FoodItems!$A:$A;FoodItems!$B:$B))</f>
        <v/>
      </c>
      <c r="G523">
        <f>IF(E523="";"";E523/100*XLOOKUP(XLOOKUP(C523;Portions!$A:$A;Portions!$B:$B);FoodItems!$A:$A;FoodItems!$C:$C))</f>
        <v/>
      </c>
      <c r="H523">
        <f>IF(E523="";"";E523/100*XLOOKUP(XLOOKUP(C523;Portions!$A:$A;Portions!$B:$B);FoodItems!$A:$A;FoodItems!$D:$D))</f>
        <v/>
      </c>
      <c r="I523">
        <f>IF(E523="";"";E523/100*XLOOKUP(XLOOKUP(C523;Portions!$A:$A;Portions!$B:$B);FoodItems!$A:$A;FoodItems!$E:$E))</f>
        <v/>
      </c>
    </row>
    <row r="524">
      <c r="E524">
        <f>IF(C524="";"";D524*XLOOKUP(C524;Portions!$A:$A;Portions!$D:$D))</f>
        <v/>
      </c>
      <c r="F524">
        <f>IF(E524="";"";E524/100*XLOOKUP(XLOOKUP(C524;Portions!$A:$A;Portions!$B:$B);FoodItems!$A:$A;FoodItems!$B:$B))</f>
        <v/>
      </c>
      <c r="G524">
        <f>IF(E524="";"";E524/100*XLOOKUP(XLOOKUP(C524;Portions!$A:$A;Portions!$B:$B);FoodItems!$A:$A;FoodItems!$C:$C))</f>
        <v/>
      </c>
      <c r="H524">
        <f>IF(E524="";"";E524/100*XLOOKUP(XLOOKUP(C524;Portions!$A:$A;Portions!$B:$B);FoodItems!$A:$A;FoodItems!$D:$D))</f>
        <v/>
      </c>
      <c r="I524">
        <f>IF(E524="";"";E524/100*XLOOKUP(XLOOKUP(C524;Portions!$A:$A;Portions!$B:$B);FoodItems!$A:$A;FoodItems!$E:$E))</f>
        <v/>
      </c>
    </row>
    <row r="525">
      <c r="E525">
        <f>IF(C525="";"";D525*XLOOKUP(C525;Portions!$A:$A;Portions!$D:$D))</f>
        <v/>
      </c>
      <c r="F525">
        <f>IF(E525="";"";E525/100*XLOOKUP(XLOOKUP(C525;Portions!$A:$A;Portions!$B:$B);FoodItems!$A:$A;FoodItems!$B:$B))</f>
        <v/>
      </c>
      <c r="G525">
        <f>IF(E525="";"";E525/100*XLOOKUP(XLOOKUP(C525;Portions!$A:$A;Portions!$B:$B);FoodItems!$A:$A;FoodItems!$C:$C))</f>
        <v/>
      </c>
      <c r="H525">
        <f>IF(E525="";"";E525/100*XLOOKUP(XLOOKUP(C525;Portions!$A:$A;Portions!$B:$B);FoodItems!$A:$A;FoodItems!$D:$D))</f>
        <v/>
      </c>
      <c r="I525">
        <f>IF(E525="";"";E525/100*XLOOKUP(XLOOKUP(C525;Portions!$A:$A;Portions!$B:$B);FoodItems!$A:$A;FoodItems!$E:$E))</f>
        <v/>
      </c>
    </row>
    <row r="526">
      <c r="E526">
        <f>IF(C526="";"";D526*XLOOKUP(C526;Portions!$A:$A;Portions!$D:$D))</f>
        <v/>
      </c>
      <c r="F526">
        <f>IF(E526="";"";E526/100*XLOOKUP(XLOOKUP(C526;Portions!$A:$A;Portions!$B:$B);FoodItems!$A:$A;FoodItems!$B:$B))</f>
        <v/>
      </c>
      <c r="G526">
        <f>IF(E526="";"";E526/100*XLOOKUP(XLOOKUP(C526;Portions!$A:$A;Portions!$B:$B);FoodItems!$A:$A;FoodItems!$C:$C))</f>
        <v/>
      </c>
      <c r="H526">
        <f>IF(E526="";"";E526/100*XLOOKUP(XLOOKUP(C526;Portions!$A:$A;Portions!$B:$B);FoodItems!$A:$A;FoodItems!$D:$D))</f>
        <v/>
      </c>
      <c r="I526">
        <f>IF(E526="";"";E526/100*XLOOKUP(XLOOKUP(C526;Portions!$A:$A;Portions!$B:$B);FoodItems!$A:$A;FoodItems!$E:$E))</f>
        <v/>
      </c>
    </row>
    <row r="527">
      <c r="E527">
        <f>IF(C527="";"";D527*XLOOKUP(C527;Portions!$A:$A;Portions!$D:$D))</f>
        <v/>
      </c>
      <c r="F527">
        <f>IF(E527="";"";E527/100*XLOOKUP(XLOOKUP(C527;Portions!$A:$A;Portions!$B:$B);FoodItems!$A:$A;FoodItems!$B:$B))</f>
        <v/>
      </c>
      <c r="G527">
        <f>IF(E527="";"";E527/100*XLOOKUP(XLOOKUP(C527;Portions!$A:$A;Portions!$B:$B);FoodItems!$A:$A;FoodItems!$C:$C))</f>
        <v/>
      </c>
      <c r="H527">
        <f>IF(E527="";"";E527/100*XLOOKUP(XLOOKUP(C527;Portions!$A:$A;Portions!$B:$B);FoodItems!$A:$A;FoodItems!$D:$D))</f>
        <v/>
      </c>
      <c r="I527">
        <f>IF(E527="";"";E527/100*XLOOKUP(XLOOKUP(C527;Portions!$A:$A;Portions!$B:$B);FoodItems!$A:$A;FoodItems!$E:$E))</f>
        <v/>
      </c>
    </row>
    <row r="528">
      <c r="E528">
        <f>IF(C528="";"";D528*XLOOKUP(C528;Portions!$A:$A;Portions!$D:$D))</f>
        <v/>
      </c>
      <c r="F528">
        <f>IF(E528="";"";E528/100*XLOOKUP(XLOOKUP(C528;Portions!$A:$A;Portions!$B:$B);FoodItems!$A:$A;FoodItems!$B:$B))</f>
        <v/>
      </c>
      <c r="G528">
        <f>IF(E528="";"";E528/100*XLOOKUP(XLOOKUP(C528;Portions!$A:$A;Portions!$B:$B);FoodItems!$A:$A;FoodItems!$C:$C))</f>
        <v/>
      </c>
      <c r="H528">
        <f>IF(E528="";"";E528/100*XLOOKUP(XLOOKUP(C528;Portions!$A:$A;Portions!$B:$B);FoodItems!$A:$A;FoodItems!$D:$D))</f>
        <v/>
      </c>
      <c r="I528">
        <f>IF(E528="";"";E528/100*XLOOKUP(XLOOKUP(C528;Portions!$A:$A;Portions!$B:$B);FoodItems!$A:$A;FoodItems!$E:$E))</f>
        <v/>
      </c>
    </row>
    <row r="529">
      <c r="E529">
        <f>IF(C529="";"";D529*XLOOKUP(C529;Portions!$A:$A;Portions!$D:$D))</f>
        <v/>
      </c>
      <c r="F529">
        <f>IF(E529="";"";E529/100*XLOOKUP(XLOOKUP(C529;Portions!$A:$A;Portions!$B:$B);FoodItems!$A:$A;FoodItems!$B:$B))</f>
        <v/>
      </c>
      <c r="G529">
        <f>IF(E529="";"";E529/100*XLOOKUP(XLOOKUP(C529;Portions!$A:$A;Portions!$B:$B);FoodItems!$A:$A;FoodItems!$C:$C))</f>
        <v/>
      </c>
      <c r="H529">
        <f>IF(E529="";"";E529/100*XLOOKUP(XLOOKUP(C529;Portions!$A:$A;Portions!$B:$B);FoodItems!$A:$A;FoodItems!$D:$D))</f>
        <v/>
      </c>
      <c r="I529">
        <f>IF(E529="";"";E529/100*XLOOKUP(XLOOKUP(C529;Portions!$A:$A;Portions!$B:$B);FoodItems!$A:$A;FoodItems!$E:$E))</f>
        <v/>
      </c>
    </row>
    <row r="530">
      <c r="E530">
        <f>IF(C530="";"";D530*XLOOKUP(C530;Portions!$A:$A;Portions!$D:$D))</f>
        <v/>
      </c>
      <c r="F530">
        <f>IF(E530="";"";E530/100*XLOOKUP(XLOOKUP(C530;Portions!$A:$A;Portions!$B:$B);FoodItems!$A:$A;FoodItems!$B:$B))</f>
        <v/>
      </c>
      <c r="G530">
        <f>IF(E530="";"";E530/100*XLOOKUP(XLOOKUP(C530;Portions!$A:$A;Portions!$B:$B);FoodItems!$A:$A;FoodItems!$C:$C))</f>
        <v/>
      </c>
      <c r="H530">
        <f>IF(E530="";"";E530/100*XLOOKUP(XLOOKUP(C530;Portions!$A:$A;Portions!$B:$B);FoodItems!$A:$A;FoodItems!$D:$D))</f>
        <v/>
      </c>
      <c r="I530">
        <f>IF(E530="";"";E530/100*XLOOKUP(XLOOKUP(C530;Portions!$A:$A;Portions!$B:$B);FoodItems!$A:$A;FoodItems!$E:$E))</f>
        <v/>
      </c>
    </row>
    <row r="531">
      <c r="E531">
        <f>IF(C531="";"";D531*XLOOKUP(C531;Portions!$A:$A;Portions!$D:$D))</f>
        <v/>
      </c>
      <c r="F531">
        <f>IF(E531="";"";E531/100*XLOOKUP(XLOOKUP(C531;Portions!$A:$A;Portions!$B:$B);FoodItems!$A:$A;FoodItems!$B:$B))</f>
        <v/>
      </c>
      <c r="G531">
        <f>IF(E531="";"";E531/100*XLOOKUP(XLOOKUP(C531;Portions!$A:$A;Portions!$B:$B);FoodItems!$A:$A;FoodItems!$C:$C))</f>
        <v/>
      </c>
      <c r="H531">
        <f>IF(E531="";"";E531/100*XLOOKUP(XLOOKUP(C531;Portions!$A:$A;Portions!$B:$B);FoodItems!$A:$A;FoodItems!$D:$D))</f>
        <v/>
      </c>
      <c r="I531">
        <f>IF(E531="";"";E531/100*XLOOKUP(XLOOKUP(C531;Portions!$A:$A;Portions!$B:$B);FoodItems!$A:$A;FoodItems!$E:$E))</f>
        <v/>
      </c>
    </row>
    <row r="532">
      <c r="E532">
        <f>IF(C532="";"";D532*XLOOKUP(C532;Portions!$A:$A;Portions!$D:$D))</f>
        <v/>
      </c>
      <c r="F532">
        <f>IF(E532="";"";E532/100*XLOOKUP(XLOOKUP(C532;Portions!$A:$A;Portions!$B:$B);FoodItems!$A:$A;FoodItems!$B:$B))</f>
        <v/>
      </c>
      <c r="G532">
        <f>IF(E532="";"";E532/100*XLOOKUP(XLOOKUP(C532;Portions!$A:$A;Portions!$B:$B);FoodItems!$A:$A;FoodItems!$C:$C))</f>
        <v/>
      </c>
      <c r="H532">
        <f>IF(E532="";"";E532/100*XLOOKUP(XLOOKUP(C532;Portions!$A:$A;Portions!$B:$B);FoodItems!$A:$A;FoodItems!$D:$D))</f>
        <v/>
      </c>
      <c r="I532">
        <f>IF(E532="";"";E532/100*XLOOKUP(XLOOKUP(C532;Portions!$A:$A;Portions!$B:$B);FoodItems!$A:$A;FoodItems!$E:$E))</f>
        <v/>
      </c>
    </row>
    <row r="533">
      <c r="E533">
        <f>IF(C533="";"";D533*XLOOKUP(C533;Portions!$A:$A;Portions!$D:$D))</f>
        <v/>
      </c>
      <c r="F533">
        <f>IF(E533="";"";E533/100*XLOOKUP(XLOOKUP(C533;Portions!$A:$A;Portions!$B:$B);FoodItems!$A:$A;FoodItems!$B:$B))</f>
        <v/>
      </c>
      <c r="G533">
        <f>IF(E533="";"";E533/100*XLOOKUP(XLOOKUP(C533;Portions!$A:$A;Portions!$B:$B);FoodItems!$A:$A;FoodItems!$C:$C))</f>
        <v/>
      </c>
      <c r="H533">
        <f>IF(E533="";"";E533/100*XLOOKUP(XLOOKUP(C533;Portions!$A:$A;Portions!$B:$B);FoodItems!$A:$A;FoodItems!$D:$D))</f>
        <v/>
      </c>
      <c r="I533">
        <f>IF(E533="";"";E533/100*XLOOKUP(XLOOKUP(C533;Portions!$A:$A;Portions!$B:$B);FoodItems!$A:$A;FoodItems!$E:$E))</f>
        <v/>
      </c>
    </row>
    <row r="534">
      <c r="E534">
        <f>IF(C534="";"";D534*XLOOKUP(C534;Portions!$A:$A;Portions!$D:$D))</f>
        <v/>
      </c>
      <c r="F534">
        <f>IF(E534="";"";E534/100*XLOOKUP(XLOOKUP(C534;Portions!$A:$A;Portions!$B:$B);FoodItems!$A:$A;FoodItems!$B:$B))</f>
        <v/>
      </c>
      <c r="G534">
        <f>IF(E534="";"";E534/100*XLOOKUP(XLOOKUP(C534;Portions!$A:$A;Portions!$B:$B);FoodItems!$A:$A;FoodItems!$C:$C))</f>
        <v/>
      </c>
      <c r="H534">
        <f>IF(E534="";"";E534/100*XLOOKUP(XLOOKUP(C534;Portions!$A:$A;Portions!$B:$B);FoodItems!$A:$A;FoodItems!$D:$D))</f>
        <v/>
      </c>
      <c r="I534">
        <f>IF(E534="";"";E534/100*XLOOKUP(XLOOKUP(C534;Portions!$A:$A;Portions!$B:$B);FoodItems!$A:$A;FoodItems!$E:$E))</f>
        <v/>
      </c>
    </row>
    <row r="535">
      <c r="E535">
        <f>IF(C535="";"";D535*XLOOKUP(C535;Portions!$A:$A;Portions!$D:$D))</f>
        <v/>
      </c>
      <c r="F535">
        <f>IF(E535="";"";E535/100*XLOOKUP(XLOOKUP(C535;Portions!$A:$A;Portions!$B:$B);FoodItems!$A:$A;FoodItems!$B:$B))</f>
        <v/>
      </c>
      <c r="G535">
        <f>IF(E535="";"";E535/100*XLOOKUP(XLOOKUP(C535;Portions!$A:$A;Portions!$B:$B);FoodItems!$A:$A;FoodItems!$C:$C))</f>
        <v/>
      </c>
      <c r="H535">
        <f>IF(E535="";"";E535/100*XLOOKUP(XLOOKUP(C535;Portions!$A:$A;Portions!$B:$B);FoodItems!$A:$A;FoodItems!$D:$D))</f>
        <v/>
      </c>
      <c r="I535">
        <f>IF(E535="";"";E535/100*XLOOKUP(XLOOKUP(C535;Portions!$A:$A;Portions!$B:$B);FoodItems!$A:$A;FoodItems!$E:$E))</f>
        <v/>
      </c>
    </row>
    <row r="536">
      <c r="E536">
        <f>IF(C536="";"";D536*XLOOKUP(C536;Portions!$A:$A;Portions!$D:$D))</f>
        <v/>
      </c>
      <c r="F536">
        <f>IF(E536="";"";E536/100*XLOOKUP(XLOOKUP(C536;Portions!$A:$A;Portions!$B:$B);FoodItems!$A:$A;FoodItems!$B:$B))</f>
        <v/>
      </c>
      <c r="G536">
        <f>IF(E536="";"";E536/100*XLOOKUP(XLOOKUP(C536;Portions!$A:$A;Portions!$B:$B);FoodItems!$A:$A;FoodItems!$C:$C))</f>
        <v/>
      </c>
      <c r="H536">
        <f>IF(E536="";"";E536/100*XLOOKUP(XLOOKUP(C536;Portions!$A:$A;Portions!$B:$B);FoodItems!$A:$A;FoodItems!$D:$D))</f>
        <v/>
      </c>
      <c r="I536">
        <f>IF(E536="";"";E536/100*XLOOKUP(XLOOKUP(C536;Portions!$A:$A;Portions!$B:$B);FoodItems!$A:$A;FoodItems!$E:$E))</f>
        <v/>
      </c>
    </row>
    <row r="537">
      <c r="E537">
        <f>IF(C537="";"";D537*XLOOKUP(C537;Portions!$A:$A;Portions!$D:$D))</f>
        <v/>
      </c>
      <c r="F537">
        <f>IF(E537="";"";E537/100*XLOOKUP(XLOOKUP(C537;Portions!$A:$A;Portions!$B:$B);FoodItems!$A:$A;FoodItems!$B:$B))</f>
        <v/>
      </c>
      <c r="G537">
        <f>IF(E537="";"";E537/100*XLOOKUP(XLOOKUP(C537;Portions!$A:$A;Portions!$B:$B);FoodItems!$A:$A;FoodItems!$C:$C))</f>
        <v/>
      </c>
      <c r="H537">
        <f>IF(E537="";"";E537/100*XLOOKUP(XLOOKUP(C537;Portions!$A:$A;Portions!$B:$B);FoodItems!$A:$A;FoodItems!$D:$D))</f>
        <v/>
      </c>
      <c r="I537">
        <f>IF(E537="";"";E537/100*XLOOKUP(XLOOKUP(C537;Portions!$A:$A;Portions!$B:$B);FoodItems!$A:$A;FoodItems!$E:$E))</f>
        <v/>
      </c>
    </row>
    <row r="538">
      <c r="E538">
        <f>IF(C538="";"";D538*XLOOKUP(C538;Portions!$A:$A;Portions!$D:$D))</f>
        <v/>
      </c>
      <c r="F538">
        <f>IF(E538="";"";E538/100*XLOOKUP(XLOOKUP(C538;Portions!$A:$A;Portions!$B:$B);FoodItems!$A:$A;FoodItems!$B:$B))</f>
        <v/>
      </c>
      <c r="G538">
        <f>IF(E538="";"";E538/100*XLOOKUP(XLOOKUP(C538;Portions!$A:$A;Portions!$B:$B);FoodItems!$A:$A;FoodItems!$C:$C))</f>
        <v/>
      </c>
      <c r="H538">
        <f>IF(E538="";"";E538/100*XLOOKUP(XLOOKUP(C538;Portions!$A:$A;Portions!$B:$B);FoodItems!$A:$A;FoodItems!$D:$D))</f>
        <v/>
      </c>
      <c r="I538">
        <f>IF(E538="";"";E538/100*XLOOKUP(XLOOKUP(C538;Portions!$A:$A;Portions!$B:$B);FoodItems!$A:$A;FoodItems!$E:$E))</f>
        <v/>
      </c>
    </row>
    <row r="539">
      <c r="E539">
        <f>IF(C539="";"";D539*XLOOKUP(C539;Portions!$A:$A;Portions!$D:$D))</f>
        <v/>
      </c>
      <c r="F539">
        <f>IF(E539="";"";E539/100*XLOOKUP(XLOOKUP(C539;Portions!$A:$A;Portions!$B:$B);FoodItems!$A:$A;FoodItems!$B:$B))</f>
        <v/>
      </c>
      <c r="G539">
        <f>IF(E539="";"";E539/100*XLOOKUP(XLOOKUP(C539;Portions!$A:$A;Portions!$B:$B);FoodItems!$A:$A;FoodItems!$C:$C))</f>
        <v/>
      </c>
      <c r="H539">
        <f>IF(E539="";"";E539/100*XLOOKUP(XLOOKUP(C539;Portions!$A:$A;Portions!$B:$B);FoodItems!$A:$A;FoodItems!$D:$D))</f>
        <v/>
      </c>
      <c r="I539">
        <f>IF(E539="";"";E539/100*XLOOKUP(XLOOKUP(C539;Portions!$A:$A;Portions!$B:$B);FoodItems!$A:$A;FoodItems!$E:$E))</f>
        <v/>
      </c>
    </row>
    <row r="540">
      <c r="E540">
        <f>IF(C540="";"";D540*XLOOKUP(C540;Portions!$A:$A;Portions!$D:$D))</f>
        <v/>
      </c>
      <c r="F540">
        <f>IF(E540="";"";E540/100*XLOOKUP(XLOOKUP(C540;Portions!$A:$A;Portions!$B:$B);FoodItems!$A:$A;FoodItems!$B:$B))</f>
        <v/>
      </c>
      <c r="G540">
        <f>IF(E540="";"";E540/100*XLOOKUP(XLOOKUP(C540;Portions!$A:$A;Portions!$B:$B);FoodItems!$A:$A;FoodItems!$C:$C))</f>
        <v/>
      </c>
      <c r="H540">
        <f>IF(E540="";"";E540/100*XLOOKUP(XLOOKUP(C540;Portions!$A:$A;Portions!$B:$B);FoodItems!$A:$A;FoodItems!$D:$D))</f>
        <v/>
      </c>
      <c r="I540">
        <f>IF(E540="";"";E540/100*XLOOKUP(XLOOKUP(C540;Portions!$A:$A;Portions!$B:$B);FoodItems!$A:$A;FoodItems!$E:$E))</f>
        <v/>
      </c>
    </row>
    <row r="541">
      <c r="E541">
        <f>IF(C541="";"";D541*XLOOKUP(C541;Portions!$A:$A;Portions!$D:$D))</f>
        <v/>
      </c>
      <c r="F541">
        <f>IF(E541="";"";E541/100*XLOOKUP(XLOOKUP(C541;Portions!$A:$A;Portions!$B:$B);FoodItems!$A:$A;FoodItems!$B:$B))</f>
        <v/>
      </c>
      <c r="G541">
        <f>IF(E541="";"";E541/100*XLOOKUP(XLOOKUP(C541;Portions!$A:$A;Portions!$B:$B);FoodItems!$A:$A;FoodItems!$C:$C))</f>
        <v/>
      </c>
      <c r="H541">
        <f>IF(E541="";"";E541/100*XLOOKUP(XLOOKUP(C541;Portions!$A:$A;Portions!$B:$B);FoodItems!$A:$A;FoodItems!$D:$D))</f>
        <v/>
      </c>
      <c r="I541">
        <f>IF(E541="";"";E541/100*XLOOKUP(XLOOKUP(C541;Portions!$A:$A;Portions!$B:$B);FoodItems!$A:$A;FoodItems!$E:$E))</f>
        <v/>
      </c>
    </row>
    <row r="542">
      <c r="E542">
        <f>IF(C542="";"";D542*XLOOKUP(C542;Portions!$A:$A;Portions!$D:$D))</f>
        <v/>
      </c>
      <c r="F542">
        <f>IF(E542="";"";E542/100*XLOOKUP(XLOOKUP(C542;Portions!$A:$A;Portions!$B:$B);FoodItems!$A:$A;FoodItems!$B:$B))</f>
        <v/>
      </c>
      <c r="G542">
        <f>IF(E542="";"";E542/100*XLOOKUP(XLOOKUP(C542;Portions!$A:$A;Portions!$B:$B);FoodItems!$A:$A;FoodItems!$C:$C))</f>
        <v/>
      </c>
      <c r="H542">
        <f>IF(E542="";"";E542/100*XLOOKUP(XLOOKUP(C542;Portions!$A:$A;Portions!$B:$B);FoodItems!$A:$A;FoodItems!$D:$D))</f>
        <v/>
      </c>
      <c r="I542">
        <f>IF(E542="";"";E542/100*XLOOKUP(XLOOKUP(C542;Portions!$A:$A;Portions!$B:$B);FoodItems!$A:$A;FoodItems!$E:$E))</f>
        <v/>
      </c>
    </row>
    <row r="543">
      <c r="E543">
        <f>IF(C543="";"";D543*XLOOKUP(C543;Portions!$A:$A;Portions!$D:$D))</f>
        <v/>
      </c>
      <c r="F543">
        <f>IF(E543="";"";E543/100*XLOOKUP(XLOOKUP(C543;Portions!$A:$A;Portions!$B:$B);FoodItems!$A:$A;FoodItems!$B:$B))</f>
        <v/>
      </c>
      <c r="G543">
        <f>IF(E543="";"";E543/100*XLOOKUP(XLOOKUP(C543;Portions!$A:$A;Portions!$B:$B);FoodItems!$A:$A;FoodItems!$C:$C))</f>
        <v/>
      </c>
      <c r="H543">
        <f>IF(E543="";"";E543/100*XLOOKUP(XLOOKUP(C543;Portions!$A:$A;Portions!$B:$B);FoodItems!$A:$A;FoodItems!$D:$D))</f>
        <v/>
      </c>
      <c r="I543">
        <f>IF(E543="";"";E543/100*XLOOKUP(XLOOKUP(C543;Portions!$A:$A;Portions!$B:$B);FoodItems!$A:$A;FoodItems!$E:$E))</f>
        <v/>
      </c>
    </row>
    <row r="544">
      <c r="E544">
        <f>IF(C544="";"";D544*XLOOKUP(C544;Portions!$A:$A;Portions!$D:$D))</f>
        <v/>
      </c>
      <c r="F544">
        <f>IF(E544="";"";E544/100*XLOOKUP(XLOOKUP(C544;Portions!$A:$A;Portions!$B:$B);FoodItems!$A:$A;FoodItems!$B:$B))</f>
        <v/>
      </c>
      <c r="G544">
        <f>IF(E544="";"";E544/100*XLOOKUP(XLOOKUP(C544;Portions!$A:$A;Portions!$B:$B);FoodItems!$A:$A;FoodItems!$C:$C))</f>
        <v/>
      </c>
      <c r="H544">
        <f>IF(E544="";"";E544/100*XLOOKUP(XLOOKUP(C544;Portions!$A:$A;Portions!$B:$B);FoodItems!$A:$A;FoodItems!$D:$D))</f>
        <v/>
      </c>
      <c r="I544">
        <f>IF(E544="";"";E544/100*XLOOKUP(XLOOKUP(C544;Portions!$A:$A;Portions!$B:$B);FoodItems!$A:$A;FoodItems!$E:$E))</f>
        <v/>
      </c>
    </row>
    <row r="545">
      <c r="E545">
        <f>IF(C545="";"";D545*XLOOKUP(C545;Portions!$A:$A;Portions!$D:$D))</f>
        <v/>
      </c>
      <c r="F545">
        <f>IF(E545="";"";E545/100*XLOOKUP(XLOOKUP(C545;Portions!$A:$A;Portions!$B:$B);FoodItems!$A:$A;FoodItems!$B:$B))</f>
        <v/>
      </c>
      <c r="G545">
        <f>IF(E545="";"";E545/100*XLOOKUP(XLOOKUP(C545;Portions!$A:$A;Portions!$B:$B);FoodItems!$A:$A;FoodItems!$C:$C))</f>
        <v/>
      </c>
      <c r="H545">
        <f>IF(E545="";"";E545/100*XLOOKUP(XLOOKUP(C545;Portions!$A:$A;Portions!$B:$B);FoodItems!$A:$A;FoodItems!$D:$D))</f>
        <v/>
      </c>
      <c r="I545">
        <f>IF(E545="";"";E545/100*XLOOKUP(XLOOKUP(C545;Portions!$A:$A;Portions!$B:$B);FoodItems!$A:$A;FoodItems!$E:$E))</f>
        <v/>
      </c>
    </row>
    <row r="546">
      <c r="E546">
        <f>IF(C546="";"";D546*XLOOKUP(C546;Portions!$A:$A;Portions!$D:$D))</f>
        <v/>
      </c>
      <c r="F546">
        <f>IF(E546="";"";E546/100*XLOOKUP(XLOOKUP(C546;Portions!$A:$A;Portions!$B:$B);FoodItems!$A:$A;FoodItems!$B:$B))</f>
        <v/>
      </c>
      <c r="G546">
        <f>IF(E546="";"";E546/100*XLOOKUP(XLOOKUP(C546;Portions!$A:$A;Portions!$B:$B);FoodItems!$A:$A;FoodItems!$C:$C))</f>
        <v/>
      </c>
      <c r="H546">
        <f>IF(E546="";"";E546/100*XLOOKUP(XLOOKUP(C546;Portions!$A:$A;Portions!$B:$B);FoodItems!$A:$A;FoodItems!$D:$D))</f>
        <v/>
      </c>
      <c r="I546">
        <f>IF(E546="";"";E546/100*XLOOKUP(XLOOKUP(C546;Portions!$A:$A;Portions!$B:$B);FoodItems!$A:$A;FoodItems!$E:$E))</f>
        <v/>
      </c>
    </row>
    <row r="547">
      <c r="E547">
        <f>IF(C547="";"";D547*XLOOKUP(C547;Portions!$A:$A;Portions!$D:$D))</f>
        <v/>
      </c>
      <c r="F547">
        <f>IF(E547="";"";E547/100*XLOOKUP(XLOOKUP(C547;Portions!$A:$A;Portions!$B:$B);FoodItems!$A:$A;FoodItems!$B:$B))</f>
        <v/>
      </c>
      <c r="G547">
        <f>IF(E547="";"";E547/100*XLOOKUP(XLOOKUP(C547;Portions!$A:$A;Portions!$B:$B);FoodItems!$A:$A;FoodItems!$C:$C))</f>
        <v/>
      </c>
      <c r="H547">
        <f>IF(E547="";"";E547/100*XLOOKUP(XLOOKUP(C547;Portions!$A:$A;Portions!$B:$B);FoodItems!$A:$A;FoodItems!$D:$D))</f>
        <v/>
      </c>
      <c r="I547">
        <f>IF(E547="";"";E547/100*XLOOKUP(XLOOKUP(C547;Portions!$A:$A;Portions!$B:$B);FoodItems!$A:$A;FoodItems!$E:$E))</f>
        <v/>
      </c>
    </row>
    <row r="548">
      <c r="E548">
        <f>IF(C548="";"";D548*XLOOKUP(C548;Portions!$A:$A;Portions!$D:$D))</f>
        <v/>
      </c>
      <c r="F548">
        <f>IF(E548="";"";E548/100*XLOOKUP(XLOOKUP(C548;Portions!$A:$A;Portions!$B:$B);FoodItems!$A:$A;FoodItems!$B:$B))</f>
        <v/>
      </c>
      <c r="G548">
        <f>IF(E548="";"";E548/100*XLOOKUP(XLOOKUP(C548;Portions!$A:$A;Portions!$B:$B);FoodItems!$A:$A;FoodItems!$C:$C))</f>
        <v/>
      </c>
      <c r="H548">
        <f>IF(E548="";"";E548/100*XLOOKUP(XLOOKUP(C548;Portions!$A:$A;Portions!$B:$B);FoodItems!$A:$A;FoodItems!$D:$D))</f>
        <v/>
      </c>
      <c r="I548">
        <f>IF(E548="";"";E548/100*XLOOKUP(XLOOKUP(C548;Portions!$A:$A;Portions!$B:$B);FoodItems!$A:$A;FoodItems!$E:$E))</f>
        <v/>
      </c>
    </row>
    <row r="549">
      <c r="E549">
        <f>IF(C549="";"";D549*XLOOKUP(C549;Portions!$A:$A;Portions!$D:$D))</f>
        <v/>
      </c>
      <c r="F549">
        <f>IF(E549="";"";E549/100*XLOOKUP(XLOOKUP(C549;Portions!$A:$A;Portions!$B:$B);FoodItems!$A:$A;FoodItems!$B:$B))</f>
        <v/>
      </c>
      <c r="G549">
        <f>IF(E549="";"";E549/100*XLOOKUP(XLOOKUP(C549;Portions!$A:$A;Portions!$B:$B);FoodItems!$A:$A;FoodItems!$C:$C))</f>
        <v/>
      </c>
      <c r="H549">
        <f>IF(E549="";"";E549/100*XLOOKUP(XLOOKUP(C549;Portions!$A:$A;Portions!$B:$B);FoodItems!$A:$A;FoodItems!$D:$D))</f>
        <v/>
      </c>
      <c r="I549">
        <f>IF(E549="";"";E549/100*XLOOKUP(XLOOKUP(C549;Portions!$A:$A;Portions!$B:$B);FoodItems!$A:$A;FoodItems!$E:$E))</f>
        <v/>
      </c>
    </row>
    <row r="550">
      <c r="E550">
        <f>IF(C550="";"";D550*XLOOKUP(C550;Portions!$A:$A;Portions!$D:$D))</f>
        <v/>
      </c>
      <c r="F550">
        <f>IF(E550="";"";E550/100*XLOOKUP(XLOOKUP(C550;Portions!$A:$A;Portions!$B:$B);FoodItems!$A:$A;FoodItems!$B:$B))</f>
        <v/>
      </c>
      <c r="G550">
        <f>IF(E550="";"";E550/100*XLOOKUP(XLOOKUP(C550;Portions!$A:$A;Portions!$B:$B);FoodItems!$A:$A;FoodItems!$C:$C))</f>
        <v/>
      </c>
      <c r="H550">
        <f>IF(E550="";"";E550/100*XLOOKUP(XLOOKUP(C550;Portions!$A:$A;Portions!$B:$B);FoodItems!$A:$A;FoodItems!$D:$D))</f>
        <v/>
      </c>
      <c r="I550">
        <f>IF(E550="";"";E550/100*XLOOKUP(XLOOKUP(C550;Portions!$A:$A;Portions!$B:$B);FoodItems!$A:$A;FoodItems!$E:$E))</f>
        <v/>
      </c>
    </row>
    <row r="551">
      <c r="E551">
        <f>IF(C551="";"";D551*XLOOKUP(C551;Portions!$A:$A;Portions!$D:$D))</f>
        <v/>
      </c>
      <c r="F551">
        <f>IF(E551="";"";E551/100*XLOOKUP(XLOOKUP(C551;Portions!$A:$A;Portions!$B:$B);FoodItems!$A:$A;FoodItems!$B:$B))</f>
        <v/>
      </c>
      <c r="G551">
        <f>IF(E551="";"";E551/100*XLOOKUP(XLOOKUP(C551;Portions!$A:$A;Portions!$B:$B);FoodItems!$A:$A;FoodItems!$C:$C))</f>
        <v/>
      </c>
      <c r="H551">
        <f>IF(E551="";"";E551/100*XLOOKUP(XLOOKUP(C551;Portions!$A:$A;Portions!$B:$B);FoodItems!$A:$A;FoodItems!$D:$D))</f>
        <v/>
      </c>
      <c r="I551">
        <f>IF(E551="";"";E551/100*XLOOKUP(XLOOKUP(C551;Portions!$A:$A;Portions!$B:$B);FoodItems!$A:$A;FoodItems!$E:$E))</f>
        <v/>
      </c>
    </row>
    <row r="552">
      <c r="E552">
        <f>IF(C552="";"";D552*XLOOKUP(C552;Portions!$A:$A;Portions!$D:$D))</f>
        <v/>
      </c>
      <c r="F552">
        <f>IF(E552="";"";E552/100*XLOOKUP(XLOOKUP(C552;Portions!$A:$A;Portions!$B:$B);FoodItems!$A:$A;FoodItems!$B:$B))</f>
        <v/>
      </c>
      <c r="G552">
        <f>IF(E552="";"";E552/100*XLOOKUP(XLOOKUP(C552;Portions!$A:$A;Portions!$B:$B);FoodItems!$A:$A;FoodItems!$C:$C))</f>
        <v/>
      </c>
      <c r="H552">
        <f>IF(E552="";"";E552/100*XLOOKUP(XLOOKUP(C552;Portions!$A:$A;Portions!$B:$B);FoodItems!$A:$A;FoodItems!$D:$D))</f>
        <v/>
      </c>
      <c r="I552">
        <f>IF(E552="";"";E552/100*XLOOKUP(XLOOKUP(C552;Portions!$A:$A;Portions!$B:$B);FoodItems!$A:$A;FoodItems!$E:$E))</f>
        <v/>
      </c>
    </row>
    <row r="553">
      <c r="E553">
        <f>IF(C553="";"";D553*XLOOKUP(C553;Portions!$A:$A;Portions!$D:$D))</f>
        <v/>
      </c>
      <c r="F553">
        <f>IF(E553="";"";E553/100*XLOOKUP(XLOOKUP(C553;Portions!$A:$A;Portions!$B:$B);FoodItems!$A:$A;FoodItems!$B:$B))</f>
        <v/>
      </c>
      <c r="G553">
        <f>IF(E553="";"";E553/100*XLOOKUP(XLOOKUP(C553;Portions!$A:$A;Portions!$B:$B);FoodItems!$A:$A;FoodItems!$C:$C))</f>
        <v/>
      </c>
      <c r="H553">
        <f>IF(E553="";"";E553/100*XLOOKUP(XLOOKUP(C553;Portions!$A:$A;Portions!$B:$B);FoodItems!$A:$A;FoodItems!$D:$D))</f>
        <v/>
      </c>
      <c r="I553">
        <f>IF(E553="";"";E553/100*XLOOKUP(XLOOKUP(C553;Portions!$A:$A;Portions!$B:$B);FoodItems!$A:$A;FoodItems!$E:$E))</f>
        <v/>
      </c>
    </row>
    <row r="554">
      <c r="E554">
        <f>IF(C554="";"";D554*XLOOKUP(C554;Portions!$A:$A;Portions!$D:$D))</f>
        <v/>
      </c>
      <c r="F554">
        <f>IF(E554="";"";E554/100*XLOOKUP(XLOOKUP(C554;Portions!$A:$A;Portions!$B:$B);FoodItems!$A:$A;FoodItems!$B:$B))</f>
        <v/>
      </c>
      <c r="G554">
        <f>IF(E554="";"";E554/100*XLOOKUP(XLOOKUP(C554;Portions!$A:$A;Portions!$B:$B);FoodItems!$A:$A;FoodItems!$C:$C))</f>
        <v/>
      </c>
      <c r="H554">
        <f>IF(E554="";"";E554/100*XLOOKUP(XLOOKUP(C554;Portions!$A:$A;Portions!$B:$B);FoodItems!$A:$A;FoodItems!$D:$D))</f>
        <v/>
      </c>
      <c r="I554">
        <f>IF(E554="";"";E554/100*XLOOKUP(XLOOKUP(C554;Portions!$A:$A;Portions!$B:$B);FoodItems!$A:$A;FoodItems!$E:$E))</f>
        <v/>
      </c>
    </row>
    <row r="555">
      <c r="E555">
        <f>IF(C555="";"";D555*XLOOKUP(C555;Portions!$A:$A;Portions!$D:$D))</f>
        <v/>
      </c>
      <c r="F555">
        <f>IF(E555="";"";E555/100*XLOOKUP(XLOOKUP(C555;Portions!$A:$A;Portions!$B:$B);FoodItems!$A:$A;FoodItems!$B:$B))</f>
        <v/>
      </c>
      <c r="G555">
        <f>IF(E555="";"";E555/100*XLOOKUP(XLOOKUP(C555;Portions!$A:$A;Portions!$B:$B);FoodItems!$A:$A;FoodItems!$C:$C))</f>
        <v/>
      </c>
      <c r="H555">
        <f>IF(E555="";"";E555/100*XLOOKUP(XLOOKUP(C555;Portions!$A:$A;Portions!$B:$B);FoodItems!$A:$A;FoodItems!$D:$D))</f>
        <v/>
      </c>
      <c r="I555">
        <f>IF(E555="";"";E555/100*XLOOKUP(XLOOKUP(C555;Portions!$A:$A;Portions!$B:$B);FoodItems!$A:$A;FoodItems!$E:$E))</f>
        <v/>
      </c>
    </row>
    <row r="556">
      <c r="E556">
        <f>IF(C556="";"";D556*XLOOKUP(C556;Portions!$A:$A;Portions!$D:$D))</f>
        <v/>
      </c>
      <c r="F556">
        <f>IF(E556="";"";E556/100*XLOOKUP(XLOOKUP(C556;Portions!$A:$A;Portions!$B:$B);FoodItems!$A:$A;FoodItems!$B:$B))</f>
        <v/>
      </c>
      <c r="G556">
        <f>IF(E556="";"";E556/100*XLOOKUP(XLOOKUP(C556;Portions!$A:$A;Portions!$B:$B);FoodItems!$A:$A;FoodItems!$C:$C))</f>
        <v/>
      </c>
      <c r="H556">
        <f>IF(E556="";"";E556/100*XLOOKUP(XLOOKUP(C556;Portions!$A:$A;Portions!$B:$B);FoodItems!$A:$A;FoodItems!$D:$D))</f>
        <v/>
      </c>
      <c r="I556">
        <f>IF(E556="";"";E556/100*XLOOKUP(XLOOKUP(C556;Portions!$A:$A;Portions!$B:$B);FoodItems!$A:$A;FoodItems!$E:$E))</f>
        <v/>
      </c>
    </row>
    <row r="557">
      <c r="E557">
        <f>IF(C557="";"";D557*XLOOKUP(C557;Portions!$A:$A;Portions!$D:$D))</f>
        <v/>
      </c>
      <c r="F557">
        <f>IF(E557="";"";E557/100*XLOOKUP(XLOOKUP(C557;Portions!$A:$A;Portions!$B:$B);FoodItems!$A:$A;FoodItems!$B:$B))</f>
        <v/>
      </c>
      <c r="G557">
        <f>IF(E557="";"";E557/100*XLOOKUP(XLOOKUP(C557;Portions!$A:$A;Portions!$B:$B);FoodItems!$A:$A;FoodItems!$C:$C))</f>
        <v/>
      </c>
      <c r="H557">
        <f>IF(E557="";"";E557/100*XLOOKUP(XLOOKUP(C557;Portions!$A:$A;Portions!$B:$B);FoodItems!$A:$A;FoodItems!$D:$D))</f>
        <v/>
      </c>
      <c r="I557">
        <f>IF(E557="";"";E557/100*XLOOKUP(XLOOKUP(C557;Portions!$A:$A;Portions!$B:$B);FoodItems!$A:$A;FoodItems!$E:$E))</f>
        <v/>
      </c>
    </row>
    <row r="558">
      <c r="E558">
        <f>IF(C558="";"";D558*XLOOKUP(C558;Portions!$A:$A;Portions!$D:$D))</f>
        <v/>
      </c>
      <c r="F558">
        <f>IF(E558="";"";E558/100*XLOOKUP(XLOOKUP(C558;Portions!$A:$A;Portions!$B:$B);FoodItems!$A:$A;FoodItems!$B:$B))</f>
        <v/>
      </c>
      <c r="G558">
        <f>IF(E558="";"";E558/100*XLOOKUP(XLOOKUP(C558;Portions!$A:$A;Portions!$B:$B);FoodItems!$A:$A;FoodItems!$C:$C))</f>
        <v/>
      </c>
      <c r="H558">
        <f>IF(E558="";"";E558/100*XLOOKUP(XLOOKUP(C558;Portions!$A:$A;Portions!$B:$B);FoodItems!$A:$A;FoodItems!$D:$D))</f>
        <v/>
      </c>
      <c r="I558">
        <f>IF(E558="";"";E558/100*XLOOKUP(XLOOKUP(C558;Portions!$A:$A;Portions!$B:$B);FoodItems!$A:$A;FoodItems!$E:$E))</f>
        <v/>
      </c>
    </row>
    <row r="559">
      <c r="E559">
        <f>IF(C559="";"";D559*XLOOKUP(C559;Portions!$A:$A;Portions!$D:$D))</f>
        <v/>
      </c>
      <c r="F559">
        <f>IF(E559="";"";E559/100*XLOOKUP(XLOOKUP(C559;Portions!$A:$A;Portions!$B:$B);FoodItems!$A:$A;FoodItems!$B:$B))</f>
        <v/>
      </c>
      <c r="G559">
        <f>IF(E559="";"";E559/100*XLOOKUP(XLOOKUP(C559;Portions!$A:$A;Portions!$B:$B);FoodItems!$A:$A;FoodItems!$C:$C))</f>
        <v/>
      </c>
      <c r="H559">
        <f>IF(E559="";"";E559/100*XLOOKUP(XLOOKUP(C559;Portions!$A:$A;Portions!$B:$B);FoodItems!$A:$A;FoodItems!$D:$D))</f>
        <v/>
      </c>
      <c r="I559">
        <f>IF(E559="";"";E559/100*XLOOKUP(XLOOKUP(C559;Portions!$A:$A;Portions!$B:$B);FoodItems!$A:$A;FoodItems!$E:$E))</f>
        <v/>
      </c>
    </row>
    <row r="560">
      <c r="E560">
        <f>IF(C560="";"";D560*XLOOKUP(C560;Portions!$A:$A;Portions!$D:$D))</f>
        <v/>
      </c>
      <c r="F560">
        <f>IF(E560="";"";E560/100*XLOOKUP(XLOOKUP(C560;Portions!$A:$A;Portions!$B:$B);FoodItems!$A:$A;FoodItems!$B:$B))</f>
        <v/>
      </c>
      <c r="G560">
        <f>IF(E560="";"";E560/100*XLOOKUP(XLOOKUP(C560;Portions!$A:$A;Portions!$B:$B);FoodItems!$A:$A;FoodItems!$C:$C))</f>
        <v/>
      </c>
      <c r="H560">
        <f>IF(E560="";"";E560/100*XLOOKUP(XLOOKUP(C560;Portions!$A:$A;Portions!$B:$B);FoodItems!$A:$A;FoodItems!$D:$D))</f>
        <v/>
      </c>
      <c r="I560">
        <f>IF(E560="";"";E560/100*XLOOKUP(XLOOKUP(C560;Portions!$A:$A;Portions!$B:$B);FoodItems!$A:$A;FoodItems!$E:$E))</f>
        <v/>
      </c>
    </row>
    <row r="561">
      <c r="E561">
        <f>IF(C561="";"";D561*XLOOKUP(C561;Portions!$A:$A;Portions!$D:$D))</f>
        <v/>
      </c>
      <c r="F561">
        <f>IF(E561="";"";E561/100*XLOOKUP(XLOOKUP(C561;Portions!$A:$A;Portions!$B:$B);FoodItems!$A:$A;FoodItems!$B:$B))</f>
        <v/>
      </c>
      <c r="G561">
        <f>IF(E561="";"";E561/100*XLOOKUP(XLOOKUP(C561;Portions!$A:$A;Portions!$B:$B);FoodItems!$A:$A;FoodItems!$C:$C))</f>
        <v/>
      </c>
      <c r="H561">
        <f>IF(E561="";"";E561/100*XLOOKUP(XLOOKUP(C561;Portions!$A:$A;Portions!$B:$B);FoodItems!$A:$A;FoodItems!$D:$D))</f>
        <v/>
      </c>
      <c r="I561">
        <f>IF(E561="";"";E561/100*XLOOKUP(XLOOKUP(C561;Portions!$A:$A;Portions!$B:$B);FoodItems!$A:$A;FoodItems!$E:$E))</f>
        <v/>
      </c>
    </row>
    <row r="562">
      <c r="E562">
        <f>IF(C562="";"";D562*XLOOKUP(C562;Portions!$A:$A;Portions!$D:$D))</f>
        <v/>
      </c>
      <c r="F562">
        <f>IF(E562="";"";E562/100*XLOOKUP(XLOOKUP(C562;Portions!$A:$A;Portions!$B:$B);FoodItems!$A:$A;FoodItems!$B:$B))</f>
        <v/>
      </c>
      <c r="G562">
        <f>IF(E562="";"";E562/100*XLOOKUP(XLOOKUP(C562;Portions!$A:$A;Portions!$B:$B);FoodItems!$A:$A;FoodItems!$C:$C))</f>
        <v/>
      </c>
      <c r="H562">
        <f>IF(E562="";"";E562/100*XLOOKUP(XLOOKUP(C562;Portions!$A:$A;Portions!$B:$B);FoodItems!$A:$A;FoodItems!$D:$D))</f>
        <v/>
      </c>
      <c r="I562">
        <f>IF(E562="";"";E562/100*XLOOKUP(XLOOKUP(C562;Portions!$A:$A;Portions!$B:$B);FoodItems!$A:$A;FoodItems!$E:$E))</f>
        <v/>
      </c>
    </row>
    <row r="563">
      <c r="E563">
        <f>IF(C563="";"";D563*XLOOKUP(C563;Portions!$A:$A;Portions!$D:$D))</f>
        <v/>
      </c>
      <c r="F563">
        <f>IF(E563="";"";E563/100*XLOOKUP(XLOOKUP(C563;Portions!$A:$A;Portions!$B:$B);FoodItems!$A:$A;FoodItems!$B:$B))</f>
        <v/>
      </c>
      <c r="G563">
        <f>IF(E563="";"";E563/100*XLOOKUP(XLOOKUP(C563;Portions!$A:$A;Portions!$B:$B);FoodItems!$A:$A;FoodItems!$C:$C))</f>
        <v/>
      </c>
      <c r="H563">
        <f>IF(E563="";"";E563/100*XLOOKUP(XLOOKUP(C563;Portions!$A:$A;Portions!$B:$B);FoodItems!$A:$A;FoodItems!$D:$D))</f>
        <v/>
      </c>
      <c r="I563">
        <f>IF(E563="";"";E563/100*XLOOKUP(XLOOKUP(C563;Portions!$A:$A;Portions!$B:$B);FoodItems!$A:$A;FoodItems!$E:$E))</f>
        <v/>
      </c>
    </row>
    <row r="564">
      <c r="E564">
        <f>IF(C564="";"";D564*XLOOKUP(C564;Portions!$A:$A;Portions!$D:$D))</f>
        <v/>
      </c>
      <c r="F564">
        <f>IF(E564="";"";E564/100*XLOOKUP(XLOOKUP(C564;Portions!$A:$A;Portions!$B:$B);FoodItems!$A:$A;FoodItems!$B:$B))</f>
        <v/>
      </c>
      <c r="G564">
        <f>IF(E564="";"";E564/100*XLOOKUP(XLOOKUP(C564;Portions!$A:$A;Portions!$B:$B);FoodItems!$A:$A;FoodItems!$C:$C))</f>
        <v/>
      </c>
      <c r="H564">
        <f>IF(E564="";"";E564/100*XLOOKUP(XLOOKUP(C564;Portions!$A:$A;Portions!$B:$B);FoodItems!$A:$A;FoodItems!$D:$D))</f>
        <v/>
      </c>
      <c r="I564">
        <f>IF(E564="";"";E564/100*XLOOKUP(XLOOKUP(C564;Portions!$A:$A;Portions!$B:$B);FoodItems!$A:$A;FoodItems!$E:$E))</f>
        <v/>
      </c>
    </row>
    <row r="565">
      <c r="E565">
        <f>IF(C565="";"";D565*XLOOKUP(C565;Portions!$A:$A;Portions!$D:$D))</f>
        <v/>
      </c>
      <c r="F565">
        <f>IF(E565="";"";E565/100*XLOOKUP(XLOOKUP(C565;Portions!$A:$A;Portions!$B:$B);FoodItems!$A:$A;FoodItems!$B:$B))</f>
        <v/>
      </c>
      <c r="G565">
        <f>IF(E565="";"";E565/100*XLOOKUP(XLOOKUP(C565;Portions!$A:$A;Portions!$B:$B);FoodItems!$A:$A;FoodItems!$C:$C))</f>
        <v/>
      </c>
      <c r="H565">
        <f>IF(E565="";"";E565/100*XLOOKUP(XLOOKUP(C565;Portions!$A:$A;Portions!$B:$B);FoodItems!$A:$A;FoodItems!$D:$D))</f>
        <v/>
      </c>
      <c r="I565">
        <f>IF(E565="";"";E565/100*XLOOKUP(XLOOKUP(C565;Portions!$A:$A;Portions!$B:$B);FoodItems!$A:$A;FoodItems!$E:$E))</f>
        <v/>
      </c>
    </row>
    <row r="566">
      <c r="E566">
        <f>IF(C566="";"";D566*XLOOKUP(C566;Portions!$A:$A;Portions!$D:$D))</f>
        <v/>
      </c>
      <c r="F566">
        <f>IF(E566="";"";E566/100*XLOOKUP(XLOOKUP(C566;Portions!$A:$A;Portions!$B:$B);FoodItems!$A:$A;FoodItems!$B:$B))</f>
        <v/>
      </c>
      <c r="G566">
        <f>IF(E566="";"";E566/100*XLOOKUP(XLOOKUP(C566;Portions!$A:$A;Portions!$B:$B);FoodItems!$A:$A;FoodItems!$C:$C))</f>
        <v/>
      </c>
      <c r="H566">
        <f>IF(E566="";"";E566/100*XLOOKUP(XLOOKUP(C566;Portions!$A:$A;Portions!$B:$B);FoodItems!$A:$A;FoodItems!$D:$D))</f>
        <v/>
      </c>
      <c r="I566">
        <f>IF(E566="";"";E566/100*XLOOKUP(XLOOKUP(C566;Portions!$A:$A;Portions!$B:$B);FoodItems!$A:$A;FoodItems!$E:$E))</f>
        <v/>
      </c>
    </row>
    <row r="567">
      <c r="E567">
        <f>IF(C567="";"";D567*XLOOKUP(C567;Portions!$A:$A;Portions!$D:$D))</f>
        <v/>
      </c>
      <c r="F567">
        <f>IF(E567="";"";E567/100*XLOOKUP(XLOOKUP(C567;Portions!$A:$A;Portions!$B:$B);FoodItems!$A:$A;FoodItems!$B:$B))</f>
        <v/>
      </c>
      <c r="G567">
        <f>IF(E567="";"";E567/100*XLOOKUP(XLOOKUP(C567;Portions!$A:$A;Portions!$B:$B);FoodItems!$A:$A;FoodItems!$C:$C))</f>
        <v/>
      </c>
      <c r="H567">
        <f>IF(E567="";"";E567/100*XLOOKUP(XLOOKUP(C567;Portions!$A:$A;Portions!$B:$B);FoodItems!$A:$A;FoodItems!$D:$D))</f>
        <v/>
      </c>
      <c r="I567">
        <f>IF(E567="";"";E567/100*XLOOKUP(XLOOKUP(C567;Portions!$A:$A;Portions!$B:$B);FoodItems!$A:$A;FoodItems!$E:$E))</f>
        <v/>
      </c>
    </row>
    <row r="568">
      <c r="E568">
        <f>IF(C568="";"";D568*XLOOKUP(C568;Portions!$A:$A;Portions!$D:$D))</f>
        <v/>
      </c>
      <c r="F568">
        <f>IF(E568="";"";E568/100*XLOOKUP(XLOOKUP(C568;Portions!$A:$A;Portions!$B:$B);FoodItems!$A:$A;FoodItems!$B:$B))</f>
        <v/>
      </c>
      <c r="G568">
        <f>IF(E568="";"";E568/100*XLOOKUP(XLOOKUP(C568;Portions!$A:$A;Portions!$B:$B);FoodItems!$A:$A;FoodItems!$C:$C))</f>
        <v/>
      </c>
      <c r="H568">
        <f>IF(E568="";"";E568/100*XLOOKUP(XLOOKUP(C568;Portions!$A:$A;Portions!$B:$B);FoodItems!$A:$A;FoodItems!$D:$D))</f>
        <v/>
      </c>
      <c r="I568">
        <f>IF(E568="";"";E568/100*XLOOKUP(XLOOKUP(C568;Portions!$A:$A;Portions!$B:$B);FoodItems!$A:$A;FoodItems!$E:$E))</f>
        <v/>
      </c>
    </row>
    <row r="569">
      <c r="E569">
        <f>IF(C569="";"";D569*XLOOKUP(C569;Portions!$A:$A;Portions!$D:$D))</f>
        <v/>
      </c>
      <c r="F569">
        <f>IF(E569="";"";E569/100*XLOOKUP(XLOOKUP(C569;Portions!$A:$A;Portions!$B:$B);FoodItems!$A:$A;FoodItems!$B:$B))</f>
        <v/>
      </c>
      <c r="G569">
        <f>IF(E569="";"";E569/100*XLOOKUP(XLOOKUP(C569;Portions!$A:$A;Portions!$B:$B);FoodItems!$A:$A;FoodItems!$C:$C))</f>
        <v/>
      </c>
      <c r="H569">
        <f>IF(E569="";"";E569/100*XLOOKUP(XLOOKUP(C569;Portions!$A:$A;Portions!$B:$B);FoodItems!$A:$A;FoodItems!$D:$D))</f>
        <v/>
      </c>
      <c r="I569">
        <f>IF(E569="";"";E569/100*XLOOKUP(XLOOKUP(C569;Portions!$A:$A;Portions!$B:$B);FoodItems!$A:$A;FoodItems!$E:$E))</f>
        <v/>
      </c>
    </row>
    <row r="570">
      <c r="E570">
        <f>IF(C570="";"";D570*XLOOKUP(C570;Portions!$A:$A;Portions!$D:$D))</f>
        <v/>
      </c>
      <c r="F570">
        <f>IF(E570="";"";E570/100*XLOOKUP(XLOOKUP(C570;Portions!$A:$A;Portions!$B:$B);FoodItems!$A:$A;FoodItems!$B:$B))</f>
        <v/>
      </c>
      <c r="G570">
        <f>IF(E570="";"";E570/100*XLOOKUP(XLOOKUP(C570;Portions!$A:$A;Portions!$B:$B);FoodItems!$A:$A;FoodItems!$C:$C))</f>
        <v/>
      </c>
      <c r="H570">
        <f>IF(E570="";"";E570/100*XLOOKUP(XLOOKUP(C570;Portions!$A:$A;Portions!$B:$B);FoodItems!$A:$A;FoodItems!$D:$D))</f>
        <v/>
      </c>
      <c r="I570">
        <f>IF(E570="";"";E570/100*XLOOKUP(XLOOKUP(C570;Portions!$A:$A;Portions!$B:$B);FoodItems!$A:$A;FoodItems!$E:$E))</f>
        <v/>
      </c>
    </row>
    <row r="571">
      <c r="E571">
        <f>IF(C571="";"";D571*XLOOKUP(C571;Portions!$A:$A;Portions!$D:$D))</f>
        <v/>
      </c>
      <c r="F571">
        <f>IF(E571="";"";E571/100*XLOOKUP(XLOOKUP(C571;Portions!$A:$A;Portions!$B:$B);FoodItems!$A:$A;FoodItems!$B:$B))</f>
        <v/>
      </c>
      <c r="G571">
        <f>IF(E571="";"";E571/100*XLOOKUP(XLOOKUP(C571;Portions!$A:$A;Portions!$B:$B);FoodItems!$A:$A;FoodItems!$C:$C))</f>
        <v/>
      </c>
      <c r="H571">
        <f>IF(E571="";"";E571/100*XLOOKUP(XLOOKUP(C571;Portions!$A:$A;Portions!$B:$B);FoodItems!$A:$A;FoodItems!$D:$D))</f>
        <v/>
      </c>
      <c r="I571">
        <f>IF(E571="";"";E571/100*XLOOKUP(XLOOKUP(C571;Portions!$A:$A;Portions!$B:$B);FoodItems!$A:$A;FoodItems!$E:$E))</f>
        <v/>
      </c>
    </row>
    <row r="572">
      <c r="E572">
        <f>IF(C572="";"";D572*XLOOKUP(C572;Portions!$A:$A;Portions!$D:$D))</f>
        <v/>
      </c>
      <c r="F572">
        <f>IF(E572="";"";E572/100*XLOOKUP(XLOOKUP(C572;Portions!$A:$A;Portions!$B:$B);FoodItems!$A:$A;FoodItems!$B:$B))</f>
        <v/>
      </c>
      <c r="G572">
        <f>IF(E572="";"";E572/100*XLOOKUP(XLOOKUP(C572;Portions!$A:$A;Portions!$B:$B);FoodItems!$A:$A;FoodItems!$C:$C))</f>
        <v/>
      </c>
      <c r="H572">
        <f>IF(E572="";"";E572/100*XLOOKUP(XLOOKUP(C572;Portions!$A:$A;Portions!$B:$B);FoodItems!$A:$A;FoodItems!$D:$D))</f>
        <v/>
      </c>
      <c r="I572">
        <f>IF(E572="";"";E572/100*XLOOKUP(XLOOKUP(C572;Portions!$A:$A;Portions!$B:$B);FoodItems!$A:$A;FoodItems!$E:$E))</f>
        <v/>
      </c>
    </row>
    <row r="573">
      <c r="E573">
        <f>IF(C573="";"";D573*XLOOKUP(C573;Portions!$A:$A;Portions!$D:$D))</f>
        <v/>
      </c>
      <c r="F573">
        <f>IF(E573="";"";E573/100*XLOOKUP(XLOOKUP(C573;Portions!$A:$A;Portions!$B:$B);FoodItems!$A:$A;FoodItems!$B:$B))</f>
        <v/>
      </c>
      <c r="G573">
        <f>IF(E573="";"";E573/100*XLOOKUP(XLOOKUP(C573;Portions!$A:$A;Portions!$B:$B);FoodItems!$A:$A;FoodItems!$C:$C))</f>
        <v/>
      </c>
      <c r="H573">
        <f>IF(E573="";"";E573/100*XLOOKUP(XLOOKUP(C573;Portions!$A:$A;Portions!$B:$B);FoodItems!$A:$A;FoodItems!$D:$D))</f>
        <v/>
      </c>
      <c r="I573">
        <f>IF(E573="";"";E573/100*XLOOKUP(XLOOKUP(C573;Portions!$A:$A;Portions!$B:$B);FoodItems!$A:$A;FoodItems!$E:$E))</f>
        <v/>
      </c>
    </row>
    <row r="574">
      <c r="E574">
        <f>IF(C574="";"";D574*XLOOKUP(C574;Portions!$A:$A;Portions!$D:$D))</f>
        <v/>
      </c>
      <c r="F574">
        <f>IF(E574="";"";E574/100*XLOOKUP(XLOOKUP(C574;Portions!$A:$A;Portions!$B:$B);FoodItems!$A:$A;FoodItems!$B:$B))</f>
        <v/>
      </c>
      <c r="G574">
        <f>IF(E574="";"";E574/100*XLOOKUP(XLOOKUP(C574;Portions!$A:$A;Portions!$B:$B);FoodItems!$A:$A;FoodItems!$C:$C))</f>
        <v/>
      </c>
      <c r="H574">
        <f>IF(E574="";"";E574/100*XLOOKUP(XLOOKUP(C574;Portions!$A:$A;Portions!$B:$B);FoodItems!$A:$A;FoodItems!$D:$D))</f>
        <v/>
      </c>
      <c r="I574">
        <f>IF(E574="";"";E574/100*XLOOKUP(XLOOKUP(C574;Portions!$A:$A;Portions!$B:$B);FoodItems!$A:$A;FoodItems!$E:$E))</f>
        <v/>
      </c>
    </row>
    <row r="575">
      <c r="E575">
        <f>IF(C575="";"";D575*XLOOKUP(C575;Portions!$A:$A;Portions!$D:$D))</f>
        <v/>
      </c>
      <c r="F575">
        <f>IF(E575="";"";E575/100*XLOOKUP(XLOOKUP(C575;Portions!$A:$A;Portions!$B:$B);FoodItems!$A:$A;FoodItems!$B:$B))</f>
        <v/>
      </c>
      <c r="G575">
        <f>IF(E575="";"";E575/100*XLOOKUP(XLOOKUP(C575;Portions!$A:$A;Portions!$B:$B);FoodItems!$A:$A;FoodItems!$C:$C))</f>
        <v/>
      </c>
      <c r="H575">
        <f>IF(E575="";"";E575/100*XLOOKUP(XLOOKUP(C575;Portions!$A:$A;Portions!$B:$B);FoodItems!$A:$A;FoodItems!$D:$D))</f>
        <v/>
      </c>
      <c r="I575">
        <f>IF(E575="";"";E575/100*XLOOKUP(XLOOKUP(C575;Portions!$A:$A;Portions!$B:$B);FoodItems!$A:$A;FoodItems!$E:$E))</f>
        <v/>
      </c>
    </row>
    <row r="576">
      <c r="E576">
        <f>IF(C576="";"";D576*XLOOKUP(C576;Portions!$A:$A;Portions!$D:$D))</f>
        <v/>
      </c>
      <c r="F576">
        <f>IF(E576="";"";E576/100*XLOOKUP(XLOOKUP(C576;Portions!$A:$A;Portions!$B:$B);FoodItems!$A:$A;FoodItems!$B:$B))</f>
        <v/>
      </c>
      <c r="G576">
        <f>IF(E576="";"";E576/100*XLOOKUP(XLOOKUP(C576;Portions!$A:$A;Portions!$B:$B);FoodItems!$A:$A;FoodItems!$C:$C))</f>
        <v/>
      </c>
      <c r="H576">
        <f>IF(E576="";"";E576/100*XLOOKUP(XLOOKUP(C576;Portions!$A:$A;Portions!$B:$B);FoodItems!$A:$A;FoodItems!$D:$D))</f>
        <v/>
      </c>
      <c r="I576">
        <f>IF(E576="";"";E576/100*XLOOKUP(XLOOKUP(C576;Portions!$A:$A;Portions!$B:$B);FoodItems!$A:$A;FoodItems!$E:$E))</f>
        <v/>
      </c>
    </row>
    <row r="577">
      <c r="E577">
        <f>IF(C577="";"";D577*XLOOKUP(C577;Portions!$A:$A;Portions!$D:$D))</f>
        <v/>
      </c>
      <c r="F577">
        <f>IF(E577="";"";E577/100*XLOOKUP(XLOOKUP(C577;Portions!$A:$A;Portions!$B:$B);FoodItems!$A:$A;FoodItems!$B:$B))</f>
        <v/>
      </c>
      <c r="G577">
        <f>IF(E577="";"";E577/100*XLOOKUP(XLOOKUP(C577;Portions!$A:$A;Portions!$B:$B);FoodItems!$A:$A;FoodItems!$C:$C))</f>
        <v/>
      </c>
      <c r="H577">
        <f>IF(E577="";"";E577/100*XLOOKUP(XLOOKUP(C577;Portions!$A:$A;Portions!$B:$B);FoodItems!$A:$A;FoodItems!$D:$D))</f>
        <v/>
      </c>
      <c r="I577">
        <f>IF(E577="";"";E577/100*XLOOKUP(XLOOKUP(C577;Portions!$A:$A;Portions!$B:$B);FoodItems!$A:$A;FoodItems!$E:$E))</f>
        <v/>
      </c>
    </row>
    <row r="578">
      <c r="E578">
        <f>IF(C578="";"";D578*XLOOKUP(C578;Portions!$A:$A;Portions!$D:$D))</f>
        <v/>
      </c>
      <c r="F578">
        <f>IF(E578="";"";E578/100*XLOOKUP(XLOOKUP(C578;Portions!$A:$A;Portions!$B:$B);FoodItems!$A:$A;FoodItems!$B:$B))</f>
        <v/>
      </c>
      <c r="G578">
        <f>IF(E578="";"";E578/100*XLOOKUP(XLOOKUP(C578;Portions!$A:$A;Portions!$B:$B);FoodItems!$A:$A;FoodItems!$C:$C))</f>
        <v/>
      </c>
      <c r="H578">
        <f>IF(E578="";"";E578/100*XLOOKUP(XLOOKUP(C578;Portions!$A:$A;Portions!$B:$B);FoodItems!$A:$A;FoodItems!$D:$D))</f>
        <v/>
      </c>
      <c r="I578">
        <f>IF(E578="";"";E578/100*XLOOKUP(XLOOKUP(C578;Portions!$A:$A;Portions!$B:$B);FoodItems!$A:$A;FoodItems!$E:$E))</f>
        <v/>
      </c>
    </row>
    <row r="579">
      <c r="E579">
        <f>IF(C579="";"";D579*XLOOKUP(C579;Portions!$A:$A;Portions!$D:$D))</f>
        <v/>
      </c>
      <c r="F579">
        <f>IF(E579="";"";E579/100*XLOOKUP(XLOOKUP(C579;Portions!$A:$A;Portions!$B:$B);FoodItems!$A:$A;FoodItems!$B:$B))</f>
        <v/>
      </c>
      <c r="G579">
        <f>IF(E579="";"";E579/100*XLOOKUP(XLOOKUP(C579;Portions!$A:$A;Portions!$B:$B);FoodItems!$A:$A;FoodItems!$C:$C))</f>
        <v/>
      </c>
      <c r="H579">
        <f>IF(E579="";"";E579/100*XLOOKUP(XLOOKUP(C579;Portions!$A:$A;Portions!$B:$B);FoodItems!$A:$A;FoodItems!$D:$D))</f>
        <v/>
      </c>
      <c r="I579">
        <f>IF(E579="";"";E579/100*XLOOKUP(XLOOKUP(C579;Portions!$A:$A;Portions!$B:$B);FoodItems!$A:$A;FoodItems!$E:$E))</f>
        <v/>
      </c>
    </row>
    <row r="580">
      <c r="E580">
        <f>IF(C580="";"";D580*XLOOKUP(C580;Portions!$A:$A;Portions!$D:$D))</f>
        <v/>
      </c>
      <c r="F580">
        <f>IF(E580="";"";E580/100*XLOOKUP(XLOOKUP(C580;Portions!$A:$A;Portions!$B:$B);FoodItems!$A:$A;FoodItems!$B:$B))</f>
        <v/>
      </c>
      <c r="G580">
        <f>IF(E580="";"";E580/100*XLOOKUP(XLOOKUP(C580;Portions!$A:$A;Portions!$B:$B);FoodItems!$A:$A;FoodItems!$C:$C))</f>
        <v/>
      </c>
      <c r="H580">
        <f>IF(E580="";"";E580/100*XLOOKUP(XLOOKUP(C580;Portions!$A:$A;Portions!$B:$B);FoodItems!$A:$A;FoodItems!$D:$D))</f>
        <v/>
      </c>
      <c r="I580">
        <f>IF(E580="";"";E580/100*XLOOKUP(XLOOKUP(C580;Portions!$A:$A;Portions!$B:$B);FoodItems!$A:$A;FoodItems!$E:$E))</f>
        <v/>
      </c>
    </row>
    <row r="581">
      <c r="E581">
        <f>IF(C581="";"";D581*XLOOKUP(C581;Portions!$A:$A;Portions!$D:$D))</f>
        <v/>
      </c>
      <c r="F581">
        <f>IF(E581="";"";E581/100*XLOOKUP(XLOOKUP(C581;Portions!$A:$A;Portions!$B:$B);FoodItems!$A:$A;FoodItems!$B:$B))</f>
        <v/>
      </c>
      <c r="G581">
        <f>IF(E581="";"";E581/100*XLOOKUP(XLOOKUP(C581;Portions!$A:$A;Portions!$B:$B);FoodItems!$A:$A;FoodItems!$C:$C))</f>
        <v/>
      </c>
      <c r="H581">
        <f>IF(E581="";"";E581/100*XLOOKUP(XLOOKUP(C581;Portions!$A:$A;Portions!$B:$B);FoodItems!$A:$A;FoodItems!$D:$D))</f>
        <v/>
      </c>
      <c r="I581">
        <f>IF(E581="";"";E581/100*XLOOKUP(XLOOKUP(C581;Portions!$A:$A;Portions!$B:$B);FoodItems!$A:$A;FoodItems!$E:$E))</f>
        <v/>
      </c>
    </row>
    <row r="582">
      <c r="E582">
        <f>IF(C582="";"";D582*XLOOKUP(C582;Portions!$A:$A;Portions!$D:$D))</f>
        <v/>
      </c>
      <c r="F582">
        <f>IF(E582="";"";E582/100*XLOOKUP(XLOOKUP(C582;Portions!$A:$A;Portions!$B:$B);FoodItems!$A:$A;FoodItems!$B:$B))</f>
        <v/>
      </c>
      <c r="G582">
        <f>IF(E582="";"";E582/100*XLOOKUP(XLOOKUP(C582;Portions!$A:$A;Portions!$B:$B);FoodItems!$A:$A;FoodItems!$C:$C))</f>
        <v/>
      </c>
      <c r="H582">
        <f>IF(E582="";"";E582/100*XLOOKUP(XLOOKUP(C582;Portions!$A:$A;Portions!$B:$B);FoodItems!$A:$A;FoodItems!$D:$D))</f>
        <v/>
      </c>
      <c r="I582">
        <f>IF(E582="";"";E582/100*XLOOKUP(XLOOKUP(C582;Portions!$A:$A;Portions!$B:$B);FoodItems!$A:$A;FoodItems!$E:$E))</f>
        <v/>
      </c>
    </row>
    <row r="583">
      <c r="E583">
        <f>IF(C583="";"";D583*XLOOKUP(C583;Portions!$A:$A;Portions!$D:$D))</f>
        <v/>
      </c>
      <c r="F583">
        <f>IF(E583="";"";E583/100*XLOOKUP(XLOOKUP(C583;Portions!$A:$A;Portions!$B:$B);FoodItems!$A:$A;FoodItems!$B:$B))</f>
        <v/>
      </c>
      <c r="G583">
        <f>IF(E583="";"";E583/100*XLOOKUP(XLOOKUP(C583;Portions!$A:$A;Portions!$B:$B);FoodItems!$A:$A;FoodItems!$C:$C))</f>
        <v/>
      </c>
      <c r="H583">
        <f>IF(E583="";"";E583/100*XLOOKUP(XLOOKUP(C583;Portions!$A:$A;Portions!$B:$B);FoodItems!$A:$A;FoodItems!$D:$D))</f>
        <v/>
      </c>
      <c r="I583">
        <f>IF(E583="";"";E583/100*XLOOKUP(XLOOKUP(C583;Portions!$A:$A;Portions!$B:$B);FoodItems!$A:$A;FoodItems!$E:$E))</f>
        <v/>
      </c>
    </row>
    <row r="584">
      <c r="E584">
        <f>IF(C584="";"";D584*XLOOKUP(C584;Portions!$A:$A;Portions!$D:$D))</f>
        <v/>
      </c>
      <c r="F584">
        <f>IF(E584="";"";E584/100*XLOOKUP(XLOOKUP(C584;Portions!$A:$A;Portions!$B:$B);FoodItems!$A:$A;FoodItems!$B:$B))</f>
        <v/>
      </c>
      <c r="G584">
        <f>IF(E584="";"";E584/100*XLOOKUP(XLOOKUP(C584;Portions!$A:$A;Portions!$B:$B);FoodItems!$A:$A;FoodItems!$C:$C))</f>
        <v/>
      </c>
      <c r="H584">
        <f>IF(E584="";"";E584/100*XLOOKUP(XLOOKUP(C584;Portions!$A:$A;Portions!$B:$B);FoodItems!$A:$A;FoodItems!$D:$D))</f>
        <v/>
      </c>
      <c r="I584">
        <f>IF(E584="";"";E584/100*XLOOKUP(XLOOKUP(C584;Portions!$A:$A;Portions!$B:$B);FoodItems!$A:$A;FoodItems!$E:$E))</f>
        <v/>
      </c>
    </row>
    <row r="585">
      <c r="E585">
        <f>IF(C585="";"";D585*XLOOKUP(C585;Portions!$A:$A;Portions!$D:$D))</f>
        <v/>
      </c>
      <c r="F585">
        <f>IF(E585="";"";E585/100*XLOOKUP(XLOOKUP(C585;Portions!$A:$A;Portions!$B:$B);FoodItems!$A:$A;FoodItems!$B:$B))</f>
        <v/>
      </c>
      <c r="G585">
        <f>IF(E585="";"";E585/100*XLOOKUP(XLOOKUP(C585;Portions!$A:$A;Portions!$B:$B);FoodItems!$A:$A;FoodItems!$C:$C))</f>
        <v/>
      </c>
      <c r="H585">
        <f>IF(E585="";"";E585/100*XLOOKUP(XLOOKUP(C585;Portions!$A:$A;Portions!$B:$B);FoodItems!$A:$A;FoodItems!$D:$D))</f>
        <v/>
      </c>
      <c r="I585">
        <f>IF(E585="";"";E585/100*XLOOKUP(XLOOKUP(C585;Portions!$A:$A;Portions!$B:$B);FoodItems!$A:$A;FoodItems!$E:$E))</f>
        <v/>
      </c>
    </row>
    <row r="586">
      <c r="E586">
        <f>IF(C586="";"";D586*XLOOKUP(C586;Portions!$A:$A;Portions!$D:$D))</f>
        <v/>
      </c>
      <c r="F586">
        <f>IF(E586="";"";E586/100*XLOOKUP(XLOOKUP(C586;Portions!$A:$A;Portions!$B:$B);FoodItems!$A:$A;FoodItems!$B:$B))</f>
        <v/>
      </c>
      <c r="G586">
        <f>IF(E586="";"";E586/100*XLOOKUP(XLOOKUP(C586;Portions!$A:$A;Portions!$B:$B);FoodItems!$A:$A;FoodItems!$C:$C))</f>
        <v/>
      </c>
      <c r="H586">
        <f>IF(E586="";"";E586/100*XLOOKUP(XLOOKUP(C586;Portions!$A:$A;Portions!$B:$B);FoodItems!$A:$A;FoodItems!$D:$D))</f>
        <v/>
      </c>
      <c r="I586">
        <f>IF(E586="";"";E586/100*XLOOKUP(XLOOKUP(C586;Portions!$A:$A;Portions!$B:$B);FoodItems!$A:$A;FoodItems!$E:$E))</f>
        <v/>
      </c>
    </row>
    <row r="587">
      <c r="E587">
        <f>IF(C587="";"";D587*XLOOKUP(C587;Portions!$A:$A;Portions!$D:$D))</f>
        <v/>
      </c>
      <c r="F587">
        <f>IF(E587="";"";E587/100*XLOOKUP(XLOOKUP(C587;Portions!$A:$A;Portions!$B:$B);FoodItems!$A:$A;FoodItems!$B:$B))</f>
        <v/>
      </c>
      <c r="G587">
        <f>IF(E587="";"";E587/100*XLOOKUP(XLOOKUP(C587;Portions!$A:$A;Portions!$B:$B);FoodItems!$A:$A;FoodItems!$C:$C))</f>
        <v/>
      </c>
      <c r="H587">
        <f>IF(E587="";"";E587/100*XLOOKUP(XLOOKUP(C587;Portions!$A:$A;Portions!$B:$B);FoodItems!$A:$A;FoodItems!$D:$D))</f>
        <v/>
      </c>
      <c r="I587">
        <f>IF(E587="";"";E587/100*XLOOKUP(XLOOKUP(C587;Portions!$A:$A;Portions!$B:$B);FoodItems!$A:$A;FoodItems!$E:$E))</f>
        <v/>
      </c>
    </row>
    <row r="588">
      <c r="E588">
        <f>IF(C588="";"";D588*XLOOKUP(C588;Portions!$A:$A;Portions!$D:$D))</f>
        <v/>
      </c>
      <c r="F588">
        <f>IF(E588="";"";E588/100*XLOOKUP(XLOOKUP(C588;Portions!$A:$A;Portions!$B:$B);FoodItems!$A:$A;FoodItems!$B:$B))</f>
        <v/>
      </c>
      <c r="G588">
        <f>IF(E588="";"";E588/100*XLOOKUP(XLOOKUP(C588;Portions!$A:$A;Portions!$B:$B);FoodItems!$A:$A;FoodItems!$C:$C))</f>
        <v/>
      </c>
      <c r="H588">
        <f>IF(E588="";"";E588/100*XLOOKUP(XLOOKUP(C588;Portions!$A:$A;Portions!$B:$B);FoodItems!$A:$A;FoodItems!$D:$D))</f>
        <v/>
      </c>
      <c r="I588">
        <f>IF(E588="";"";E588/100*XLOOKUP(XLOOKUP(C588;Portions!$A:$A;Portions!$B:$B);FoodItems!$A:$A;FoodItems!$E:$E))</f>
        <v/>
      </c>
    </row>
    <row r="589">
      <c r="E589">
        <f>IF(C589="";"";D589*XLOOKUP(C589;Portions!$A:$A;Portions!$D:$D))</f>
        <v/>
      </c>
      <c r="F589">
        <f>IF(E589="";"";E589/100*XLOOKUP(XLOOKUP(C589;Portions!$A:$A;Portions!$B:$B);FoodItems!$A:$A;FoodItems!$B:$B))</f>
        <v/>
      </c>
      <c r="G589">
        <f>IF(E589="";"";E589/100*XLOOKUP(XLOOKUP(C589;Portions!$A:$A;Portions!$B:$B);FoodItems!$A:$A;FoodItems!$C:$C))</f>
        <v/>
      </c>
      <c r="H589">
        <f>IF(E589="";"";E589/100*XLOOKUP(XLOOKUP(C589;Portions!$A:$A;Portions!$B:$B);FoodItems!$A:$A;FoodItems!$D:$D))</f>
        <v/>
      </c>
      <c r="I589">
        <f>IF(E589="";"";E589/100*XLOOKUP(XLOOKUP(C589;Portions!$A:$A;Portions!$B:$B);FoodItems!$A:$A;FoodItems!$E:$E))</f>
        <v/>
      </c>
    </row>
    <row r="590">
      <c r="E590">
        <f>IF(C590="";"";D590*XLOOKUP(C590;Portions!$A:$A;Portions!$D:$D))</f>
        <v/>
      </c>
      <c r="F590">
        <f>IF(E590="";"";E590/100*XLOOKUP(XLOOKUP(C590;Portions!$A:$A;Portions!$B:$B);FoodItems!$A:$A;FoodItems!$B:$B))</f>
        <v/>
      </c>
      <c r="G590">
        <f>IF(E590="";"";E590/100*XLOOKUP(XLOOKUP(C590;Portions!$A:$A;Portions!$B:$B);FoodItems!$A:$A;FoodItems!$C:$C))</f>
        <v/>
      </c>
      <c r="H590">
        <f>IF(E590="";"";E590/100*XLOOKUP(XLOOKUP(C590;Portions!$A:$A;Portions!$B:$B);FoodItems!$A:$A;FoodItems!$D:$D))</f>
        <v/>
      </c>
      <c r="I590">
        <f>IF(E590="";"";E590/100*XLOOKUP(XLOOKUP(C590;Portions!$A:$A;Portions!$B:$B);FoodItems!$A:$A;FoodItems!$E:$E))</f>
        <v/>
      </c>
    </row>
    <row r="591">
      <c r="E591">
        <f>IF(C591="";"";D591*XLOOKUP(C591;Portions!$A:$A;Portions!$D:$D))</f>
        <v/>
      </c>
      <c r="F591">
        <f>IF(E591="";"";E591/100*XLOOKUP(XLOOKUP(C591;Portions!$A:$A;Portions!$B:$B);FoodItems!$A:$A;FoodItems!$B:$B))</f>
        <v/>
      </c>
      <c r="G591">
        <f>IF(E591="";"";E591/100*XLOOKUP(XLOOKUP(C591;Portions!$A:$A;Portions!$B:$B);FoodItems!$A:$A;FoodItems!$C:$C))</f>
        <v/>
      </c>
      <c r="H591">
        <f>IF(E591="";"";E591/100*XLOOKUP(XLOOKUP(C591;Portions!$A:$A;Portions!$B:$B);FoodItems!$A:$A;FoodItems!$D:$D))</f>
        <v/>
      </c>
      <c r="I591">
        <f>IF(E591="";"";E591/100*XLOOKUP(XLOOKUP(C591;Portions!$A:$A;Portions!$B:$B);FoodItems!$A:$A;FoodItems!$E:$E))</f>
        <v/>
      </c>
    </row>
    <row r="592">
      <c r="E592">
        <f>IF(C592="";"";D592*XLOOKUP(C592;Portions!$A:$A;Portions!$D:$D))</f>
        <v/>
      </c>
      <c r="F592">
        <f>IF(E592="";"";E592/100*XLOOKUP(XLOOKUP(C592;Portions!$A:$A;Portions!$B:$B);FoodItems!$A:$A;FoodItems!$B:$B))</f>
        <v/>
      </c>
      <c r="G592">
        <f>IF(E592="";"";E592/100*XLOOKUP(XLOOKUP(C592;Portions!$A:$A;Portions!$B:$B);FoodItems!$A:$A;FoodItems!$C:$C))</f>
        <v/>
      </c>
      <c r="H592">
        <f>IF(E592="";"";E592/100*XLOOKUP(XLOOKUP(C592;Portions!$A:$A;Portions!$B:$B);FoodItems!$A:$A;FoodItems!$D:$D))</f>
        <v/>
      </c>
      <c r="I592">
        <f>IF(E592="";"";E592/100*XLOOKUP(XLOOKUP(C592;Portions!$A:$A;Portions!$B:$B);FoodItems!$A:$A;FoodItems!$E:$E))</f>
        <v/>
      </c>
    </row>
    <row r="593">
      <c r="E593">
        <f>IF(C593="";"";D593*XLOOKUP(C593;Portions!$A:$A;Portions!$D:$D))</f>
        <v/>
      </c>
      <c r="F593">
        <f>IF(E593="";"";E593/100*XLOOKUP(XLOOKUP(C593;Portions!$A:$A;Portions!$B:$B);FoodItems!$A:$A;FoodItems!$B:$B))</f>
        <v/>
      </c>
      <c r="G593">
        <f>IF(E593="";"";E593/100*XLOOKUP(XLOOKUP(C593;Portions!$A:$A;Portions!$B:$B);FoodItems!$A:$A;FoodItems!$C:$C))</f>
        <v/>
      </c>
      <c r="H593">
        <f>IF(E593="";"";E593/100*XLOOKUP(XLOOKUP(C593;Portions!$A:$A;Portions!$B:$B);FoodItems!$A:$A;FoodItems!$D:$D))</f>
        <v/>
      </c>
      <c r="I593">
        <f>IF(E593="";"";E593/100*XLOOKUP(XLOOKUP(C593;Portions!$A:$A;Portions!$B:$B);FoodItems!$A:$A;FoodItems!$E:$E))</f>
        <v/>
      </c>
    </row>
    <row r="594">
      <c r="E594">
        <f>IF(C594="";"";D594*XLOOKUP(C594;Portions!$A:$A;Portions!$D:$D))</f>
        <v/>
      </c>
      <c r="F594">
        <f>IF(E594="";"";E594/100*XLOOKUP(XLOOKUP(C594;Portions!$A:$A;Portions!$B:$B);FoodItems!$A:$A;FoodItems!$B:$B))</f>
        <v/>
      </c>
      <c r="G594">
        <f>IF(E594="";"";E594/100*XLOOKUP(XLOOKUP(C594;Portions!$A:$A;Portions!$B:$B);FoodItems!$A:$A;FoodItems!$C:$C))</f>
        <v/>
      </c>
      <c r="H594">
        <f>IF(E594="";"";E594/100*XLOOKUP(XLOOKUP(C594;Portions!$A:$A;Portions!$B:$B);FoodItems!$A:$A;FoodItems!$D:$D))</f>
        <v/>
      </c>
      <c r="I594">
        <f>IF(E594="";"";E594/100*XLOOKUP(XLOOKUP(C594;Portions!$A:$A;Portions!$B:$B);FoodItems!$A:$A;FoodItems!$E:$E))</f>
        <v/>
      </c>
    </row>
    <row r="595">
      <c r="E595">
        <f>IF(C595="";"";D595*XLOOKUP(C595;Portions!$A:$A;Portions!$D:$D))</f>
        <v/>
      </c>
      <c r="F595">
        <f>IF(E595="";"";E595/100*XLOOKUP(XLOOKUP(C595;Portions!$A:$A;Portions!$B:$B);FoodItems!$A:$A;FoodItems!$B:$B))</f>
        <v/>
      </c>
      <c r="G595">
        <f>IF(E595="";"";E595/100*XLOOKUP(XLOOKUP(C595;Portions!$A:$A;Portions!$B:$B);FoodItems!$A:$A;FoodItems!$C:$C))</f>
        <v/>
      </c>
      <c r="H595">
        <f>IF(E595="";"";E595/100*XLOOKUP(XLOOKUP(C595;Portions!$A:$A;Portions!$B:$B);FoodItems!$A:$A;FoodItems!$D:$D))</f>
        <v/>
      </c>
      <c r="I595">
        <f>IF(E595="";"";E595/100*XLOOKUP(XLOOKUP(C595;Portions!$A:$A;Portions!$B:$B);FoodItems!$A:$A;FoodItems!$E:$E))</f>
        <v/>
      </c>
    </row>
    <row r="596">
      <c r="E596">
        <f>IF(C596="";"";D596*XLOOKUP(C596;Portions!$A:$A;Portions!$D:$D))</f>
        <v/>
      </c>
      <c r="F596">
        <f>IF(E596="";"";E596/100*XLOOKUP(XLOOKUP(C596;Portions!$A:$A;Portions!$B:$B);FoodItems!$A:$A;FoodItems!$B:$B))</f>
        <v/>
      </c>
      <c r="G596">
        <f>IF(E596="";"";E596/100*XLOOKUP(XLOOKUP(C596;Portions!$A:$A;Portions!$B:$B);FoodItems!$A:$A;FoodItems!$C:$C))</f>
        <v/>
      </c>
      <c r="H596">
        <f>IF(E596="";"";E596/100*XLOOKUP(XLOOKUP(C596;Portions!$A:$A;Portions!$B:$B);FoodItems!$A:$A;FoodItems!$D:$D))</f>
        <v/>
      </c>
      <c r="I596">
        <f>IF(E596="";"";E596/100*XLOOKUP(XLOOKUP(C596;Portions!$A:$A;Portions!$B:$B);FoodItems!$A:$A;FoodItems!$E:$E))</f>
        <v/>
      </c>
    </row>
    <row r="597">
      <c r="E597">
        <f>IF(C597="";"";D597*XLOOKUP(C597;Portions!$A:$A;Portions!$D:$D))</f>
        <v/>
      </c>
      <c r="F597">
        <f>IF(E597="";"";E597/100*XLOOKUP(XLOOKUP(C597;Portions!$A:$A;Portions!$B:$B);FoodItems!$A:$A;FoodItems!$B:$B))</f>
        <v/>
      </c>
      <c r="G597">
        <f>IF(E597="";"";E597/100*XLOOKUP(XLOOKUP(C597;Portions!$A:$A;Portions!$B:$B);FoodItems!$A:$A;FoodItems!$C:$C))</f>
        <v/>
      </c>
      <c r="H597">
        <f>IF(E597="";"";E597/100*XLOOKUP(XLOOKUP(C597;Portions!$A:$A;Portions!$B:$B);FoodItems!$A:$A;FoodItems!$D:$D))</f>
        <v/>
      </c>
      <c r="I597">
        <f>IF(E597="";"";E597/100*XLOOKUP(XLOOKUP(C597;Portions!$A:$A;Portions!$B:$B);FoodItems!$A:$A;FoodItems!$E:$E))</f>
        <v/>
      </c>
    </row>
    <row r="598">
      <c r="E598">
        <f>IF(C598="";"";D598*XLOOKUP(C598;Portions!$A:$A;Portions!$D:$D))</f>
        <v/>
      </c>
      <c r="F598">
        <f>IF(E598="";"";E598/100*XLOOKUP(XLOOKUP(C598;Portions!$A:$A;Portions!$B:$B);FoodItems!$A:$A;FoodItems!$B:$B))</f>
        <v/>
      </c>
      <c r="G598">
        <f>IF(E598="";"";E598/100*XLOOKUP(XLOOKUP(C598;Portions!$A:$A;Portions!$B:$B);FoodItems!$A:$A;FoodItems!$C:$C))</f>
        <v/>
      </c>
      <c r="H598">
        <f>IF(E598="";"";E598/100*XLOOKUP(XLOOKUP(C598;Portions!$A:$A;Portions!$B:$B);FoodItems!$A:$A;FoodItems!$D:$D))</f>
        <v/>
      </c>
      <c r="I598">
        <f>IF(E598="";"";E598/100*XLOOKUP(XLOOKUP(C598;Portions!$A:$A;Portions!$B:$B);FoodItems!$A:$A;FoodItems!$E:$E))</f>
        <v/>
      </c>
    </row>
    <row r="599">
      <c r="E599">
        <f>IF(C599="";"";D599*XLOOKUP(C599;Portions!$A:$A;Portions!$D:$D))</f>
        <v/>
      </c>
      <c r="F599">
        <f>IF(E599="";"";E599/100*XLOOKUP(XLOOKUP(C599;Portions!$A:$A;Portions!$B:$B);FoodItems!$A:$A;FoodItems!$B:$B))</f>
        <v/>
      </c>
      <c r="G599">
        <f>IF(E599="";"";E599/100*XLOOKUP(XLOOKUP(C599;Portions!$A:$A;Portions!$B:$B);FoodItems!$A:$A;FoodItems!$C:$C))</f>
        <v/>
      </c>
      <c r="H599">
        <f>IF(E599="";"";E599/100*XLOOKUP(XLOOKUP(C599;Portions!$A:$A;Portions!$B:$B);FoodItems!$A:$A;FoodItems!$D:$D))</f>
        <v/>
      </c>
      <c r="I599">
        <f>IF(E599="";"";E599/100*XLOOKUP(XLOOKUP(C599;Portions!$A:$A;Portions!$B:$B);FoodItems!$A:$A;FoodItems!$E:$E))</f>
        <v/>
      </c>
    </row>
    <row r="600">
      <c r="E600">
        <f>IF(C600="";"";D600*XLOOKUP(C600;Portions!$A:$A;Portions!$D:$D))</f>
        <v/>
      </c>
      <c r="F600">
        <f>IF(E600="";"";E600/100*XLOOKUP(XLOOKUP(C600;Portions!$A:$A;Portions!$B:$B);FoodItems!$A:$A;FoodItems!$B:$B))</f>
        <v/>
      </c>
      <c r="G600">
        <f>IF(E600="";"";E600/100*XLOOKUP(XLOOKUP(C600;Portions!$A:$A;Portions!$B:$B);FoodItems!$A:$A;FoodItems!$C:$C))</f>
        <v/>
      </c>
      <c r="H600">
        <f>IF(E600="";"";E600/100*XLOOKUP(XLOOKUP(C600;Portions!$A:$A;Portions!$B:$B);FoodItems!$A:$A;FoodItems!$D:$D))</f>
        <v/>
      </c>
      <c r="I600">
        <f>IF(E600="";"";E600/100*XLOOKUP(XLOOKUP(C600;Portions!$A:$A;Portions!$B:$B);FoodItems!$A:$A;FoodItems!$E:$E))</f>
        <v/>
      </c>
    </row>
    <row r="601">
      <c r="E601">
        <f>IF(C601="";"";D601*XLOOKUP(C601;Portions!$A:$A;Portions!$D:$D))</f>
        <v/>
      </c>
      <c r="F601">
        <f>IF(E601="";"";E601/100*XLOOKUP(XLOOKUP(C601;Portions!$A:$A;Portions!$B:$B);FoodItems!$A:$A;FoodItems!$B:$B))</f>
        <v/>
      </c>
      <c r="G601">
        <f>IF(E601="";"";E601/100*XLOOKUP(XLOOKUP(C601;Portions!$A:$A;Portions!$B:$B);FoodItems!$A:$A;FoodItems!$C:$C))</f>
        <v/>
      </c>
      <c r="H601">
        <f>IF(E601="";"";E601/100*XLOOKUP(XLOOKUP(C601;Portions!$A:$A;Portions!$B:$B);FoodItems!$A:$A;FoodItems!$D:$D))</f>
        <v/>
      </c>
      <c r="I601">
        <f>IF(E601="";"";E601/100*XLOOKUP(XLOOKUP(C601;Portions!$A:$A;Portions!$B:$B);FoodItems!$A:$A;FoodItems!$E:$E))</f>
        <v/>
      </c>
    </row>
    <row r="602">
      <c r="E602">
        <f>IF(C602="";"";D602*XLOOKUP(C602;Portions!$A:$A;Portions!$D:$D))</f>
        <v/>
      </c>
      <c r="F602">
        <f>IF(E602="";"";E602/100*XLOOKUP(XLOOKUP(C602;Portions!$A:$A;Portions!$B:$B);FoodItems!$A:$A;FoodItems!$B:$B))</f>
        <v/>
      </c>
      <c r="G602">
        <f>IF(E602="";"";E602/100*XLOOKUP(XLOOKUP(C602;Portions!$A:$A;Portions!$B:$B);FoodItems!$A:$A;FoodItems!$C:$C))</f>
        <v/>
      </c>
      <c r="H602">
        <f>IF(E602="";"";E602/100*XLOOKUP(XLOOKUP(C602;Portions!$A:$A;Portions!$B:$B);FoodItems!$A:$A;FoodItems!$D:$D))</f>
        <v/>
      </c>
      <c r="I602">
        <f>IF(E602="";"";E602/100*XLOOKUP(XLOOKUP(C602;Portions!$A:$A;Portions!$B:$B);FoodItems!$A:$A;FoodItems!$E:$E))</f>
        <v/>
      </c>
    </row>
    <row r="603">
      <c r="E603">
        <f>IF(C603="";"";D603*XLOOKUP(C603;Portions!$A:$A;Portions!$D:$D))</f>
        <v/>
      </c>
      <c r="F603">
        <f>IF(E603="";"";E603/100*XLOOKUP(XLOOKUP(C603;Portions!$A:$A;Portions!$B:$B);FoodItems!$A:$A;FoodItems!$B:$B))</f>
        <v/>
      </c>
      <c r="G603">
        <f>IF(E603="";"";E603/100*XLOOKUP(XLOOKUP(C603;Portions!$A:$A;Portions!$B:$B);FoodItems!$A:$A;FoodItems!$C:$C))</f>
        <v/>
      </c>
      <c r="H603">
        <f>IF(E603="";"";E603/100*XLOOKUP(XLOOKUP(C603;Portions!$A:$A;Portions!$B:$B);FoodItems!$A:$A;FoodItems!$D:$D))</f>
        <v/>
      </c>
      <c r="I603">
        <f>IF(E603="";"";E603/100*XLOOKUP(XLOOKUP(C603;Portions!$A:$A;Portions!$B:$B);FoodItems!$A:$A;FoodItems!$E:$E))</f>
        <v/>
      </c>
    </row>
    <row r="604">
      <c r="E604">
        <f>IF(C604="";"";D604*XLOOKUP(C604;Portions!$A:$A;Portions!$D:$D))</f>
        <v/>
      </c>
      <c r="F604">
        <f>IF(E604="";"";E604/100*XLOOKUP(XLOOKUP(C604;Portions!$A:$A;Portions!$B:$B);FoodItems!$A:$A;FoodItems!$B:$B))</f>
        <v/>
      </c>
      <c r="G604">
        <f>IF(E604="";"";E604/100*XLOOKUP(XLOOKUP(C604;Portions!$A:$A;Portions!$B:$B);FoodItems!$A:$A;FoodItems!$C:$C))</f>
        <v/>
      </c>
      <c r="H604">
        <f>IF(E604="";"";E604/100*XLOOKUP(XLOOKUP(C604;Portions!$A:$A;Portions!$B:$B);FoodItems!$A:$A;FoodItems!$D:$D))</f>
        <v/>
      </c>
      <c r="I604">
        <f>IF(E604="";"";E604/100*XLOOKUP(XLOOKUP(C604;Portions!$A:$A;Portions!$B:$B);FoodItems!$A:$A;FoodItems!$E:$E))</f>
        <v/>
      </c>
    </row>
    <row r="605">
      <c r="E605">
        <f>IF(C605="";"";D605*XLOOKUP(C605;Portions!$A:$A;Portions!$D:$D))</f>
        <v/>
      </c>
      <c r="F605">
        <f>IF(E605="";"";E605/100*XLOOKUP(XLOOKUP(C605;Portions!$A:$A;Portions!$B:$B);FoodItems!$A:$A;FoodItems!$B:$B))</f>
        <v/>
      </c>
      <c r="G605">
        <f>IF(E605="";"";E605/100*XLOOKUP(XLOOKUP(C605;Portions!$A:$A;Portions!$B:$B);FoodItems!$A:$A;FoodItems!$C:$C))</f>
        <v/>
      </c>
      <c r="H605">
        <f>IF(E605="";"";E605/100*XLOOKUP(XLOOKUP(C605;Portions!$A:$A;Portions!$B:$B);FoodItems!$A:$A;FoodItems!$D:$D))</f>
        <v/>
      </c>
      <c r="I605">
        <f>IF(E605="";"";E605/100*XLOOKUP(XLOOKUP(C605;Portions!$A:$A;Portions!$B:$B);FoodItems!$A:$A;FoodItems!$E:$E))</f>
        <v/>
      </c>
    </row>
    <row r="606">
      <c r="E606">
        <f>IF(C606="";"";D606*XLOOKUP(C606;Portions!$A:$A;Portions!$D:$D))</f>
        <v/>
      </c>
      <c r="F606">
        <f>IF(E606="";"";E606/100*XLOOKUP(XLOOKUP(C606;Portions!$A:$A;Portions!$B:$B);FoodItems!$A:$A;FoodItems!$B:$B))</f>
        <v/>
      </c>
      <c r="G606">
        <f>IF(E606="";"";E606/100*XLOOKUP(XLOOKUP(C606;Portions!$A:$A;Portions!$B:$B);FoodItems!$A:$A;FoodItems!$C:$C))</f>
        <v/>
      </c>
      <c r="H606">
        <f>IF(E606="";"";E606/100*XLOOKUP(XLOOKUP(C606;Portions!$A:$A;Portions!$B:$B);FoodItems!$A:$A;FoodItems!$D:$D))</f>
        <v/>
      </c>
      <c r="I606">
        <f>IF(E606="";"";E606/100*XLOOKUP(XLOOKUP(C606;Portions!$A:$A;Portions!$B:$B);FoodItems!$A:$A;FoodItems!$E:$E))</f>
        <v/>
      </c>
    </row>
    <row r="607">
      <c r="E607">
        <f>IF(C607="";"";D607*XLOOKUP(C607;Portions!$A:$A;Portions!$D:$D))</f>
        <v/>
      </c>
      <c r="F607">
        <f>IF(E607="";"";E607/100*XLOOKUP(XLOOKUP(C607;Portions!$A:$A;Portions!$B:$B);FoodItems!$A:$A;FoodItems!$B:$B))</f>
        <v/>
      </c>
      <c r="G607">
        <f>IF(E607="";"";E607/100*XLOOKUP(XLOOKUP(C607;Portions!$A:$A;Portions!$B:$B);FoodItems!$A:$A;FoodItems!$C:$C))</f>
        <v/>
      </c>
      <c r="H607">
        <f>IF(E607="";"";E607/100*XLOOKUP(XLOOKUP(C607;Portions!$A:$A;Portions!$B:$B);FoodItems!$A:$A;FoodItems!$D:$D))</f>
        <v/>
      </c>
      <c r="I607">
        <f>IF(E607="";"";E607/100*XLOOKUP(XLOOKUP(C607;Portions!$A:$A;Portions!$B:$B);FoodItems!$A:$A;FoodItems!$E:$E))</f>
        <v/>
      </c>
    </row>
    <row r="608">
      <c r="E608">
        <f>IF(C608="";"";D608*XLOOKUP(C608;Portions!$A:$A;Portions!$D:$D))</f>
        <v/>
      </c>
      <c r="F608">
        <f>IF(E608="";"";E608/100*XLOOKUP(XLOOKUP(C608;Portions!$A:$A;Portions!$B:$B);FoodItems!$A:$A;FoodItems!$B:$B))</f>
        <v/>
      </c>
      <c r="G608">
        <f>IF(E608="";"";E608/100*XLOOKUP(XLOOKUP(C608;Portions!$A:$A;Portions!$B:$B);FoodItems!$A:$A;FoodItems!$C:$C))</f>
        <v/>
      </c>
      <c r="H608">
        <f>IF(E608="";"";E608/100*XLOOKUP(XLOOKUP(C608;Portions!$A:$A;Portions!$B:$B);FoodItems!$A:$A;FoodItems!$D:$D))</f>
        <v/>
      </c>
      <c r="I608">
        <f>IF(E608="";"";E608/100*XLOOKUP(XLOOKUP(C608;Portions!$A:$A;Portions!$B:$B);FoodItems!$A:$A;FoodItems!$E:$E))</f>
        <v/>
      </c>
    </row>
    <row r="609">
      <c r="E609">
        <f>IF(C609="";"";D609*XLOOKUP(C609;Portions!$A:$A;Portions!$D:$D))</f>
        <v/>
      </c>
      <c r="F609">
        <f>IF(E609="";"";E609/100*XLOOKUP(XLOOKUP(C609;Portions!$A:$A;Portions!$B:$B);FoodItems!$A:$A;FoodItems!$B:$B))</f>
        <v/>
      </c>
      <c r="G609">
        <f>IF(E609="";"";E609/100*XLOOKUP(XLOOKUP(C609;Portions!$A:$A;Portions!$B:$B);FoodItems!$A:$A;FoodItems!$C:$C))</f>
        <v/>
      </c>
      <c r="H609">
        <f>IF(E609="";"";E609/100*XLOOKUP(XLOOKUP(C609;Portions!$A:$A;Portions!$B:$B);FoodItems!$A:$A;FoodItems!$D:$D))</f>
        <v/>
      </c>
      <c r="I609">
        <f>IF(E609="";"";E609/100*XLOOKUP(XLOOKUP(C609;Portions!$A:$A;Portions!$B:$B);FoodItems!$A:$A;FoodItems!$E:$E))</f>
        <v/>
      </c>
    </row>
    <row r="610">
      <c r="E610">
        <f>IF(C610="";"";D610*XLOOKUP(C610;Portions!$A:$A;Portions!$D:$D))</f>
        <v/>
      </c>
      <c r="F610">
        <f>IF(E610="";"";E610/100*XLOOKUP(XLOOKUP(C610;Portions!$A:$A;Portions!$B:$B);FoodItems!$A:$A;FoodItems!$B:$B))</f>
        <v/>
      </c>
      <c r="G610">
        <f>IF(E610="";"";E610/100*XLOOKUP(XLOOKUP(C610;Portions!$A:$A;Portions!$B:$B);FoodItems!$A:$A;FoodItems!$C:$C))</f>
        <v/>
      </c>
      <c r="H610">
        <f>IF(E610="";"";E610/100*XLOOKUP(XLOOKUP(C610;Portions!$A:$A;Portions!$B:$B);FoodItems!$A:$A;FoodItems!$D:$D))</f>
        <v/>
      </c>
      <c r="I610">
        <f>IF(E610="";"";E610/100*XLOOKUP(XLOOKUP(C610;Portions!$A:$A;Portions!$B:$B);FoodItems!$A:$A;FoodItems!$E:$E))</f>
        <v/>
      </c>
    </row>
    <row r="611">
      <c r="E611">
        <f>IF(C611="";"";D611*XLOOKUP(C611;Portions!$A:$A;Portions!$D:$D))</f>
        <v/>
      </c>
      <c r="F611">
        <f>IF(E611="";"";E611/100*XLOOKUP(XLOOKUP(C611;Portions!$A:$A;Portions!$B:$B);FoodItems!$A:$A;FoodItems!$B:$B))</f>
        <v/>
      </c>
      <c r="G611">
        <f>IF(E611="";"";E611/100*XLOOKUP(XLOOKUP(C611;Portions!$A:$A;Portions!$B:$B);FoodItems!$A:$A;FoodItems!$C:$C))</f>
        <v/>
      </c>
      <c r="H611">
        <f>IF(E611="";"";E611/100*XLOOKUP(XLOOKUP(C611;Portions!$A:$A;Portions!$B:$B);FoodItems!$A:$A;FoodItems!$D:$D))</f>
        <v/>
      </c>
      <c r="I611">
        <f>IF(E611="";"";E611/100*XLOOKUP(XLOOKUP(C611;Portions!$A:$A;Portions!$B:$B);FoodItems!$A:$A;FoodItems!$E:$E))</f>
        <v/>
      </c>
    </row>
    <row r="612">
      <c r="E612">
        <f>IF(C612="";"";D612*XLOOKUP(C612;Portions!$A:$A;Portions!$D:$D))</f>
        <v/>
      </c>
      <c r="F612">
        <f>IF(E612="";"";E612/100*XLOOKUP(XLOOKUP(C612;Portions!$A:$A;Portions!$B:$B);FoodItems!$A:$A;FoodItems!$B:$B))</f>
        <v/>
      </c>
      <c r="G612">
        <f>IF(E612="";"";E612/100*XLOOKUP(XLOOKUP(C612;Portions!$A:$A;Portions!$B:$B);FoodItems!$A:$A;FoodItems!$C:$C))</f>
        <v/>
      </c>
      <c r="H612">
        <f>IF(E612="";"";E612/100*XLOOKUP(XLOOKUP(C612;Portions!$A:$A;Portions!$B:$B);FoodItems!$A:$A;FoodItems!$D:$D))</f>
        <v/>
      </c>
      <c r="I612">
        <f>IF(E612="";"";E612/100*XLOOKUP(XLOOKUP(C612;Portions!$A:$A;Portions!$B:$B);FoodItems!$A:$A;FoodItems!$E:$E))</f>
        <v/>
      </c>
    </row>
    <row r="613">
      <c r="E613">
        <f>IF(C613="";"";D613*XLOOKUP(C613;Portions!$A:$A;Portions!$D:$D))</f>
        <v/>
      </c>
      <c r="F613">
        <f>IF(E613="";"";E613/100*XLOOKUP(XLOOKUP(C613;Portions!$A:$A;Portions!$B:$B);FoodItems!$A:$A;FoodItems!$B:$B))</f>
        <v/>
      </c>
      <c r="G613">
        <f>IF(E613="";"";E613/100*XLOOKUP(XLOOKUP(C613;Portions!$A:$A;Portions!$B:$B);FoodItems!$A:$A;FoodItems!$C:$C))</f>
        <v/>
      </c>
      <c r="H613">
        <f>IF(E613="";"";E613/100*XLOOKUP(XLOOKUP(C613;Portions!$A:$A;Portions!$B:$B);FoodItems!$A:$A;FoodItems!$D:$D))</f>
        <v/>
      </c>
      <c r="I613">
        <f>IF(E613="";"";E613/100*XLOOKUP(XLOOKUP(C613;Portions!$A:$A;Portions!$B:$B);FoodItems!$A:$A;FoodItems!$E:$E))</f>
        <v/>
      </c>
    </row>
    <row r="614">
      <c r="E614">
        <f>IF(C614="";"";D614*XLOOKUP(C614;Portions!$A:$A;Portions!$D:$D))</f>
        <v/>
      </c>
      <c r="F614">
        <f>IF(E614="";"";E614/100*XLOOKUP(XLOOKUP(C614;Portions!$A:$A;Portions!$B:$B);FoodItems!$A:$A;FoodItems!$B:$B))</f>
        <v/>
      </c>
      <c r="G614">
        <f>IF(E614="";"";E614/100*XLOOKUP(XLOOKUP(C614;Portions!$A:$A;Portions!$B:$B);FoodItems!$A:$A;FoodItems!$C:$C))</f>
        <v/>
      </c>
      <c r="H614">
        <f>IF(E614="";"";E614/100*XLOOKUP(XLOOKUP(C614;Portions!$A:$A;Portions!$B:$B);FoodItems!$A:$A;FoodItems!$D:$D))</f>
        <v/>
      </c>
      <c r="I614">
        <f>IF(E614="";"";E614/100*XLOOKUP(XLOOKUP(C614;Portions!$A:$A;Portions!$B:$B);FoodItems!$A:$A;FoodItems!$E:$E))</f>
        <v/>
      </c>
    </row>
    <row r="615">
      <c r="E615">
        <f>IF(C615="";"";D615*XLOOKUP(C615;Portions!$A:$A;Portions!$D:$D))</f>
        <v/>
      </c>
      <c r="F615">
        <f>IF(E615="";"";E615/100*XLOOKUP(XLOOKUP(C615;Portions!$A:$A;Portions!$B:$B);FoodItems!$A:$A;FoodItems!$B:$B))</f>
        <v/>
      </c>
      <c r="G615">
        <f>IF(E615="";"";E615/100*XLOOKUP(XLOOKUP(C615;Portions!$A:$A;Portions!$B:$B);FoodItems!$A:$A;FoodItems!$C:$C))</f>
        <v/>
      </c>
      <c r="H615">
        <f>IF(E615="";"";E615/100*XLOOKUP(XLOOKUP(C615;Portions!$A:$A;Portions!$B:$B);FoodItems!$A:$A;FoodItems!$D:$D))</f>
        <v/>
      </c>
      <c r="I615">
        <f>IF(E615="";"";E615/100*XLOOKUP(XLOOKUP(C615;Portions!$A:$A;Portions!$B:$B);FoodItems!$A:$A;FoodItems!$E:$E))</f>
        <v/>
      </c>
    </row>
    <row r="616">
      <c r="E616">
        <f>IF(C616="";"";D616*XLOOKUP(C616;Portions!$A:$A;Portions!$D:$D))</f>
        <v/>
      </c>
      <c r="F616">
        <f>IF(E616="";"";E616/100*XLOOKUP(XLOOKUP(C616;Portions!$A:$A;Portions!$B:$B);FoodItems!$A:$A;FoodItems!$B:$B))</f>
        <v/>
      </c>
      <c r="G616">
        <f>IF(E616="";"";E616/100*XLOOKUP(XLOOKUP(C616;Portions!$A:$A;Portions!$B:$B);FoodItems!$A:$A;FoodItems!$C:$C))</f>
        <v/>
      </c>
      <c r="H616">
        <f>IF(E616="";"";E616/100*XLOOKUP(XLOOKUP(C616;Portions!$A:$A;Portions!$B:$B);FoodItems!$A:$A;FoodItems!$D:$D))</f>
        <v/>
      </c>
      <c r="I616">
        <f>IF(E616="";"";E616/100*XLOOKUP(XLOOKUP(C616;Portions!$A:$A;Portions!$B:$B);FoodItems!$A:$A;FoodItems!$E:$E))</f>
        <v/>
      </c>
    </row>
    <row r="617">
      <c r="E617">
        <f>IF(C617="";"";D617*XLOOKUP(C617;Portions!$A:$A;Portions!$D:$D))</f>
        <v/>
      </c>
      <c r="F617">
        <f>IF(E617="";"";E617/100*XLOOKUP(XLOOKUP(C617;Portions!$A:$A;Portions!$B:$B);FoodItems!$A:$A;FoodItems!$B:$B))</f>
        <v/>
      </c>
      <c r="G617">
        <f>IF(E617="";"";E617/100*XLOOKUP(XLOOKUP(C617;Portions!$A:$A;Portions!$B:$B);FoodItems!$A:$A;FoodItems!$C:$C))</f>
        <v/>
      </c>
      <c r="H617">
        <f>IF(E617="";"";E617/100*XLOOKUP(XLOOKUP(C617;Portions!$A:$A;Portions!$B:$B);FoodItems!$A:$A;FoodItems!$D:$D))</f>
        <v/>
      </c>
      <c r="I617">
        <f>IF(E617="";"";E617/100*XLOOKUP(XLOOKUP(C617;Portions!$A:$A;Portions!$B:$B);FoodItems!$A:$A;FoodItems!$E:$E))</f>
        <v/>
      </c>
    </row>
    <row r="618">
      <c r="E618">
        <f>IF(C618="";"";D618*XLOOKUP(C618;Portions!$A:$A;Portions!$D:$D))</f>
        <v/>
      </c>
      <c r="F618">
        <f>IF(E618="";"";E618/100*XLOOKUP(XLOOKUP(C618;Portions!$A:$A;Portions!$B:$B);FoodItems!$A:$A;FoodItems!$B:$B))</f>
        <v/>
      </c>
      <c r="G618">
        <f>IF(E618="";"";E618/100*XLOOKUP(XLOOKUP(C618;Portions!$A:$A;Portions!$B:$B);FoodItems!$A:$A;FoodItems!$C:$C))</f>
        <v/>
      </c>
      <c r="H618">
        <f>IF(E618="";"";E618/100*XLOOKUP(XLOOKUP(C618;Portions!$A:$A;Portions!$B:$B);FoodItems!$A:$A;FoodItems!$D:$D))</f>
        <v/>
      </c>
      <c r="I618">
        <f>IF(E618="";"";E618/100*XLOOKUP(XLOOKUP(C618;Portions!$A:$A;Portions!$B:$B);FoodItems!$A:$A;FoodItems!$E:$E))</f>
        <v/>
      </c>
    </row>
    <row r="619">
      <c r="E619">
        <f>IF(C619="";"";D619*XLOOKUP(C619;Portions!$A:$A;Portions!$D:$D))</f>
        <v/>
      </c>
      <c r="F619">
        <f>IF(E619="";"";E619/100*XLOOKUP(XLOOKUP(C619;Portions!$A:$A;Portions!$B:$B);FoodItems!$A:$A;FoodItems!$B:$B))</f>
        <v/>
      </c>
      <c r="G619">
        <f>IF(E619="";"";E619/100*XLOOKUP(XLOOKUP(C619;Portions!$A:$A;Portions!$B:$B);FoodItems!$A:$A;FoodItems!$C:$C))</f>
        <v/>
      </c>
      <c r="H619">
        <f>IF(E619="";"";E619/100*XLOOKUP(XLOOKUP(C619;Portions!$A:$A;Portions!$B:$B);FoodItems!$A:$A;FoodItems!$D:$D))</f>
        <v/>
      </c>
      <c r="I619">
        <f>IF(E619="";"";E619/100*XLOOKUP(XLOOKUP(C619;Portions!$A:$A;Portions!$B:$B);FoodItems!$A:$A;FoodItems!$E:$E))</f>
        <v/>
      </c>
    </row>
    <row r="620">
      <c r="E620">
        <f>IF(C620="";"";D620*XLOOKUP(C620;Portions!$A:$A;Portions!$D:$D))</f>
        <v/>
      </c>
      <c r="F620">
        <f>IF(E620="";"";E620/100*XLOOKUP(XLOOKUP(C620;Portions!$A:$A;Portions!$B:$B);FoodItems!$A:$A;FoodItems!$B:$B))</f>
        <v/>
      </c>
      <c r="G620">
        <f>IF(E620="";"";E620/100*XLOOKUP(XLOOKUP(C620;Portions!$A:$A;Portions!$B:$B);FoodItems!$A:$A;FoodItems!$C:$C))</f>
        <v/>
      </c>
      <c r="H620">
        <f>IF(E620="";"";E620/100*XLOOKUP(XLOOKUP(C620;Portions!$A:$A;Portions!$B:$B);FoodItems!$A:$A;FoodItems!$D:$D))</f>
        <v/>
      </c>
      <c r="I620">
        <f>IF(E620="";"";E620/100*XLOOKUP(XLOOKUP(C620;Portions!$A:$A;Portions!$B:$B);FoodItems!$A:$A;FoodItems!$E:$E))</f>
        <v/>
      </c>
    </row>
    <row r="621">
      <c r="E621">
        <f>IF(C621="";"";D621*XLOOKUP(C621;Portions!$A:$A;Portions!$D:$D))</f>
        <v/>
      </c>
      <c r="F621">
        <f>IF(E621="";"";E621/100*XLOOKUP(XLOOKUP(C621;Portions!$A:$A;Portions!$B:$B);FoodItems!$A:$A;FoodItems!$B:$B))</f>
        <v/>
      </c>
      <c r="G621">
        <f>IF(E621="";"";E621/100*XLOOKUP(XLOOKUP(C621;Portions!$A:$A;Portions!$B:$B);FoodItems!$A:$A;FoodItems!$C:$C))</f>
        <v/>
      </c>
      <c r="H621">
        <f>IF(E621="";"";E621/100*XLOOKUP(XLOOKUP(C621;Portions!$A:$A;Portions!$B:$B);FoodItems!$A:$A;FoodItems!$D:$D))</f>
        <v/>
      </c>
      <c r="I621">
        <f>IF(E621="";"";E621/100*XLOOKUP(XLOOKUP(C621;Portions!$A:$A;Portions!$B:$B);FoodItems!$A:$A;FoodItems!$E:$E))</f>
        <v/>
      </c>
    </row>
    <row r="622">
      <c r="E622">
        <f>IF(C622="";"";D622*XLOOKUP(C622;Portions!$A:$A;Portions!$D:$D))</f>
        <v/>
      </c>
      <c r="F622">
        <f>IF(E622="";"";E622/100*XLOOKUP(XLOOKUP(C622;Portions!$A:$A;Portions!$B:$B);FoodItems!$A:$A;FoodItems!$B:$B))</f>
        <v/>
      </c>
      <c r="G622">
        <f>IF(E622="";"";E622/100*XLOOKUP(XLOOKUP(C622;Portions!$A:$A;Portions!$B:$B);FoodItems!$A:$A;FoodItems!$C:$C))</f>
        <v/>
      </c>
      <c r="H622">
        <f>IF(E622="";"";E622/100*XLOOKUP(XLOOKUP(C622;Portions!$A:$A;Portions!$B:$B);FoodItems!$A:$A;FoodItems!$D:$D))</f>
        <v/>
      </c>
      <c r="I622">
        <f>IF(E622="";"";E622/100*XLOOKUP(XLOOKUP(C622;Portions!$A:$A;Portions!$B:$B);FoodItems!$A:$A;FoodItems!$E:$E))</f>
        <v/>
      </c>
    </row>
    <row r="623">
      <c r="E623">
        <f>IF(C623="";"";D623*XLOOKUP(C623;Portions!$A:$A;Portions!$D:$D))</f>
        <v/>
      </c>
      <c r="F623">
        <f>IF(E623="";"";E623/100*XLOOKUP(XLOOKUP(C623;Portions!$A:$A;Portions!$B:$B);FoodItems!$A:$A;FoodItems!$B:$B))</f>
        <v/>
      </c>
      <c r="G623">
        <f>IF(E623="";"";E623/100*XLOOKUP(XLOOKUP(C623;Portions!$A:$A;Portions!$B:$B);FoodItems!$A:$A;FoodItems!$C:$C))</f>
        <v/>
      </c>
      <c r="H623">
        <f>IF(E623="";"";E623/100*XLOOKUP(XLOOKUP(C623;Portions!$A:$A;Portions!$B:$B);FoodItems!$A:$A;FoodItems!$D:$D))</f>
        <v/>
      </c>
      <c r="I623">
        <f>IF(E623="";"";E623/100*XLOOKUP(XLOOKUP(C623;Portions!$A:$A;Portions!$B:$B);FoodItems!$A:$A;FoodItems!$E:$E))</f>
        <v/>
      </c>
    </row>
    <row r="624">
      <c r="E624">
        <f>IF(C624="";"";D624*XLOOKUP(C624;Portions!$A:$A;Portions!$D:$D))</f>
        <v/>
      </c>
      <c r="F624">
        <f>IF(E624="";"";E624/100*XLOOKUP(XLOOKUP(C624;Portions!$A:$A;Portions!$B:$B);FoodItems!$A:$A;FoodItems!$B:$B))</f>
        <v/>
      </c>
      <c r="G624">
        <f>IF(E624="";"";E624/100*XLOOKUP(XLOOKUP(C624;Portions!$A:$A;Portions!$B:$B);FoodItems!$A:$A;FoodItems!$C:$C))</f>
        <v/>
      </c>
      <c r="H624">
        <f>IF(E624="";"";E624/100*XLOOKUP(XLOOKUP(C624;Portions!$A:$A;Portions!$B:$B);FoodItems!$A:$A;FoodItems!$D:$D))</f>
        <v/>
      </c>
      <c r="I624">
        <f>IF(E624="";"";E624/100*XLOOKUP(XLOOKUP(C624;Portions!$A:$A;Portions!$B:$B);FoodItems!$A:$A;FoodItems!$E:$E))</f>
        <v/>
      </c>
    </row>
    <row r="625">
      <c r="E625">
        <f>IF(C625="";"";D625*XLOOKUP(C625;Portions!$A:$A;Portions!$D:$D))</f>
        <v/>
      </c>
      <c r="F625">
        <f>IF(E625="";"";E625/100*XLOOKUP(XLOOKUP(C625;Portions!$A:$A;Portions!$B:$B);FoodItems!$A:$A;FoodItems!$B:$B))</f>
        <v/>
      </c>
      <c r="G625">
        <f>IF(E625="";"";E625/100*XLOOKUP(XLOOKUP(C625;Portions!$A:$A;Portions!$B:$B);FoodItems!$A:$A;FoodItems!$C:$C))</f>
        <v/>
      </c>
      <c r="H625">
        <f>IF(E625="";"";E625/100*XLOOKUP(XLOOKUP(C625;Portions!$A:$A;Portions!$B:$B);FoodItems!$A:$A;FoodItems!$D:$D))</f>
        <v/>
      </c>
      <c r="I625">
        <f>IF(E625="";"";E625/100*XLOOKUP(XLOOKUP(C625;Portions!$A:$A;Portions!$B:$B);FoodItems!$A:$A;FoodItems!$E:$E))</f>
        <v/>
      </c>
    </row>
    <row r="626">
      <c r="E626">
        <f>IF(C626="";"";D626*XLOOKUP(C626;Portions!$A:$A;Portions!$D:$D))</f>
        <v/>
      </c>
      <c r="F626">
        <f>IF(E626="";"";E626/100*XLOOKUP(XLOOKUP(C626;Portions!$A:$A;Portions!$B:$B);FoodItems!$A:$A;FoodItems!$B:$B))</f>
        <v/>
      </c>
      <c r="G626">
        <f>IF(E626="";"";E626/100*XLOOKUP(XLOOKUP(C626;Portions!$A:$A;Portions!$B:$B);FoodItems!$A:$A;FoodItems!$C:$C))</f>
        <v/>
      </c>
      <c r="H626">
        <f>IF(E626="";"";E626/100*XLOOKUP(XLOOKUP(C626;Portions!$A:$A;Portions!$B:$B);FoodItems!$A:$A;FoodItems!$D:$D))</f>
        <v/>
      </c>
      <c r="I626">
        <f>IF(E626="";"";E626/100*XLOOKUP(XLOOKUP(C626;Portions!$A:$A;Portions!$B:$B);FoodItems!$A:$A;FoodItems!$E:$E))</f>
        <v/>
      </c>
    </row>
    <row r="627">
      <c r="E627">
        <f>IF(C627="";"";D627*XLOOKUP(C627;Portions!$A:$A;Portions!$D:$D))</f>
        <v/>
      </c>
      <c r="F627">
        <f>IF(E627="";"";E627/100*XLOOKUP(XLOOKUP(C627;Portions!$A:$A;Portions!$B:$B);FoodItems!$A:$A;FoodItems!$B:$B))</f>
        <v/>
      </c>
      <c r="G627">
        <f>IF(E627="";"";E627/100*XLOOKUP(XLOOKUP(C627;Portions!$A:$A;Portions!$B:$B);FoodItems!$A:$A;FoodItems!$C:$C))</f>
        <v/>
      </c>
      <c r="H627">
        <f>IF(E627="";"";E627/100*XLOOKUP(XLOOKUP(C627;Portions!$A:$A;Portions!$B:$B);FoodItems!$A:$A;FoodItems!$D:$D))</f>
        <v/>
      </c>
      <c r="I627">
        <f>IF(E627="";"";E627/100*XLOOKUP(XLOOKUP(C627;Portions!$A:$A;Portions!$B:$B);FoodItems!$A:$A;FoodItems!$E:$E))</f>
        <v/>
      </c>
    </row>
    <row r="628">
      <c r="E628">
        <f>IF(C628="";"";D628*XLOOKUP(C628;Portions!$A:$A;Portions!$D:$D))</f>
        <v/>
      </c>
      <c r="F628">
        <f>IF(E628="";"";E628/100*XLOOKUP(XLOOKUP(C628;Portions!$A:$A;Portions!$B:$B);FoodItems!$A:$A;FoodItems!$B:$B))</f>
        <v/>
      </c>
      <c r="G628">
        <f>IF(E628="";"";E628/100*XLOOKUP(XLOOKUP(C628;Portions!$A:$A;Portions!$B:$B);FoodItems!$A:$A;FoodItems!$C:$C))</f>
        <v/>
      </c>
      <c r="H628">
        <f>IF(E628="";"";E628/100*XLOOKUP(XLOOKUP(C628;Portions!$A:$A;Portions!$B:$B);FoodItems!$A:$A;FoodItems!$D:$D))</f>
        <v/>
      </c>
      <c r="I628">
        <f>IF(E628="";"";E628/100*XLOOKUP(XLOOKUP(C628;Portions!$A:$A;Portions!$B:$B);FoodItems!$A:$A;FoodItems!$E:$E))</f>
        <v/>
      </c>
    </row>
    <row r="629">
      <c r="E629">
        <f>IF(C629="";"";D629*XLOOKUP(C629;Portions!$A:$A;Portions!$D:$D))</f>
        <v/>
      </c>
      <c r="F629">
        <f>IF(E629="";"";E629/100*XLOOKUP(XLOOKUP(C629;Portions!$A:$A;Portions!$B:$B);FoodItems!$A:$A;FoodItems!$B:$B))</f>
        <v/>
      </c>
      <c r="G629">
        <f>IF(E629="";"";E629/100*XLOOKUP(XLOOKUP(C629;Portions!$A:$A;Portions!$B:$B);FoodItems!$A:$A;FoodItems!$C:$C))</f>
        <v/>
      </c>
      <c r="H629">
        <f>IF(E629="";"";E629/100*XLOOKUP(XLOOKUP(C629;Portions!$A:$A;Portions!$B:$B);FoodItems!$A:$A;FoodItems!$D:$D))</f>
        <v/>
      </c>
      <c r="I629">
        <f>IF(E629="";"";E629/100*XLOOKUP(XLOOKUP(C629;Portions!$A:$A;Portions!$B:$B);FoodItems!$A:$A;FoodItems!$E:$E))</f>
        <v/>
      </c>
    </row>
    <row r="630">
      <c r="E630">
        <f>IF(C630="";"";D630*XLOOKUP(C630;Portions!$A:$A;Portions!$D:$D))</f>
        <v/>
      </c>
      <c r="F630">
        <f>IF(E630="";"";E630/100*XLOOKUP(XLOOKUP(C630;Portions!$A:$A;Portions!$B:$B);FoodItems!$A:$A;FoodItems!$B:$B))</f>
        <v/>
      </c>
      <c r="G630">
        <f>IF(E630="";"";E630/100*XLOOKUP(XLOOKUP(C630;Portions!$A:$A;Portions!$B:$B);FoodItems!$A:$A;FoodItems!$C:$C))</f>
        <v/>
      </c>
      <c r="H630">
        <f>IF(E630="";"";E630/100*XLOOKUP(XLOOKUP(C630;Portions!$A:$A;Portions!$B:$B);FoodItems!$A:$A;FoodItems!$D:$D))</f>
        <v/>
      </c>
      <c r="I630">
        <f>IF(E630="";"";E630/100*XLOOKUP(XLOOKUP(C630;Portions!$A:$A;Portions!$B:$B);FoodItems!$A:$A;FoodItems!$E:$E))</f>
        <v/>
      </c>
    </row>
    <row r="631">
      <c r="E631">
        <f>IF(C631="";"";D631*XLOOKUP(C631;Portions!$A:$A;Portions!$D:$D))</f>
        <v/>
      </c>
      <c r="F631">
        <f>IF(E631="";"";E631/100*XLOOKUP(XLOOKUP(C631;Portions!$A:$A;Portions!$B:$B);FoodItems!$A:$A;FoodItems!$B:$B))</f>
        <v/>
      </c>
      <c r="G631">
        <f>IF(E631="";"";E631/100*XLOOKUP(XLOOKUP(C631;Portions!$A:$A;Portions!$B:$B);FoodItems!$A:$A;FoodItems!$C:$C))</f>
        <v/>
      </c>
      <c r="H631">
        <f>IF(E631="";"";E631/100*XLOOKUP(XLOOKUP(C631;Portions!$A:$A;Portions!$B:$B);FoodItems!$A:$A;FoodItems!$D:$D))</f>
        <v/>
      </c>
      <c r="I631">
        <f>IF(E631="";"";E631/100*XLOOKUP(XLOOKUP(C631;Portions!$A:$A;Portions!$B:$B);FoodItems!$A:$A;FoodItems!$E:$E))</f>
        <v/>
      </c>
    </row>
    <row r="632">
      <c r="E632">
        <f>IF(C632="";"";D632*XLOOKUP(C632;Portions!$A:$A;Portions!$D:$D))</f>
        <v/>
      </c>
      <c r="F632">
        <f>IF(E632="";"";E632/100*XLOOKUP(XLOOKUP(C632;Portions!$A:$A;Portions!$B:$B);FoodItems!$A:$A;FoodItems!$B:$B))</f>
        <v/>
      </c>
      <c r="G632">
        <f>IF(E632="";"";E632/100*XLOOKUP(XLOOKUP(C632;Portions!$A:$A;Portions!$B:$B);FoodItems!$A:$A;FoodItems!$C:$C))</f>
        <v/>
      </c>
      <c r="H632">
        <f>IF(E632="";"";E632/100*XLOOKUP(XLOOKUP(C632;Portions!$A:$A;Portions!$B:$B);FoodItems!$A:$A;FoodItems!$D:$D))</f>
        <v/>
      </c>
      <c r="I632">
        <f>IF(E632="";"";E632/100*XLOOKUP(XLOOKUP(C632;Portions!$A:$A;Portions!$B:$B);FoodItems!$A:$A;FoodItems!$E:$E))</f>
        <v/>
      </c>
    </row>
    <row r="633">
      <c r="E633">
        <f>IF(C633="";"";D633*XLOOKUP(C633;Portions!$A:$A;Portions!$D:$D))</f>
        <v/>
      </c>
      <c r="F633">
        <f>IF(E633="";"";E633/100*XLOOKUP(XLOOKUP(C633;Portions!$A:$A;Portions!$B:$B);FoodItems!$A:$A;FoodItems!$B:$B))</f>
        <v/>
      </c>
      <c r="G633">
        <f>IF(E633="";"";E633/100*XLOOKUP(XLOOKUP(C633;Portions!$A:$A;Portions!$B:$B);FoodItems!$A:$A;FoodItems!$C:$C))</f>
        <v/>
      </c>
      <c r="H633">
        <f>IF(E633="";"";E633/100*XLOOKUP(XLOOKUP(C633;Portions!$A:$A;Portions!$B:$B);FoodItems!$A:$A;FoodItems!$D:$D))</f>
        <v/>
      </c>
      <c r="I633">
        <f>IF(E633="";"";E633/100*XLOOKUP(XLOOKUP(C633;Portions!$A:$A;Portions!$B:$B);FoodItems!$A:$A;FoodItems!$E:$E))</f>
        <v/>
      </c>
    </row>
    <row r="634">
      <c r="E634">
        <f>IF(C634="";"";D634*XLOOKUP(C634;Portions!$A:$A;Portions!$D:$D))</f>
        <v/>
      </c>
      <c r="F634">
        <f>IF(E634="";"";E634/100*XLOOKUP(XLOOKUP(C634;Portions!$A:$A;Portions!$B:$B);FoodItems!$A:$A;FoodItems!$B:$B))</f>
        <v/>
      </c>
      <c r="G634">
        <f>IF(E634="";"";E634/100*XLOOKUP(XLOOKUP(C634;Portions!$A:$A;Portions!$B:$B);FoodItems!$A:$A;FoodItems!$C:$C))</f>
        <v/>
      </c>
      <c r="H634">
        <f>IF(E634="";"";E634/100*XLOOKUP(XLOOKUP(C634;Portions!$A:$A;Portions!$B:$B);FoodItems!$A:$A;FoodItems!$D:$D))</f>
        <v/>
      </c>
      <c r="I634">
        <f>IF(E634="";"";E634/100*XLOOKUP(XLOOKUP(C634;Portions!$A:$A;Portions!$B:$B);FoodItems!$A:$A;FoodItems!$E:$E))</f>
        <v/>
      </c>
    </row>
    <row r="635">
      <c r="E635">
        <f>IF(C635="";"";D635*XLOOKUP(C635;Portions!$A:$A;Portions!$D:$D))</f>
        <v/>
      </c>
      <c r="F635">
        <f>IF(E635="";"";E635/100*XLOOKUP(XLOOKUP(C635;Portions!$A:$A;Portions!$B:$B);FoodItems!$A:$A;FoodItems!$B:$B))</f>
        <v/>
      </c>
      <c r="G635">
        <f>IF(E635="";"";E635/100*XLOOKUP(XLOOKUP(C635;Portions!$A:$A;Portions!$B:$B);FoodItems!$A:$A;FoodItems!$C:$C))</f>
        <v/>
      </c>
      <c r="H635">
        <f>IF(E635="";"";E635/100*XLOOKUP(XLOOKUP(C635;Portions!$A:$A;Portions!$B:$B);FoodItems!$A:$A;FoodItems!$D:$D))</f>
        <v/>
      </c>
      <c r="I635">
        <f>IF(E635="";"";E635/100*XLOOKUP(XLOOKUP(C635;Portions!$A:$A;Portions!$B:$B);FoodItems!$A:$A;FoodItems!$E:$E))</f>
        <v/>
      </c>
    </row>
    <row r="636">
      <c r="E636">
        <f>IF(C636="";"";D636*XLOOKUP(C636;Portions!$A:$A;Portions!$D:$D))</f>
        <v/>
      </c>
      <c r="F636">
        <f>IF(E636="";"";E636/100*XLOOKUP(XLOOKUP(C636;Portions!$A:$A;Portions!$B:$B);FoodItems!$A:$A;FoodItems!$B:$B))</f>
        <v/>
      </c>
      <c r="G636">
        <f>IF(E636="";"";E636/100*XLOOKUP(XLOOKUP(C636;Portions!$A:$A;Portions!$B:$B);FoodItems!$A:$A;FoodItems!$C:$C))</f>
        <v/>
      </c>
      <c r="H636">
        <f>IF(E636="";"";E636/100*XLOOKUP(XLOOKUP(C636;Portions!$A:$A;Portions!$B:$B);FoodItems!$A:$A;FoodItems!$D:$D))</f>
        <v/>
      </c>
      <c r="I636">
        <f>IF(E636="";"";E636/100*XLOOKUP(XLOOKUP(C636;Portions!$A:$A;Portions!$B:$B);FoodItems!$A:$A;FoodItems!$E:$E))</f>
        <v/>
      </c>
    </row>
    <row r="637">
      <c r="E637">
        <f>IF(C637="";"";D637*XLOOKUP(C637;Portions!$A:$A;Portions!$D:$D))</f>
        <v/>
      </c>
      <c r="F637">
        <f>IF(E637="";"";E637/100*XLOOKUP(XLOOKUP(C637;Portions!$A:$A;Portions!$B:$B);FoodItems!$A:$A;FoodItems!$B:$B))</f>
        <v/>
      </c>
      <c r="G637">
        <f>IF(E637="";"";E637/100*XLOOKUP(XLOOKUP(C637;Portions!$A:$A;Portions!$B:$B);FoodItems!$A:$A;FoodItems!$C:$C))</f>
        <v/>
      </c>
      <c r="H637">
        <f>IF(E637="";"";E637/100*XLOOKUP(XLOOKUP(C637;Portions!$A:$A;Portions!$B:$B);FoodItems!$A:$A;FoodItems!$D:$D))</f>
        <v/>
      </c>
      <c r="I637">
        <f>IF(E637="";"";E637/100*XLOOKUP(XLOOKUP(C637;Portions!$A:$A;Portions!$B:$B);FoodItems!$A:$A;FoodItems!$E:$E))</f>
        <v/>
      </c>
    </row>
    <row r="638">
      <c r="E638">
        <f>IF(C638="";"";D638*XLOOKUP(C638;Portions!$A:$A;Portions!$D:$D))</f>
        <v/>
      </c>
      <c r="F638">
        <f>IF(E638="";"";E638/100*XLOOKUP(XLOOKUP(C638;Portions!$A:$A;Portions!$B:$B);FoodItems!$A:$A;FoodItems!$B:$B))</f>
        <v/>
      </c>
      <c r="G638">
        <f>IF(E638="";"";E638/100*XLOOKUP(XLOOKUP(C638;Portions!$A:$A;Portions!$B:$B);FoodItems!$A:$A;FoodItems!$C:$C))</f>
        <v/>
      </c>
      <c r="H638">
        <f>IF(E638="";"";E638/100*XLOOKUP(XLOOKUP(C638;Portions!$A:$A;Portions!$B:$B);FoodItems!$A:$A;FoodItems!$D:$D))</f>
        <v/>
      </c>
      <c r="I638">
        <f>IF(E638="";"";E638/100*XLOOKUP(XLOOKUP(C638;Portions!$A:$A;Portions!$B:$B);FoodItems!$A:$A;FoodItems!$E:$E))</f>
        <v/>
      </c>
    </row>
    <row r="639">
      <c r="E639">
        <f>IF(C639="";"";D639*XLOOKUP(C639;Portions!$A:$A;Portions!$D:$D))</f>
        <v/>
      </c>
      <c r="F639">
        <f>IF(E639="";"";E639/100*XLOOKUP(XLOOKUP(C639;Portions!$A:$A;Portions!$B:$B);FoodItems!$A:$A;FoodItems!$B:$B))</f>
        <v/>
      </c>
      <c r="G639">
        <f>IF(E639="";"";E639/100*XLOOKUP(XLOOKUP(C639;Portions!$A:$A;Portions!$B:$B);FoodItems!$A:$A;FoodItems!$C:$C))</f>
        <v/>
      </c>
      <c r="H639">
        <f>IF(E639="";"";E639/100*XLOOKUP(XLOOKUP(C639;Portions!$A:$A;Portions!$B:$B);FoodItems!$A:$A;FoodItems!$D:$D))</f>
        <v/>
      </c>
      <c r="I639">
        <f>IF(E639="";"";E639/100*XLOOKUP(XLOOKUP(C639;Portions!$A:$A;Portions!$B:$B);FoodItems!$A:$A;FoodItems!$E:$E))</f>
        <v/>
      </c>
    </row>
    <row r="640">
      <c r="E640">
        <f>IF(C640="";"";D640*XLOOKUP(C640;Portions!$A:$A;Portions!$D:$D))</f>
        <v/>
      </c>
      <c r="F640">
        <f>IF(E640="";"";E640/100*XLOOKUP(XLOOKUP(C640;Portions!$A:$A;Portions!$B:$B);FoodItems!$A:$A;FoodItems!$B:$B))</f>
        <v/>
      </c>
      <c r="G640">
        <f>IF(E640="";"";E640/100*XLOOKUP(XLOOKUP(C640;Portions!$A:$A;Portions!$B:$B);FoodItems!$A:$A;FoodItems!$C:$C))</f>
        <v/>
      </c>
      <c r="H640">
        <f>IF(E640="";"";E640/100*XLOOKUP(XLOOKUP(C640;Portions!$A:$A;Portions!$B:$B);FoodItems!$A:$A;FoodItems!$D:$D))</f>
        <v/>
      </c>
      <c r="I640">
        <f>IF(E640="";"";E640/100*XLOOKUP(XLOOKUP(C640;Portions!$A:$A;Portions!$B:$B);FoodItems!$A:$A;FoodItems!$E:$E))</f>
        <v/>
      </c>
    </row>
    <row r="641">
      <c r="E641">
        <f>IF(C641="";"";D641*XLOOKUP(C641;Portions!$A:$A;Portions!$D:$D))</f>
        <v/>
      </c>
      <c r="F641">
        <f>IF(E641="";"";E641/100*XLOOKUP(XLOOKUP(C641;Portions!$A:$A;Portions!$B:$B);FoodItems!$A:$A;FoodItems!$B:$B))</f>
        <v/>
      </c>
      <c r="G641">
        <f>IF(E641="";"";E641/100*XLOOKUP(XLOOKUP(C641;Portions!$A:$A;Portions!$B:$B);FoodItems!$A:$A;FoodItems!$C:$C))</f>
        <v/>
      </c>
      <c r="H641">
        <f>IF(E641="";"";E641/100*XLOOKUP(XLOOKUP(C641;Portions!$A:$A;Portions!$B:$B);FoodItems!$A:$A;FoodItems!$D:$D))</f>
        <v/>
      </c>
      <c r="I641">
        <f>IF(E641="";"";E641/100*XLOOKUP(XLOOKUP(C641;Portions!$A:$A;Portions!$B:$B);FoodItems!$A:$A;FoodItems!$E:$E))</f>
        <v/>
      </c>
    </row>
    <row r="642">
      <c r="E642">
        <f>IF(C642="";"";D642*XLOOKUP(C642;Portions!$A:$A;Portions!$D:$D))</f>
        <v/>
      </c>
      <c r="F642">
        <f>IF(E642="";"";E642/100*XLOOKUP(XLOOKUP(C642;Portions!$A:$A;Portions!$B:$B);FoodItems!$A:$A;FoodItems!$B:$B))</f>
        <v/>
      </c>
      <c r="G642">
        <f>IF(E642="";"";E642/100*XLOOKUP(XLOOKUP(C642;Portions!$A:$A;Portions!$B:$B);FoodItems!$A:$A;FoodItems!$C:$C))</f>
        <v/>
      </c>
      <c r="H642">
        <f>IF(E642="";"";E642/100*XLOOKUP(XLOOKUP(C642;Portions!$A:$A;Portions!$B:$B);FoodItems!$A:$A;FoodItems!$D:$D))</f>
        <v/>
      </c>
      <c r="I642">
        <f>IF(E642="";"";E642/100*XLOOKUP(XLOOKUP(C642;Portions!$A:$A;Portions!$B:$B);FoodItems!$A:$A;FoodItems!$E:$E))</f>
        <v/>
      </c>
    </row>
    <row r="643">
      <c r="E643">
        <f>IF(C643="";"";D643*XLOOKUP(C643;Portions!$A:$A;Portions!$D:$D))</f>
        <v/>
      </c>
      <c r="F643">
        <f>IF(E643="";"";E643/100*XLOOKUP(XLOOKUP(C643;Portions!$A:$A;Portions!$B:$B);FoodItems!$A:$A;FoodItems!$B:$B))</f>
        <v/>
      </c>
      <c r="G643">
        <f>IF(E643="";"";E643/100*XLOOKUP(XLOOKUP(C643;Portions!$A:$A;Portions!$B:$B);FoodItems!$A:$A;FoodItems!$C:$C))</f>
        <v/>
      </c>
      <c r="H643">
        <f>IF(E643="";"";E643/100*XLOOKUP(XLOOKUP(C643;Portions!$A:$A;Portions!$B:$B);FoodItems!$A:$A;FoodItems!$D:$D))</f>
        <v/>
      </c>
      <c r="I643">
        <f>IF(E643="";"";E643/100*XLOOKUP(XLOOKUP(C643;Portions!$A:$A;Portions!$B:$B);FoodItems!$A:$A;FoodItems!$E:$E))</f>
        <v/>
      </c>
    </row>
    <row r="644">
      <c r="E644">
        <f>IF(C644="";"";D644*XLOOKUP(C644;Portions!$A:$A;Portions!$D:$D))</f>
        <v/>
      </c>
      <c r="F644">
        <f>IF(E644="";"";E644/100*XLOOKUP(XLOOKUP(C644;Portions!$A:$A;Portions!$B:$B);FoodItems!$A:$A;FoodItems!$B:$B))</f>
        <v/>
      </c>
      <c r="G644">
        <f>IF(E644="";"";E644/100*XLOOKUP(XLOOKUP(C644;Portions!$A:$A;Portions!$B:$B);FoodItems!$A:$A;FoodItems!$C:$C))</f>
        <v/>
      </c>
      <c r="H644">
        <f>IF(E644="";"";E644/100*XLOOKUP(XLOOKUP(C644;Portions!$A:$A;Portions!$B:$B);FoodItems!$A:$A;FoodItems!$D:$D))</f>
        <v/>
      </c>
      <c r="I644">
        <f>IF(E644="";"";E644/100*XLOOKUP(XLOOKUP(C644;Portions!$A:$A;Portions!$B:$B);FoodItems!$A:$A;FoodItems!$E:$E))</f>
        <v/>
      </c>
    </row>
    <row r="645">
      <c r="E645">
        <f>IF(C645="";"";D645*XLOOKUP(C645;Portions!$A:$A;Portions!$D:$D))</f>
        <v/>
      </c>
      <c r="F645">
        <f>IF(E645="";"";E645/100*XLOOKUP(XLOOKUP(C645;Portions!$A:$A;Portions!$B:$B);FoodItems!$A:$A;FoodItems!$B:$B))</f>
        <v/>
      </c>
      <c r="G645">
        <f>IF(E645="";"";E645/100*XLOOKUP(XLOOKUP(C645;Portions!$A:$A;Portions!$B:$B);FoodItems!$A:$A;FoodItems!$C:$C))</f>
        <v/>
      </c>
      <c r="H645">
        <f>IF(E645="";"";E645/100*XLOOKUP(XLOOKUP(C645;Portions!$A:$A;Portions!$B:$B);FoodItems!$A:$A;FoodItems!$D:$D))</f>
        <v/>
      </c>
      <c r="I645">
        <f>IF(E645="";"";E645/100*XLOOKUP(XLOOKUP(C645;Portions!$A:$A;Portions!$B:$B);FoodItems!$A:$A;FoodItems!$E:$E))</f>
        <v/>
      </c>
    </row>
    <row r="646">
      <c r="E646">
        <f>IF(C646="";"";D646*XLOOKUP(C646;Portions!$A:$A;Portions!$D:$D))</f>
        <v/>
      </c>
      <c r="F646">
        <f>IF(E646="";"";E646/100*XLOOKUP(XLOOKUP(C646;Portions!$A:$A;Portions!$B:$B);FoodItems!$A:$A;FoodItems!$B:$B))</f>
        <v/>
      </c>
      <c r="G646">
        <f>IF(E646="";"";E646/100*XLOOKUP(XLOOKUP(C646;Portions!$A:$A;Portions!$B:$B);FoodItems!$A:$A;FoodItems!$C:$C))</f>
        <v/>
      </c>
      <c r="H646">
        <f>IF(E646="";"";E646/100*XLOOKUP(XLOOKUP(C646;Portions!$A:$A;Portions!$B:$B);FoodItems!$A:$A;FoodItems!$D:$D))</f>
        <v/>
      </c>
      <c r="I646">
        <f>IF(E646="";"";E646/100*XLOOKUP(XLOOKUP(C646;Portions!$A:$A;Portions!$B:$B);FoodItems!$A:$A;FoodItems!$E:$E))</f>
        <v/>
      </c>
    </row>
    <row r="647">
      <c r="E647">
        <f>IF(C647="";"";D647*XLOOKUP(C647;Portions!$A:$A;Portions!$D:$D))</f>
        <v/>
      </c>
      <c r="F647">
        <f>IF(E647="";"";E647/100*XLOOKUP(XLOOKUP(C647;Portions!$A:$A;Portions!$B:$B);FoodItems!$A:$A;FoodItems!$B:$B))</f>
        <v/>
      </c>
      <c r="G647">
        <f>IF(E647="";"";E647/100*XLOOKUP(XLOOKUP(C647;Portions!$A:$A;Portions!$B:$B);FoodItems!$A:$A;FoodItems!$C:$C))</f>
        <v/>
      </c>
      <c r="H647">
        <f>IF(E647="";"";E647/100*XLOOKUP(XLOOKUP(C647;Portions!$A:$A;Portions!$B:$B);FoodItems!$A:$A;FoodItems!$D:$D))</f>
        <v/>
      </c>
      <c r="I647">
        <f>IF(E647="";"";E647/100*XLOOKUP(XLOOKUP(C647;Portions!$A:$A;Portions!$B:$B);FoodItems!$A:$A;FoodItems!$E:$E))</f>
        <v/>
      </c>
    </row>
    <row r="648">
      <c r="E648">
        <f>IF(C648="";"";D648*XLOOKUP(C648;Portions!$A:$A;Portions!$D:$D))</f>
        <v/>
      </c>
      <c r="F648">
        <f>IF(E648="";"";E648/100*XLOOKUP(XLOOKUP(C648;Portions!$A:$A;Portions!$B:$B);FoodItems!$A:$A;FoodItems!$B:$B))</f>
        <v/>
      </c>
      <c r="G648">
        <f>IF(E648="";"";E648/100*XLOOKUP(XLOOKUP(C648;Portions!$A:$A;Portions!$B:$B);FoodItems!$A:$A;FoodItems!$C:$C))</f>
        <v/>
      </c>
      <c r="H648">
        <f>IF(E648="";"";E648/100*XLOOKUP(XLOOKUP(C648;Portions!$A:$A;Portions!$B:$B);FoodItems!$A:$A;FoodItems!$D:$D))</f>
        <v/>
      </c>
      <c r="I648">
        <f>IF(E648="";"";E648/100*XLOOKUP(XLOOKUP(C648;Portions!$A:$A;Portions!$B:$B);FoodItems!$A:$A;FoodItems!$E:$E))</f>
        <v/>
      </c>
    </row>
    <row r="649">
      <c r="E649">
        <f>IF(C649="";"";D649*XLOOKUP(C649;Portions!$A:$A;Portions!$D:$D))</f>
        <v/>
      </c>
      <c r="F649">
        <f>IF(E649="";"";E649/100*XLOOKUP(XLOOKUP(C649;Portions!$A:$A;Portions!$B:$B);FoodItems!$A:$A;FoodItems!$B:$B))</f>
        <v/>
      </c>
      <c r="G649">
        <f>IF(E649="";"";E649/100*XLOOKUP(XLOOKUP(C649;Portions!$A:$A;Portions!$B:$B);FoodItems!$A:$A;FoodItems!$C:$C))</f>
        <v/>
      </c>
      <c r="H649">
        <f>IF(E649="";"";E649/100*XLOOKUP(XLOOKUP(C649;Portions!$A:$A;Portions!$B:$B);FoodItems!$A:$A;FoodItems!$D:$D))</f>
        <v/>
      </c>
      <c r="I649">
        <f>IF(E649="";"";E649/100*XLOOKUP(XLOOKUP(C649;Portions!$A:$A;Portions!$B:$B);FoodItems!$A:$A;FoodItems!$E:$E))</f>
        <v/>
      </c>
    </row>
    <row r="650">
      <c r="E650">
        <f>IF(C650="";"";D650*XLOOKUP(C650;Portions!$A:$A;Portions!$D:$D))</f>
        <v/>
      </c>
      <c r="F650">
        <f>IF(E650="";"";E650/100*XLOOKUP(XLOOKUP(C650;Portions!$A:$A;Portions!$B:$B);FoodItems!$A:$A;FoodItems!$B:$B))</f>
        <v/>
      </c>
      <c r="G650">
        <f>IF(E650="";"";E650/100*XLOOKUP(XLOOKUP(C650;Portions!$A:$A;Portions!$B:$B);FoodItems!$A:$A;FoodItems!$C:$C))</f>
        <v/>
      </c>
      <c r="H650">
        <f>IF(E650="";"";E650/100*XLOOKUP(XLOOKUP(C650;Portions!$A:$A;Portions!$B:$B);FoodItems!$A:$A;FoodItems!$D:$D))</f>
        <v/>
      </c>
      <c r="I650">
        <f>IF(E650="";"";E650/100*XLOOKUP(XLOOKUP(C650;Portions!$A:$A;Portions!$B:$B);FoodItems!$A:$A;FoodItems!$E:$E))</f>
        <v/>
      </c>
    </row>
    <row r="651">
      <c r="E651">
        <f>IF(C651="";"";D651*XLOOKUP(C651;Portions!$A:$A;Portions!$D:$D))</f>
        <v/>
      </c>
      <c r="F651">
        <f>IF(E651="";"";E651/100*XLOOKUP(XLOOKUP(C651;Portions!$A:$A;Portions!$B:$B);FoodItems!$A:$A;FoodItems!$B:$B))</f>
        <v/>
      </c>
      <c r="G651">
        <f>IF(E651="";"";E651/100*XLOOKUP(XLOOKUP(C651;Portions!$A:$A;Portions!$B:$B);FoodItems!$A:$A;FoodItems!$C:$C))</f>
        <v/>
      </c>
      <c r="H651">
        <f>IF(E651="";"";E651/100*XLOOKUP(XLOOKUP(C651;Portions!$A:$A;Portions!$B:$B);FoodItems!$A:$A;FoodItems!$D:$D))</f>
        <v/>
      </c>
      <c r="I651">
        <f>IF(E651="";"";E651/100*XLOOKUP(XLOOKUP(C651;Portions!$A:$A;Portions!$B:$B);FoodItems!$A:$A;FoodItems!$E:$E))</f>
        <v/>
      </c>
    </row>
    <row r="652">
      <c r="E652">
        <f>IF(C652="";"";D652*XLOOKUP(C652;Portions!$A:$A;Portions!$D:$D))</f>
        <v/>
      </c>
      <c r="F652">
        <f>IF(E652="";"";E652/100*XLOOKUP(XLOOKUP(C652;Portions!$A:$A;Portions!$B:$B);FoodItems!$A:$A;FoodItems!$B:$B))</f>
        <v/>
      </c>
      <c r="G652">
        <f>IF(E652="";"";E652/100*XLOOKUP(XLOOKUP(C652;Portions!$A:$A;Portions!$B:$B);FoodItems!$A:$A;FoodItems!$C:$C))</f>
        <v/>
      </c>
      <c r="H652">
        <f>IF(E652="";"";E652/100*XLOOKUP(XLOOKUP(C652;Portions!$A:$A;Portions!$B:$B);FoodItems!$A:$A;FoodItems!$D:$D))</f>
        <v/>
      </c>
      <c r="I652">
        <f>IF(E652="";"";E652/100*XLOOKUP(XLOOKUP(C652;Portions!$A:$A;Portions!$B:$B);FoodItems!$A:$A;FoodItems!$E:$E))</f>
        <v/>
      </c>
    </row>
    <row r="653">
      <c r="E653">
        <f>IF(C653="";"";D653*XLOOKUP(C653;Portions!$A:$A;Portions!$D:$D))</f>
        <v/>
      </c>
      <c r="F653">
        <f>IF(E653="";"";E653/100*XLOOKUP(XLOOKUP(C653;Portions!$A:$A;Portions!$B:$B);FoodItems!$A:$A;FoodItems!$B:$B))</f>
        <v/>
      </c>
      <c r="G653">
        <f>IF(E653="";"";E653/100*XLOOKUP(XLOOKUP(C653;Portions!$A:$A;Portions!$B:$B);FoodItems!$A:$A;FoodItems!$C:$C))</f>
        <v/>
      </c>
      <c r="H653">
        <f>IF(E653="";"";E653/100*XLOOKUP(XLOOKUP(C653;Portions!$A:$A;Portions!$B:$B);FoodItems!$A:$A;FoodItems!$D:$D))</f>
        <v/>
      </c>
      <c r="I653">
        <f>IF(E653="";"";E653/100*XLOOKUP(XLOOKUP(C653;Portions!$A:$A;Portions!$B:$B);FoodItems!$A:$A;FoodItems!$E:$E))</f>
        <v/>
      </c>
    </row>
    <row r="654">
      <c r="E654">
        <f>IF(C654="";"";D654*XLOOKUP(C654;Portions!$A:$A;Portions!$D:$D))</f>
        <v/>
      </c>
      <c r="F654">
        <f>IF(E654="";"";E654/100*XLOOKUP(XLOOKUP(C654;Portions!$A:$A;Portions!$B:$B);FoodItems!$A:$A;FoodItems!$B:$B))</f>
        <v/>
      </c>
      <c r="G654">
        <f>IF(E654="";"";E654/100*XLOOKUP(XLOOKUP(C654;Portions!$A:$A;Portions!$B:$B);FoodItems!$A:$A;FoodItems!$C:$C))</f>
        <v/>
      </c>
      <c r="H654">
        <f>IF(E654="";"";E654/100*XLOOKUP(XLOOKUP(C654;Portions!$A:$A;Portions!$B:$B);FoodItems!$A:$A;FoodItems!$D:$D))</f>
        <v/>
      </c>
      <c r="I654">
        <f>IF(E654="";"";E654/100*XLOOKUP(XLOOKUP(C654;Portions!$A:$A;Portions!$B:$B);FoodItems!$A:$A;FoodItems!$E:$E))</f>
        <v/>
      </c>
    </row>
    <row r="655">
      <c r="E655">
        <f>IF(C655="";"";D655*XLOOKUP(C655;Portions!$A:$A;Portions!$D:$D))</f>
        <v/>
      </c>
      <c r="F655">
        <f>IF(E655="";"";E655/100*XLOOKUP(XLOOKUP(C655;Portions!$A:$A;Portions!$B:$B);FoodItems!$A:$A;FoodItems!$B:$B))</f>
        <v/>
      </c>
      <c r="G655">
        <f>IF(E655="";"";E655/100*XLOOKUP(XLOOKUP(C655;Portions!$A:$A;Portions!$B:$B);FoodItems!$A:$A;FoodItems!$C:$C))</f>
        <v/>
      </c>
      <c r="H655">
        <f>IF(E655="";"";E655/100*XLOOKUP(XLOOKUP(C655;Portions!$A:$A;Portions!$B:$B);FoodItems!$A:$A;FoodItems!$D:$D))</f>
        <v/>
      </c>
      <c r="I655">
        <f>IF(E655="";"";E655/100*XLOOKUP(XLOOKUP(C655;Portions!$A:$A;Portions!$B:$B);FoodItems!$A:$A;FoodItems!$E:$E))</f>
        <v/>
      </c>
    </row>
    <row r="656">
      <c r="E656">
        <f>IF(C656="";"";D656*XLOOKUP(C656;Portions!$A:$A;Portions!$D:$D))</f>
        <v/>
      </c>
      <c r="F656">
        <f>IF(E656="";"";E656/100*XLOOKUP(XLOOKUP(C656;Portions!$A:$A;Portions!$B:$B);FoodItems!$A:$A;FoodItems!$B:$B))</f>
        <v/>
      </c>
      <c r="G656">
        <f>IF(E656="";"";E656/100*XLOOKUP(XLOOKUP(C656;Portions!$A:$A;Portions!$B:$B);FoodItems!$A:$A;FoodItems!$C:$C))</f>
        <v/>
      </c>
      <c r="H656">
        <f>IF(E656="";"";E656/100*XLOOKUP(XLOOKUP(C656;Portions!$A:$A;Portions!$B:$B);FoodItems!$A:$A;FoodItems!$D:$D))</f>
        <v/>
      </c>
      <c r="I656">
        <f>IF(E656="";"";E656/100*XLOOKUP(XLOOKUP(C656;Portions!$A:$A;Portions!$B:$B);FoodItems!$A:$A;FoodItems!$E:$E))</f>
        <v/>
      </c>
    </row>
    <row r="657">
      <c r="E657">
        <f>IF(C657="";"";D657*XLOOKUP(C657;Portions!$A:$A;Portions!$D:$D))</f>
        <v/>
      </c>
      <c r="F657">
        <f>IF(E657="";"";E657/100*XLOOKUP(XLOOKUP(C657;Portions!$A:$A;Portions!$B:$B);FoodItems!$A:$A;FoodItems!$B:$B))</f>
        <v/>
      </c>
      <c r="G657">
        <f>IF(E657="";"";E657/100*XLOOKUP(XLOOKUP(C657;Portions!$A:$A;Portions!$B:$B);FoodItems!$A:$A;FoodItems!$C:$C))</f>
        <v/>
      </c>
      <c r="H657">
        <f>IF(E657="";"";E657/100*XLOOKUP(XLOOKUP(C657;Portions!$A:$A;Portions!$B:$B);FoodItems!$A:$A;FoodItems!$D:$D))</f>
        <v/>
      </c>
      <c r="I657">
        <f>IF(E657="";"";E657/100*XLOOKUP(XLOOKUP(C657;Portions!$A:$A;Portions!$B:$B);FoodItems!$A:$A;FoodItems!$E:$E))</f>
        <v/>
      </c>
    </row>
    <row r="658">
      <c r="E658">
        <f>IF(C658="";"";D658*XLOOKUP(C658;Portions!$A:$A;Portions!$D:$D))</f>
        <v/>
      </c>
      <c r="F658">
        <f>IF(E658="";"";E658/100*XLOOKUP(XLOOKUP(C658;Portions!$A:$A;Portions!$B:$B);FoodItems!$A:$A;FoodItems!$B:$B))</f>
        <v/>
      </c>
      <c r="G658">
        <f>IF(E658="";"";E658/100*XLOOKUP(XLOOKUP(C658;Portions!$A:$A;Portions!$B:$B);FoodItems!$A:$A;FoodItems!$C:$C))</f>
        <v/>
      </c>
      <c r="H658">
        <f>IF(E658="";"";E658/100*XLOOKUP(XLOOKUP(C658;Portions!$A:$A;Portions!$B:$B);FoodItems!$A:$A;FoodItems!$D:$D))</f>
        <v/>
      </c>
      <c r="I658">
        <f>IF(E658="";"";E658/100*XLOOKUP(XLOOKUP(C658;Portions!$A:$A;Portions!$B:$B);FoodItems!$A:$A;FoodItems!$E:$E))</f>
        <v/>
      </c>
    </row>
    <row r="659">
      <c r="E659">
        <f>IF(C659="";"";D659*XLOOKUP(C659;Portions!$A:$A;Portions!$D:$D))</f>
        <v/>
      </c>
      <c r="F659">
        <f>IF(E659="";"";E659/100*XLOOKUP(XLOOKUP(C659;Portions!$A:$A;Portions!$B:$B);FoodItems!$A:$A;FoodItems!$B:$B))</f>
        <v/>
      </c>
      <c r="G659">
        <f>IF(E659="";"";E659/100*XLOOKUP(XLOOKUP(C659;Portions!$A:$A;Portions!$B:$B);FoodItems!$A:$A;FoodItems!$C:$C))</f>
        <v/>
      </c>
      <c r="H659">
        <f>IF(E659="";"";E659/100*XLOOKUP(XLOOKUP(C659;Portions!$A:$A;Portions!$B:$B);FoodItems!$A:$A;FoodItems!$D:$D))</f>
        <v/>
      </c>
      <c r="I659">
        <f>IF(E659="";"";E659/100*XLOOKUP(XLOOKUP(C659;Portions!$A:$A;Portions!$B:$B);FoodItems!$A:$A;FoodItems!$E:$E))</f>
        <v/>
      </c>
    </row>
    <row r="660">
      <c r="E660">
        <f>IF(C660="";"";D660*XLOOKUP(C660;Portions!$A:$A;Portions!$D:$D))</f>
        <v/>
      </c>
      <c r="F660">
        <f>IF(E660="";"";E660/100*XLOOKUP(XLOOKUP(C660;Portions!$A:$A;Portions!$B:$B);FoodItems!$A:$A;FoodItems!$B:$B))</f>
        <v/>
      </c>
      <c r="G660">
        <f>IF(E660="";"";E660/100*XLOOKUP(XLOOKUP(C660;Portions!$A:$A;Portions!$B:$B);FoodItems!$A:$A;FoodItems!$C:$C))</f>
        <v/>
      </c>
      <c r="H660">
        <f>IF(E660="";"";E660/100*XLOOKUP(XLOOKUP(C660;Portions!$A:$A;Portions!$B:$B);FoodItems!$A:$A;FoodItems!$D:$D))</f>
        <v/>
      </c>
      <c r="I660">
        <f>IF(E660="";"";E660/100*XLOOKUP(XLOOKUP(C660;Portions!$A:$A;Portions!$B:$B);FoodItems!$A:$A;FoodItems!$E:$E))</f>
        <v/>
      </c>
    </row>
    <row r="661">
      <c r="E661">
        <f>IF(C661="";"";D661*XLOOKUP(C661;Portions!$A:$A;Portions!$D:$D))</f>
        <v/>
      </c>
      <c r="F661">
        <f>IF(E661="";"";E661/100*XLOOKUP(XLOOKUP(C661;Portions!$A:$A;Portions!$B:$B);FoodItems!$A:$A;FoodItems!$B:$B))</f>
        <v/>
      </c>
      <c r="G661">
        <f>IF(E661="";"";E661/100*XLOOKUP(XLOOKUP(C661;Portions!$A:$A;Portions!$B:$B);FoodItems!$A:$A;FoodItems!$C:$C))</f>
        <v/>
      </c>
      <c r="H661">
        <f>IF(E661="";"";E661/100*XLOOKUP(XLOOKUP(C661;Portions!$A:$A;Portions!$B:$B);FoodItems!$A:$A;FoodItems!$D:$D))</f>
        <v/>
      </c>
      <c r="I661">
        <f>IF(E661="";"";E661/100*XLOOKUP(XLOOKUP(C661;Portions!$A:$A;Portions!$B:$B);FoodItems!$A:$A;FoodItems!$E:$E))</f>
        <v/>
      </c>
    </row>
    <row r="662">
      <c r="E662">
        <f>IF(C662="";"";D662*XLOOKUP(C662;Portions!$A:$A;Portions!$D:$D))</f>
        <v/>
      </c>
      <c r="F662">
        <f>IF(E662="";"";E662/100*XLOOKUP(XLOOKUP(C662;Portions!$A:$A;Portions!$B:$B);FoodItems!$A:$A;FoodItems!$B:$B))</f>
        <v/>
      </c>
      <c r="G662">
        <f>IF(E662="";"";E662/100*XLOOKUP(XLOOKUP(C662;Portions!$A:$A;Portions!$B:$B);FoodItems!$A:$A;FoodItems!$C:$C))</f>
        <v/>
      </c>
      <c r="H662">
        <f>IF(E662="";"";E662/100*XLOOKUP(XLOOKUP(C662;Portions!$A:$A;Portions!$B:$B);FoodItems!$A:$A;FoodItems!$D:$D))</f>
        <v/>
      </c>
      <c r="I662">
        <f>IF(E662="";"";E662/100*XLOOKUP(XLOOKUP(C662;Portions!$A:$A;Portions!$B:$B);FoodItems!$A:$A;FoodItems!$E:$E))</f>
        <v/>
      </c>
    </row>
    <row r="663">
      <c r="E663">
        <f>IF(C663="";"";D663*XLOOKUP(C663;Portions!$A:$A;Portions!$D:$D))</f>
        <v/>
      </c>
      <c r="F663">
        <f>IF(E663="";"";E663/100*XLOOKUP(XLOOKUP(C663;Portions!$A:$A;Portions!$B:$B);FoodItems!$A:$A;FoodItems!$B:$B))</f>
        <v/>
      </c>
      <c r="G663">
        <f>IF(E663="";"";E663/100*XLOOKUP(XLOOKUP(C663;Portions!$A:$A;Portions!$B:$B);FoodItems!$A:$A;FoodItems!$C:$C))</f>
        <v/>
      </c>
      <c r="H663">
        <f>IF(E663="";"";E663/100*XLOOKUP(XLOOKUP(C663;Portions!$A:$A;Portions!$B:$B);FoodItems!$A:$A;FoodItems!$D:$D))</f>
        <v/>
      </c>
      <c r="I663">
        <f>IF(E663="";"";E663/100*XLOOKUP(XLOOKUP(C663;Portions!$A:$A;Portions!$B:$B);FoodItems!$A:$A;FoodItems!$E:$E))</f>
        <v/>
      </c>
    </row>
    <row r="664">
      <c r="E664">
        <f>IF(C664="";"";D664*XLOOKUP(C664;Portions!$A:$A;Portions!$D:$D))</f>
        <v/>
      </c>
      <c r="F664">
        <f>IF(E664="";"";E664/100*XLOOKUP(XLOOKUP(C664;Portions!$A:$A;Portions!$B:$B);FoodItems!$A:$A;FoodItems!$B:$B))</f>
        <v/>
      </c>
      <c r="G664">
        <f>IF(E664="";"";E664/100*XLOOKUP(XLOOKUP(C664;Portions!$A:$A;Portions!$B:$B);FoodItems!$A:$A;FoodItems!$C:$C))</f>
        <v/>
      </c>
      <c r="H664">
        <f>IF(E664="";"";E664/100*XLOOKUP(XLOOKUP(C664;Portions!$A:$A;Portions!$B:$B);FoodItems!$A:$A;FoodItems!$D:$D))</f>
        <v/>
      </c>
      <c r="I664">
        <f>IF(E664="";"";E664/100*XLOOKUP(XLOOKUP(C664;Portions!$A:$A;Portions!$B:$B);FoodItems!$A:$A;FoodItems!$E:$E))</f>
        <v/>
      </c>
    </row>
    <row r="665">
      <c r="E665">
        <f>IF(C665="";"";D665*XLOOKUP(C665;Portions!$A:$A;Portions!$D:$D))</f>
        <v/>
      </c>
      <c r="F665">
        <f>IF(E665="";"";E665/100*XLOOKUP(XLOOKUP(C665;Portions!$A:$A;Portions!$B:$B);FoodItems!$A:$A;FoodItems!$B:$B))</f>
        <v/>
      </c>
      <c r="G665">
        <f>IF(E665="";"";E665/100*XLOOKUP(XLOOKUP(C665;Portions!$A:$A;Portions!$B:$B);FoodItems!$A:$A;FoodItems!$C:$C))</f>
        <v/>
      </c>
      <c r="H665">
        <f>IF(E665="";"";E665/100*XLOOKUP(XLOOKUP(C665;Portions!$A:$A;Portions!$B:$B);FoodItems!$A:$A;FoodItems!$D:$D))</f>
        <v/>
      </c>
      <c r="I665">
        <f>IF(E665="";"";E665/100*XLOOKUP(XLOOKUP(C665;Portions!$A:$A;Portions!$B:$B);FoodItems!$A:$A;FoodItems!$E:$E))</f>
        <v/>
      </c>
    </row>
    <row r="666">
      <c r="E666">
        <f>IF(C666="";"";D666*XLOOKUP(C666;Portions!$A:$A;Portions!$D:$D))</f>
        <v/>
      </c>
      <c r="F666">
        <f>IF(E666="";"";E666/100*XLOOKUP(XLOOKUP(C666;Portions!$A:$A;Portions!$B:$B);FoodItems!$A:$A;FoodItems!$B:$B))</f>
        <v/>
      </c>
      <c r="G666">
        <f>IF(E666="";"";E666/100*XLOOKUP(XLOOKUP(C666;Portions!$A:$A;Portions!$B:$B);FoodItems!$A:$A;FoodItems!$C:$C))</f>
        <v/>
      </c>
      <c r="H666">
        <f>IF(E666="";"";E666/100*XLOOKUP(XLOOKUP(C666;Portions!$A:$A;Portions!$B:$B);FoodItems!$A:$A;FoodItems!$D:$D))</f>
        <v/>
      </c>
      <c r="I666">
        <f>IF(E666="";"";E666/100*XLOOKUP(XLOOKUP(C666;Portions!$A:$A;Portions!$B:$B);FoodItems!$A:$A;FoodItems!$E:$E))</f>
        <v/>
      </c>
    </row>
    <row r="667">
      <c r="E667">
        <f>IF(C667="";"";D667*XLOOKUP(C667;Portions!$A:$A;Portions!$D:$D))</f>
        <v/>
      </c>
      <c r="F667">
        <f>IF(E667="";"";E667/100*XLOOKUP(XLOOKUP(C667;Portions!$A:$A;Portions!$B:$B);FoodItems!$A:$A;FoodItems!$B:$B))</f>
        <v/>
      </c>
      <c r="G667">
        <f>IF(E667="";"";E667/100*XLOOKUP(XLOOKUP(C667;Portions!$A:$A;Portions!$B:$B);FoodItems!$A:$A;FoodItems!$C:$C))</f>
        <v/>
      </c>
      <c r="H667">
        <f>IF(E667="";"";E667/100*XLOOKUP(XLOOKUP(C667;Portions!$A:$A;Portions!$B:$B);FoodItems!$A:$A;FoodItems!$D:$D))</f>
        <v/>
      </c>
      <c r="I667">
        <f>IF(E667="";"";E667/100*XLOOKUP(XLOOKUP(C667;Portions!$A:$A;Portions!$B:$B);FoodItems!$A:$A;FoodItems!$E:$E))</f>
        <v/>
      </c>
    </row>
    <row r="668">
      <c r="E668">
        <f>IF(C668="";"";D668*XLOOKUP(C668;Portions!$A:$A;Portions!$D:$D))</f>
        <v/>
      </c>
      <c r="F668">
        <f>IF(E668="";"";E668/100*XLOOKUP(XLOOKUP(C668;Portions!$A:$A;Portions!$B:$B);FoodItems!$A:$A;FoodItems!$B:$B))</f>
        <v/>
      </c>
      <c r="G668">
        <f>IF(E668="";"";E668/100*XLOOKUP(XLOOKUP(C668;Portions!$A:$A;Portions!$B:$B);FoodItems!$A:$A;FoodItems!$C:$C))</f>
        <v/>
      </c>
      <c r="H668">
        <f>IF(E668="";"";E668/100*XLOOKUP(XLOOKUP(C668;Portions!$A:$A;Portions!$B:$B);FoodItems!$A:$A;FoodItems!$D:$D))</f>
        <v/>
      </c>
      <c r="I668">
        <f>IF(E668="";"";E668/100*XLOOKUP(XLOOKUP(C668;Portions!$A:$A;Portions!$B:$B);FoodItems!$A:$A;FoodItems!$E:$E))</f>
        <v/>
      </c>
    </row>
    <row r="669">
      <c r="E669">
        <f>IF(C669="";"";D669*XLOOKUP(C669;Portions!$A:$A;Portions!$D:$D))</f>
        <v/>
      </c>
      <c r="F669">
        <f>IF(E669="";"";E669/100*XLOOKUP(XLOOKUP(C669;Portions!$A:$A;Portions!$B:$B);FoodItems!$A:$A;FoodItems!$B:$B))</f>
        <v/>
      </c>
      <c r="G669">
        <f>IF(E669="";"";E669/100*XLOOKUP(XLOOKUP(C669;Portions!$A:$A;Portions!$B:$B);FoodItems!$A:$A;FoodItems!$C:$C))</f>
        <v/>
      </c>
      <c r="H669">
        <f>IF(E669="";"";E669/100*XLOOKUP(XLOOKUP(C669;Portions!$A:$A;Portions!$B:$B);FoodItems!$A:$A;FoodItems!$D:$D))</f>
        <v/>
      </c>
      <c r="I669">
        <f>IF(E669="";"";E669/100*XLOOKUP(XLOOKUP(C669;Portions!$A:$A;Portions!$B:$B);FoodItems!$A:$A;FoodItems!$E:$E))</f>
        <v/>
      </c>
    </row>
    <row r="670">
      <c r="E670">
        <f>IF(C670="";"";D670*XLOOKUP(C670;Portions!$A:$A;Portions!$D:$D))</f>
        <v/>
      </c>
      <c r="F670">
        <f>IF(E670="";"";E670/100*XLOOKUP(XLOOKUP(C670;Portions!$A:$A;Portions!$B:$B);FoodItems!$A:$A;FoodItems!$B:$B))</f>
        <v/>
      </c>
      <c r="G670">
        <f>IF(E670="";"";E670/100*XLOOKUP(XLOOKUP(C670;Portions!$A:$A;Portions!$B:$B);FoodItems!$A:$A;FoodItems!$C:$C))</f>
        <v/>
      </c>
      <c r="H670">
        <f>IF(E670="";"";E670/100*XLOOKUP(XLOOKUP(C670;Portions!$A:$A;Portions!$B:$B);FoodItems!$A:$A;FoodItems!$D:$D))</f>
        <v/>
      </c>
      <c r="I670">
        <f>IF(E670="";"";E670/100*XLOOKUP(XLOOKUP(C670;Portions!$A:$A;Portions!$B:$B);FoodItems!$A:$A;FoodItems!$E:$E))</f>
        <v/>
      </c>
    </row>
    <row r="671">
      <c r="E671">
        <f>IF(C671="";"";D671*XLOOKUP(C671;Portions!$A:$A;Portions!$D:$D))</f>
        <v/>
      </c>
      <c r="F671">
        <f>IF(E671="";"";E671/100*XLOOKUP(XLOOKUP(C671;Portions!$A:$A;Portions!$B:$B);FoodItems!$A:$A;FoodItems!$B:$B))</f>
        <v/>
      </c>
      <c r="G671">
        <f>IF(E671="";"";E671/100*XLOOKUP(XLOOKUP(C671;Portions!$A:$A;Portions!$B:$B);FoodItems!$A:$A;FoodItems!$C:$C))</f>
        <v/>
      </c>
      <c r="H671">
        <f>IF(E671="";"";E671/100*XLOOKUP(XLOOKUP(C671;Portions!$A:$A;Portions!$B:$B);FoodItems!$A:$A;FoodItems!$D:$D))</f>
        <v/>
      </c>
      <c r="I671">
        <f>IF(E671="";"";E671/100*XLOOKUP(XLOOKUP(C671;Portions!$A:$A;Portions!$B:$B);FoodItems!$A:$A;FoodItems!$E:$E))</f>
        <v/>
      </c>
    </row>
    <row r="672">
      <c r="E672">
        <f>IF(C672="";"";D672*XLOOKUP(C672;Portions!$A:$A;Portions!$D:$D))</f>
        <v/>
      </c>
      <c r="F672">
        <f>IF(E672="";"";E672/100*XLOOKUP(XLOOKUP(C672;Portions!$A:$A;Portions!$B:$B);FoodItems!$A:$A;FoodItems!$B:$B))</f>
        <v/>
      </c>
      <c r="G672">
        <f>IF(E672="";"";E672/100*XLOOKUP(XLOOKUP(C672;Portions!$A:$A;Portions!$B:$B);FoodItems!$A:$A;FoodItems!$C:$C))</f>
        <v/>
      </c>
      <c r="H672">
        <f>IF(E672="";"";E672/100*XLOOKUP(XLOOKUP(C672;Portions!$A:$A;Portions!$B:$B);FoodItems!$A:$A;FoodItems!$D:$D))</f>
        <v/>
      </c>
      <c r="I672">
        <f>IF(E672="";"";E672/100*XLOOKUP(XLOOKUP(C672;Portions!$A:$A;Portions!$B:$B);FoodItems!$A:$A;FoodItems!$E:$E))</f>
        <v/>
      </c>
    </row>
    <row r="673">
      <c r="E673">
        <f>IF(C673="";"";D673*XLOOKUP(C673;Portions!$A:$A;Portions!$D:$D))</f>
        <v/>
      </c>
      <c r="F673">
        <f>IF(E673="";"";E673/100*XLOOKUP(XLOOKUP(C673;Portions!$A:$A;Portions!$B:$B);FoodItems!$A:$A;FoodItems!$B:$B))</f>
        <v/>
      </c>
      <c r="G673">
        <f>IF(E673="";"";E673/100*XLOOKUP(XLOOKUP(C673;Portions!$A:$A;Portions!$B:$B);FoodItems!$A:$A;FoodItems!$C:$C))</f>
        <v/>
      </c>
      <c r="H673">
        <f>IF(E673="";"";E673/100*XLOOKUP(XLOOKUP(C673;Portions!$A:$A;Portions!$B:$B);FoodItems!$A:$A;FoodItems!$D:$D))</f>
        <v/>
      </c>
      <c r="I673">
        <f>IF(E673="";"";E673/100*XLOOKUP(XLOOKUP(C673;Portions!$A:$A;Portions!$B:$B);FoodItems!$A:$A;FoodItems!$E:$E))</f>
        <v/>
      </c>
    </row>
    <row r="674">
      <c r="E674">
        <f>IF(C674="";"";D674*XLOOKUP(C674;Portions!$A:$A;Portions!$D:$D))</f>
        <v/>
      </c>
      <c r="F674">
        <f>IF(E674="";"";E674/100*XLOOKUP(XLOOKUP(C674;Portions!$A:$A;Portions!$B:$B);FoodItems!$A:$A;FoodItems!$B:$B))</f>
        <v/>
      </c>
      <c r="G674">
        <f>IF(E674="";"";E674/100*XLOOKUP(XLOOKUP(C674;Portions!$A:$A;Portions!$B:$B);FoodItems!$A:$A;FoodItems!$C:$C))</f>
        <v/>
      </c>
      <c r="H674">
        <f>IF(E674="";"";E674/100*XLOOKUP(XLOOKUP(C674;Portions!$A:$A;Portions!$B:$B);FoodItems!$A:$A;FoodItems!$D:$D))</f>
        <v/>
      </c>
      <c r="I674">
        <f>IF(E674="";"";E674/100*XLOOKUP(XLOOKUP(C674;Portions!$A:$A;Portions!$B:$B);FoodItems!$A:$A;FoodItems!$E:$E))</f>
        <v/>
      </c>
    </row>
    <row r="675">
      <c r="E675">
        <f>IF(C675="";"";D675*XLOOKUP(C675;Portions!$A:$A;Portions!$D:$D))</f>
        <v/>
      </c>
      <c r="F675">
        <f>IF(E675="";"";E675/100*XLOOKUP(XLOOKUP(C675;Portions!$A:$A;Portions!$B:$B);FoodItems!$A:$A;FoodItems!$B:$B))</f>
        <v/>
      </c>
      <c r="G675">
        <f>IF(E675="";"";E675/100*XLOOKUP(XLOOKUP(C675;Portions!$A:$A;Portions!$B:$B);FoodItems!$A:$A;FoodItems!$C:$C))</f>
        <v/>
      </c>
      <c r="H675">
        <f>IF(E675="";"";E675/100*XLOOKUP(XLOOKUP(C675;Portions!$A:$A;Portions!$B:$B);FoodItems!$A:$A;FoodItems!$D:$D))</f>
        <v/>
      </c>
      <c r="I675">
        <f>IF(E675="";"";E675/100*XLOOKUP(XLOOKUP(C675;Portions!$A:$A;Portions!$B:$B);FoodItems!$A:$A;FoodItems!$E:$E))</f>
        <v/>
      </c>
    </row>
    <row r="676">
      <c r="E676">
        <f>IF(C676="";"";D676*XLOOKUP(C676;Portions!$A:$A;Portions!$D:$D))</f>
        <v/>
      </c>
      <c r="F676">
        <f>IF(E676="";"";E676/100*XLOOKUP(XLOOKUP(C676;Portions!$A:$A;Portions!$B:$B);FoodItems!$A:$A;FoodItems!$B:$B))</f>
        <v/>
      </c>
      <c r="G676">
        <f>IF(E676="";"";E676/100*XLOOKUP(XLOOKUP(C676;Portions!$A:$A;Portions!$B:$B);FoodItems!$A:$A;FoodItems!$C:$C))</f>
        <v/>
      </c>
      <c r="H676">
        <f>IF(E676="";"";E676/100*XLOOKUP(XLOOKUP(C676;Portions!$A:$A;Portions!$B:$B);FoodItems!$A:$A;FoodItems!$D:$D))</f>
        <v/>
      </c>
      <c r="I676">
        <f>IF(E676="";"";E676/100*XLOOKUP(XLOOKUP(C676;Portions!$A:$A;Portions!$B:$B);FoodItems!$A:$A;FoodItems!$E:$E))</f>
        <v/>
      </c>
    </row>
    <row r="677">
      <c r="E677">
        <f>IF(C677="";"";D677*XLOOKUP(C677;Portions!$A:$A;Portions!$D:$D))</f>
        <v/>
      </c>
      <c r="F677">
        <f>IF(E677="";"";E677/100*XLOOKUP(XLOOKUP(C677;Portions!$A:$A;Portions!$B:$B);FoodItems!$A:$A;FoodItems!$B:$B))</f>
        <v/>
      </c>
      <c r="G677">
        <f>IF(E677="";"";E677/100*XLOOKUP(XLOOKUP(C677;Portions!$A:$A;Portions!$B:$B);FoodItems!$A:$A;FoodItems!$C:$C))</f>
        <v/>
      </c>
      <c r="H677">
        <f>IF(E677="";"";E677/100*XLOOKUP(XLOOKUP(C677;Portions!$A:$A;Portions!$B:$B);FoodItems!$A:$A;FoodItems!$D:$D))</f>
        <v/>
      </c>
      <c r="I677">
        <f>IF(E677="";"";E677/100*XLOOKUP(XLOOKUP(C677;Portions!$A:$A;Portions!$B:$B);FoodItems!$A:$A;FoodItems!$E:$E))</f>
        <v/>
      </c>
    </row>
    <row r="678">
      <c r="E678">
        <f>IF(C678="";"";D678*XLOOKUP(C678;Portions!$A:$A;Portions!$D:$D))</f>
        <v/>
      </c>
      <c r="F678">
        <f>IF(E678="";"";E678/100*XLOOKUP(XLOOKUP(C678;Portions!$A:$A;Portions!$B:$B);FoodItems!$A:$A;FoodItems!$B:$B))</f>
        <v/>
      </c>
      <c r="G678">
        <f>IF(E678="";"";E678/100*XLOOKUP(XLOOKUP(C678;Portions!$A:$A;Portions!$B:$B);FoodItems!$A:$A;FoodItems!$C:$C))</f>
        <v/>
      </c>
      <c r="H678">
        <f>IF(E678="";"";E678/100*XLOOKUP(XLOOKUP(C678;Portions!$A:$A;Portions!$B:$B);FoodItems!$A:$A;FoodItems!$D:$D))</f>
        <v/>
      </c>
      <c r="I678">
        <f>IF(E678="";"";E678/100*XLOOKUP(XLOOKUP(C678;Portions!$A:$A;Portions!$B:$B);FoodItems!$A:$A;FoodItems!$E:$E))</f>
        <v/>
      </c>
    </row>
    <row r="679">
      <c r="E679">
        <f>IF(C679="";"";D679*XLOOKUP(C679;Portions!$A:$A;Portions!$D:$D))</f>
        <v/>
      </c>
      <c r="F679">
        <f>IF(E679="";"";E679/100*XLOOKUP(XLOOKUP(C679;Portions!$A:$A;Portions!$B:$B);FoodItems!$A:$A;FoodItems!$B:$B))</f>
        <v/>
      </c>
      <c r="G679">
        <f>IF(E679="";"";E679/100*XLOOKUP(XLOOKUP(C679;Portions!$A:$A;Portions!$B:$B);FoodItems!$A:$A;FoodItems!$C:$C))</f>
        <v/>
      </c>
      <c r="H679">
        <f>IF(E679="";"";E679/100*XLOOKUP(XLOOKUP(C679;Portions!$A:$A;Portions!$B:$B);FoodItems!$A:$A;FoodItems!$D:$D))</f>
        <v/>
      </c>
      <c r="I679">
        <f>IF(E679="";"";E679/100*XLOOKUP(XLOOKUP(C679;Portions!$A:$A;Portions!$B:$B);FoodItems!$A:$A;FoodItems!$E:$E))</f>
        <v/>
      </c>
    </row>
    <row r="680">
      <c r="E680">
        <f>IF(C680="";"";D680*XLOOKUP(C680;Portions!$A:$A;Portions!$D:$D))</f>
        <v/>
      </c>
      <c r="F680">
        <f>IF(E680="";"";E680/100*XLOOKUP(XLOOKUP(C680;Portions!$A:$A;Portions!$B:$B);FoodItems!$A:$A;FoodItems!$B:$B))</f>
        <v/>
      </c>
      <c r="G680">
        <f>IF(E680="";"";E680/100*XLOOKUP(XLOOKUP(C680;Portions!$A:$A;Portions!$B:$B);FoodItems!$A:$A;FoodItems!$C:$C))</f>
        <v/>
      </c>
      <c r="H680">
        <f>IF(E680="";"";E680/100*XLOOKUP(XLOOKUP(C680;Portions!$A:$A;Portions!$B:$B);FoodItems!$A:$A;FoodItems!$D:$D))</f>
        <v/>
      </c>
      <c r="I680">
        <f>IF(E680="";"";E680/100*XLOOKUP(XLOOKUP(C680;Portions!$A:$A;Portions!$B:$B);FoodItems!$A:$A;FoodItems!$E:$E))</f>
        <v/>
      </c>
    </row>
    <row r="681">
      <c r="E681">
        <f>IF(C681="";"";D681*XLOOKUP(C681;Portions!$A:$A;Portions!$D:$D))</f>
        <v/>
      </c>
      <c r="F681">
        <f>IF(E681="";"";E681/100*XLOOKUP(XLOOKUP(C681;Portions!$A:$A;Portions!$B:$B);FoodItems!$A:$A;FoodItems!$B:$B))</f>
        <v/>
      </c>
      <c r="G681">
        <f>IF(E681="";"";E681/100*XLOOKUP(XLOOKUP(C681;Portions!$A:$A;Portions!$B:$B);FoodItems!$A:$A;FoodItems!$C:$C))</f>
        <v/>
      </c>
      <c r="H681">
        <f>IF(E681="";"";E681/100*XLOOKUP(XLOOKUP(C681;Portions!$A:$A;Portions!$B:$B);FoodItems!$A:$A;FoodItems!$D:$D))</f>
        <v/>
      </c>
      <c r="I681">
        <f>IF(E681="";"";E681/100*XLOOKUP(XLOOKUP(C681;Portions!$A:$A;Portions!$B:$B);FoodItems!$A:$A;FoodItems!$E:$E))</f>
        <v/>
      </c>
    </row>
    <row r="682">
      <c r="E682">
        <f>IF(C682="";"";D682*XLOOKUP(C682;Portions!$A:$A;Portions!$D:$D))</f>
        <v/>
      </c>
      <c r="F682">
        <f>IF(E682="";"";E682/100*XLOOKUP(XLOOKUP(C682;Portions!$A:$A;Portions!$B:$B);FoodItems!$A:$A;FoodItems!$B:$B))</f>
        <v/>
      </c>
      <c r="G682">
        <f>IF(E682="";"";E682/100*XLOOKUP(XLOOKUP(C682;Portions!$A:$A;Portions!$B:$B);FoodItems!$A:$A;FoodItems!$C:$C))</f>
        <v/>
      </c>
      <c r="H682">
        <f>IF(E682="";"";E682/100*XLOOKUP(XLOOKUP(C682;Portions!$A:$A;Portions!$B:$B);FoodItems!$A:$A;FoodItems!$D:$D))</f>
        <v/>
      </c>
      <c r="I682">
        <f>IF(E682="";"";E682/100*XLOOKUP(XLOOKUP(C682;Portions!$A:$A;Portions!$B:$B);FoodItems!$A:$A;FoodItems!$E:$E))</f>
        <v/>
      </c>
    </row>
    <row r="683">
      <c r="E683">
        <f>IF(C683="";"";D683*XLOOKUP(C683;Portions!$A:$A;Portions!$D:$D))</f>
        <v/>
      </c>
      <c r="F683">
        <f>IF(E683="";"";E683/100*XLOOKUP(XLOOKUP(C683;Portions!$A:$A;Portions!$B:$B);FoodItems!$A:$A;FoodItems!$B:$B))</f>
        <v/>
      </c>
      <c r="G683">
        <f>IF(E683="";"";E683/100*XLOOKUP(XLOOKUP(C683;Portions!$A:$A;Portions!$B:$B);FoodItems!$A:$A;FoodItems!$C:$C))</f>
        <v/>
      </c>
      <c r="H683">
        <f>IF(E683="";"";E683/100*XLOOKUP(XLOOKUP(C683;Portions!$A:$A;Portions!$B:$B);FoodItems!$A:$A;FoodItems!$D:$D))</f>
        <v/>
      </c>
      <c r="I683">
        <f>IF(E683="";"";E683/100*XLOOKUP(XLOOKUP(C683;Portions!$A:$A;Portions!$B:$B);FoodItems!$A:$A;FoodItems!$E:$E))</f>
        <v/>
      </c>
    </row>
    <row r="684">
      <c r="E684">
        <f>IF(C684="";"";D684*XLOOKUP(C684;Portions!$A:$A;Portions!$D:$D))</f>
        <v/>
      </c>
      <c r="F684">
        <f>IF(E684="";"";E684/100*XLOOKUP(XLOOKUP(C684;Portions!$A:$A;Portions!$B:$B);FoodItems!$A:$A;FoodItems!$B:$B))</f>
        <v/>
      </c>
      <c r="G684">
        <f>IF(E684="";"";E684/100*XLOOKUP(XLOOKUP(C684;Portions!$A:$A;Portions!$B:$B);FoodItems!$A:$A;FoodItems!$C:$C))</f>
        <v/>
      </c>
      <c r="H684">
        <f>IF(E684="";"";E684/100*XLOOKUP(XLOOKUP(C684;Portions!$A:$A;Portions!$B:$B);FoodItems!$A:$A;FoodItems!$D:$D))</f>
        <v/>
      </c>
      <c r="I684">
        <f>IF(E684="";"";E684/100*XLOOKUP(XLOOKUP(C684;Portions!$A:$A;Portions!$B:$B);FoodItems!$A:$A;FoodItems!$E:$E))</f>
        <v/>
      </c>
    </row>
    <row r="685">
      <c r="E685">
        <f>IF(C685="";"";D685*XLOOKUP(C685;Portions!$A:$A;Portions!$D:$D))</f>
        <v/>
      </c>
      <c r="F685">
        <f>IF(E685="";"";E685/100*XLOOKUP(XLOOKUP(C685;Portions!$A:$A;Portions!$B:$B);FoodItems!$A:$A;FoodItems!$B:$B))</f>
        <v/>
      </c>
      <c r="G685">
        <f>IF(E685="";"";E685/100*XLOOKUP(XLOOKUP(C685;Portions!$A:$A;Portions!$B:$B);FoodItems!$A:$A;FoodItems!$C:$C))</f>
        <v/>
      </c>
      <c r="H685">
        <f>IF(E685="";"";E685/100*XLOOKUP(XLOOKUP(C685;Portions!$A:$A;Portions!$B:$B);FoodItems!$A:$A;FoodItems!$D:$D))</f>
        <v/>
      </c>
      <c r="I685">
        <f>IF(E685="";"";E685/100*XLOOKUP(XLOOKUP(C685;Portions!$A:$A;Portions!$B:$B);FoodItems!$A:$A;FoodItems!$E:$E))</f>
        <v/>
      </c>
    </row>
    <row r="686">
      <c r="E686">
        <f>IF(C686="";"";D686*XLOOKUP(C686;Portions!$A:$A;Portions!$D:$D))</f>
        <v/>
      </c>
      <c r="F686">
        <f>IF(E686="";"";E686/100*XLOOKUP(XLOOKUP(C686;Portions!$A:$A;Portions!$B:$B);FoodItems!$A:$A;FoodItems!$B:$B))</f>
        <v/>
      </c>
      <c r="G686">
        <f>IF(E686="";"";E686/100*XLOOKUP(XLOOKUP(C686;Portions!$A:$A;Portions!$B:$B);FoodItems!$A:$A;FoodItems!$C:$C))</f>
        <v/>
      </c>
      <c r="H686">
        <f>IF(E686="";"";E686/100*XLOOKUP(XLOOKUP(C686;Portions!$A:$A;Portions!$B:$B);FoodItems!$A:$A;FoodItems!$D:$D))</f>
        <v/>
      </c>
      <c r="I686">
        <f>IF(E686="";"";E686/100*XLOOKUP(XLOOKUP(C686;Portions!$A:$A;Portions!$B:$B);FoodItems!$A:$A;FoodItems!$E:$E))</f>
        <v/>
      </c>
    </row>
    <row r="687">
      <c r="E687">
        <f>IF(C687="";"";D687*XLOOKUP(C687;Portions!$A:$A;Portions!$D:$D))</f>
        <v/>
      </c>
      <c r="F687">
        <f>IF(E687="";"";E687/100*XLOOKUP(XLOOKUP(C687;Portions!$A:$A;Portions!$B:$B);FoodItems!$A:$A;FoodItems!$B:$B))</f>
        <v/>
      </c>
      <c r="G687">
        <f>IF(E687="";"";E687/100*XLOOKUP(XLOOKUP(C687;Portions!$A:$A;Portions!$B:$B);FoodItems!$A:$A;FoodItems!$C:$C))</f>
        <v/>
      </c>
      <c r="H687">
        <f>IF(E687="";"";E687/100*XLOOKUP(XLOOKUP(C687;Portions!$A:$A;Portions!$B:$B);FoodItems!$A:$A;FoodItems!$D:$D))</f>
        <v/>
      </c>
      <c r="I687">
        <f>IF(E687="";"";E687/100*XLOOKUP(XLOOKUP(C687;Portions!$A:$A;Portions!$B:$B);FoodItems!$A:$A;FoodItems!$E:$E))</f>
        <v/>
      </c>
    </row>
    <row r="688">
      <c r="E688">
        <f>IF(C688="";"";D688*XLOOKUP(C688;Portions!$A:$A;Portions!$D:$D))</f>
        <v/>
      </c>
      <c r="F688">
        <f>IF(E688="";"";E688/100*XLOOKUP(XLOOKUP(C688;Portions!$A:$A;Portions!$B:$B);FoodItems!$A:$A;FoodItems!$B:$B))</f>
        <v/>
      </c>
      <c r="G688">
        <f>IF(E688="";"";E688/100*XLOOKUP(XLOOKUP(C688;Portions!$A:$A;Portions!$B:$B);FoodItems!$A:$A;FoodItems!$C:$C))</f>
        <v/>
      </c>
      <c r="H688">
        <f>IF(E688="";"";E688/100*XLOOKUP(XLOOKUP(C688;Portions!$A:$A;Portions!$B:$B);FoodItems!$A:$A;FoodItems!$D:$D))</f>
        <v/>
      </c>
      <c r="I688">
        <f>IF(E688="";"";E688/100*XLOOKUP(XLOOKUP(C688;Portions!$A:$A;Portions!$B:$B);FoodItems!$A:$A;FoodItems!$E:$E))</f>
        <v/>
      </c>
    </row>
    <row r="689">
      <c r="E689">
        <f>IF(C689="";"";D689*XLOOKUP(C689;Portions!$A:$A;Portions!$D:$D))</f>
        <v/>
      </c>
      <c r="F689">
        <f>IF(E689="";"";E689/100*XLOOKUP(XLOOKUP(C689;Portions!$A:$A;Portions!$B:$B);FoodItems!$A:$A;FoodItems!$B:$B))</f>
        <v/>
      </c>
      <c r="G689">
        <f>IF(E689="";"";E689/100*XLOOKUP(XLOOKUP(C689;Portions!$A:$A;Portions!$B:$B);FoodItems!$A:$A;FoodItems!$C:$C))</f>
        <v/>
      </c>
      <c r="H689">
        <f>IF(E689="";"";E689/100*XLOOKUP(XLOOKUP(C689;Portions!$A:$A;Portions!$B:$B);FoodItems!$A:$A;FoodItems!$D:$D))</f>
        <v/>
      </c>
      <c r="I689">
        <f>IF(E689="";"";E689/100*XLOOKUP(XLOOKUP(C689;Portions!$A:$A;Portions!$B:$B);FoodItems!$A:$A;FoodItems!$E:$E))</f>
        <v/>
      </c>
    </row>
    <row r="690">
      <c r="E690">
        <f>IF(C690="";"";D690*XLOOKUP(C690;Portions!$A:$A;Portions!$D:$D))</f>
        <v/>
      </c>
      <c r="F690">
        <f>IF(E690="";"";E690/100*XLOOKUP(XLOOKUP(C690;Portions!$A:$A;Portions!$B:$B);FoodItems!$A:$A;FoodItems!$B:$B))</f>
        <v/>
      </c>
      <c r="G690">
        <f>IF(E690="";"";E690/100*XLOOKUP(XLOOKUP(C690;Portions!$A:$A;Portions!$B:$B);FoodItems!$A:$A;FoodItems!$C:$C))</f>
        <v/>
      </c>
      <c r="H690">
        <f>IF(E690="";"";E690/100*XLOOKUP(XLOOKUP(C690;Portions!$A:$A;Portions!$B:$B);FoodItems!$A:$A;FoodItems!$D:$D))</f>
        <v/>
      </c>
      <c r="I690">
        <f>IF(E690="";"";E690/100*XLOOKUP(XLOOKUP(C690;Portions!$A:$A;Portions!$B:$B);FoodItems!$A:$A;FoodItems!$E:$E))</f>
        <v/>
      </c>
    </row>
    <row r="691">
      <c r="E691">
        <f>IF(C691="";"";D691*XLOOKUP(C691;Portions!$A:$A;Portions!$D:$D))</f>
        <v/>
      </c>
      <c r="F691">
        <f>IF(E691="";"";E691/100*XLOOKUP(XLOOKUP(C691;Portions!$A:$A;Portions!$B:$B);FoodItems!$A:$A;FoodItems!$B:$B))</f>
        <v/>
      </c>
      <c r="G691">
        <f>IF(E691="";"";E691/100*XLOOKUP(XLOOKUP(C691;Portions!$A:$A;Portions!$B:$B);FoodItems!$A:$A;FoodItems!$C:$C))</f>
        <v/>
      </c>
      <c r="H691">
        <f>IF(E691="";"";E691/100*XLOOKUP(XLOOKUP(C691;Portions!$A:$A;Portions!$B:$B);FoodItems!$A:$A;FoodItems!$D:$D))</f>
        <v/>
      </c>
      <c r="I691">
        <f>IF(E691="";"";E691/100*XLOOKUP(XLOOKUP(C691;Portions!$A:$A;Portions!$B:$B);FoodItems!$A:$A;FoodItems!$E:$E))</f>
        <v/>
      </c>
    </row>
    <row r="692">
      <c r="E692">
        <f>IF(C692="";"";D692*XLOOKUP(C692;Portions!$A:$A;Portions!$D:$D))</f>
        <v/>
      </c>
      <c r="F692">
        <f>IF(E692="";"";E692/100*XLOOKUP(XLOOKUP(C692;Portions!$A:$A;Portions!$B:$B);FoodItems!$A:$A;FoodItems!$B:$B))</f>
        <v/>
      </c>
      <c r="G692">
        <f>IF(E692="";"";E692/100*XLOOKUP(XLOOKUP(C692;Portions!$A:$A;Portions!$B:$B);FoodItems!$A:$A;FoodItems!$C:$C))</f>
        <v/>
      </c>
      <c r="H692">
        <f>IF(E692="";"";E692/100*XLOOKUP(XLOOKUP(C692;Portions!$A:$A;Portions!$B:$B);FoodItems!$A:$A;FoodItems!$D:$D))</f>
        <v/>
      </c>
      <c r="I692">
        <f>IF(E692="";"";E692/100*XLOOKUP(XLOOKUP(C692;Portions!$A:$A;Portions!$B:$B);FoodItems!$A:$A;FoodItems!$E:$E))</f>
        <v/>
      </c>
    </row>
    <row r="693">
      <c r="E693">
        <f>IF(C693="";"";D693*XLOOKUP(C693;Portions!$A:$A;Portions!$D:$D))</f>
        <v/>
      </c>
      <c r="F693">
        <f>IF(E693="";"";E693/100*XLOOKUP(XLOOKUP(C693;Portions!$A:$A;Portions!$B:$B);FoodItems!$A:$A;FoodItems!$B:$B))</f>
        <v/>
      </c>
      <c r="G693">
        <f>IF(E693="";"";E693/100*XLOOKUP(XLOOKUP(C693;Portions!$A:$A;Portions!$B:$B);FoodItems!$A:$A;FoodItems!$C:$C))</f>
        <v/>
      </c>
      <c r="H693">
        <f>IF(E693="";"";E693/100*XLOOKUP(XLOOKUP(C693;Portions!$A:$A;Portions!$B:$B);FoodItems!$A:$A;FoodItems!$D:$D))</f>
        <v/>
      </c>
      <c r="I693">
        <f>IF(E693="";"";E693/100*XLOOKUP(XLOOKUP(C693;Portions!$A:$A;Portions!$B:$B);FoodItems!$A:$A;FoodItems!$E:$E))</f>
        <v/>
      </c>
    </row>
    <row r="694">
      <c r="E694">
        <f>IF(C694="";"";D694*XLOOKUP(C694;Portions!$A:$A;Portions!$D:$D))</f>
        <v/>
      </c>
      <c r="F694">
        <f>IF(E694="";"";E694/100*XLOOKUP(XLOOKUP(C694;Portions!$A:$A;Portions!$B:$B);FoodItems!$A:$A;FoodItems!$B:$B))</f>
        <v/>
      </c>
      <c r="G694">
        <f>IF(E694="";"";E694/100*XLOOKUP(XLOOKUP(C694;Portions!$A:$A;Portions!$B:$B);FoodItems!$A:$A;FoodItems!$C:$C))</f>
        <v/>
      </c>
      <c r="H694">
        <f>IF(E694="";"";E694/100*XLOOKUP(XLOOKUP(C694;Portions!$A:$A;Portions!$B:$B);FoodItems!$A:$A;FoodItems!$D:$D))</f>
        <v/>
      </c>
      <c r="I694">
        <f>IF(E694="";"";E694/100*XLOOKUP(XLOOKUP(C694;Portions!$A:$A;Portions!$B:$B);FoodItems!$A:$A;FoodItems!$E:$E))</f>
        <v/>
      </c>
    </row>
    <row r="695">
      <c r="E695">
        <f>IF(C695="";"";D695*XLOOKUP(C695;Portions!$A:$A;Portions!$D:$D))</f>
        <v/>
      </c>
      <c r="F695">
        <f>IF(E695="";"";E695/100*XLOOKUP(XLOOKUP(C695;Portions!$A:$A;Portions!$B:$B);FoodItems!$A:$A;FoodItems!$B:$B))</f>
        <v/>
      </c>
      <c r="G695">
        <f>IF(E695="";"";E695/100*XLOOKUP(XLOOKUP(C695;Portions!$A:$A;Portions!$B:$B);FoodItems!$A:$A;FoodItems!$C:$C))</f>
        <v/>
      </c>
      <c r="H695">
        <f>IF(E695="";"";E695/100*XLOOKUP(XLOOKUP(C695;Portions!$A:$A;Portions!$B:$B);FoodItems!$A:$A;FoodItems!$D:$D))</f>
        <v/>
      </c>
      <c r="I695">
        <f>IF(E695="";"";E695/100*XLOOKUP(XLOOKUP(C695;Portions!$A:$A;Portions!$B:$B);FoodItems!$A:$A;FoodItems!$E:$E))</f>
        <v/>
      </c>
    </row>
    <row r="696">
      <c r="E696">
        <f>IF(C696="";"";D696*XLOOKUP(C696;Portions!$A:$A;Portions!$D:$D))</f>
        <v/>
      </c>
      <c r="F696">
        <f>IF(E696="";"";E696/100*XLOOKUP(XLOOKUP(C696;Portions!$A:$A;Portions!$B:$B);FoodItems!$A:$A;FoodItems!$B:$B))</f>
        <v/>
      </c>
      <c r="G696">
        <f>IF(E696="";"";E696/100*XLOOKUP(XLOOKUP(C696;Portions!$A:$A;Portions!$B:$B);FoodItems!$A:$A;FoodItems!$C:$C))</f>
        <v/>
      </c>
      <c r="H696">
        <f>IF(E696="";"";E696/100*XLOOKUP(XLOOKUP(C696;Portions!$A:$A;Portions!$B:$B);FoodItems!$A:$A;FoodItems!$D:$D))</f>
        <v/>
      </c>
      <c r="I696">
        <f>IF(E696="";"";E696/100*XLOOKUP(XLOOKUP(C696;Portions!$A:$A;Portions!$B:$B);FoodItems!$A:$A;FoodItems!$E:$E))</f>
        <v/>
      </c>
    </row>
    <row r="697">
      <c r="E697">
        <f>IF(C697="";"";D697*XLOOKUP(C697;Portions!$A:$A;Portions!$D:$D))</f>
        <v/>
      </c>
      <c r="F697">
        <f>IF(E697="";"";E697/100*XLOOKUP(XLOOKUP(C697;Portions!$A:$A;Portions!$B:$B);FoodItems!$A:$A;FoodItems!$B:$B))</f>
        <v/>
      </c>
      <c r="G697">
        <f>IF(E697="";"";E697/100*XLOOKUP(XLOOKUP(C697;Portions!$A:$A;Portions!$B:$B);FoodItems!$A:$A;FoodItems!$C:$C))</f>
        <v/>
      </c>
      <c r="H697">
        <f>IF(E697="";"";E697/100*XLOOKUP(XLOOKUP(C697;Portions!$A:$A;Portions!$B:$B);FoodItems!$A:$A;FoodItems!$D:$D))</f>
        <v/>
      </c>
      <c r="I697">
        <f>IF(E697="";"";E697/100*XLOOKUP(XLOOKUP(C697;Portions!$A:$A;Portions!$B:$B);FoodItems!$A:$A;FoodItems!$E:$E))</f>
        <v/>
      </c>
    </row>
    <row r="698">
      <c r="E698">
        <f>IF(C698="";"";D698*XLOOKUP(C698;Portions!$A:$A;Portions!$D:$D))</f>
        <v/>
      </c>
      <c r="F698">
        <f>IF(E698="";"";E698/100*XLOOKUP(XLOOKUP(C698;Portions!$A:$A;Portions!$B:$B);FoodItems!$A:$A;FoodItems!$B:$B))</f>
        <v/>
      </c>
      <c r="G698">
        <f>IF(E698="";"";E698/100*XLOOKUP(XLOOKUP(C698;Portions!$A:$A;Portions!$B:$B);FoodItems!$A:$A;FoodItems!$C:$C))</f>
        <v/>
      </c>
      <c r="H698">
        <f>IF(E698="";"";E698/100*XLOOKUP(XLOOKUP(C698;Portions!$A:$A;Portions!$B:$B);FoodItems!$A:$A;FoodItems!$D:$D))</f>
        <v/>
      </c>
      <c r="I698">
        <f>IF(E698="";"";E698/100*XLOOKUP(XLOOKUP(C698;Portions!$A:$A;Portions!$B:$B);FoodItems!$A:$A;FoodItems!$E:$E))</f>
        <v/>
      </c>
    </row>
    <row r="699">
      <c r="E699">
        <f>IF(C699="";"";D699*XLOOKUP(C699;Portions!$A:$A;Portions!$D:$D))</f>
        <v/>
      </c>
      <c r="F699">
        <f>IF(E699="";"";E699/100*XLOOKUP(XLOOKUP(C699;Portions!$A:$A;Portions!$B:$B);FoodItems!$A:$A;FoodItems!$B:$B))</f>
        <v/>
      </c>
      <c r="G699">
        <f>IF(E699="";"";E699/100*XLOOKUP(XLOOKUP(C699;Portions!$A:$A;Portions!$B:$B);FoodItems!$A:$A;FoodItems!$C:$C))</f>
        <v/>
      </c>
      <c r="H699">
        <f>IF(E699="";"";E699/100*XLOOKUP(XLOOKUP(C699;Portions!$A:$A;Portions!$B:$B);FoodItems!$A:$A;FoodItems!$D:$D))</f>
        <v/>
      </c>
      <c r="I699">
        <f>IF(E699="";"";E699/100*XLOOKUP(XLOOKUP(C699;Portions!$A:$A;Portions!$B:$B);FoodItems!$A:$A;FoodItems!$E:$E))</f>
        <v/>
      </c>
    </row>
    <row r="700">
      <c r="E700">
        <f>IF(C700="";"";D700*XLOOKUP(C700;Portions!$A:$A;Portions!$D:$D))</f>
        <v/>
      </c>
      <c r="F700">
        <f>IF(E700="";"";E700/100*XLOOKUP(XLOOKUP(C700;Portions!$A:$A;Portions!$B:$B);FoodItems!$A:$A;FoodItems!$B:$B))</f>
        <v/>
      </c>
      <c r="G700">
        <f>IF(E700="";"";E700/100*XLOOKUP(XLOOKUP(C700;Portions!$A:$A;Portions!$B:$B);FoodItems!$A:$A;FoodItems!$C:$C))</f>
        <v/>
      </c>
      <c r="H700">
        <f>IF(E700="";"";E700/100*XLOOKUP(XLOOKUP(C700;Portions!$A:$A;Portions!$B:$B);FoodItems!$A:$A;FoodItems!$D:$D))</f>
        <v/>
      </c>
      <c r="I700">
        <f>IF(E700="";"";E700/100*XLOOKUP(XLOOKUP(C700;Portions!$A:$A;Portions!$B:$B);FoodItems!$A:$A;FoodItems!$E:$E))</f>
        <v/>
      </c>
    </row>
    <row r="701">
      <c r="E701">
        <f>IF(C701="";"";D701*XLOOKUP(C701;Portions!$A:$A;Portions!$D:$D))</f>
        <v/>
      </c>
      <c r="F701">
        <f>IF(E701="";"";E701/100*XLOOKUP(XLOOKUP(C701;Portions!$A:$A;Portions!$B:$B);FoodItems!$A:$A;FoodItems!$B:$B))</f>
        <v/>
      </c>
      <c r="G701">
        <f>IF(E701="";"";E701/100*XLOOKUP(XLOOKUP(C701;Portions!$A:$A;Portions!$B:$B);FoodItems!$A:$A;FoodItems!$C:$C))</f>
        <v/>
      </c>
      <c r="H701">
        <f>IF(E701="";"";E701/100*XLOOKUP(XLOOKUP(C701;Portions!$A:$A;Portions!$B:$B);FoodItems!$A:$A;FoodItems!$D:$D))</f>
        <v/>
      </c>
      <c r="I701">
        <f>IF(E701="";"";E701/100*XLOOKUP(XLOOKUP(C701;Portions!$A:$A;Portions!$B:$B);FoodItems!$A:$A;FoodItems!$E:$E))</f>
        <v/>
      </c>
    </row>
    <row r="702">
      <c r="E702">
        <f>IF(C702="";"";D702*XLOOKUP(C702;Portions!$A:$A;Portions!$D:$D))</f>
        <v/>
      </c>
      <c r="F702">
        <f>IF(E702="";"";E702/100*XLOOKUP(XLOOKUP(C702;Portions!$A:$A;Portions!$B:$B);FoodItems!$A:$A;FoodItems!$B:$B))</f>
        <v/>
      </c>
      <c r="G702">
        <f>IF(E702="";"";E702/100*XLOOKUP(XLOOKUP(C702;Portions!$A:$A;Portions!$B:$B);FoodItems!$A:$A;FoodItems!$C:$C))</f>
        <v/>
      </c>
      <c r="H702">
        <f>IF(E702="";"";E702/100*XLOOKUP(XLOOKUP(C702;Portions!$A:$A;Portions!$B:$B);FoodItems!$A:$A;FoodItems!$D:$D))</f>
        <v/>
      </c>
      <c r="I702">
        <f>IF(E702="";"";E702/100*XLOOKUP(XLOOKUP(C702;Portions!$A:$A;Portions!$B:$B);FoodItems!$A:$A;FoodItems!$E:$E))</f>
        <v/>
      </c>
    </row>
    <row r="703">
      <c r="E703">
        <f>IF(C703="";"";D703*XLOOKUP(C703;Portions!$A:$A;Portions!$D:$D))</f>
        <v/>
      </c>
      <c r="F703">
        <f>IF(E703="";"";E703/100*XLOOKUP(XLOOKUP(C703;Portions!$A:$A;Portions!$B:$B);FoodItems!$A:$A;FoodItems!$B:$B))</f>
        <v/>
      </c>
      <c r="G703">
        <f>IF(E703="";"";E703/100*XLOOKUP(XLOOKUP(C703;Portions!$A:$A;Portions!$B:$B);FoodItems!$A:$A;FoodItems!$C:$C))</f>
        <v/>
      </c>
      <c r="H703">
        <f>IF(E703="";"";E703/100*XLOOKUP(XLOOKUP(C703;Portions!$A:$A;Portions!$B:$B);FoodItems!$A:$A;FoodItems!$D:$D))</f>
        <v/>
      </c>
      <c r="I703">
        <f>IF(E703="";"";E703/100*XLOOKUP(XLOOKUP(C703;Portions!$A:$A;Portions!$B:$B);FoodItems!$A:$A;FoodItems!$E:$E))</f>
        <v/>
      </c>
    </row>
    <row r="704">
      <c r="E704">
        <f>IF(C704="";"";D704*XLOOKUP(C704;Portions!$A:$A;Portions!$D:$D))</f>
        <v/>
      </c>
      <c r="F704">
        <f>IF(E704="";"";E704/100*XLOOKUP(XLOOKUP(C704;Portions!$A:$A;Portions!$B:$B);FoodItems!$A:$A;FoodItems!$B:$B))</f>
        <v/>
      </c>
      <c r="G704">
        <f>IF(E704="";"";E704/100*XLOOKUP(XLOOKUP(C704;Portions!$A:$A;Portions!$B:$B);FoodItems!$A:$A;FoodItems!$C:$C))</f>
        <v/>
      </c>
      <c r="H704">
        <f>IF(E704="";"";E704/100*XLOOKUP(XLOOKUP(C704;Portions!$A:$A;Portions!$B:$B);FoodItems!$A:$A;FoodItems!$D:$D))</f>
        <v/>
      </c>
      <c r="I704">
        <f>IF(E704="";"";E704/100*XLOOKUP(XLOOKUP(C704;Portions!$A:$A;Portions!$B:$B);FoodItems!$A:$A;FoodItems!$E:$E))</f>
        <v/>
      </c>
    </row>
    <row r="705">
      <c r="E705">
        <f>IF(C705="";"";D705*XLOOKUP(C705;Portions!$A:$A;Portions!$D:$D))</f>
        <v/>
      </c>
      <c r="F705">
        <f>IF(E705="";"";E705/100*XLOOKUP(XLOOKUP(C705;Portions!$A:$A;Portions!$B:$B);FoodItems!$A:$A;FoodItems!$B:$B))</f>
        <v/>
      </c>
      <c r="G705">
        <f>IF(E705="";"";E705/100*XLOOKUP(XLOOKUP(C705;Portions!$A:$A;Portions!$B:$B);FoodItems!$A:$A;FoodItems!$C:$C))</f>
        <v/>
      </c>
      <c r="H705">
        <f>IF(E705="";"";E705/100*XLOOKUP(XLOOKUP(C705;Portions!$A:$A;Portions!$B:$B);FoodItems!$A:$A;FoodItems!$D:$D))</f>
        <v/>
      </c>
      <c r="I705">
        <f>IF(E705="";"";E705/100*XLOOKUP(XLOOKUP(C705;Portions!$A:$A;Portions!$B:$B);FoodItems!$A:$A;FoodItems!$E:$E))</f>
        <v/>
      </c>
    </row>
    <row r="706">
      <c r="E706">
        <f>IF(C706="";"";D706*XLOOKUP(C706;Portions!$A:$A;Portions!$D:$D))</f>
        <v/>
      </c>
      <c r="F706">
        <f>IF(E706="";"";E706/100*XLOOKUP(XLOOKUP(C706;Portions!$A:$A;Portions!$B:$B);FoodItems!$A:$A;FoodItems!$B:$B))</f>
        <v/>
      </c>
      <c r="G706">
        <f>IF(E706="";"";E706/100*XLOOKUP(XLOOKUP(C706;Portions!$A:$A;Portions!$B:$B);FoodItems!$A:$A;FoodItems!$C:$C))</f>
        <v/>
      </c>
      <c r="H706">
        <f>IF(E706="";"";E706/100*XLOOKUP(XLOOKUP(C706;Portions!$A:$A;Portions!$B:$B);FoodItems!$A:$A;FoodItems!$D:$D))</f>
        <v/>
      </c>
      <c r="I706">
        <f>IF(E706="";"";E706/100*XLOOKUP(XLOOKUP(C706;Portions!$A:$A;Portions!$B:$B);FoodItems!$A:$A;FoodItems!$E:$E))</f>
        <v/>
      </c>
    </row>
    <row r="707">
      <c r="E707">
        <f>IF(C707="";"";D707*XLOOKUP(C707;Portions!$A:$A;Portions!$D:$D))</f>
        <v/>
      </c>
      <c r="F707">
        <f>IF(E707="";"";E707/100*XLOOKUP(XLOOKUP(C707;Portions!$A:$A;Portions!$B:$B);FoodItems!$A:$A;FoodItems!$B:$B))</f>
        <v/>
      </c>
      <c r="G707">
        <f>IF(E707="";"";E707/100*XLOOKUP(XLOOKUP(C707;Portions!$A:$A;Portions!$B:$B);FoodItems!$A:$A;FoodItems!$C:$C))</f>
        <v/>
      </c>
      <c r="H707">
        <f>IF(E707="";"";E707/100*XLOOKUP(XLOOKUP(C707;Portions!$A:$A;Portions!$B:$B);FoodItems!$A:$A;FoodItems!$D:$D))</f>
        <v/>
      </c>
      <c r="I707">
        <f>IF(E707="";"";E707/100*XLOOKUP(XLOOKUP(C707;Portions!$A:$A;Portions!$B:$B);FoodItems!$A:$A;FoodItems!$E:$E))</f>
        <v/>
      </c>
    </row>
    <row r="708">
      <c r="E708">
        <f>IF(C708="";"";D708*XLOOKUP(C708;Portions!$A:$A;Portions!$D:$D))</f>
        <v/>
      </c>
      <c r="F708">
        <f>IF(E708="";"";E708/100*XLOOKUP(XLOOKUP(C708;Portions!$A:$A;Portions!$B:$B);FoodItems!$A:$A;FoodItems!$B:$B))</f>
        <v/>
      </c>
      <c r="G708">
        <f>IF(E708="";"";E708/100*XLOOKUP(XLOOKUP(C708;Portions!$A:$A;Portions!$B:$B);FoodItems!$A:$A;FoodItems!$C:$C))</f>
        <v/>
      </c>
      <c r="H708">
        <f>IF(E708="";"";E708/100*XLOOKUP(XLOOKUP(C708;Portions!$A:$A;Portions!$B:$B);FoodItems!$A:$A;FoodItems!$D:$D))</f>
        <v/>
      </c>
      <c r="I708">
        <f>IF(E708="";"";E708/100*XLOOKUP(XLOOKUP(C708;Portions!$A:$A;Portions!$B:$B);FoodItems!$A:$A;FoodItems!$E:$E))</f>
        <v/>
      </c>
    </row>
    <row r="709">
      <c r="E709">
        <f>IF(C709="";"";D709*XLOOKUP(C709;Portions!$A:$A;Portions!$D:$D))</f>
        <v/>
      </c>
      <c r="F709">
        <f>IF(E709="";"";E709/100*XLOOKUP(XLOOKUP(C709;Portions!$A:$A;Portions!$B:$B);FoodItems!$A:$A;FoodItems!$B:$B))</f>
        <v/>
      </c>
      <c r="G709">
        <f>IF(E709="";"";E709/100*XLOOKUP(XLOOKUP(C709;Portions!$A:$A;Portions!$B:$B);FoodItems!$A:$A;FoodItems!$C:$C))</f>
        <v/>
      </c>
      <c r="H709">
        <f>IF(E709="";"";E709/100*XLOOKUP(XLOOKUP(C709;Portions!$A:$A;Portions!$B:$B);FoodItems!$A:$A;FoodItems!$D:$D))</f>
        <v/>
      </c>
      <c r="I709">
        <f>IF(E709="";"";E709/100*XLOOKUP(XLOOKUP(C709;Portions!$A:$A;Portions!$B:$B);FoodItems!$A:$A;FoodItems!$E:$E))</f>
        <v/>
      </c>
    </row>
    <row r="710">
      <c r="E710">
        <f>IF(C710="";"";D710*XLOOKUP(C710;Portions!$A:$A;Portions!$D:$D))</f>
        <v/>
      </c>
      <c r="F710">
        <f>IF(E710="";"";E710/100*XLOOKUP(XLOOKUP(C710;Portions!$A:$A;Portions!$B:$B);FoodItems!$A:$A;FoodItems!$B:$B))</f>
        <v/>
      </c>
      <c r="G710">
        <f>IF(E710="";"";E710/100*XLOOKUP(XLOOKUP(C710;Portions!$A:$A;Portions!$B:$B);FoodItems!$A:$A;FoodItems!$C:$C))</f>
        <v/>
      </c>
      <c r="H710">
        <f>IF(E710="";"";E710/100*XLOOKUP(XLOOKUP(C710;Portions!$A:$A;Portions!$B:$B);FoodItems!$A:$A;FoodItems!$D:$D))</f>
        <v/>
      </c>
      <c r="I710">
        <f>IF(E710="";"";E710/100*XLOOKUP(XLOOKUP(C710;Portions!$A:$A;Portions!$B:$B);FoodItems!$A:$A;FoodItems!$E:$E))</f>
        <v/>
      </c>
    </row>
    <row r="711">
      <c r="E711">
        <f>IF(C711="";"";D711*XLOOKUP(C711;Portions!$A:$A;Portions!$D:$D))</f>
        <v/>
      </c>
      <c r="F711">
        <f>IF(E711="";"";E711/100*XLOOKUP(XLOOKUP(C711;Portions!$A:$A;Portions!$B:$B);FoodItems!$A:$A;FoodItems!$B:$B))</f>
        <v/>
      </c>
      <c r="G711">
        <f>IF(E711="";"";E711/100*XLOOKUP(XLOOKUP(C711;Portions!$A:$A;Portions!$B:$B);FoodItems!$A:$A;FoodItems!$C:$C))</f>
        <v/>
      </c>
      <c r="H711">
        <f>IF(E711="";"";E711/100*XLOOKUP(XLOOKUP(C711;Portions!$A:$A;Portions!$B:$B);FoodItems!$A:$A;FoodItems!$D:$D))</f>
        <v/>
      </c>
      <c r="I711">
        <f>IF(E711="";"";E711/100*XLOOKUP(XLOOKUP(C711;Portions!$A:$A;Portions!$B:$B);FoodItems!$A:$A;FoodItems!$E:$E))</f>
        <v/>
      </c>
    </row>
    <row r="712">
      <c r="E712">
        <f>IF(C712="";"";D712*XLOOKUP(C712;Portions!$A:$A;Portions!$D:$D))</f>
        <v/>
      </c>
      <c r="F712">
        <f>IF(E712="";"";E712/100*XLOOKUP(XLOOKUP(C712;Portions!$A:$A;Portions!$B:$B);FoodItems!$A:$A;FoodItems!$B:$B))</f>
        <v/>
      </c>
      <c r="G712">
        <f>IF(E712="";"";E712/100*XLOOKUP(XLOOKUP(C712;Portions!$A:$A;Portions!$B:$B);FoodItems!$A:$A;FoodItems!$C:$C))</f>
        <v/>
      </c>
      <c r="H712">
        <f>IF(E712="";"";E712/100*XLOOKUP(XLOOKUP(C712;Portions!$A:$A;Portions!$B:$B);FoodItems!$A:$A;FoodItems!$D:$D))</f>
        <v/>
      </c>
      <c r="I712">
        <f>IF(E712="";"";E712/100*XLOOKUP(XLOOKUP(C712;Portions!$A:$A;Portions!$B:$B);FoodItems!$A:$A;FoodItems!$E:$E))</f>
        <v/>
      </c>
    </row>
    <row r="713">
      <c r="E713">
        <f>IF(C713="";"";D713*XLOOKUP(C713;Portions!$A:$A;Portions!$D:$D))</f>
        <v/>
      </c>
      <c r="F713">
        <f>IF(E713="";"";E713/100*XLOOKUP(XLOOKUP(C713;Portions!$A:$A;Portions!$B:$B);FoodItems!$A:$A;FoodItems!$B:$B))</f>
        <v/>
      </c>
      <c r="G713">
        <f>IF(E713="";"";E713/100*XLOOKUP(XLOOKUP(C713;Portions!$A:$A;Portions!$B:$B);FoodItems!$A:$A;FoodItems!$C:$C))</f>
        <v/>
      </c>
      <c r="H713">
        <f>IF(E713="";"";E713/100*XLOOKUP(XLOOKUP(C713;Portions!$A:$A;Portions!$B:$B);FoodItems!$A:$A;FoodItems!$D:$D))</f>
        <v/>
      </c>
      <c r="I713">
        <f>IF(E713="";"";E713/100*XLOOKUP(XLOOKUP(C713;Portions!$A:$A;Portions!$B:$B);FoodItems!$A:$A;FoodItems!$E:$E))</f>
        <v/>
      </c>
    </row>
    <row r="714">
      <c r="E714">
        <f>IF(C714="";"";D714*XLOOKUP(C714;Portions!$A:$A;Portions!$D:$D))</f>
        <v/>
      </c>
      <c r="F714">
        <f>IF(E714="";"";E714/100*XLOOKUP(XLOOKUP(C714;Portions!$A:$A;Portions!$B:$B);FoodItems!$A:$A;FoodItems!$B:$B))</f>
        <v/>
      </c>
      <c r="G714">
        <f>IF(E714="";"";E714/100*XLOOKUP(XLOOKUP(C714;Portions!$A:$A;Portions!$B:$B);FoodItems!$A:$A;FoodItems!$C:$C))</f>
        <v/>
      </c>
      <c r="H714">
        <f>IF(E714="";"";E714/100*XLOOKUP(XLOOKUP(C714;Portions!$A:$A;Portions!$B:$B);FoodItems!$A:$A;FoodItems!$D:$D))</f>
        <v/>
      </c>
      <c r="I714">
        <f>IF(E714="";"";E714/100*XLOOKUP(XLOOKUP(C714;Portions!$A:$A;Portions!$B:$B);FoodItems!$A:$A;FoodItems!$E:$E))</f>
        <v/>
      </c>
    </row>
    <row r="715">
      <c r="E715">
        <f>IF(C715="";"";D715*XLOOKUP(C715;Portions!$A:$A;Portions!$D:$D))</f>
        <v/>
      </c>
      <c r="F715">
        <f>IF(E715="";"";E715/100*XLOOKUP(XLOOKUP(C715;Portions!$A:$A;Portions!$B:$B);FoodItems!$A:$A;FoodItems!$B:$B))</f>
        <v/>
      </c>
      <c r="G715">
        <f>IF(E715="";"";E715/100*XLOOKUP(XLOOKUP(C715;Portions!$A:$A;Portions!$B:$B);FoodItems!$A:$A;FoodItems!$C:$C))</f>
        <v/>
      </c>
      <c r="H715">
        <f>IF(E715="";"";E715/100*XLOOKUP(XLOOKUP(C715;Portions!$A:$A;Portions!$B:$B);FoodItems!$A:$A;FoodItems!$D:$D))</f>
        <v/>
      </c>
      <c r="I715">
        <f>IF(E715="";"";E715/100*XLOOKUP(XLOOKUP(C715;Portions!$A:$A;Portions!$B:$B);FoodItems!$A:$A;FoodItems!$E:$E))</f>
        <v/>
      </c>
    </row>
    <row r="716">
      <c r="E716">
        <f>IF(C716="";"";D716*XLOOKUP(C716;Portions!$A:$A;Portions!$D:$D))</f>
        <v/>
      </c>
      <c r="F716">
        <f>IF(E716="";"";E716/100*XLOOKUP(XLOOKUP(C716;Portions!$A:$A;Portions!$B:$B);FoodItems!$A:$A;FoodItems!$B:$B))</f>
        <v/>
      </c>
      <c r="G716">
        <f>IF(E716="";"";E716/100*XLOOKUP(XLOOKUP(C716;Portions!$A:$A;Portions!$B:$B);FoodItems!$A:$A;FoodItems!$C:$C))</f>
        <v/>
      </c>
      <c r="H716">
        <f>IF(E716="";"";E716/100*XLOOKUP(XLOOKUP(C716;Portions!$A:$A;Portions!$B:$B);FoodItems!$A:$A;FoodItems!$D:$D))</f>
        <v/>
      </c>
      <c r="I716">
        <f>IF(E716="";"";E716/100*XLOOKUP(XLOOKUP(C716;Portions!$A:$A;Portions!$B:$B);FoodItems!$A:$A;FoodItems!$E:$E))</f>
        <v/>
      </c>
    </row>
    <row r="717">
      <c r="E717">
        <f>IF(C717="";"";D717*XLOOKUP(C717;Portions!$A:$A;Portions!$D:$D))</f>
        <v/>
      </c>
      <c r="F717">
        <f>IF(E717="";"";E717/100*XLOOKUP(XLOOKUP(C717;Portions!$A:$A;Portions!$B:$B);FoodItems!$A:$A;FoodItems!$B:$B))</f>
        <v/>
      </c>
      <c r="G717">
        <f>IF(E717="";"";E717/100*XLOOKUP(XLOOKUP(C717;Portions!$A:$A;Portions!$B:$B);FoodItems!$A:$A;FoodItems!$C:$C))</f>
        <v/>
      </c>
      <c r="H717">
        <f>IF(E717="";"";E717/100*XLOOKUP(XLOOKUP(C717;Portions!$A:$A;Portions!$B:$B);FoodItems!$A:$A;FoodItems!$D:$D))</f>
        <v/>
      </c>
      <c r="I717">
        <f>IF(E717="";"";E717/100*XLOOKUP(XLOOKUP(C717;Portions!$A:$A;Portions!$B:$B);FoodItems!$A:$A;FoodItems!$E:$E))</f>
        <v/>
      </c>
    </row>
    <row r="718">
      <c r="E718">
        <f>IF(C718="";"";D718*XLOOKUP(C718;Portions!$A:$A;Portions!$D:$D))</f>
        <v/>
      </c>
      <c r="F718">
        <f>IF(E718="";"";E718/100*XLOOKUP(XLOOKUP(C718;Portions!$A:$A;Portions!$B:$B);FoodItems!$A:$A;FoodItems!$B:$B))</f>
        <v/>
      </c>
      <c r="G718">
        <f>IF(E718="";"";E718/100*XLOOKUP(XLOOKUP(C718;Portions!$A:$A;Portions!$B:$B);FoodItems!$A:$A;FoodItems!$C:$C))</f>
        <v/>
      </c>
      <c r="H718">
        <f>IF(E718="";"";E718/100*XLOOKUP(XLOOKUP(C718;Portions!$A:$A;Portions!$B:$B);FoodItems!$A:$A;FoodItems!$D:$D))</f>
        <v/>
      </c>
      <c r="I718">
        <f>IF(E718="";"";E718/100*XLOOKUP(XLOOKUP(C718;Portions!$A:$A;Portions!$B:$B);FoodItems!$A:$A;FoodItems!$E:$E))</f>
        <v/>
      </c>
    </row>
    <row r="719">
      <c r="E719">
        <f>IF(C719="";"";D719*XLOOKUP(C719;Portions!$A:$A;Portions!$D:$D))</f>
        <v/>
      </c>
      <c r="F719">
        <f>IF(E719="";"";E719/100*XLOOKUP(XLOOKUP(C719;Portions!$A:$A;Portions!$B:$B);FoodItems!$A:$A;FoodItems!$B:$B))</f>
        <v/>
      </c>
      <c r="G719">
        <f>IF(E719="";"";E719/100*XLOOKUP(XLOOKUP(C719;Portions!$A:$A;Portions!$B:$B);FoodItems!$A:$A;FoodItems!$C:$C))</f>
        <v/>
      </c>
      <c r="H719">
        <f>IF(E719="";"";E719/100*XLOOKUP(XLOOKUP(C719;Portions!$A:$A;Portions!$B:$B);FoodItems!$A:$A;FoodItems!$D:$D))</f>
        <v/>
      </c>
      <c r="I719">
        <f>IF(E719="";"";E719/100*XLOOKUP(XLOOKUP(C719;Portions!$A:$A;Portions!$B:$B);FoodItems!$A:$A;FoodItems!$E:$E))</f>
        <v/>
      </c>
    </row>
    <row r="720">
      <c r="E720">
        <f>IF(C720="";"";D720*XLOOKUP(C720;Portions!$A:$A;Portions!$D:$D))</f>
        <v/>
      </c>
      <c r="F720">
        <f>IF(E720="";"";E720/100*XLOOKUP(XLOOKUP(C720;Portions!$A:$A;Portions!$B:$B);FoodItems!$A:$A;FoodItems!$B:$B))</f>
        <v/>
      </c>
      <c r="G720">
        <f>IF(E720="";"";E720/100*XLOOKUP(XLOOKUP(C720;Portions!$A:$A;Portions!$B:$B);FoodItems!$A:$A;FoodItems!$C:$C))</f>
        <v/>
      </c>
      <c r="H720">
        <f>IF(E720="";"";E720/100*XLOOKUP(XLOOKUP(C720;Portions!$A:$A;Portions!$B:$B);FoodItems!$A:$A;FoodItems!$D:$D))</f>
        <v/>
      </c>
      <c r="I720">
        <f>IF(E720="";"";E720/100*XLOOKUP(XLOOKUP(C720;Portions!$A:$A;Portions!$B:$B);FoodItems!$A:$A;FoodItems!$E:$E))</f>
        <v/>
      </c>
    </row>
    <row r="721">
      <c r="E721">
        <f>IF(C721="";"";D721*XLOOKUP(C721;Portions!$A:$A;Portions!$D:$D))</f>
        <v/>
      </c>
      <c r="F721">
        <f>IF(E721="";"";E721/100*XLOOKUP(XLOOKUP(C721;Portions!$A:$A;Portions!$B:$B);FoodItems!$A:$A;FoodItems!$B:$B))</f>
        <v/>
      </c>
      <c r="G721">
        <f>IF(E721="";"";E721/100*XLOOKUP(XLOOKUP(C721;Portions!$A:$A;Portions!$B:$B);FoodItems!$A:$A;FoodItems!$C:$C))</f>
        <v/>
      </c>
      <c r="H721">
        <f>IF(E721="";"";E721/100*XLOOKUP(XLOOKUP(C721;Portions!$A:$A;Portions!$B:$B);FoodItems!$A:$A;FoodItems!$D:$D))</f>
        <v/>
      </c>
      <c r="I721">
        <f>IF(E721="";"";E721/100*XLOOKUP(XLOOKUP(C721;Portions!$A:$A;Portions!$B:$B);FoodItems!$A:$A;FoodItems!$E:$E))</f>
        <v/>
      </c>
    </row>
    <row r="722">
      <c r="E722">
        <f>IF(C722="";"";D722*XLOOKUP(C722;Portions!$A:$A;Portions!$D:$D))</f>
        <v/>
      </c>
      <c r="F722">
        <f>IF(E722="";"";E722/100*XLOOKUP(XLOOKUP(C722;Portions!$A:$A;Portions!$B:$B);FoodItems!$A:$A;FoodItems!$B:$B))</f>
        <v/>
      </c>
      <c r="G722">
        <f>IF(E722="";"";E722/100*XLOOKUP(XLOOKUP(C722;Portions!$A:$A;Portions!$B:$B);FoodItems!$A:$A;FoodItems!$C:$C))</f>
        <v/>
      </c>
      <c r="H722">
        <f>IF(E722="";"";E722/100*XLOOKUP(XLOOKUP(C722;Portions!$A:$A;Portions!$B:$B);FoodItems!$A:$A;FoodItems!$D:$D))</f>
        <v/>
      </c>
      <c r="I722">
        <f>IF(E722="";"";E722/100*XLOOKUP(XLOOKUP(C722;Portions!$A:$A;Portions!$B:$B);FoodItems!$A:$A;FoodItems!$E:$E))</f>
        <v/>
      </c>
    </row>
    <row r="723">
      <c r="E723">
        <f>IF(C723="";"";D723*XLOOKUP(C723;Portions!$A:$A;Portions!$D:$D))</f>
        <v/>
      </c>
      <c r="F723">
        <f>IF(E723="";"";E723/100*XLOOKUP(XLOOKUP(C723;Portions!$A:$A;Portions!$B:$B);FoodItems!$A:$A;FoodItems!$B:$B))</f>
        <v/>
      </c>
      <c r="G723">
        <f>IF(E723="";"";E723/100*XLOOKUP(XLOOKUP(C723;Portions!$A:$A;Portions!$B:$B);FoodItems!$A:$A;FoodItems!$C:$C))</f>
        <v/>
      </c>
      <c r="H723">
        <f>IF(E723="";"";E723/100*XLOOKUP(XLOOKUP(C723;Portions!$A:$A;Portions!$B:$B);FoodItems!$A:$A;FoodItems!$D:$D))</f>
        <v/>
      </c>
      <c r="I723">
        <f>IF(E723="";"";E723/100*XLOOKUP(XLOOKUP(C723;Portions!$A:$A;Portions!$B:$B);FoodItems!$A:$A;FoodItems!$E:$E))</f>
        <v/>
      </c>
    </row>
    <row r="724">
      <c r="E724">
        <f>IF(C724="";"";D724*XLOOKUP(C724;Portions!$A:$A;Portions!$D:$D))</f>
        <v/>
      </c>
      <c r="F724">
        <f>IF(E724="";"";E724/100*XLOOKUP(XLOOKUP(C724;Portions!$A:$A;Portions!$B:$B);FoodItems!$A:$A;FoodItems!$B:$B))</f>
        <v/>
      </c>
      <c r="G724">
        <f>IF(E724="";"";E724/100*XLOOKUP(XLOOKUP(C724;Portions!$A:$A;Portions!$B:$B);FoodItems!$A:$A;FoodItems!$C:$C))</f>
        <v/>
      </c>
      <c r="H724">
        <f>IF(E724="";"";E724/100*XLOOKUP(XLOOKUP(C724;Portions!$A:$A;Portions!$B:$B);FoodItems!$A:$A;FoodItems!$D:$D))</f>
        <v/>
      </c>
      <c r="I724">
        <f>IF(E724="";"";E724/100*XLOOKUP(XLOOKUP(C724;Portions!$A:$A;Portions!$B:$B);FoodItems!$A:$A;FoodItems!$E:$E))</f>
        <v/>
      </c>
    </row>
    <row r="725">
      <c r="E725">
        <f>IF(C725="";"";D725*XLOOKUP(C725;Portions!$A:$A;Portions!$D:$D))</f>
        <v/>
      </c>
      <c r="F725">
        <f>IF(E725="";"";E725/100*XLOOKUP(XLOOKUP(C725;Portions!$A:$A;Portions!$B:$B);FoodItems!$A:$A;FoodItems!$B:$B))</f>
        <v/>
      </c>
      <c r="G725">
        <f>IF(E725="";"";E725/100*XLOOKUP(XLOOKUP(C725;Portions!$A:$A;Portions!$B:$B);FoodItems!$A:$A;FoodItems!$C:$C))</f>
        <v/>
      </c>
      <c r="H725">
        <f>IF(E725="";"";E725/100*XLOOKUP(XLOOKUP(C725;Portions!$A:$A;Portions!$B:$B);FoodItems!$A:$A;FoodItems!$D:$D))</f>
        <v/>
      </c>
      <c r="I725">
        <f>IF(E725="";"";E725/100*XLOOKUP(XLOOKUP(C725;Portions!$A:$A;Portions!$B:$B);FoodItems!$A:$A;FoodItems!$E:$E))</f>
        <v/>
      </c>
    </row>
    <row r="726">
      <c r="E726">
        <f>IF(C726="";"";D726*XLOOKUP(C726;Portions!$A:$A;Portions!$D:$D))</f>
        <v/>
      </c>
      <c r="F726">
        <f>IF(E726="";"";E726/100*XLOOKUP(XLOOKUP(C726;Portions!$A:$A;Portions!$B:$B);FoodItems!$A:$A;FoodItems!$B:$B))</f>
        <v/>
      </c>
      <c r="G726">
        <f>IF(E726="";"";E726/100*XLOOKUP(XLOOKUP(C726;Portions!$A:$A;Portions!$B:$B);FoodItems!$A:$A;FoodItems!$C:$C))</f>
        <v/>
      </c>
      <c r="H726">
        <f>IF(E726="";"";E726/100*XLOOKUP(XLOOKUP(C726;Portions!$A:$A;Portions!$B:$B);FoodItems!$A:$A;FoodItems!$D:$D))</f>
        <v/>
      </c>
      <c r="I726">
        <f>IF(E726="";"";E726/100*XLOOKUP(XLOOKUP(C726;Portions!$A:$A;Portions!$B:$B);FoodItems!$A:$A;FoodItems!$E:$E))</f>
        <v/>
      </c>
    </row>
    <row r="727">
      <c r="E727">
        <f>IF(C727="";"";D727*XLOOKUP(C727;Portions!$A:$A;Portions!$D:$D))</f>
        <v/>
      </c>
      <c r="F727">
        <f>IF(E727="";"";E727/100*XLOOKUP(XLOOKUP(C727;Portions!$A:$A;Portions!$B:$B);FoodItems!$A:$A;FoodItems!$B:$B))</f>
        <v/>
      </c>
      <c r="G727">
        <f>IF(E727="";"";E727/100*XLOOKUP(XLOOKUP(C727;Portions!$A:$A;Portions!$B:$B);FoodItems!$A:$A;FoodItems!$C:$C))</f>
        <v/>
      </c>
      <c r="H727">
        <f>IF(E727="";"";E727/100*XLOOKUP(XLOOKUP(C727;Portions!$A:$A;Portions!$B:$B);FoodItems!$A:$A;FoodItems!$D:$D))</f>
        <v/>
      </c>
      <c r="I727">
        <f>IF(E727="";"";E727/100*XLOOKUP(XLOOKUP(C727;Portions!$A:$A;Portions!$B:$B);FoodItems!$A:$A;FoodItems!$E:$E))</f>
        <v/>
      </c>
    </row>
    <row r="728">
      <c r="E728">
        <f>IF(C728="";"";D728*XLOOKUP(C728;Portions!$A:$A;Portions!$D:$D))</f>
        <v/>
      </c>
      <c r="F728">
        <f>IF(E728="";"";E728/100*XLOOKUP(XLOOKUP(C728;Portions!$A:$A;Portions!$B:$B);FoodItems!$A:$A;FoodItems!$B:$B))</f>
        <v/>
      </c>
      <c r="G728">
        <f>IF(E728="";"";E728/100*XLOOKUP(XLOOKUP(C728;Portions!$A:$A;Portions!$B:$B);FoodItems!$A:$A;FoodItems!$C:$C))</f>
        <v/>
      </c>
      <c r="H728">
        <f>IF(E728="";"";E728/100*XLOOKUP(XLOOKUP(C728;Portions!$A:$A;Portions!$B:$B);FoodItems!$A:$A;FoodItems!$D:$D))</f>
        <v/>
      </c>
      <c r="I728">
        <f>IF(E728="";"";E728/100*XLOOKUP(XLOOKUP(C728;Portions!$A:$A;Portions!$B:$B);FoodItems!$A:$A;FoodItems!$E:$E))</f>
        <v/>
      </c>
    </row>
    <row r="729">
      <c r="E729">
        <f>IF(C729="";"";D729*XLOOKUP(C729;Portions!$A:$A;Portions!$D:$D))</f>
        <v/>
      </c>
      <c r="F729">
        <f>IF(E729="";"";E729/100*XLOOKUP(XLOOKUP(C729;Portions!$A:$A;Portions!$B:$B);FoodItems!$A:$A;FoodItems!$B:$B))</f>
        <v/>
      </c>
      <c r="G729">
        <f>IF(E729="";"";E729/100*XLOOKUP(XLOOKUP(C729;Portions!$A:$A;Portions!$B:$B);FoodItems!$A:$A;FoodItems!$C:$C))</f>
        <v/>
      </c>
      <c r="H729">
        <f>IF(E729="";"";E729/100*XLOOKUP(XLOOKUP(C729;Portions!$A:$A;Portions!$B:$B);FoodItems!$A:$A;FoodItems!$D:$D))</f>
        <v/>
      </c>
      <c r="I729">
        <f>IF(E729="";"";E729/100*XLOOKUP(XLOOKUP(C729;Portions!$A:$A;Portions!$B:$B);FoodItems!$A:$A;FoodItems!$E:$E))</f>
        <v/>
      </c>
    </row>
    <row r="730">
      <c r="E730">
        <f>IF(C730="";"";D730*XLOOKUP(C730;Portions!$A:$A;Portions!$D:$D))</f>
        <v/>
      </c>
      <c r="F730">
        <f>IF(E730="";"";E730/100*XLOOKUP(XLOOKUP(C730;Portions!$A:$A;Portions!$B:$B);FoodItems!$A:$A;FoodItems!$B:$B))</f>
        <v/>
      </c>
      <c r="G730">
        <f>IF(E730="";"";E730/100*XLOOKUP(XLOOKUP(C730;Portions!$A:$A;Portions!$B:$B);FoodItems!$A:$A;FoodItems!$C:$C))</f>
        <v/>
      </c>
      <c r="H730">
        <f>IF(E730="";"";E730/100*XLOOKUP(XLOOKUP(C730;Portions!$A:$A;Portions!$B:$B);FoodItems!$A:$A;FoodItems!$D:$D))</f>
        <v/>
      </c>
      <c r="I730">
        <f>IF(E730="";"";E730/100*XLOOKUP(XLOOKUP(C730;Portions!$A:$A;Portions!$B:$B);FoodItems!$A:$A;FoodItems!$E:$E))</f>
        <v/>
      </c>
    </row>
    <row r="731">
      <c r="E731">
        <f>IF(C731="";"";D731*XLOOKUP(C731;Portions!$A:$A;Portions!$D:$D))</f>
        <v/>
      </c>
      <c r="F731">
        <f>IF(E731="";"";E731/100*XLOOKUP(XLOOKUP(C731;Portions!$A:$A;Portions!$B:$B);FoodItems!$A:$A;FoodItems!$B:$B))</f>
        <v/>
      </c>
      <c r="G731">
        <f>IF(E731="";"";E731/100*XLOOKUP(XLOOKUP(C731;Portions!$A:$A;Portions!$B:$B);FoodItems!$A:$A;FoodItems!$C:$C))</f>
        <v/>
      </c>
      <c r="H731">
        <f>IF(E731="";"";E731/100*XLOOKUP(XLOOKUP(C731;Portions!$A:$A;Portions!$B:$B);FoodItems!$A:$A;FoodItems!$D:$D))</f>
        <v/>
      </c>
      <c r="I731">
        <f>IF(E731="";"";E731/100*XLOOKUP(XLOOKUP(C731;Portions!$A:$A;Portions!$B:$B);FoodItems!$A:$A;FoodItems!$E:$E))</f>
        <v/>
      </c>
    </row>
    <row r="732">
      <c r="E732">
        <f>IF(C732="";"";D732*XLOOKUP(C732;Portions!$A:$A;Portions!$D:$D))</f>
        <v/>
      </c>
      <c r="F732">
        <f>IF(E732="";"";E732/100*XLOOKUP(XLOOKUP(C732;Portions!$A:$A;Portions!$B:$B);FoodItems!$A:$A;FoodItems!$B:$B))</f>
        <v/>
      </c>
      <c r="G732">
        <f>IF(E732="";"";E732/100*XLOOKUP(XLOOKUP(C732;Portions!$A:$A;Portions!$B:$B);FoodItems!$A:$A;FoodItems!$C:$C))</f>
        <v/>
      </c>
      <c r="H732">
        <f>IF(E732="";"";E732/100*XLOOKUP(XLOOKUP(C732;Portions!$A:$A;Portions!$B:$B);FoodItems!$A:$A;FoodItems!$D:$D))</f>
        <v/>
      </c>
      <c r="I732">
        <f>IF(E732="";"";E732/100*XLOOKUP(XLOOKUP(C732;Portions!$A:$A;Portions!$B:$B);FoodItems!$A:$A;FoodItems!$E:$E))</f>
        <v/>
      </c>
    </row>
    <row r="733">
      <c r="E733">
        <f>IF(C733="";"";D733*XLOOKUP(C733;Portions!$A:$A;Portions!$D:$D))</f>
        <v/>
      </c>
      <c r="F733">
        <f>IF(E733="";"";E733/100*XLOOKUP(XLOOKUP(C733;Portions!$A:$A;Portions!$B:$B);FoodItems!$A:$A;FoodItems!$B:$B))</f>
        <v/>
      </c>
      <c r="G733">
        <f>IF(E733="";"";E733/100*XLOOKUP(XLOOKUP(C733;Portions!$A:$A;Portions!$B:$B);FoodItems!$A:$A;FoodItems!$C:$C))</f>
        <v/>
      </c>
      <c r="H733">
        <f>IF(E733="";"";E733/100*XLOOKUP(XLOOKUP(C733;Portions!$A:$A;Portions!$B:$B);FoodItems!$A:$A;FoodItems!$D:$D))</f>
        <v/>
      </c>
      <c r="I733">
        <f>IF(E733="";"";E733/100*XLOOKUP(XLOOKUP(C733;Portions!$A:$A;Portions!$B:$B);FoodItems!$A:$A;FoodItems!$E:$E))</f>
        <v/>
      </c>
    </row>
    <row r="734">
      <c r="E734">
        <f>IF(C734="";"";D734*XLOOKUP(C734;Portions!$A:$A;Portions!$D:$D))</f>
        <v/>
      </c>
      <c r="F734">
        <f>IF(E734="";"";E734/100*XLOOKUP(XLOOKUP(C734;Portions!$A:$A;Portions!$B:$B);FoodItems!$A:$A;FoodItems!$B:$B))</f>
        <v/>
      </c>
      <c r="G734">
        <f>IF(E734="";"";E734/100*XLOOKUP(XLOOKUP(C734;Portions!$A:$A;Portions!$B:$B);FoodItems!$A:$A;FoodItems!$C:$C))</f>
        <v/>
      </c>
      <c r="H734">
        <f>IF(E734="";"";E734/100*XLOOKUP(XLOOKUP(C734;Portions!$A:$A;Portions!$B:$B);FoodItems!$A:$A;FoodItems!$D:$D))</f>
        <v/>
      </c>
      <c r="I734">
        <f>IF(E734="";"";E734/100*XLOOKUP(XLOOKUP(C734;Portions!$A:$A;Portions!$B:$B);FoodItems!$A:$A;FoodItems!$E:$E))</f>
        <v/>
      </c>
    </row>
    <row r="735">
      <c r="E735">
        <f>IF(C735="";"";D735*XLOOKUP(C735;Portions!$A:$A;Portions!$D:$D))</f>
        <v/>
      </c>
      <c r="F735">
        <f>IF(E735="";"";E735/100*XLOOKUP(XLOOKUP(C735;Portions!$A:$A;Portions!$B:$B);FoodItems!$A:$A;FoodItems!$B:$B))</f>
        <v/>
      </c>
      <c r="G735">
        <f>IF(E735="";"";E735/100*XLOOKUP(XLOOKUP(C735;Portions!$A:$A;Portions!$B:$B);FoodItems!$A:$A;FoodItems!$C:$C))</f>
        <v/>
      </c>
      <c r="H735">
        <f>IF(E735="";"";E735/100*XLOOKUP(XLOOKUP(C735;Portions!$A:$A;Portions!$B:$B);FoodItems!$A:$A;FoodItems!$D:$D))</f>
        <v/>
      </c>
      <c r="I735">
        <f>IF(E735="";"";E735/100*XLOOKUP(XLOOKUP(C735;Portions!$A:$A;Portions!$B:$B);FoodItems!$A:$A;FoodItems!$E:$E))</f>
        <v/>
      </c>
    </row>
    <row r="736">
      <c r="E736">
        <f>IF(C736="";"";D736*XLOOKUP(C736;Portions!$A:$A;Portions!$D:$D))</f>
        <v/>
      </c>
      <c r="F736">
        <f>IF(E736="";"";E736/100*XLOOKUP(XLOOKUP(C736;Portions!$A:$A;Portions!$B:$B);FoodItems!$A:$A;FoodItems!$B:$B))</f>
        <v/>
      </c>
      <c r="G736">
        <f>IF(E736="";"";E736/100*XLOOKUP(XLOOKUP(C736;Portions!$A:$A;Portions!$B:$B);FoodItems!$A:$A;FoodItems!$C:$C))</f>
        <v/>
      </c>
      <c r="H736">
        <f>IF(E736="";"";E736/100*XLOOKUP(XLOOKUP(C736;Portions!$A:$A;Portions!$B:$B);FoodItems!$A:$A;FoodItems!$D:$D))</f>
        <v/>
      </c>
      <c r="I736">
        <f>IF(E736="";"";E736/100*XLOOKUP(XLOOKUP(C736;Portions!$A:$A;Portions!$B:$B);FoodItems!$A:$A;FoodItems!$E:$E))</f>
        <v/>
      </c>
    </row>
    <row r="737">
      <c r="E737">
        <f>IF(C737="";"";D737*XLOOKUP(C737;Portions!$A:$A;Portions!$D:$D))</f>
        <v/>
      </c>
      <c r="F737">
        <f>IF(E737="";"";E737/100*XLOOKUP(XLOOKUP(C737;Portions!$A:$A;Portions!$B:$B);FoodItems!$A:$A;FoodItems!$B:$B))</f>
        <v/>
      </c>
      <c r="G737">
        <f>IF(E737="";"";E737/100*XLOOKUP(XLOOKUP(C737;Portions!$A:$A;Portions!$B:$B);FoodItems!$A:$A;FoodItems!$C:$C))</f>
        <v/>
      </c>
      <c r="H737">
        <f>IF(E737="";"";E737/100*XLOOKUP(XLOOKUP(C737;Portions!$A:$A;Portions!$B:$B);FoodItems!$A:$A;FoodItems!$D:$D))</f>
        <v/>
      </c>
      <c r="I737">
        <f>IF(E737="";"";E737/100*XLOOKUP(XLOOKUP(C737;Portions!$A:$A;Portions!$B:$B);FoodItems!$A:$A;FoodItems!$E:$E))</f>
        <v/>
      </c>
    </row>
    <row r="738">
      <c r="E738">
        <f>IF(C738="";"";D738*XLOOKUP(C738;Portions!$A:$A;Portions!$D:$D))</f>
        <v/>
      </c>
      <c r="F738">
        <f>IF(E738="";"";E738/100*XLOOKUP(XLOOKUP(C738;Portions!$A:$A;Portions!$B:$B);FoodItems!$A:$A;FoodItems!$B:$B))</f>
        <v/>
      </c>
      <c r="G738">
        <f>IF(E738="";"";E738/100*XLOOKUP(XLOOKUP(C738;Portions!$A:$A;Portions!$B:$B);FoodItems!$A:$A;FoodItems!$C:$C))</f>
        <v/>
      </c>
      <c r="H738">
        <f>IF(E738="";"";E738/100*XLOOKUP(XLOOKUP(C738;Portions!$A:$A;Portions!$B:$B);FoodItems!$A:$A;FoodItems!$D:$D))</f>
        <v/>
      </c>
      <c r="I738">
        <f>IF(E738="";"";E738/100*XLOOKUP(XLOOKUP(C738;Portions!$A:$A;Portions!$B:$B);FoodItems!$A:$A;FoodItems!$E:$E))</f>
        <v/>
      </c>
    </row>
    <row r="739">
      <c r="E739">
        <f>IF(C739="";"";D739*XLOOKUP(C739;Portions!$A:$A;Portions!$D:$D))</f>
        <v/>
      </c>
      <c r="F739">
        <f>IF(E739="";"";E739/100*XLOOKUP(XLOOKUP(C739;Portions!$A:$A;Portions!$B:$B);FoodItems!$A:$A;FoodItems!$B:$B))</f>
        <v/>
      </c>
      <c r="G739">
        <f>IF(E739="";"";E739/100*XLOOKUP(XLOOKUP(C739;Portions!$A:$A;Portions!$B:$B);FoodItems!$A:$A;FoodItems!$C:$C))</f>
        <v/>
      </c>
      <c r="H739">
        <f>IF(E739="";"";E739/100*XLOOKUP(XLOOKUP(C739;Portions!$A:$A;Portions!$B:$B);FoodItems!$A:$A;FoodItems!$D:$D))</f>
        <v/>
      </c>
      <c r="I739">
        <f>IF(E739="";"";E739/100*XLOOKUP(XLOOKUP(C739;Portions!$A:$A;Portions!$B:$B);FoodItems!$A:$A;FoodItems!$E:$E))</f>
        <v/>
      </c>
    </row>
    <row r="740">
      <c r="E740">
        <f>IF(C740="";"";D740*XLOOKUP(C740;Portions!$A:$A;Portions!$D:$D))</f>
        <v/>
      </c>
      <c r="F740">
        <f>IF(E740="";"";E740/100*XLOOKUP(XLOOKUP(C740;Portions!$A:$A;Portions!$B:$B);FoodItems!$A:$A;FoodItems!$B:$B))</f>
        <v/>
      </c>
      <c r="G740">
        <f>IF(E740="";"";E740/100*XLOOKUP(XLOOKUP(C740;Portions!$A:$A;Portions!$B:$B);FoodItems!$A:$A;FoodItems!$C:$C))</f>
        <v/>
      </c>
      <c r="H740">
        <f>IF(E740="";"";E740/100*XLOOKUP(XLOOKUP(C740;Portions!$A:$A;Portions!$B:$B);FoodItems!$A:$A;FoodItems!$D:$D))</f>
        <v/>
      </c>
      <c r="I740">
        <f>IF(E740="";"";E740/100*XLOOKUP(XLOOKUP(C740;Portions!$A:$A;Portions!$B:$B);FoodItems!$A:$A;FoodItems!$E:$E))</f>
        <v/>
      </c>
    </row>
    <row r="741">
      <c r="E741">
        <f>IF(C741="";"";D741*XLOOKUP(C741;Portions!$A:$A;Portions!$D:$D))</f>
        <v/>
      </c>
      <c r="F741">
        <f>IF(E741="";"";E741/100*XLOOKUP(XLOOKUP(C741;Portions!$A:$A;Portions!$B:$B);FoodItems!$A:$A;FoodItems!$B:$B))</f>
        <v/>
      </c>
      <c r="G741">
        <f>IF(E741="";"";E741/100*XLOOKUP(XLOOKUP(C741;Portions!$A:$A;Portions!$B:$B);FoodItems!$A:$A;FoodItems!$C:$C))</f>
        <v/>
      </c>
      <c r="H741">
        <f>IF(E741="";"";E741/100*XLOOKUP(XLOOKUP(C741;Portions!$A:$A;Portions!$B:$B);FoodItems!$A:$A;FoodItems!$D:$D))</f>
        <v/>
      </c>
      <c r="I741">
        <f>IF(E741="";"";E741/100*XLOOKUP(XLOOKUP(C741;Portions!$A:$A;Portions!$B:$B);FoodItems!$A:$A;FoodItems!$E:$E))</f>
        <v/>
      </c>
    </row>
    <row r="742">
      <c r="E742">
        <f>IF(C742="";"";D742*XLOOKUP(C742;Portions!$A:$A;Portions!$D:$D))</f>
        <v/>
      </c>
      <c r="F742">
        <f>IF(E742="";"";E742/100*XLOOKUP(XLOOKUP(C742;Portions!$A:$A;Portions!$B:$B);FoodItems!$A:$A;FoodItems!$B:$B))</f>
        <v/>
      </c>
      <c r="G742">
        <f>IF(E742="";"";E742/100*XLOOKUP(XLOOKUP(C742;Portions!$A:$A;Portions!$B:$B);FoodItems!$A:$A;FoodItems!$C:$C))</f>
        <v/>
      </c>
      <c r="H742">
        <f>IF(E742="";"";E742/100*XLOOKUP(XLOOKUP(C742;Portions!$A:$A;Portions!$B:$B);FoodItems!$A:$A;FoodItems!$D:$D))</f>
        <v/>
      </c>
      <c r="I742">
        <f>IF(E742="";"";E742/100*XLOOKUP(XLOOKUP(C742;Portions!$A:$A;Portions!$B:$B);FoodItems!$A:$A;FoodItems!$E:$E))</f>
        <v/>
      </c>
    </row>
    <row r="743">
      <c r="E743">
        <f>IF(C743="";"";D743*XLOOKUP(C743;Portions!$A:$A;Portions!$D:$D))</f>
        <v/>
      </c>
      <c r="F743">
        <f>IF(E743="";"";E743/100*XLOOKUP(XLOOKUP(C743;Portions!$A:$A;Portions!$B:$B);FoodItems!$A:$A;FoodItems!$B:$B))</f>
        <v/>
      </c>
      <c r="G743">
        <f>IF(E743="";"";E743/100*XLOOKUP(XLOOKUP(C743;Portions!$A:$A;Portions!$B:$B);FoodItems!$A:$A;FoodItems!$C:$C))</f>
        <v/>
      </c>
      <c r="H743">
        <f>IF(E743="";"";E743/100*XLOOKUP(XLOOKUP(C743;Portions!$A:$A;Portions!$B:$B);FoodItems!$A:$A;FoodItems!$D:$D))</f>
        <v/>
      </c>
      <c r="I743">
        <f>IF(E743="";"";E743/100*XLOOKUP(XLOOKUP(C743;Portions!$A:$A;Portions!$B:$B);FoodItems!$A:$A;FoodItems!$E:$E))</f>
        <v/>
      </c>
    </row>
    <row r="744">
      <c r="E744">
        <f>IF(C744="";"";D744*XLOOKUP(C744;Portions!$A:$A;Portions!$D:$D))</f>
        <v/>
      </c>
      <c r="F744">
        <f>IF(E744="";"";E744/100*XLOOKUP(XLOOKUP(C744;Portions!$A:$A;Portions!$B:$B);FoodItems!$A:$A;FoodItems!$B:$B))</f>
        <v/>
      </c>
      <c r="G744">
        <f>IF(E744="";"";E744/100*XLOOKUP(XLOOKUP(C744;Portions!$A:$A;Portions!$B:$B);FoodItems!$A:$A;FoodItems!$C:$C))</f>
        <v/>
      </c>
      <c r="H744">
        <f>IF(E744="";"";E744/100*XLOOKUP(XLOOKUP(C744;Portions!$A:$A;Portions!$B:$B);FoodItems!$A:$A;FoodItems!$D:$D))</f>
        <v/>
      </c>
      <c r="I744">
        <f>IF(E744="";"";E744/100*XLOOKUP(XLOOKUP(C744;Portions!$A:$A;Portions!$B:$B);FoodItems!$A:$A;FoodItems!$E:$E))</f>
        <v/>
      </c>
    </row>
    <row r="745">
      <c r="E745">
        <f>IF(C745="";"";D745*XLOOKUP(C745;Portions!$A:$A;Portions!$D:$D))</f>
        <v/>
      </c>
      <c r="F745">
        <f>IF(E745="";"";E745/100*XLOOKUP(XLOOKUP(C745;Portions!$A:$A;Portions!$B:$B);FoodItems!$A:$A;FoodItems!$B:$B))</f>
        <v/>
      </c>
      <c r="G745">
        <f>IF(E745="";"";E745/100*XLOOKUP(XLOOKUP(C745;Portions!$A:$A;Portions!$B:$B);FoodItems!$A:$A;FoodItems!$C:$C))</f>
        <v/>
      </c>
      <c r="H745">
        <f>IF(E745="";"";E745/100*XLOOKUP(XLOOKUP(C745;Portions!$A:$A;Portions!$B:$B);FoodItems!$A:$A;FoodItems!$D:$D))</f>
        <v/>
      </c>
      <c r="I745">
        <f>IF(E745="";"";E745/100*XLOOKUP(XLOOKUP(C745;Portions!$A:$A;Portions!$B:$B);FoodItems!$A:$A;FoodItems!$E:$E))</f>
        <v/>
      </c>
    </row>
    <row r="746">
      <c r="E746">
        <f>IF(C746="";"";D746*XLOOKUP(C746;Portions!$A:$A;Portions!$D:$D))</f>
        <v/>
      </c>
      <c r="F746">
        <f>IF(E746="";"";E746/100*XLOOKUP(XLOOKUP(C746;Portions!$A:$A;Portions!$B:$B);FoodItems!$A:$A;FoodItems!$B:$B))</f>
        <v/>
      </c>
      <c r="G746">
        <f>IF(E746="";"";E746/100*XLOOKUP(XLOOKUP(C746;Portions!$A:$A;Portions!$B:$B);FoodItems!$A:$A;FoodItems!$C:$C))</f>
        <v/>
      </c>
      <c r="H746">
        <f>IF(E746="";"";E746/100*XLOOKUP(XLOOKUP(C746;Portions!$A:$A;Portions!$B:$B);FoodItems!$A:$A;FoodItems!$D:$D))</f>
        <v/>
      </c>
      <c r="I746">
        <f>IF(E746="";"";E746/100*XLOOKUP(XLOOKUP(C746;Portions!$A:$A;Portions!$B:$B);FoodItems!$A:$A;FoodItems!$E:$E))</f>
        <v/>
      </c>
    </row>
    <row r="747">
      <c r="E747">
        <f>IF(C747="";"";D747*XLOOKUP(C747;Portions!$A:$A;Portions!$D:$D))</f>
        <v/>
      </c>
      <c r="F747">
        <f>IF(E747="";"";E747/100*XLOOKUP(XLOOKUP(C747;Portions!$A:$A;Portions!$B:$B);FoodItems!$A:$A;FoodItems!$B:$B))</f>
        <v/>
      </c>
      <c r="G747">
        <f>IF(E747="";"";E747/100*XLOOKUP(XLOOKUP(C747;Portions!$A:$A;Portions!$B:$B);FoodItems!$A:$A;FoodItems!$C:$C))</f>
        <v/>
      </c>
      <c r="H747">
        <f>IF(E747="";"";E747/100*XLOOKUP(XLOOKUP(C747;Portions!$A:$A;Portions!$B:$B);FoodItems!$A:$A;FoodItems!$D:$D))</f>
        <v/>
      </c>
      <c r="I747">
        <f>IF(E747="";"";E747/100*XLOOKUP(XLOOKUP(C747;Portions!$A:$A;Portions!$B:$B);FoodItems!$A:$A;FoodItems!$E:$E))</f>
        <v/>
      </c>
    </row>
    <row r="748">
      <c r="E748">
        <f>IF(C748="";"";D748*XLOOKUP(C748;Portions!$A:$A;Portions!$D:$D))</f>
        <v/>
      </c>
      <c r="F748">
        <f>IF(E748="";"";E748/100*XLOOKUP(XLOOKUP(C748;Portions!$A:$A;Portions!$B:$B);FoodItems!$A:$A;FoodItems!$B:$B))</f>
        <v/>
      </c>
      <c r="G748">
        <f>IF(E748="";"";E748/100*XLOOKUP(XLOOKUP(C748;Portions!$A:$A;Portions!$B:$B);FoodItems!$A:$A;FoodItems!$C:$C))</f>
        <v/>
      </c>
      <c r="H748">
        <f>IF(E748="";"";E748/100*XLOOKUP(XLOOKUP(C748;Portions!$A:$A;Portions!$B:$B);FoodItems!$A:$A;FoodItems!$D:$D))</f>
        <v/>
      </c>
      <c r="I748">
        <f>IF(E748="";"";E748/100*XLOOKUP(XLOOKUP(C748;Portions!$A:$A;Portions!$B:$B);FoodItems!$A:$A;FoodItems!$E:$E))</f>
        <v/>
      </c>
    </row>
    <row r="749">
      <c r="E749">
        <f>IF(C749="";"";D749*XLOOKUP(C749;Portions!$A:$A;Portions!$D:$D))</f>
        <v/>
      </c>
      <c r="F749">
        <f>IF(E749="";"";E749/100*XLOOKUP(XLOOKUP(C749;Portions!$A:$A;Portions!$B:$B);FoodItems!$A:$A;FoodItems!$B:$B))</f>
        <v/>
      </c>
      <c r="G749">
        <f>IF(E749="";"";E749/100*XLOOKUP(XLOOKUP(C749;Portions!$A:$A;Portions!$B:$B);FoodItems!$A:$A;FoodItems!$C:$C))</f>
        <v/>
      </c>
      <c r="H749">
        <f>IF(E749="";"";E749/100*XLOOKUP(XLOOKUP(C749;Portions!$A:$A;Portions!$B:$B);FoodItems!$A:$A;FoodItems!$D:$D))</f>
        <v/>
      </c>
      <c r="I749">
        <f>IF(E749="";"";E749/100*XLOOKUP(XLOOKUP(C749;Portions!$A:$A;Portions!$B:$B);FoodItems!$A:$A;FoodItems!$E:$E))</f>
        <v/>
      </c>
    </row>
    <row r="750">
      <c r="E750">
        <f>IF(C750="";"";D750*XLOOKUP(C750;Portions!$A:$A;Portions!$D:$D))</f>
        <v/>
      </c>
      <c r="F750">
        <f>IF(E750="";"";E750/100*XLOOKUP(XLOOKUP(C750;Portions!$A:$A;Portions!$B:$B);FoodItems!$A:$A;FoodItems!$B:$B))</f>
        <v/>
      </c>
      <c r="G750">
        <f>IF(E750="";"";E750/100*XLOOKUP(XLOOKUP(C750;Portions!$A:$A;Portions!$B:$B);FoodItems!$A:$A;FoodItems!$C:$C))</f>
        <v/>
      </c>
      <c r="H750">
        <f>IF(E750="";"";E750/100*XLOOKUP(XLOOKUP(C750;Portions!$A:$A;Portions!$B:$B);FoodItems!$A:$A;FoodItems!$D:$D))</f>
        <v/>
      </c>
      <c r="I750">
        <f>IF(E750="";"";E750/100*XLOOKUP(XLOOKUP(C750;Portions!$A:$A;Portions!$B:$B);FoodItems!$A:$A;FoodItems!$E:$E))</f>
        <v/>
      </c>
    </row>
    <row r="751">
      <c r="E751">
        <f>IF(C751="";"";D751*XLOOKUP(C751;Portions!$A:$A;Portions!$D:$D))</f>
        <v/>
      </c>
      <c r="F751">
        <f>IF(E751="";"";E751/100*XLOOKUP(XLOOKUP(C751;Portions!$A:$A;Portions!$B:$B);FoodItems!$A:$A;FoodItems!$B:$B))</f>
        <v/>
      </c>
      <c r="G751">
        <f>IF(E751="";"";E751/100*XLOOKUP(XLOOKUP(C751;Portions!$A:$A;Portions!$B:$B);FoodItems!$A:$A;FoodItems!$C:$C))</f>
        <v/>
      </c>
      <c r="H751">
        <f>IF(E751="";"";E751/100*XLOOKUP(XLOOKUP(C751;Portions!$A:$A;Portions!$B:$B);FoodItems!$A:$A;FoodItems!$D:$D))</f>
        <v/>
      </c>
      <c r="I751">
        <f>IF(E751="";"";E751/100*XLOOKUP(XLOOKUP(C751;Portions!$A:$A;Portions!$B:$B);FoodItems!$A:$A;FoodItems!$E:$E))</f>
        <v/>
      </c>
    </row>
    <row r="752">
      <c r="E752">
        <f>IF(C752="";"";D752*XLOOKUP(C752;Portions!$A:$A;Portions!$D:$D))</f>
        <v/>
      </c>
      <c r="F752">
        <f>IF(E752="";"";E752/100*XLOOKUP(XLOOKUP(C752;Portions!$A:$A;Portions!$B:$B);FoodItems!$A:$A;FoodItems!$B:$B))</f>
        <v/>
      </c>
      <c r="G752">
        <f>IF(E752="";"";E752/100*XLOOKUP(XLOOKUP(C752;Portions!$A:$A;Portions!$B:$B);FoodItems!$A:$A;FoodItems!$C:$C))</f>
        <v/>
      </c>
      <c r="H752">
        <f>IF(E752="";"";E752/100*XLOOKUP(XLOOKUP(C752;Portions!$A:$A;Portions!$B:$B);FoodItems!$A:$A;FoodItems!$D:$D))</f>
        <v/>
      </c>
      <c r="I752">
        <f>IF(E752="";"";E752/100*XLOOKUP(XLOOKUP(C752;Portions!$A:$A;Portions!$B:$B);FoodItems!$A:$A;FoodItems!$E:$E))</f>
        <v/>
      </c>
    </row>
    <row r="753">
      <c r="E753">
        <f>IF(C753="";"";D753*XLOOKUP(C753;Portions!$A:$A;Portions!$D:$D))</f>
        <v/>
      </c>
      <c r="F753">
        <f>IF(E753="";"";E753/100*XLOOKUP(XLOOKUP(C753;Portions!$A:$A;Portions!$B:$B);FoodItems!$A:$A;FoodItems!$B:$B))</f>
        <v/>
      </c>
      <c r="G753">
        <f>IF(E753="";"";E753/100*XLOOKUP(XLOOKUP(C753;Portions!$A:$A;Portions!$B:$B);FoodItems!$A:$A;FoodItems!$C:$C))</f>
        <v/>
      </c>
      <c r="H753">
        <f>IF(E753="";"";E753/100*XLOOKUP(XLOOKUP(C753;Portions!$A:$A;Portions!$B:$B);FoodItems!$A:$A;FoodItems!$D:$D))</f>
        <v/>
      </c>
      <c r="I753">
        <f>IF(E753="";"";E753/100*XLOOKUP(XLOOKUP(C753;Portions!$A:$A;Portions!$B:$B);FoodItems!$A:$A;FoodItems!$E:$E))</f>
        <v/>
      </c>
    </row>
    <row r="754">
      <c r="E754">
        <f>IF(C754="";"";D754*XLOOKUP(C754;Portions!$A:$A;Portions!$D:$D))</f>
        <v/>
      </c>
      <c r="F754">
        <f>IF(E754="";"";E754/100*XLOOKUP(XLOOKUP(C754;Portions!$A:$A;Portions!$B:$B);FoodItems!$A:$A;FoodItems!$B:$B))</f>
        <v/>
      </c>
      <c r="G754">
        <f>IF(E754="";"";E754/100*XLOOKUP(XLOOKUP(C754;Portions!$A:$A;Portions!$B:$B);FoodItems!$A:$A;FoodItems!$C:$C))</f>
        <v/>
      </c>
      <c r="H754">
        <f>IF(E754="";"";E754/100*XLOOKUP(XLOOKUP(C754;Portions!$A:$A;Portions!$B:$B);FoodItems!$A:$A;FoodItems!$D:$D))</f>
        <v/>
      </c>
      <c r="I754">
        <f>IF(E754="";"";E754/100*XLOOKUP(XLOOKUP(C754;Portions!$A:$A;Portions!$B:$B);FoodItems!$A:$A;FoodItems!$E:$E))</f>
        <v/>
      </c>
    </row>
    <row r="755">
      <c r="E755">
        <f>IF(C755="";"";D755*XLOOKUP(C755;Portions!$A:$A;Portions!$D:$D))</f>
        <v/>
      </c>
      <c r="F755">
        <f>IF(E755="";"";E755/100*XLOOKUP(XLOOKUP(C755;Portions!$A:$A;Portions!$B:$B);FoodItems!$A:$A;FoodItems!$B:$B))</f>
        <v/>
      </c>
      <c r="G755">
        <f>IF(E755="";"";E755/100*XLOOKUP(XLOOKUP(C755;Portions!$A:$A;Portions!$B:$B);FoodItems!$A:$A;FoodItems!$C:$C))</f>
        <v/>
      </c>
      <c r="H755">
        <f>IF(E755="";"";E755/100*XLOOKUP(XLOOKUP(C755;Portions!$A:$A;Portions!$B:$B);FoodItems!$A:$A;FoodItems!$D:$D))</f>
        <v/>
      </c>
      <c r="I755">
        <f>IF(E755="";"";E755/100*XLOOKUP(XLOOKUP(C755;Portions!$A:$A;Portions!$B:$B);FoodItems!$A:$A;FoodItems!$E:$E))</f>
        <v/>
      </c>
    </row>
    <row r="756">
      <c r="E756">
        <f>IF(C756="";"";D756*XLOOKUP(C756;Portions!$A:$A;Portions!$D:$D))</f>
        <v/>
      </c>
      <c r="F756">
        <f>IF(E756="";"";E756/100*XLOOKUP(XLOOKUP(C756;Portions!$A:$A;Portions!$B:$B);FoodItems!$A:$A;FoodItems!$B:$B))</f>
        <v/>
      </c>
      <c r="G756">
        <f>IF(E756="";"";E756/100*XLOOKUP(XLOOKUP(C756;Portions!$A:$A;Portions!$B:$B);FoodItems!$A:$A;FoodItems!$C:$C))</f>
        <v/>
      </c>
      <c r="H756">
        <f>IF(E756="";"";E756/100*XLOOKUP(XLOOKUP(C756;Portions!$A:$A;Portions!$B:$B);FoodItems!$A:$A;FoodItems!$D:$D))</f>
        <v/>
      </c>
      <c r="I756">
        <f>IF(E756="";"";E756/100*XLOOKUP(XLOOKUP(C756;Portions!$A:$A;Portions!$B:$B);FoodItems!$A:$A;FoodItems!$E:$E))</f>
        <v/>
      </c>
    </row>
    <row r="757">
      <c r="E757">
        <f>IF(C757="";"";D757*XLOOKUP(C757;Portions!$A:$A;Portions!$D:$D))</f>
        <v/>
      </c>
      <c r="F757">
        <f>IF(E757="";"";E757/100*XLOOKUP(XLOOKUP(C757;Portions!$A:$A;Portions!$B:$B);FoodItems!$A:$A;FoodItems!$B:$B))</f>
        <v/>
      </c>
      <c r="G757">
        <f>IF(E757="";"";E757/100*XLOOKUP(XLOOKUP(C757;Portions!$A:$A;Portions!$B:$B);FoodItems!$A:$A;FoodItems!$C:$C))</f>
        <v/>
      </c>
      <c r="H757">
        <f>IF(E757="";"";E757/100*XLOOKUP(XLOOKUP(C757;Portions!$A:$A;Portions!$B:$B);FoodItems!$A:$A;FoodItems!$D:$D))</f>
        <v/>
      </c>
      <c r="I757">
        <f>IF(E757="";"";E757/100*XLOOKUP(XLOOKUP(C757;Portions!$A:$A;Portions!$B:$B);FoodItems!$A:$A;FoodItems!$E:$E))</f>
        <v/>
      </c>
    </row>
    <row r="758">
      <c r="E758">
        <f>IF(C758="";"";D758*XLOOKUP(C758;Portions!$A:$A;Portions!$D:$D))</f>
        <v/>
      </c>
      <c r="F758">
        <f>IF(E758="";"";E758/100*XLOOKUP(XLOOKUP(C758;Portions!$A:$A;Portions!$B:$B);FoodItems!$A:$A;FoodItems!$B:$B))</f>
        <v/>
      </c>
      <c r="G758">
        <f>IF(E758="";"";E758/100*XLOOKUP(XLOOKUP(C758;Portions!$A:$A;Portions!$B:$B);FoodItems!$A:$A;FoodItems!$C:$C))</f>
        <v/>
      </c>
      <c r="H758">
        <f>IF(E758="";"";E758/100*XLOOKUP(XLOOKUP(C758;Portions!$A:$A;Portions!$B:$B);FoodItems!$A:$A;FoodItems!$D:$D))</f>
        <v/>
      </c>
      <c r="I758">
        <f>IF(E758="";"";E758/100*XLOOKUP(XLOOKUP(C758;Portions!$A:$A;Portions!$B:$B);FoodItems!$A:$A;FoodItems!$E:$E))</f>
        <v/>
      </c>
    </row>
    <row r="759">
      <c r="E759">
        <f>IF(C759="";"";D759*XLOOKUP(C759;Portions!$A:$A;Portions!$D:$D))</f>
        <v/>
      </c>
      <c r="F759">
        <f>IF(E759="";"";E759/100*XLOOKUP(XLOOKUP(C759;Portions!$A:$A;Portions!$B:$B);FoodItems!$A:$A;FoodItems!$B:$B))</f>
        <v/>
      </c>
      <c r="G759">
        <f>IF(E759="";"";E759/100*XLOOKUP(XLOOKUP(C759;Portions!$A:$A;Portions!$B:$B);FoodItems!$A:$A;FoodItems!$C:$C))</f>
        <v/>
      </c>
      <c r="H759">
        <f>IF(E759="";"";E759/100*XLOOKUP(XLOOKUP(C759;Portions!$A:$A;Portions!$B:$B);FoodItems!$A:$A;FoodItems!$D:$D))</f>
        <v/>
      </c>
      <c r="I759">
        <f>IF(E759="";"";E759/100*XLOOKUP(XLOOKUP(C759;Portions!$A:$A;Portions!$B:$B);FoodItems!$A:$A;FoodItems!$E:$E))</f>
        <v/>
      </c>
    </row>
    <row r="760">
      <c r="E760">
        <f>IF(C760="";"";D760*XLOOKUP(C760;Portions!$A:$A;Portions!$D:$D))</f>
        <v/>
      </c>
      <c r="F760">
        <f>IF(E760="";"";E760/100*XLOOKUP(XLOOKUP(C760;Portions!$A:$A;Portions!$B:$B);FoodItems!$A:$A;FoodItems!$B:$B))</f>
        <v/>
      </c>
      <c r="G760">
        <f>IF(E760="";"";E760/100*XLOOKUP(XLOOKUP(C760;Portions!$A:$A;Portions!$B:$B);FoodItems!$A:$A;FoodItems!$C:$C))</f>
        <v/>
      </c>
      <c r="H760">
        <f>IF(E760="";"";E760/100*XLOOKUP(XLOOKUP(C760;Portions!$A:$A;Portions!$B:$B);FoodItems!$A:$A;FoodItems!$D:$D))</f>
        <v/>
      </c>
      <c r="I760">
        <f>IF(E760="";"";E760/100*XLOOKUP(XLOOKUP(C760;Portions!$A:$A;Portions!$B:$B);FoodItems!$A:$A;FoodItems!$E:$E))</f>
        <v/>
      </c>
    </row>
    <row r="761">
      <c r="E761">
        <f>IF(C761="";"";D761*XLOOKUP(C761;Portions!$A:$A;Portions!$D:$D))</f>
        <v/>
      </c>
      <c r="F761">
        <f>IF(E761="";"";E761/100*XLOOKUP(XLOOKUP(C761;Portions!$A:$A;Portions!$B:$B);FoodItems!$A:$A;FoodItems!$B:$B))</f>
        <v/>
      </c>
      <c r="G761">
        <f>IF(E761="";"";E761/100*XLOOKUP(XLOOKUP(C761;Portions!$A:$A;Portions!$B:$B);FoodItems!$A:$A;FoodItems!$C:$C))</f>
        <v/>
      </c>
      <c r="H761">
        <f>IF(E761="";"";E761/100*XLOOKUP(XLOOKUP(C761;Portions!$A:$A;Portions!$B:$B);FoodItems!$A:$A;FoodItems!$D:$D))</f>
        <v/>
      </c>
      <c r="I761">
        <f>IF(E761="";"";E761/100*XLOOKUP(XLOOKUP(C761;Portions!$A:$A;Portions!$B:$B);FoodItems!$A:$A;FoodItems!$E:$E))</f>
        <v/>
      </c>
    </row>
    <row r="762">
      <c r="E762">
        <f>IF(C762="";"";D762*XLOOKUP(C762;Portions!$A:$A;Portions!$D:$D))</f>
        <v/>
      </c>
      <c r="F762">
        <f>IF(E762="";"";E762/100*XLOOKUP(XLOOKUP(C762;Portions!$A:$A;Portions!$B:$B);FoodItems!$A:$A;FoodItems!$B:$B))</f>
        <v/>
      </c>
      <c r="G762">
        <f>IF(E762="";"";E762/100*XLOOKUP(XLOOKUP(C762;Portions!$A:$A;Portions!$B:$B);FoodItems!$A:$A;FoodItems!$C:$C))</f>
        <v/>
      </c>
      <c r="H762">
        <f>IF(E762="";"";E762/100*XLOOKUP(XLOOKUP(C762;Portions!$A:$A;Portions!$B:$B);FoodItems!$A:$A;FoodItems!$D:$D))</f>
        <v/>
      </c>
      <c r="I762">
        <f>IF(E762="";"";E762/100*XLOOKUP(XLOOKUP(C762;Portions!$A:$A;Portions!$B:$B);FoodItems!$A:$A;FoodItems!$E:$E))</f>
        <v/>
      </c>
    </row>
    <row r="763">
      <c r="E763">
        <f>IF(C763="";"";D763*XLOOKUP(C763;Portions!$A:$A;Portions!$D:$D))</f>
        <v/>
      </c>
      <c r="F763">
        <f>IF(E763="";"";E763/100*XLOOKUP(XLOOKUP(C763;Portions!$A:$A;Portions!$B:$B);FoodItems!$A:$A;FoodItems!$B:$B))</f>
        <v/>
      </c>
      <c r="G763">
        <f>IF(E763="";"";E763/100*XLOOKUP(XLOOKUP(C763;Portions!$A:$A;Portions!$B:$B);FoodItems!$A:$A;FoodItems!$C:$C))</f>
        <v/>
      </c>
      <c r="H763">
        <f>IF(E763="";"";E763/100*XLOOKUP(XLOOKUP(C763;Portions!$A:$A;Portions!$B:$B);FoodItems!$A:$A;FoodItems!$D:$D))</f>
        <v/>
      </c>
      <c r="I763">
        <f>IF(E763="";"";E763/100*XLOOKUP(XLOOKUP(C763;Portions!$A:$A;Portions!$B:$B);FoodItems!$A:$A;FoodItems!$E:$E))</f>
        <v/>
      </c>
    </row>
    <row r="764">
      <c r="E764">
        <f>IF(C764="";"";D764*XLOOKUP(C764;Portions!$A:$A;Portions!$D:$D))</f>
        <v/>
      </c>
      <c r="F764">
        <f>IF(E764="";"";E764/100*XLOOKUP(XLOOKUP(C764;Portions!$A:$A;Portions!$B:$B);FoodItems!$A:$A;FoodItems!$B:$B))</f>
        <v/>
      </c>
      <c r="G764">
        <f>IF(E764="";"";E764/100*XLOOKUP(XLOOKUP(C764;Portions!$A:$A;Portions!$B:$B);FoodItems!$A:$A;FoodItems!$C:$C))</f>
        <v/>
      </c>
      <c r="H764">
        <f>IF(E764="";"";E764/100*XLOOKUP(XLOOKUP(C764;Portions!$A:$A;Portions!$B:$B);FoodItems!$A:$A;FoodItems!$D:$D))</f>
        <v/>
      </c>
      <c r="I764">
        <f>IF(E764="";"";E764/100*XLOOKUP(XLOOKUP(C764;Portions!$A:$A;Portions!$B:$B);FoodItems!$A:$A;FoodItems!$E:$E))</f>
        <v/>
      </c>
    </row>
    <row r="765">
      <c r="E765">
        <f>IF(C765="";"";D765*XLOOKUP(C765;Portions!$A:$A;Portions!$D:$D))</f>
        <v/>
      </c>
      <c r="F765">
        <f>IF(E765="";"";E765/100*XLOOKUP(XLOOKUP(C765;Portions!$A:$A;Portions!$B:$B);FoodItems!$A:$A;FoodItems!$B:$B))</f>
        <v/>
      </c>
      <c r="G765">
        <f>IF(E765="";"";E765/100*XLOOKUP(XLOOKUP(C765;Portions!$A:$A;Portions!$B:$B);FoodItems!$A:$A;FoodItems!$C:$C))</f>
        <v/>
      </c>
      <c r="H765">
        <f>IF(E765="";"";E765/100*XLOOKUP(XLOOKUP(C765;Portions!$A:$A;Portions!$B:$B);FoodItems!$A:$A;FoodItems!$D:$D))</f>
        <v/>
      </c>
      <c r="I765">
        <f>IF(E765="";"";E765/100*XLOOKUP(XLOOKUP(C765;Portions!$A:$A;Portions!$B:$B);FoodItems!$A:$A;FoodItems!$E:$E))</f>
        <v/>
      </c>
    </row>
    <row r="766">
      <c r="E766">
        <f>IF(C766="";"";D766*XLOOKUP(C766;Portions!$A:$A;Portions!$D:$D))</f>
        <v/>
      </c>
      <c r="F766">
        <f>IF(E766="";"";E766/100*XLOOKUP(XLOOKUP(C766;Portions!$A:$A;Portions!$B:$B);FoodItems!$A:$A;FoodItems!$B:$B))</f>
        <v/>
      </c>
      <c r="G766">
        <f>IF(E766="";"";E766/100*XLOOKUP(XLOOKUP(C766;Portions!$A:$A;Portions!$B:$B);FoodItems!$A:$A;FoodItems!$C:$C))</f>
        <v/>
      </c>
      <c r="H766">
        <f>IF(E766="";"";E766/100*XLOOKUP(XLOOKUP(C766;Portions!$A:$A;Portions!$B:$B);FoodItems!$A:$A;FoodItems!$D:$D))</f>
        <v/>
      </c>
      <c r="I766">
        <f>IF(E766="";"";E766/100*XLOOKUP(XLOOKUP(C766;Portions!$A:$A;Portions!$B:$B);FoodItems!$A:$A;FoodItems!$E:$E))</f>
        <v/>
      </c>
    </row>
    <row r="767">
      <c r="E767">
        <f>IF(C767="";"";D767*XLOOKUP(C767;Portions!$A:$A;Portions!$D:$D))</f>
        <v/>
      </c>
      <c r="F767">
        <f>IF(E767="";"";E767/100*XLOOKUP(XLOOKUP(C767;Portions!$A:$A;Portions!$B:$B);FoodItems!$A:$A;FoodItems!$B:$B))</f>
        <v/>
      </c>
      <c r="G767">
        <f>IF(E767="";"";E767/100*XLOOKUP(XLOOKUP(C767;Portions!$A:$A;Portions!$B:$B);FoodItems!$A:$A;FoodItems!$C:$C))</f>
        <v/>
      </c>
      <c r="H767">
        <f>IF(E767="";"";E767/100*XLOOKUP(XLOOKUP(C767;Portions!$A:$A;Portions!$B:$B);FoodItems!$A:$A;FoodItems!$D:$D))</f>
        <v/>
      </c>
      <c r="I767">
        <f>IF(E767="";"";E767/100*XLOOKUP(XLOOKUP(C767;Portions!$A:$A;Portions!$B:$B);FoodItems!$A:$A;FoodItems!$E:$E))</f>
        <v/>
      </c>
    </row>
    <row r="768">
      <c r="E768">
        <f>IF(C768="";"";D768*XLOOKUP(C768;Portions!$A:$A;Portions!$D:$D))</f>
        <v/>
      </c>
      <c r="F768">
        <f>IF(E768="";"";E768/100*XLOOKUP(XLOOKUP(C768;Portions!$A:$A;Portions!$B:$B);FoodItems!$A:$A;FoodItems!$B:$B))</f>
        <v/>
      </c>
      <c r="G768">
        <f>IF(E768="";"";E768/100*XLOOKUP(XLOOKUP(C768;Portions!$A:$A;Portions!$B:$B);FoodItems!$A:$A;FoodItems!$C:$C))</f>
        <v/>
      </c>
      <c r="H768">
        <f>IF(E768="";"";E768/100*XLOOKUP(XLOOKUP(C768;Portions!$A:$A;Portions!$B:$B);FoodItems!$A:$A;FoodItems!$D:$D))</f>
        <v/>
      </c>
      <c r="I768">
        <f>IF(E768="";"";E768/100*XLOOKUP(XLOOKUP(C768;Portions!$A:$A;Portions!$B:$B);FoodItems!$A:$A;FoodItems!$E:$E))</f>
        <v/>
      </c>
    </row>
    <row r="769">
      <c r="E769">
        <f>IF(C769="";"";D769*XLOOKUP(C769;Portions!$A:$A;Portions!$D:$D))</f>
        <v/>
      </c>
      <c r="F769">
        <f>IF(E769="";"";E769/100*XLOOKUP(XLOOKUP(C769;Portions!$A:$A;Portions!$B:$B);FoodItems!$A:$A;FoodItems!$B:$B))</f>
        <v/>
      </c>
      <c r="G769">
        <f>IF(E769="";"";E769/100*XLOOKUP(XLOOKUP(C769;Portions!$A:$A;Portions!$B:$B);FoodItems!$A:$A;FoodItems!$C:$C))</f>
        <v/>
      </c>
      <c r="H769">
        <f>IF(E769="";"";E769/100*XLOOKUP(XLOOKUP(C769;Portions!$A:$A;Portions!$B:$B);FoodItems!$A:$A;FoodItems!$D:$D))</f>
        <v/>
      </c>
      <c r="I769">
        <f>IF(E769="";"";E769/100*XLOOKUP(XLOOKUP(C769;Portions!$A:$A;Portions!$B:$B);FoodItems!$A:$A;FoodItems!$E:$E))</f>
        <v/>
      </c>
    </row>
    <row r="770">
      <c r="E770">
        <f>IF(C770="";"";D770*XLOOKUP(C770;Portions!$A:$A;Portions!$D:$D))</f>
        <v/>
      </c>
      <c r="F770">
        <f>IF(E770="";"";E770/100*XLOOKUP(XLOOKUP(C770;Portions!$A:$A;Portions!$B:$B);FoodItems!$A:$A;FoodItems!$B:$B))</f>
        <v/>
      </c>
      <c r="G770">
        <f>IF(E770="";"";E770/100*XLOOKUP(XLOOKUP(C770;Portions!$A:$A;Portions!$B:$B);FoodItems!$A:$A;FoodItems!$C:$C))</f>
        <v/>
      </c>
      <c r="H770">
        <f>IF(E770="";"";E770/100*XLOOKUP(XLOOKUP(C770;Portions!$A:$A;Portions!$B:$B);FoodItems!$A:$A;FoodItems!$D:$D))</f>
        <v/>
      </c>
      <c r="I770">
        <f>IF(E770="";"";E770/100*XLOOKUP(XLOOKUP(C770;Portions!$A:$A;Portions!$B:$B);FoodItems!$A:$A;FoodItems!$E:$E))</f>
        <v/>
      </c>
    </row>
    <row r="771">
      <c r="E771">
        <f>IF(C771="";"";D771*XLOOKUP(C771;Portions!$A:$A;Portions!$D:$D))</f>
        <v/>
      </c>
      <c r="F771">
        <f>IF(E771="";"";E771/100*XLOOKUP(XLOOKUP(C771;Portions!$A:$A;Portions!$B:$B);FoodItems!$A:$A;FoodItems!$B:$B))</f>
        <v/>
      </c>
      <c r="G771">
        <f>IF(E771="";"";E771/100*XLOOKUP(XLOOKUP(C771;Portions!$A:$A;Portions!$B:$B);FoodItems!$A:$A;FoodItems!$C:$C))</f>
        <v/>
      </c>
      <c r="H771">
        <f>IF(E771="";"";E771/100*XLOOKUP(XLOOKUP(C771;Portions!$A:$A;Portions!$B:$B);FoodItems!$A:$A;FoodItems!$D:$D))</f>
        <v/>
      </c>
      <c r="I771">
        <f>IF(E771="";"";E771/100*XLOOKUP(XLOOKUP(C771;Portions!$A:$A;Portions!$B:$B);FoodItems!$A:$A;FoodItems!$E:$E))</f>
        <v/>
      </c>
    </row>
    <row r="772">
      <c r="E772">
        <f>IF(C772="";"";D772*XLOOKUP(C772;Portions!$A:$A;Portions!$D:$D))</f>
        <v/>
      </c>
      <c r="F772">
        <f>IF(E772="";"";E772/100*XLOOKUP(XLOOKUP(C772;Portions!$A:$A;Portions!$B:$B);FoodItems!$A:$A;FoodItems!$B:$B))</f>
        <v/>
      </c>
      <c r="G772">
        <f>IF(E772="";"";E772/100*XLOOKUP(XLOOKUP(C772;Portions!$A:$A;Portions!$B:$B);FoodItems!$A:$A;FoodItems!$C:$C))</f>
        <v/>
      </c>
      <c r="H772">
        <f>IF(E772="";"";E772/100*XLOOKUP(XLOOKUP(C772;Portions!$A:$A;Portions!$B:$B);FoodItems!$A:$A;FoodItems!$D:$D))</f>
        <v/>
      </c>
      <c r="I772">
        <f>IF(E772="";"";E772/100*XLOOKUP(XLOOKUP(C772;Portions!$A:$A;Portions!$B:$B);FoodItems!$A:$A;FoodItems!$E:$E))</f>
        <v/>
      </c>
    </row>
    <row r="773">
      <c r="E773">
        <f>IF(C773="";"";D773*XLOOKUP(C773;Portions!$A:$A;Portions!$D:$D))</f>
        <v/>
      </c>
      <c r="F773">
        <f>IF(E773="";"";E773/100*XLOOKUP(XLOOKUP(C773;Portions!$A:$A;Portions!$B:$B);FoodItems!$A:$A;FoodItems!$B:$B))</f>
        <v/>
      </c>
      <c r="G773">
        <f>IF(E773="";"";E773/100*XLOOKUP(XLOOKUP(C773;Portions!$A:$A;Portions!$B:$B);FoodItems!$A:$A;FoodItems!$C:$C))</f>
        <v/>
      </c>
      <c r="H773">
        <f>IF(E773="";"";E773/100*XLOOKUP(XLOOKUP(C773;Portions!$A:$A;Portions!$B:$B);FoodItems!$A:$A;FoodItems!$D:$D))</f>
        <v/>
      </c>
      <c r="I773">
        <f>IF(E773="";"";E773/100*XLOOKUP(XLOOKUP(C773;Portions!$A:$A;Portions!$B:$B);FoodItems!$A:$A;FoodItems!$E:$E))</f>
        <v/>
      </c>
    </row>
    <row r="774">
      <c r="E774">
        <f>IF(C774="";"";D774*XLOOKUP(C774;Portions!$A:$A;Portions!$D:$D))</f>
        <v/>
      </c>
      <c r="F774">
        <f>IF(E774="";"";E774/100*XLOOKUP(XLOOKUP(C774;Portions!$A:$A;Portions!$B:$B);FoodItems!$A:$A;FoodItems!$B:$B))</f>
        <v/>
      </c>
      <c r="G774">
        <f>IF(E774="";"";E774/100*XLOOKUP(XLOOKUP(C774;Portions!$A:$A;Portions!$B:$B);FoodItems!$A:$A;FoodItems!$C:$C))</f>
        <v/>
      </c>
      <c r="H774">
        <f>IF(E774="";"";E774/100*XLOOKUP(XLOOKUP(C774;Portions!$A:$A;Portions!$B:$B);FoodItems!$A:$A;FoodItems!$D:$D))</f>
        <v/>
      </c>
      <c r="I774">
        <f>IF(E774="";"";E774/100*XLOOKUP(XLOOKUP(C774;Portions!$A:$A;Portions!$B:$B);FoodItems!$A:$A;FoodItems!$E:$E))</f>
        <v/>
      </c>
    </row>
    <row r="775">
      <c r="E775">
        <f>IF(C775="";"";D775*XLOOKUP(C775;Portions!$A:$A;Portions!$D:$D))</f>
        <v/>
      </c>
      <c r="F775">
        <f>IF(E775="";"";E775/100*XLOOKUP(XLOOKUP(C775;Portions!$A:$A;Portions!$B:$B);FoodItems!$A:$A;FoodItems!$B:$B))</f>
        <v/>
      </c>
      <c r="G775">
        <f>IF(E775="";"";E775/100*XLOOKUP(XLOOKUP(C775;Portions!$A:$A;Portions!$B:$B);FoodItems!$A:$A;FoodItems!$C:$C))</f>
        <v/>
      </c>
      <c r="H775">
        <f>IF(E775="";"";E775/100*XLOOKUP(XLOOKUP(C775;Portions!$A:$A;Portions!$B:$B);FoodItems!$A:$A;FoodItems!$D:$D))</f>
        <v/>
      </c>
      <c r="I775">
        <f>IF(E775="";"";E775/100*XLOOKUP(XLOOKUP(C775;Portions!$A:$A;Portions!$B:$B);FoodItems!$A:$A;FoodItems!$E:$E))</f>
        <v/>
      </c>
    </row>
    <row r="776">
      <c r="E776">
        <f>IF(C776="";"";D776*XLOOKUP(C776;Portions!$A:$A;Portions!$D:$D))</f>
        <v/>
      </c>
      <c r="F776">
        <f>IF(E776="";"";E776/100*XLOOKUP(XLOOKUP(C776;Portions!$A:$A;Portions!$B:$B);FoodItems!$A:$A;FoodItems!$B:$B))</f>
        <v/>
      </c>
      <c r="G776">
        <f>IF(E776="";"";E776/100*XLOOKUP(XLOOKUP(C776;Portions!$A:$A;Portions!$B:$B);FoodItems!$A:$A;FoodItems!$C:$C))</f>
        <v/>
      </c>
      <c r="H776">
        <f>IF(E776="";"";E776/100*XLOOKUP(XLOOKUP(C776;Portions!$A:$A;Portions!$B:$B);FoodItems!$A:$A;FoodItems!$D:$D))</f>
        <v/>
      </c>
      <c r="I776">
        <f>IF(E776="";"";E776/100*XLOOKUP(XLOOKUP(C776;Portions!$A:$A;Portions!$B:$B);FoodItems!$A:$A;FoodItems!$E:$E))</f>
        <v/>
      </c>
    </row>
    <row r="777">
      <c r="E777">
        <f>IF(C777="";"";D777*XLOOKUP(C777;Portions!$A:$A;Portions!$D:$D))</f>
        <v/>
      </c>
      <c r="F777">
        <f>IF(E777="";"";E777/100*XLOOKUP(XLOOKUP(C777;Portions!$A:$A;Portions!$B:$B);FoodItems!$A:$A;FoodItems!$B:$B))</f>
        <v/>
      </c>
      <c r="G777">
        <f>IF(E777="";"";E777/100*XLOOKUP(XLOOKUP(C777;Portions!$A:$A;Portions!$B:$B);FoodItems!$A:$A;FoodItems!$C:$C))</f>
        <v/>
      </c>
      <c r="H777">
        <f>IF(E777="";"";E777/100*XLOOKUP(XLOOKUP(C777;Portions!$A:$A;Portions!$B:$B);FoodItems!$A:$A;FoodItems!$D:$D))</f>
        <v/>
      </c>
      <c r="I777">
        <f>IF(E777="";"";E777/100*XLOOKUP(XLOOKUP(C777;Portions!$A:$A;Portions!$B:$B);FoodItems!$A:$A;FoodItems!$E:$E))</f>
        <v/>
      </c>
    </row>
    <row r="778">
      <c r="E778">
        <f>IF(C778="";"";D778*XLOOKUP(C778;Portions!$A:$A;Portions!$D:$D))</f>
        <v/>
      </c>
      <c r="F778">
        <f>IF(E778="";"";E778/100*XLOOKUP(XLOOKUP(C778;Portions!$A:$A;Portions!$B:$B);FoodItems!$A:$A;FoodItems!$B:$B))</f>
        <v/>
      </c>
      <c r="G778">
        <f>IF(E778="";"";E778/100*XLOOKUP(XLOOKUP(C778;Portions!$A:$A;Portions!$B:$B);FoodItems!$A:$A;FoodItems!$C:$C))</f>
        <v/>
      </c>
      <c r="H778">
        <f>IF(E778="";"";E778/100*XLOOKUP(XLOOKUP(C778;Portions!$A:$A;Portions!$B:$B);FoodItems!$A:$A;FoodItems!$D:$D))</f>
        <v/>
      </c>
      <c r="I778">
        <f>IF(E778="";"";E778/100*XLOOKUP(XLOOKUP(C778;Portions!$A:$A;Portions!$B:$B);FoodItems!$A:$A;FoodItems!$E:$E))</f>
        <v/>
      </c>
    </row>
    <row r="779">
      <c r="E779">
        <f>IF(C779="";"";D779*XLOOKUP(C779;Portions!$A:$A;Portions!$D:$D))</f>
        <v/>
      </c>
      <c r="F779">
        <f>IF(E779="";"";E779/100*XLOOKUP(XLOOKUP(C779;Portions!$A:$A;Portions!$B:$B);FoodItems!$A:$A;FoodItems!$B:$B))</f>
        <v/>
      </c>
      <c r="G779">
        <f>IF(E779="";"";E779/100*XLOOKUP(XLOOKUP(C779;Portions!$A:$A;Portions!$B:$B);FoodItems!$A:$A;FoodItems!$C:$C))</f>
        <v/>
      </c>
      <c r="H779">
        <f>IF(E779="";"";E779/100*XLOOKUP(XLOOKUP(C779;Portions!$A:$A;Portions!$B:$B);FoodItems!$A:$A;FoodItems!$D:$D))</f>
        <v/>
      </c>
      <c r="I779">
        <f>IF(E779="";"";E779/100*XLOOKUP(XLOOKUP(C779;Portions!$A:$A;Portions!$B:$B);FoodItems!$A:$A;FoodItems!$E:$E))</f>
        <v/>
      </c>
    </row>
    <row r="780">
      <c r="E780">
        <f>IF(C780="";"";D780*XLOOKUP(C780;Portions!$A:$A;Portions!$D:$D))</f>
        <v/>
      </c>
      <c r="F780">
        <f>IF(E780="";"";E780/100*XLOOKUP(XLOOKUP(C780;Portions!$A:$A;Portions!$B:$B);FoodItems!$A:$A;FoodItems!$B:$B))</f>
        <v/>
      </c>
      <c r="G780">
        <f>IF(E780="";"";E780/100*XLOOKUP(XLOOKUP(C780;Portions!$A:$A;Portions!$B:$B);FoodItems!$A:$A;FoodItems!$C:$C))</f>
        <v/>
      </c>
      <c r="H780">
        <f>IF(E780="";"";E780/100*XLOOKUP(XLOOKUP(C780;Portions!$A:$A;Portions!$B:$B);FoodItems!$A:$A;FoodItems!$D:$D))</f>
        <v/>
      </c>
      <c r="I780">
        <f>IF(E780="";"";E780/100*XLOOKUP(XLOOKUP(C780;Portions!$A:$A;Portions!$B:$B);FoodItems!$A:$A;FoodItems!$E:$E))</f>
        <v/>
      </c>
    </row>
    <row r="781">
      <c r="E781">
        <f>IF(C781="";"";D781*XLOOKUP(C781;Portions!$A:$A;Portions!$D:$D))</f>
        <v/>
      </c>
      <c r="F781">
        <f>IF(E781="";"";E781/100*XLOOKUP(XLOOKUP(C781;Portions!$A:$A;Portions!$B:$B);FoodItems!$A:$A;FoodItems!$B:$B))</f>
        <v/>
      </c>
      <c r="G781">
        <f>IF(E781="";"";E781/100*XLOOKUP(XLOOKUP(C781;Portions!$A:$A;Portions!$B:$B);FoodItems!$A:$A;FoodItems!$C:$C))</f>
        <v/>
      </c>
      <c r="H781">
        <f>IF(E781="";"";E781/100*XLOOKUP(XLOOKUP(C781;Portions!$A:$A;Portions!$B:$B);FoodItems!$A:$A;FoodItems!$D:$D))</f>
        <v/>
      </c>
      <c r="I781">
        <f>IF(E781="";"";E781/100*XLOOKUP(XLOOKUP(C781;Portions!$A:$A;Portions!$B:$B);FoodItems!$A:$A;FoodItems!$E:$E))</f>
        <v/>
      </c>
    </row>
    <row r="782">
      <c r="E782">
        <f>IF(C782="";"";D782*XLOOKUP(C782;Portions!$A:$A;Portions!$D:$D))</f>
        <v/>
      </c>
      <c r="F782">
        <f>IF(E782="";"";E782/100*XLOOKUP(XLOOKUP(C782;Portions!$A:$A;Portions!$B:$B);FoodItems!$A:$A;FoodItems!$B:$B))</f>
        <v/>
      </c>
      <c r="G782">
        <f>IF(E782="";"";E782/100*XLOOKUP(XLOOKUP(C782;Portions!$A:$A;Portions!$B:$B);FoodItems!$A:$A;FoodItems!$C:$C))</f>
        <v/>
      </c>
      <c r="H782">
        <f>IF(E782="";"";E782/100*XLOOKUP(XLOOKUP(C782;Portions!$A:$A;Portions!$B:$B);FoodItems!$A:$A;FoodItems!$D:$D))</f>
        <v/>
      </c>
      <c r="I782">
        <f>IF(E782="";"";E782/100*XLOOKUP(XLOOKUP(C782;Portions!$A:$A;Portions!$B:$B);FoodItems!$A:$A;FoodItems!$E:$E))</f>
        <v/>
      </c>
    </row>
    <row r="783">
      <c r="E783">
        <f>IF(C783="";"";D783*XLOOKUP(C783;Portions!$A:$A;Portions!$D:$D))</f>
        <v/>
      </c>
      <c r="F783">
        <f>IF(E783="";"";E783/100*XLOOKUP(XLOOKUP(C783;Portions!$A:$A;Portions!$B:$B);FoodItems!$A:$A;FoodItems!$B:$B))</f>
        <v/>
      </c>
      <c r="G783">
        <f>IF(E783="";"";E783/100*XLOOKUP(XLOOKUP(C783;Portions!$A:$A;Portions!$B:$B);FoodItems!$A:$A;FoodItems!$C:$C))</f>
        <v/>
      </c>
      <c r="H783">
        <f>IF(E783="";"";E783/100*XLOOKUP(XLOOKUP(C783;Portions!$A:$A;Portions!$B:$B);FoodItems!$A:$A;FoodItems!$D:$D))</f>
        <v/>
      </c>
      <c r="I783">
        <f>IF(E783="";"";E783/100*XLOOKUP(XLOOKUP(C783;Portions!$A:$A;Portions!$B:$B);FoodItems!$A:$A;FoodItems!$E:$E))</f>
        <v/>
      </c>
    </row>
    <row r="784">
      <c r="E784">
        <f>IF(C784="";"";D784*XLOOKUP(C784;Portions!$A:$A;Portions!$D:$D))</f>
        <v/>
      </c>
      <c r="F784">
        <f>IF(E784="";"";E784/100*XLOOKUP(XLOOKUP(C784;Portions!$A:$A;Portions!$B:$B);FoodItems!$A:$A;FoodItems!$B:$B))</f>
        <v/>
      </c>
      <c r="G784">
        <f>IF(E784="";"";E784/100*XLOOKUP(XLOOKUP(C784;Portions!$A:$A;Portions!$B:$B);FoodItems!$A:$A;FoodItems!$C:$C))</f>
        <v/>
      </c>
      <c r="H784">
        <f>IF(E784="";"";E784/100*XLOOKUP(XLOOKUP(C784;Portions!$A:$A;Portions!$B:$B);FoodItems!$A:$A;FoodItems!$D:$D))</f>
        <v/>
      </c>
      <c r="I784">
        <f>IF(E784="";"";E784/100*XLOOKUP(XLOOKUP(C784;Portions!$A:$A;Portions!$B:$B);FoodItems!$A:$A;FoodItems!$E:$E))</f>
        <v/>
      </c>
    </row>
    <row r="785">
      <c r="E785">
        <f>IF(C785="";"";D785*XLOOKUP(C785;Portions!$A:$A;Portions!$D:$D))</f>
        <v/>
      </c>
      <c r="F785">
        <f>IF(E785="";"";E785/100*XLOOKUP(XLOOKUP(C785;Portions!$A:$A;Portions!$B:$B);FoodItems!$A:$A;FoodItems!$B:$B))</f>
        <v/>
      </c>
      <c r="G785">
        <f>IF(E785="";"";E785/100*XLOOKUP(XLOOKUP(C785;Portions!$A:$A;Portions!$B:$B);FoodItems!$A:$A;FoodItems!$C:$C))</f>
        <v/>
      </c>
      <c r="H785">
        <f>IF(E785="";"";E785/100*XLOOKUP(XLOOKUP(C785;Portions!$A:$A;Portions!$B:$B);FoodItems!$A:$A;FoodItems!$D:$D))</f>
        <v/>
      </c>
      <c r="I785">
        <f>IF(E785="";"";E785/100*XLOOKUP(XLOOKUP(C785;Portions!$A:$A;Portions!$B:$B);FoodItems!$A:$A;FoodItems!$E:$E))</f>
        <v/>
      </c>
    </row>
    <row r="786">
      <c r="E786">
        <f>IF(C786="";"";D786*XLOOKUP(C786;Portions!$A:$A;Portions!$D:$D))</f>
        <v/>
      </c>
      <c r="F786">
        <f>IF(E786="";"";E786/100*XLOOKUP(XLOOKUP(C786;Portions!$A:$A;Portions!$B:$B);FoodItems!$A:$A;FoodItems!$B:$B))</f>
        <v/>
      </c>
      <c r="G786">
        <f>IF(E786="";"";E786/100*XLOOKUP(XLOOKUP(C786;Portions!$A:$A;Portions!$B:$B);FoodItems!$A:$A;FoodItems!$C:$C))</f>
        <v/>
      </c>
      <c r="H786">
        <f>IF(E786="";"";E786/100*XLOOKUP(XLOOKUP(C786;Portions!$A:$A;Portions!$B:$B);FoodItems!$A:$A;FoodItems!$D:$D))</f>
        <v/>
      </c>
      <c r="I786">
        <f>IF(E786="";"";E786/100*XLOOKUP(XLOOKUP(C786;Portions!$A:$A;Portions!$B:$B);FoodItems!$A:$A;FoodItems!$E:$E))</f>
        <v/>
      </c>
    </row>
    <row r="787">
      <c r="E787">
        <f>IF(C787="";"";D787*XLOOKUP(C787;Portions!$A:$A;Portions!$D:$D))</f>
        <v/>
      </c>
      <c r="F787">
        <f>IF(E787="";"";E787/100*XLOOKUP(XLOOKUP(C787;Portions!$A:$A;Portions!$B:$B);FoodItems!$A:$A;FoodItems!$B:$B))</f>
        <v/>
      </c>
      <c r="G787">
        <f>IF(E787="";"";E787/100*XLOOKUP(XLOOKUP(C787;Portions!$A:$A;Portions!$B:$B);FoodItems!$A:$A;FoodItems!$C:$C))</f>
        <v/>
      </c>
      <c r="H787">
        <f>IF(E787="";"";E787/100*XLOOKUP(XLOOKUP(C787;Portions!$A:$A;Portions!$B:$B);FoodItems!$A:$A;FoodItems!$D:$D))</f>
        <v/>
      </c>
      <c r="I787">
        <f>IF(E787="";"";E787/100*XLOOKUP(XLOOKUP(C787;Portions!$A:$A;Portions!$B:$B);FoodItems!$A:$A;FoodItems!$E:$E))</f>
        <v/>
      </c>
    </row>
    <row r="788">
      <c r="E788">
        <f>IF(C788="";"";D788*XLOOKUP(C788;Portions!$A:$A;Portions!$D:$D))</f>
        <v/>
      </c>
      <c r="F788">
        <f>IF(E788="";"";E788/100*XLOOKUP(XLOOKUP(C788;Portions!$A:$A;Portions!$B:$B);FoodItems!$A:$A;FoodItems!$B:$B))</f>
        <v/>
      </c>
      <c r="G788">
        <f>IF(E788="";"";E788/100*XLOOKUP(XLOOKUP(C788;Portions!$A:$A;Portions!$B:$B);FoodItems!$A:$A;FoodItems!$C:$C))</f>
        <v/>
      </c>
      <c r="H788">
        <f>IF(E788="";"";E788/100*XLOOKUP(XLOOKUP(C788;Portions!$A:$A;Portions!$B:$B);FoodItems!$A:$A;FoodItems!$D:$D))</f>
        <v/>
      </c>
      <c r="I788">
        <f>IF(E788="";"";E788/100*XLOOKUP(XLOOKUP(C788;Portions!$A:$A;Portions!$B:$B);FoodItems!$A:$A;FoodItems!$E:$E))</f>
        <v/>
      </c>
    </row>
    <row r="789">
      <c r="E789">
        <f>IF(C789="";"";D789*XLOOKUP(C789;Portions!$A:$A;Portions!$D:$D))</f>
        <v/>
      </c>
      <c r="F789">
        <f>IF(E789="";"";E789/100*XLOOKUP(XLOOKUP(C789;Portions!$A:$A;Portions!$B:$B);FoodItems!$A:$A;FoodItems!$B:$B))</f>
        <v/>
      </c>
      <c r="G789">
        <f>IF(E789="";"";E789/100*XLOOKUP(XLOOKUP(C789;Portions!$A:$A;Portions!$B:$B);FoodItems!$A:$A;FoodItems!$C:$C))</f>
        <v/>
      </c>
      <c r="H789">
        <f>IF(E789="";"";E789/100*XLOOKUP(XLOOKUP(C789;Portions!$A:$A;Portions!$B:$B);FoodItems!$A:$A;FoodItems!$D:$D))</f>
        <v/>
      </c>
      <c r="I789">
        <f>IF(E789="";"";E789/100*XLOOKUP(XLOOKUP(C789;Portions!$A:$A;Portions!$B:$B);FoodItems!$A:$A;FoodItems!$E:$E))</f>
        <v/>
      </c>
    </row>
    <row r="790">
      <c r="E790">
        <f>IF(C790="";"";D790*XLOOKUP(C790;Portions!$A:$A;Portions!$D:$D))</f>
        <v/>
      </c>
      <c r="F790">
        <f>IF(E790="";"";E790/100*XLOOKUP(XLOOKUP(C790;Portions!$A:$A;Portions!$B:$B);FoodItems!$A:$A;FoodItems!$B:$B))</f>
        <v/>
      </c>
      <c r="G790">
        <f>IF(E790="";"";E790/100*XLOOKUP(XLOOKUP(C790;Portions!$A:$A;Portions!$B:$B);FoodItems!$A:$A;FoodItems!$C:$C))</f>
        <v/>
      </c>
      <c r="H790">
        <f>IF(E790="";"";E790/100*XLOOKUP(XLOOKUP(C790;Portions!$A:$A;Portions!$B:$B);FoodItems!$A:$A;FoodItems!$D:$D))</f>
        <v/>
      </c>
      <c r="I790">
        <f>IF(E790="";"";E790/100*XLOOKUP(XLOOKUP(C790;Portions!$A:$A;Portions!$B:$B);FoodItems!$A:$A;FoodItems!$E:$E))</f>
        <v/>
      </c>
    </row>
    <row r="791">
      <c r="E791">
        <f>IF(C791="";"";D791*XLOOKUP(C791;Portions!$A:$A;Portions!$D:$D))</f>
        <v/>
      </c>
      <c r="F791">
        <f>IF(E791="";"";E791/100*XLOOKUP(XLOOKUP(C791;Portions!$A:$A;Portions!$B:$B);FoodItems!$A:$A;FoodItems!$B:$B))</f>
        <v/>
      </c>
      <c r="G791">
        <f>IF(E791="";"";E791/100*XLOOKUP(XLOOKUP(C791;Portions!$A:$A;Portions!$B:$B);FoodItems!$A:$A;FoodItems!$C:$C))</f>
        <v/>
      </c>
      <c r="H791">
        <f>IF(E791="";"";E791/100*XLOOKUP(XLOOKUP(C791;Portions!$A:$A;Portions!$B:$B);FoodItems!$A:$A;FoodItems!$D:$D))</f>
        <v/>
      </c>
      <c r="I791">
        <f>IF(E791="";"";E791/100*XLOOKUP(XLOOKUP(C791;Portions!$A:$A;Portions!$B:$B);FoodItems!$A:$A;FoodItems!$E:$E))</f>
        <v/>
      </c>
    </row>
    <row r="792">
      <c r="E792">
        <f>IF(C792="";"";D792*XLOOKUP(C792;Portions!$A:$A;Portions!$D:$D))</f>
        <v/>
      </c>
      <c r="F792">
        <f>IF(E792="";"";E792/100*XLOOKUP(XLOOKUP(C792;Portions!$A:$A;Portions!$B:$B);FoodItems!$A:$A;FoodItems!$B:$B))</f>
        <v/>
      </c>
      <c r="G792">
        <f>IF(E792="";"";E792/100*XLOOKUP(XLOOKUP(C792;Portions!$A:$A;Portions!$B:$B);FoodItems!$A:$A;FoodItems!$C:$C))</f>
        <v/>
      </c>
      <c r="H792">
        <f>IF(E792="";"";E792/100*XLOOKUP(XLOOKUP(C792;Portions!$A:$A;Portions!$B:$B);FoodItems!$A:$A;FoodItems!$D:$D))</f>
        <v/>
      </c>
      <c r="I792">
        <f>IF(E792="";"";E792/100*XLOOKUP(XLOOKUP(C792;Portions!$A:$A;Portions!$B:$B);FoodItems!$A:$A;FoodItems!$E:$E))</f>
        <v/>
      </c>
    </row>
    <row r="793">
      <c r="E793">
        <f>IF(C793="";"";D793*XLOOKUP(C793;Portions!$A:$A;Portions!$D:$D))</f>
        <v/>
      </c>
      <c r="F793">
        <f>IF(E793="";"";E793/100*XLOOKUP(XLOOKUP(C793;Portions!$A:$A;Portions!$B:$B);FoodItems!$A:$A;FoodItems!$B:$B))</f>
        <v/>
      </c>
      <c r="G793">
        <f>IF(E793="";"";E793/100*XLOOKUP(XLOOKUP(C793;Portions!$A:$A;Portions!$B:$B);FoodItems!$A:$A;FoodItems!$C:$C))</f>
        <v/>
      </c>
      <c r="H793">
        <f>IF(E793="";"";E793/100*XLOOKUP(XLOOKUP(C793;Portions!$A:$A;Portions!$B:$B);FoodItems!$A:$A;FoodItems!$D:$D))</f>
        <v/>
      </c>
      <c r="I793">
        <f>IF(E793="";"";E793/100*XLOOKUP(XLOOKUP(C793;Portions!$A:$A;Portions!$B:$B);FoodItems!$A:$A;FoodItems!$E:$E))</f>
        <v/>
      </c>
    </row>
    <row r="794">
      <c r="E794">
        <f>IF(C794="";"";D794*XLOOKUP(C794;Portions!$A:$A;Portions!$D:$D))</f>
        <v/>
      </c>
      <c r="F794">
        <f>IF(E794="";"";E794/100*XLOOKUP(XLOOKUP(C794;Portions!$A:$A;Portions!$B:$B);FoodItems!$A:$A;FoodItems!$B:$B))</f>
        <v/>
      </c>
      <c r="G794">
        <f>IF(E794="";"";E794/100*XLOOKUP(XLOOKUP(C794;Portions!$A:$A;Portions!$B:$B);FoodItems!$A:$A;FoodItems!$C:$C))</f>
        <v/>
      </c>
      <c r="H794">
        <f>IF(E794="";"";E794/100*XLOOKUP(XLOOKUP(C794;Portions!$A:$A;Portions!$B:$B);FoodItems!$A:$A;FoodItems!$D:$D))</f>
        <v/>
      </c>
      <c r="I794">
        <f>IF(E794="";"";E794/100*XLOOKUP(XLOOKUP(C794;Portions!$A:$A;Portions!$B:$B);FoodItems!$A:$A;FoodItems!$E:$E))</f>
        <v/>
      </c>
    </row>
    <row r="795">
      <c r="E795">
        <f>IF(C795="";"";D795*XLOOKUP(C795;Portions!$A:$A;Portions!$D:$D))</f>
        <v/>
      </c>
      <c r="F795">
        <f>IF(E795="";"";E795/100*XLOOKUP(XLOOKUP(C795;Portions!$A:$A;Portions!$B:$B);FoodItems!$A:$A;FoodItems!$B:$B))</f>
        <v/>
      </c>
      <c r="G795">
        <f>IF(E795="";"";E795/100*XLOOKUP(XLOOKUP(C795;Portions!$A:$A;Portions!$B:$B);FoodItems!$A:$A;FoodItems!$C:$C))</f>
        <v/>
      </c>
      <c r="H795">
        <f>IF(E795="";"";E795/100*XLOOKUP(XLOOKUP(C795;Portions!$A:$A;Portions!$B:$B);FoodItems!$A:$A;FoodItems!$D:$D))</f>
        <v/>
      </c>
      <c r="I795">
        <f>IF(E795="";"";E795/100*XLOOKUP(XLOOKUP(C795;Portions!$A:$A;Portions!$B:$B);FoodItems!$A:$A;FoodItems!$E:$E))</f>
        <v/>
      </c>
    </row>
    <row r="796">
      <c r="E796">
        <f>IF(C796="";"";D796*XLOOKUP(C796;Portions!$A:$A;Portions!$D:$D))</f>
        <v/>
      </c>
      <c r="F796">
        <f>IF(E796="";"";E796/100*XLOOKUP(XLOOKUP(C796;Portions!$A:$A;Portions!$B:$B);FoodItems!$A:$A;FoodItems!$B:$B))</f>
        <v/>
      </c>
      <c r="G796">
        <f>IF(E796="";"";E796/100*XLOOKUP(XLOOKUP(C796;Portions!$A:$A;Portions!$B:$B);FoodItems!$A:$A;FoodItems!$C:$C))</f>
        <v/>
      </c>
      <c r="H796">
        <f>IF(E796="";"";E796/100*XLOOKUP(XLOOKUP(C796;Portions!$A:$A;Portions!$B:$B);FoodItems!$A:$A;FoodItems!$D:$D))</f>
        <v/>
      </c>
      <c r="I796">
        <f>IF(E796="";"";E796/100*XLOOKUP(XLOOKUP(C796;Portions!$A:$A;Portions!$B:$B);FoodItems!$A:$A;FoodItems!$E:$E))</f>
        <v/>
      </c>
    </row>
    <row r="797">
      <c r="E797">
        <f>IF(C797="";"";D797*XLOOKUP(C797;Portions!$A:$A;Portions!$D:$D))</f>
        <v/>
      </c>
      <c r="F797">
        <f>IF(E797="";"";E797/100*XLOOKUP(XLOOKUP(C797;Portions!$A:$A;Portions!$B:$B);FoodItems!$A:$A;FoodItems!$B:$B))</f>
        <v/>
      </c>
      <c r="G797">
        <f>IF(E797="";"";E797/100*XLOOKUP(XLOOKUP(C797;Portions!$A:$A;Portions!$B:$B);FoodItems!$A:$A;FoodItems!$C:$C))</f>
        <v/>
      </c>
      <c r="H797">
        <f>IF(E797="";"";E797/100*XLOOKUP(XLOOKUP(C797;Portions!$A:$A;Portions!$B:$B);FoodItems!$A:$A;FoodItems!$D:$D))</f>
        <v/>
      </c>
      <c r="I797">
        <f>IF(E797="";"";E797/100*XLOOKUP(XLOOKUP(C797;Portions!$A:$A;Portions!$B:$B);FoodItems!$A:$A;FoodItems!$E:$E))</f>
        <v/>
      </c>
    </row>
    <row r="798">
      <c r="E798">
        <f>IF(C798="";"";D798*XLOOKUP(C798;Portions!$A:$A;Portions!$D:$D))</f>
        <v/>
      </c>
      <c r="F798">
        <f>IF(E798="";"";E798/100*XLOOKUP(XLOOKUP(C798;Portions!$A:$A;Portions!$B:$B);FoodItems!$A:$A;FoodItems!$B:$B))</f>
        <v/>
      </c>
      <c r="G798">
        <f>IF(E798="";"";E798/100*XLOOKUP(XLOOKUP(C798;Portions!$A:$A;Portions!$B:$B);FoodItems!$A:$A;FoodItems!$C:$C))</f>
        <v/>
      </c>
      <c r="H798">
        <f>IF(E798="";"";E798/100*XLOOKUP(XLOOKUP(C798;Portions!$A:$A;Portions!$B:$B);FoodItems!$A:$A;FoodItems!$D:$D))</f>
        <v/>
      </c>
      <c r="I798">
        <f>IF(E798="";"";E798/100*XLOOKUP(XLOOKUP(C798;Portions!$A:$A;Portions!$B:$B);FoodItems!$A:$A;FoodItems!$E:$E))</f>
        <v/>
      </c>
    </row>
    <row r="799">
      <c r="E799">
        <f>IF(C799="";"";D799*XLOOKUP(C799;Portions!$A:$A;Portions!$D:$D))</f>
        <v/>
      </c>
      <c r="F799">
        <f>IF(E799="";"";E799/100*XLOOKUP(XLOOKUP(C799;Portions!$A:$A;Portions!$B:$B);FoodItems!$A:$A;FoodItems!$B:$B))</f>
        <v/>
      </c>
      <c r="G799">
        <f>IF(E799="";"";E799/100*XLOOKUP(XLOOKUP(C799;Portions!$A:$A;Portions!$B:$B);FoodItems!$A:$A;FoodItems!$C:$C))</f>
        <v/>
      </c>
      <c r="H799">
        <f>IF(E799="";"";E799/100*XLOOKUP(XLOOKUP(C799;Portions!$A:$A;Portions!$B:$B);FoodItems!$A:$A;FoodItems!$D:$D))</f>
        <v/>
      </c>
      <c r="I799">
        <f>IF(E799="";"";E799/100*XLOOKUP(XLOOKUP(C799;Portions!$A:$A;Portions!$B:$B);FoodItems!$A:$A;FoodItems!$E:$E))</f>
        <v/>
      </c>
    </row>
    <row r="800">
      <c r="E800">
        <f>IF(C800="";"";D800*XLOOKUP(C800;Portions!$A:$A;Portions!$D:$D))</f>
        <v/>
      </c>
      <c r="F800">
        <f>IF(E800="";"";E800/100*XLOOKUP(XLOOKUP(C800;Portions!$A:$A;Portions!$B:$B);FoodItems!$A:$A;FoodItems!$B:$B))</f>
        <v/>
      </c>
      <c r="G800">
        <f>IF(E800="";"";E800/100*XLOOKUP(XLOOKUP(C800;Portions!$A:$A;Portions!$B:$B);FoodItems!$A:$A;FoodItems!$C:$C))</f>
        <v/>
      </c>
      <c r="H800">
        <f>IF(E800="";"";E800/100*XLOOKUP(XLOOKUP(C800;Portions!$A:$A;Portions!$B:$B);FoodItems!$A:$A;FoodItems!$D:$D))</f>
        <v/>
      </c>
      <c r="I800">
        <f>IF(E800="";"";E800/100*XLOOKUP(XLOOKUP(C800;Portions!$A:$A;Portions!$B:$B);FoodItems!$A:$A;FoodItems!$E:$E))</f>
        <v/>
      </c>
    </row>
    <row r="801">
      <c r="E801">
        <f>IF(C801="";"";D801*XLOOKUP(C801;Portions!$A:$A;Portions!$D:$D))</f>
        <v/>
      </c>
      <c r="F801">
        <f>IF(E801="";"";E801/100*XLOOKUP(XLOOKUP(C801;Portions!$A:$A;Portions!$B:$B);FoodItems!$A:$A;FoodItems!$B:$B))</f>
        <v/>
      </c>
      <c r="G801">
        <f>IF(E801="";"";E801/100*XLOOKUP(XLOOKUP(C801;Portions!$A:$A;Portions!$B:$B);FoodItems!$A:$A;FoodItems!$C:$C))</f>
        <v/>
      </c>
      <c r="H801">
        <f>IF(E801="";"";E801/100*XLOOKUP(XLOOKUP(C801;Portions!$A:$A;Portions!$B:$B);FoodItems!$A:$A;FoodItems!$D:$D))</f>
        <v/>
      </c>
      <c r="I801">
        <f>IF(E801="";"";E801/100*XLOOKUP(XLOOKUP(C801;Portions!$A:$A;Portions!$B:$B);FoodItems!$A:$A;FoodItems!$E:$E))</f>
        <v/>
      </c>
    </row>
    <row r="802">
      <c r="E802">
        <f>IF(C802="";"";D802*XLOOKUP(C802;Portions!$A:$A;Portions!$D:$D))</f>
        <v/>
      </c>
      <c r="F802">
        <f>IF(E802="";"";E802/100*XLOOKUP(XLOOKUP(C802;Portions!$A:$A;Portions!$B:$B);FoodItems!$A:$A;FoodItems!$B:$B))</f>
        <v/>
      </c>
      <c r="G802">
        <f>IF(E802="";"";E802/100*XLOOKUP(XLOOKUP(C802;Portions!$A:$A;Portions!$B:$B);FoodItems!$A:$A;FoodItems!$C:$C))</f>
        <v/>
      </c>
      <c r="H802">
        <f>IF(E802="";"";E802/100*XLOOKUP(XLOOKUP(C802;Portions!$A:$A;Portions!$B:$B);FoodItems!$A:$A;FoodItems!$D:$D))</f>
        <v/>
      </c>
      <c r="I802">
        <f>IF(E802="";"";E802/100*XLOOKUP(XLOOKUP(C802;Portions!$A:$A;Portions!$B:$B);FoodItems!$A:$A;FoodItems!$E:$E))</f>
        <v/>
      </c>
    </row>
    <row r="803">
      <c r="E803">
        <f>IF(C803="";"";D803*XLOOKUP(C803;Portions!$A:$A;Portions!$D:$D))</f>
        <v/>
      </c>
      <c r="F803">
        <f>IF(E803="";"";E803/100*XLOOKUP(XLOOKUP(C803;Portions!$A:$A;Portions!$B:$B);FoodItems!$A:$A;FoodItems!$B:$B))</f>
        <v/>
      </c>
      <c r="G803">
        <f>IF(E803="";"";E803/100*XLOOKUP(XLOOKUP(C803;Portions!$A:$A;Portions!$B:$B);FoodItems!$A:$A;FoodItems!$C:$C))</f>
        <v/>
      </c>
      <c r="H803">
        <f>IF(E803="";"";E803/100*XLOOKUP(XLOOKUP(C803;Portions!$A:$A;Portions!$B:$B);FoodItems!$A:$A;FoodItems!$D:$D))</f>
        <v/>
      </c>
      <c r="I803">
        <f>IF(E803="";"";E803/100*XLOOKUP(XLOOKUP(C803;Portions!$A:$A;Portions!$B:$B);FoodItems!$A:$A;FoodItems!$E:$E))</f>
        <v/>
      </c>
    </row>
    <row r="804">
      <c r="E804">
        <f>IF(C804="";"";D804*XLOOKUP(C804;Portions!$A:$A;Portions!$D:$D))</f>
        <v/>
      </c>
      <c r="F804">
        <f>IF(E804="";"";E804/100*XLOOKUP(XLOOKUP(C804;Portions!$A:$A;Portions!$B:$B);FoodItems!$A:$A;FoodItems!$B:$B))</f>
        <v/>
      </c>
      <c r="G804">
        <f>IF(E804="";"";E804/100*XLOOKUP(XLOOKUP(C804;Portions!$A:$A;Portions!$B:$B);FoodItems!$A:$A;FoodItems!$C:$C))</f>
        <v/>
      </c>
      <c r="H804">
        <f>IF(E804="";"";E804/100*XLOOKUP(XLOOKUP(C804;Portions!$A:$A;Portions!$B:$B);FoodItems!$A:$A;FoodItems!$D:$D))</f>
        <v/>
      </c>
      <c r="I804">
        <f>IF(E804="";"";E804/100*XLOOKUP(XLOOKUP(C804;Portions!$A:$A;Portions!$B:$B);FoodItems!$A:$A;FoodItems!$E:$E))</f>
        <v/>
      </c>
    </row>
    <row r="805">
      <c r="E805">
        <f>IF(C805="";"";D805*XLOOKUP(C805;Portions!$A:$A;Portions!$D:$D))</f>
        <v/>
      </c>
      <c r="F805">
        <f>IF(E805="";"";E805/100*XLOOKUP(XLOOKUP(C805;Portions!$A:$A;Portions!$B:$B);FoodItems!$A:$A;FoodItems!$B:$B))</f>
        <v/>
      </c>
      <c r="G805">
        <f>IF(E805="";"";E805/100*XLOOKUP(XLOOKUP(C805;Portions!$A:$A;Portions!$B:$B);FoodItems!$A:$A;FoodItems!$C:$C))</f>
        <v/>
      </c>
      <c r="H805">
        <f>IF(E805="";"";E805/100*XLOOKUP(XLOOKUP(C805;Portions!$A:$A;Portions!$B:$B);FoodItems!$A:$A;FoodItems!$D:$D))</f>
        <v/>
      </c>
      <c r="I805">
        <f>IF(E805="";"";E805/100*XLOOKUP(XLOOKUP(C805;Portions!$A:$A;Portions!$B:$B);FoodItems!$A:$A;FoodItems!$E:$E))</f>
        <v/>
      </c>
    </row>
    <row r="806">
      <c r="E806">
        <f>IF(C806="";"";D806*XLOOKUP(C806;Portions!$A:$A;Portions!$D:$D))</f>
        <v/>
      </c>
      <c r="F806">
        <f>IF(E806="";"";E806/100*XLOOKUP(XLOOKUP(C806;Portions!$A:$A;Portions!$B:$B);FoodItems!$A:$A;FoodItems!$B:$B))</f>
        <v/>
      </c>
      <c r="G806">
        <f>IF(E806="";"";E806/100*XLOOKUP(XLOOKUP(C806;Portions!$A:$A;Portions!$B:$B);FoodItems!$A:$A;FoodItems!$C:$C))</f>
        <v/>
      </c>
      <c r="H806">
        <f>IF(E806="";"";E806/100*XLOOKUP(XLOOKUP(C806;Portions!$A:$A;Portions!$B:$B);FoodItems!$A:$A;FoodItems!$D:$D))</f>
        <v/>
      </c>
      <c r="I806">
        <f>IF(E806="";"";E806/100*XLOOKUP(XLOOKUP(C806;Portions!$A:$A;Portions!$B:$B);FoodItems!$A:$A;FoodItems!$E:$E))</f>
        <v/>
      </c>
    </row>
    <row r="807">
      <c r="E807">
        <f>IF(C807="";"";D807*XLOOKUP(C807;Portions!$A:$A;Portions!$D:$D))</f>
        <v/>
      </c>
      <c r="F807">
        <f>IF(E807="";"";E807/100*XLOOKUP(XLOOKUP(C807;Portions!$A:$A;Portions!$B:$B);FoodItems!$A:$A;FoodItems!$B:$B))</f>
        <v/>
      </c>
      <c r="G807">
        <f>IF(E807="";"";E807/100*XLOOKUP(XLOOKUP(C807;Portions!$A:$A;Portions!$B:$B);FoodItems!$A:$A;FoodItems!$C:$C))</f>
        <v/>
      </c>
      <c r="H807">
        <f>IF(E807="";"";E807/100*XLOOKUP(XLOOKUP(C807;Portions!$A:$A;Portions!$B:$B);FoodItems!$A:$A;FoodItems!$D:$D))</f>
        <v/>
      </c>
      <c r="I807">
        <f>IF(E807="";"";E807/100*XLOOKUP(XLOOKUP(C807;Portions!$A:$A;Portions!$B:$B);FoodItems!$A:$A;FoodItems!$E:$E))</f>
        <v/>
      </c>
    </row>
    <row r="808">
      <c r="E808">
        <f>IF(C808="";"";D808*XLOOKUP(C808;Portions!$A:$A;Portions!$D:$D))</f>
        <v/>
      </c>
      <c r="F808">
        <f>IF(E808="";"";E808/100*XLOOKUP(XLOOKUP(C808;Portions!$A:$A;Portions!$B:$B);FoodItems!$A:$A;FoodItems!$B:$B))</f>
        <v/>
      </c>
      <c r="G808">
        <f>IF(E808="";"";E808/100*XLOOKUP(XLOOKUP(C808;Portions!$A:$A;Portions!$B:$B);FoodItems!$A:$A;FoodItems!$C:$C))</f>
        <v/>
      </c>
      <c r="H808">
        <f>IF(E808="";"";E808/100*XLOOKUP(XLOOKUP(C808;Portions!$A:$A;Portions!$B:$B);FoodItems!$A:$A;FoodItems!$D:$D))</f>
        <v/>
      </c>
      <c r="I808">
        <f>IF(E808="";"";E808/100*XLOOKUP(XLOOKUP(C808;Portions!$A:$A;Portions!$B:$B);FoodItems!$A:$A;FoodItems!$E:$E))</f>
        <v/>
      </c>
    </row>
    <row r="809">
      <c r="E809">
        <f>IF(C809="";"";D809*XLOOKUP(C809;Portions!$A:$A;Portions!$D:$D))</f>
        <v/>
      </c>
      <c r="F809">
        <f>IF(E809="";"";E809/100*XLOOKUP(XLOOKUP(C809;Portions!$A:$A;Portions!$B:$B);FoodItems!$A:$A;FoodItems!$B:$B))</f>
        <v/>
      </c>
      <c r="G809">
        <f>IF(E809="";"";E809/100*XLOOKUP(XLOOKUP(C809;Portions!$A:$A;Portions!$B:$B);FoodItems!$A:$A;FoodItems!$C:$C))</f>
        <v/>
      </c>
      <c r="H809">
        <f>IF(E809="";"";E809/100*XLOOKUP(XLOOKUP(C809;Portions!$A:$A;Portions!$B:$B);FoodItems!$A:$A;FoodItems!$D:$D))</f>
        <v/>
      </c>
      <c r="I809">
        <f>IF(E809="";"";E809/100*XLOOKUP(XLOOKUP(C809;Portions!$A:$A;Portions!$B:$B);FoodItems!$A:$A;FoodItems!$E:$E))</f>
        <v/>
      </c>
    </row>
    <row r="810">
      <c r="E810">
        <f>IF(C810="";"";D810*XLOOKUP(C810;Portions!$A:$A;Portions!$D:$D))</f>
        <v/>
      </c>
      <c r="F810">
        <f>IF(E810="";"";E810/100*XLOOKUP(XLOOKUP(C810;Portions!$A:$A;Portions!$B:$B);FoodItems!$A:$A;FoodItems!$B:$B))</f>
        <v/>
      </c>
      <c r="G810">
        <f>IF(E810="";"";E810/100*XLOOKUP(XLOOKUP(C810;Portions!$A:$A;Portions!$B:$B);FoodItems!$A:$A;FoodItems!$C:$C))</f>
        <v/>
      </c>
      <c r="H810">
        <f>IF(E810="";"";E810/100*XLOOKUP(XLOOKUP(C810;Portions!$A:$A;Portions!$B:$B);FoodItems!$A:$A;FoodItems!$D:$D))</f>
        <v/>
      </c>
      <c r="I810">
        <f>IF(E810="";"";E810/100*XLOOKUP(XLOOKUP(C810;Portions!$A:$A;Portions!$B:$B);FoodItems!$A:$A;FoodItems!$E:$E))</f>
        <v/>
      </c>
    </row>
    <row r="811">
      <c r="E811">
        <f>IF(C811="";"";D811*XLOOKUP(C811;Portions!$A:$A;Portions!$D:$D))</f>
        <v/>
      </c>
      <c r="F811">
        <f>IF(E811="";"";E811/100*XLOOKUP(XLOOKUP(C811;Portions!$A:$A;Portions!$B:$B);FoodItems!$A:$A;FoodItems!$B:$B))</f>
        <v/>
      </c>
      <c r="G811">
        <f>IF(E811="";"";E811/100*XLOOKUP(XLOOKUP(C811;Portions!$A:$A;Portions!$B:$B);FoodItems!$A:$A;FoodItems!$C:$C))</f>
        <v/>
      </c>
      <c r="H811">
        <f>IF(E811="";"";E811/100*XLOOKUP(XLOOKUP(C811;Portions!$A:$A;Portions!$B:$B);FoodItems!$A:$A;FoodItems!$D:$D))</f>
        <v/>
      </c>
      <c r="I811">
        <f>IF(E811="";"";E811/100*XLOOKUP(XLOOKUP(C811;Portions!$A:$A;Portions!$B:$B);FoodItems!$A:$A;FoodItems!$E:$E))</f>
        <v/>
      </c>
    </row>
    <row r="812">
      <c r="E812">
        <f>IF(C812="";"";D812*XLOOKUP(C812;Portions!$A:$A;Portions!$D:$D))</f>
        <v/>
      </c>
      <c r="F812">
        <f>IF(E812="";"";E812/100*XLOOKUP(XLOOKUP(C812;Portions!$A:$A;Portions!$B:$B);FoodItems!$A:$A;FoodItems!$B:$B))</f>
        <v/>
      </c>
      <c r="G812">
        <f>IF(E812="";"";E812/100*XLOOKUP(XLOOKUP(C812;Portions!$A:$A;Portions!$B:$B);FoodItems!$A:$A;FoodItems!$C:$C))</f>
        <v/>
      </c>
      <c r="H812">
        <f>IF(E812="";"";E812/100*XLOOKUP(XLOOKUP(C812;Portions!$A:$A;Portions!$B:$B);FoodItems!$A:$A;FoodItems!$D:$D))</f>
        <v/>
      </c>
      <c r="I812">
        <f>IF(E812="";"";E812/100*XLOOKUP(XLOOKUP(C812;Portions!$A:$A;Portions!$B:$B);FoodItems!$A:$A;FoodItems!$E:$E))</f>
        <v/>
      </c>
    </row>
    <row r="813">
      <c r="E813">
        <f>IF(C813="";"";D813*XLOOKUP(C813;Portions!$A:$A;Portions!$D:$D))</f>
        <v/>
      </c>
      <c r="F813">
        <f>IF(E813="";"";E813/100*XLOOKUP(XLOOKUP(C813;Portions!$A:$A;Portions!$B:$B);FoodItems!$A:$A;FoodItems!$B:$B))</f>
        <v/>
      </c>
      <c r="G813">
        <f>IF(E813="";"";E813/100*XLOOKUP(XLOOKUP(C813;Portions!$A:$A;Portions!$B:$B);FoodItems!$A:$A;FoodItems!$C:$C))</f>
        <v/>
      </c>
      <c r="H813">
        <f>IF(E813="";"";E813/100*XLOOKUP(XLOOKUP(C813;Portions!$A:$A;Portions!$B:$B);FoodItems!$A:$A;FoodItems!$D:$D))</f>
        <v/>
      </c>
      <c r="I813">
        <f>IF(E813="";"";E813/100*XLOOKUP(XLOOKUP(C813;Portions!$A:$A;Portions!$B:$B);FoodItems!$A:$A;FoodItems!$E:$E))</f>
        <v/>
      </c>
    </row>
    <row r="814">
      <c r="E814">
        <f>IF(C814="";"";D814*XLOOKUP(C814;Portions!$A:$A;Portions!$D:$D))</f>
        <v/>
      </c>
      <c r="F814">
        <f>IF(E814="";"";E814/100*XLOOKUP(XLOOKUP(C814;Portions!$A:$A;Portions!$B:$B);FoodItems!$A:$A;FoodItems!$B:$B))</f>
        <v/>
      </c>
      <c r="G814">
        <f>IF(E814="";"";E814/100*XLOOKUP(XLOOKUP(C814;Portions!$A:$A;Portions!$B:$B);FoodItems!$A:$A;FoodItems!$C:$C))</f>
        <v/>
      </c>
      <c r="H814">
        <f>IF(E814="";"";E814/100*XLOOKUP(XLOOKUP(C814;Portions!$A:$A;Portions!$B:$B);FoodItems!$A:$A;FoodItems!$D:$D))</f>
        <v/>
      </c>
      <c r="I814">
        <f>IF(E814="";"";E814/100*XLOOKUP(XLOOKUP(C814;Portions!$A:$A;Portions!$B:$B);FoodItems!$A:$A;FoodItems!$E:$E))</f>
        <v/>
      </c>
    </row>
    <row r="815">
      <c r="E815">
        <f>IF(C815="";"";D815*XLOOKUP(C815;Portions!$A:$A;Portions!$D:$D))</f>
        <v/>
      </c>
      <c r="F815">
        <f>IF(E815="";"";E815/100*XLOOKUP(XLOOKUP(C815;Portions!$A:$A;Portions!$B:$B);FoodItems!$A:$A;FoodItems!$B:$B))</f>
        <v/>
      </c>
      <c r="G815">
        <f>IF(E815="";"";E815/100*XLOOKUP(XLOOKUP(C815;Portions!$A:$A;Portions!$B:$B);FoodItems!$A:$A;FoodItems!$C:$C))</f>
        <v/>
      </c>
      <c r="H815">
        <f>IF(E815="";"";E815/100*XLOOKUP(XLOOKUP(C815;Portions!$A:$A;Portions!$B:$B);FoodItems!$A:$A;FoodItems!$D:$D))</f>
        <v/>
      </c>
      <c r="I815">
        <f>IF(E815="";"";E815/100*XLOOKUP(XLOOKUP(C815;Portions!$A:$A;Portions!$B:$B);FoodItems!$A:$A;FoodItems!$E:$E))</f>
        <v/>
      </c>
    </row>
    <row r="816">
      <c r="E816">
        <f>IF(C816="";"";D816*XLOOKUP(C816;Portions!$A:$A;Portions!$D:$D))</f>
        <v/>
      </c>
      <c r="F816">
        <f>IF(E816="";"";E816/100*XLOOKUP(XLOOKUP(C816;Portions!$A:$A;Portions!$B:$B);FoodItems!$A:$A;FoodItems!$B:$B))</f>
        <v/>
      </c>
      <c r="G816">
        <f>IF(E816="";"";E816/100*XLOOKUP(XLOOKUP(C816;Portions!$A:$A;Portions!$B:$B);FoodItems!$A:$A;FoodItems!$C:$C))</f>
        <v/>
      </c>
      <c r="H816">
        <f>IF(E816="";"";E816/100*XLOOKUP(XLOOKUP(C816;Portions!$A:$A;Portions!$B:$B);FoodItems!$A:$A;FoodItems!$D:$D))</f>
        <v/>
      </c>
      <c r="I816">
        <f>IF(E816="";"";E816/100*XLOOKUP(XLOOKUP(C816;Portions!$A:$A;Portions!$B:$B);FoodItems!$A:$A;FoodItems!$E:$E))</f>
        <v/>
      </c>
    </row>
    <row r="817">
      <c r="E817">
        <f>IF(C817="";"";D817*XLOOKUP(C817;Portions!$A:$A;Portions!$D:$D))</f>
        <v/>
      </c>
      <c r="F817">
        <f>IF(E817="";"";E817/100*XLOOKUP(XLOOKUP(C817;Portions!$A:$A;Portions!$B:$B);FoodItems!$A:$A;FoodItems!$B:$B))</f>
        <v/>
      </c>
      <c r="G817">
        <f>IF(E817="";"";E817/100*XLOOKUP(XLOOKUP(C817;Portions!$A:$A;Portions!$B:$B);FoodItems!$A:$A;FoodItems!$C:$C))</f>
        <v/>
      </c>
      <c r="H817">
        <f>IF(E817="";"";E817/100*XLOOKUP(XLOOKUP(C817;Portions!$A:$A;Portions!$B:$B);FoodItems!$A:$A;FoodItems!$D:$D))</f>
        <v/>
      </c>
      <c r="I817">
        <f>IF(E817="";"";E817/100*XLOOKUP(XLOOKUP(C817;Portions!$A:$A;Portions!$B:$B);FoodItems!$A:$A;FoodItems!$E:$E))</f>
        <v/>
      </c>
    </row>
    <row r="818">
      <c r="E818">
        <f>IF(C818="";"";D818*XLOOKUP(C818;Portions!$A:$A;Portions!$D:$D))</f>
        <v/>
      </c>
      <c r="F818">
        <f>IF(E818="";"";E818/100*XLOOKUP(XLOOKUP(C818;Portions!$A:$A;Portions!$B:$B);FoodItems!$A:$A;FoodItems!$B:$B))</f>
        <v/>
      </c>
      <c r="G818">
        <f>IF(E818="";"";E818/100*XLOOKUP(XLOOKUP(C818;Portions!$A:$A;Portions!$B:$B);FoodItems!$A:$A;FoodItems!$C:$C))</f>
        <v/>
      </c>
      <c r="H818">
        <f>IF(E818="";"";E818/100*XLOOKUP(XLOOKUP(C818;Portions!$A:$A;Portions!$B:$B);FoodItems!$A:$A;FoodItems!$D:$D))</f>
        <v/>
      </c>
      <c r="I818">
        <f>IF(E818="";"";E818/100*XLOOKUP(XLOOKUP(C818;Portions!$A:$A;Portions!$B:$B);FoodItems!$A:$A;FoodItems!$E:$E))</f>
        <v/>
      </c>
    </row>
    <row r="819">
      <c r="E819">
        <f>IF(C819="";"";D819*XLOOKUP(C819;Portions!$A:$A;Portions!$D:$D))</f>
        <v/>
      </c>
      <c r="F819">
        <f>IF(E819="";"";E819/100*XLOOKUP(XLOOKUP(C819;Portions!$A:$A;Portions!$B:$B);FoodItems!$A:$A;FoodItems!$B:$B))</f>
        <v/>
      </c>
      <c r="G819">
        <f>IF(E819="";"";E819/100*XLOOKUP(XLOOKUP(C819;Portions!$A:$A;Portions!$B:$B);FoodItems!$A:$A;FoodItems!$C:$C))</f>
        <v/>
      </c>
      <c r="H819">
        <f>IF(E819="";"";E819/100*XLOOKUP(XLOOKUP(C819;Portions!$A:$A;Portions!$B:$B);FoodItems!$A:$A;FoodItems!$D:$D))</f>
        <v/>
      </c>
      <c r="I819">
        <f>IF(E819="";"";E819/100*XLOOKUP(XLOOKUP(C819;Portions!$A:$A;Portions!$B:$B);FoodItems!$A:$A;FoodItems!$E:$E))</f>
        <v/>
      </c>
    </row>
    <row r="820">
      <c r="E820">
        <f>IF(C820="";"";D820*XLOOKUP(C820;Portions!$A:$A;Portions!$D:$D))</f>
        <v/>
      </c>
      <c r="F820">
        <f>IF(E820="";"";E820/100*XLOOKUP(XLOOKUP(C820;Portions!$A:$A;Portions!$B:$B);FoodItems!$A:$A;FoodItems!$B:$B))</f>
        <v/>
      </c>
      <c r="G820">
        <f>IF(E820="";"";E820/100*XLOOKUP(XLOOKUP(C820;Portions!$A:$A;Portions!$B:$B);FoodItems!$A:$A;FoodItems!$C:$C))</f>
        <v/>
      </c>
      <c r="H820">
        <f>IF(E820="";"";E820/100*XLOOKUP(XLOOKUP(C820;Portions!$A:$A;Portions!$B:$B);FoodItems!$A:$A;FoodItems!$D:$D))</f>
        <v/>
      </c>
      <c r="I820">
        <f>IF(E820="";"";E820/100*XLOOKUP(XLOOKUP(C820;Portions!$A:$A;Portions!$B:$B);FoodItems!$A:$A;FoodItems!$E:$E))</f>
        <v/>
      </c>
    </row>
    <row r="821">
      <c r="E821">
        <f>IF(C821="";"";D821*XLOOKUP(C821;Portions!$A:$A;Portions!$D:$D))</f>
        <v/>
      </c>
      <c r="F821">
        <f>IF(E821="";"";E821/100*XLOOKUP(XLOOKUP(C821;Portions!$A:$A;Portions!$B:$B);FoodItems!$A:$A;FoodItems!$B:$B))</f>
        <v/>
      </c>
      <c r="G821">
        <f>IF(E821="";"";E821/100*XLOOKUP(XLOOKUP(C821;Portions!$A:$A;Portions!$B:$B);FoodItems!$A:$A;FoodItems!$C:$C))</f>
        <v/>
      </c>
      <c r="H821">
        <f>IF(E821="";"";E821/100*XLOOKUP(XLOOKUP(C821;Portions!$A:$A;Portions!$B:$B);FoodItems!$A:$A;FoodItems!$D:$D))</f>
        <v/>
      </c>
      <c r="I821">
        <f>IF(E821="";"";E821/100*XLOOKUP(XLOOKUP(C821;Portions!$A:$A;Portions!$B:$B);FoodItems!$A:$A;FoodItems!$E:$E))</f>
        <v/>
      </c>
    </row>
    <row r="822">
      <c r="E822">
        <f>IF(C822="";"";D822*XLOOKUP(C822;Portions!$A:$A;Portions!$D:$D))</f>
        <v/>
      </c>
      <c r="F822">
        <f>IF(E822="";"";E822/100*XLOOKUP(XLOOKUP(C822;Portions!$A:$A;Portions!$B:$B);FoodItems!$A:$A;FoodItems!$B:$B))</f>
        <v/>
      </c>
      <c r="G822">
        <f>IF(E822="";"";E822/100*XLOOKUP(XLOOKUP(C822;Portions!$A:$A;Portions!$B:$B);FoodItems!$A:$A;FoodItems!$C:$C))</f>
        <v/>
      </c>
      <c r="H822">
        <f>IF(E822="";"";E822/100*XLOOKUP(XLOOKUP(C822;Portions!$A:$A;Portions!$B:$B);FoodItems!$A:$A;FoodItems!$D:$D))</f>
        <v/>
      </c>
      <c r="I822">
        <f>IF(E822="";"";E822/100*XLOOKUP(XLOOKUP(C822;Portions!$A:$A;Portions!$B:$B);FoodItems!$A:$A;FoodItems!$E:$E))</f>
        <v/>
      </c>
    </row>
    <row r="823">
      <c r="E823">
        <f>IF(C823="";"";D823*XLOOKUP(C823;Portions!$A:$A;Portions!$D:$D))</f>
        <v/>
      </c>
      <c r="F823">
        <f>IF(E823="";"";E823/100*XLOOKUP(XLOOKUP(C823;Portions!$A:$A;Portions!$B:$B);FoodItems!$A:$A;FoodItems!$B:$B))</f>
        <v/>
      </c>
      <c r="G823">
        <f>IF(E823="";"";E823/100*XLOOKUP(XLOOKUP(C823;Portions!$A:$A;Portions!$B:$B);FoodItems!$A:$A;FoodItems!$C:$C))</f>
        <v/>
      </c>
      <c r="H823">
        <f>IF(E823="";"";E823/100*XLOOKUP(XLOOKUP(C823;Portions!$A:$A;Portions!$B:$B);FoodItems!$A:$A;FoodItems!$D:$D))</f>
        <v/>
      </c>
      <c r="I823">
        <f>IF(E823="";"";E823/100*XLOOKUP(XLOOKUP(C823;Portions!$A:$A;Portions!$B:$B);FoodItems!$A:$A;FoodItems!$E:$E))</f>
        <v/>
      </c>
    </row>
    <row r="824">
      <c r="E824">
        <f>IF(C824="";"";D824*XLOOKUP(C824;Portions!$A:$A;Portions!$D:$D))</f>
        <v/>
      </c>
      <c r="F824">
        <f>IF(E824="";"";E824/100*XLOOKUP(XLOOKUP(C824;Portions!$A:$A;Portions!$B:$B);FoodItems!$A:$A;FoodItems!$B:$B))</f>
        <v/>
      </c>
      <c r="G824">
        <f>IF(E824="";"";E824/100*XLOOKUP(XLOOKUP(C824;Portions!$A:$A;Portions!$B:$B);FoodItems!$A:$A;FoodItems!$C:$C))</f>
        <v/>
      </c>
      <c r="H824">
        <f>IF(E824="";"";E824/100*XLOOKUP(XLOOKUP(C824;Portions!$A:$A;Portions!$B:$B);FoodItems!$A:$A;FoodItems!$D:$D))</f>
        <v/>
      </c>
      <c r="I824">
        <f>IF(E824="";"";E824/100*XLOOKUP(XLOOKUP(C824;Portions!$A:$A;Portions!$B:$B);FoodItems!$A:$A;FoodItems!$E:$E))</f>
        <v/>
      </c>
    </row>
    <row r="825">
      <c r="E825">
        <f>IF(C825="";"";D825*XLOOKUP(C825;Portions!$A:$A;Portions!$D:$D))</f>
        <v/>
      </c>
      <c r="F825">
        <f>IF(E825="";"";E825/100*XLOOKUP(XLOOKUP(C825;Portions!$A:$A;Portions!$B:$B);FoodItems!$A:$A;FoodItems!$B:$B))</f>
        <v/>
      </c>
      <c r="G825">
        <f>IF(E825="";"";E825/100*XLOOKUP(XLOOKUP(C825;Portions!$A:$A;Portions!$B:$B);FoodItems!$A:$A;FoodItems!$C:$C))</f>
        <v/>
      </c>
      <c r="H825">
        <f>IF(E825="";"";E825/100*XLOOKUP(XLOOKUP(C825;Portions!$A:$A;Portions!$B:$B);FoodItems!$A:$A;FoodItems!$D:$D))</f>
        <v/>
      </c>
      <c r="I825">
        <f>IF(E825="";"";E825/100*XLOOKUP(XLOOKUP(C825;Portions!$A:$A;Portions!$B:$B);FoodItems!$A:$A;FoodItems!$E:$E))</f>
        <v/>
      </c>
    </row>
    <row r="826">
      <c r="E826">
        <f>IF(C826="";"";D826*XLOOKUP(C826;Portions!$A:$A;Portions!$D:$D))</f>
        <v/>
      </c>
      <c r="F826">
        <f>IF(E826="";"";E826/100*XLOOKUP(XLOOKUP(C826;Portions!$A:$A;Portions!$B:$B);FoodItems!$A:$A;FoodItems!$B:$B))</f>
        <v/>
      </c>
      <c r="G826">
        <f>IF(E826="";"";E826/100*XLOOKUP(XLOOKUP(C826;Portions!$A:$A;Portions!$B:$B);FoodItems!$A:$A;FoodItems!$C:$C))</f>
        <v/>
      </c>
      <c r="H826">
        <f>IF(E826="";"";E826/100*XLOOKUP(XLOOKUP(C826;Portions!$A:$A;Portions!$B:$B);FoodItems!$A:$A;FoodItems!$D:$D))</f>
        <v/>
      </c>
      <c r="I826">
        <f>IF(E826="";"";E826/100*XLOOKUP(XLOOKUP(C826;Portions!$A:$A;Portions!$B:$B);FoodItems!$A:$A;FoodItems!$E:$E))</f>
        <v/>
      </c>
    </row>
    <row r="827">
      <c r="E827">
        <f>IF(C827="";"";D827*XLOOKUP(C827;Portions!$A:$A;Portions!$D:$D))</f>
        <v/>
      </c>
      <c r="F827">
        <f>IF(E827="";"";E827/100*XLOOKUP(XLOOKUP(C827;Portions!$A:$A;Portions!$B:$B);FoodItems!$A:$A;FoodItems!$B:$B))</f>
        <v/>
      </c>
      <c r="G827">
        <f>IF(E827="";"";E827/100*XLOOKUP(XLOOKUP(C827;Portions!$A:$A;Portions!$B:$B);FoodItems!$A:$A;FoodItems!$C:$C))</f>
        <v/>
      </c>
      <c r="H827">
        <f>IF(E827="";"";E827/100*XLOOKUP(XLOOKUP(C827;Portions!$A:$A;Portions!$B:$B);FoodItems!$A:$A;FoodItems!$D:$D))</f>
        <v/>
      </c>
      <c r="I827">
        <f>IF(E827="";"";E827/100*XLOOKUP(XLOOKUP(C827;Portions!$A:$A;Portions!$B:$B);FoodItems!$A:$A;FoodItems!$E:$E))</f>
        <v/>
      </c>
    </row>
    <row r="828">
      <c r="E828">
        <f>IF(C828="";"";D828*XLOOKUP(C828;Portions!$A:$A;Portions!$D:$D))</f>
        <v/>
      </c>
      <c r="F828">
        <f>IF(E828="";"";E828/100*XLOOKUP(XLOOKUP(C828;Portions!$A:$A;Portions!$B:$B);FoodItems!$A:$A;FoodItems!$B:$B))</f>
        <v/>
      </c>
      <c r="G828">
        <f>IF(E828="";"";E828/100*XLOOKUP(XLOOKUP(C828;Portions!$A:$A;Portions!$B:$B);FoodItems!$A:$A;FoodItems!$C:$C))</f>
        <v/>
      </c>
      <c r="H828">
        <f>IF(E828="";"";E828/100*XLOOKUP(XLOOKUP(C828;Portions!$A:$A;Portions!$B:$B);FoodItems!$A:$A;FoodItems!$D:$D))</f>
        <v/>
      </c>
      <c r="I828">
        <f>IF(E828="";"";E828/100*XLOOKUP(XLOOKUP(C828;Portions!$A:$A;Portions!$B:$B);FoodItems!$A:$A;FoodItems!$E:$E))</f>
        <v/>
      </c>
    </row>
    <row r="829">
      <c r="E829">
        <f>IF(C829="";"";D829*XLOOKUP(C829;Portions!$A:$A;Portions!$D:$D))</f>
        <v/>
      </c>
      <c r="F829">
        <f>IF(E829="";"";E829/100*XLOOKUP(XLOOKUP(C829;Portions!$A:$A;Portions!$B:$B);FoodItems!$A:$A;FoodItems!$B:$B))</f>
        <v/>
      </c>
      <c r="G829">
        <f>IF(E829="";"";E829/100*XLOOKUP(XLOOKUP(C829;Portions!$A:$A;Portions!$B:$B);FoodItems!$A:$A;FoodItems!$C:$C))</f>
        <v/>
      </c>
      <c r="H829">
        <f>IF(E829="";"";E829/100*XLOOKUP(XLOOKUP(C829;Portions!$A:$A;Portions!$B:$B);FoodItems!$A:$A;FoodItems!$D:$D))</f>
        <v/>
      </c>
      <c r="I829">
        <f>IF(E829="";"";E829/100*XLOOKUP(XLOOKUP(C829;Portions!$A:$A;Portions!$B:$B);FoodItems!$A:$A;FoodItems!$E:$E))</f>
        <v/>
      </c>
    </row>
    <row r="830">
      <c r="E830">
        <f>IF(C830="";"";D830*XLOOKUP(C830;Portions!$A:$A;Portions!$D:$D))</f>
        <v/>
      </c>
      <c r="F830">
        <f>IF(E830="";"";E830/100*XLOOKUP(XLOOKUP(C830;Portions!$A:$A;Portions!$B:$B);FoodItems!$A:$A;FoodItems!$B:$B))</f>
        <v/>
      </c>
      <c r="G830">
        <f>IF(E830="";"";E830/100*XLOOKUP(XLOOKUP(C830;Portions!$A:$A;Portions!$B:$B);FoodItems!$A:$A;FoodItems!$C:$C))</f>
        <v/>
      </c>
      <c r="H830">
        <f>IF(E830="";"";E830/100*XLOOKUP(XLOOKUP(C830;Portions!$A:$A;Portions!$B:$B);FoodItems!$A:$A;FoodItems!$D:$D))</f>
        <v/>
      </c>
      <c r="I830">
        <f>IF(E830="";"";E830/100*XLOOKUP(XLOOKUP(C830;Portions!$A:$A;Portions!$B:$B);FoodItems!$A:$A;FoodItems!$E:$E))</f>
        <v/>
      </c>
    </row>
    <row r="831">
      <c r="E831">
        <f>IF(C831="";"";D831*XLOOKUP(C831;Portions!$A:$A;Portions!$D:$D))</f>
        <v/>
      </c>
      <c r="F831">
        <f>IF(E831="";"";E831/100*XLOOKUP(XLOOKUP(C831;Portions!$A:$A;Portions!$B:$B);FoodItems!$A:$A;FoodItems!$B:$B))</f>
        <v/>
      </c>
      <c r="G831">
        <f>IF(E831="";"";E831/100*XLOOKUP(XLOOKUP(C831;Portions!$A:$A;Portions!$B:$B);FoodItems!$A:$A;FoodItems!$C:$C))</f>
        <v/>
      </c>
      <c r="H831">
        <f>IF(E831="";"";E831/100*XLOOKUP(XLOOKUP(C831;Portions!$A:$A;Portions!$B:$B);FoodItems!$A:$A;FoodItems!$D:$D))</f>
        <v/>
      </c>
      <c r="I831">
        <f>IF(E831="";"";E831/100*XLOOKUP(XLOOKUP(C831;Portions!$A:$A;Portions!$B:$B);FoodItems!$A:$A;FoodItems!$E:$E))</f>
        <v/>
      </c>
    </row>
    <row r="832">
      <c r="E832">
        <f>IF(C832="";"";D832*XLOOKUP(C832;Portions!$A:$A;Portions!$D:$D))</f>
        <v/>
      </c>
      <c r="F832">
        <f>IF(E832="";"";E832/100*XLOOKUP(XLOOKUP(C832;Portions!$A:$A;Portions!$B:$B);FoodItems!$A:$A;FoodItems!$B:$B))</f>
        <v/>
      </c>
      <c r="G832">
        <f>IF(E832="";"";E832/100*XLOOKUP(XLOOKUP(C832;Portions!$A:$A;Portions!$B:$B);FoodItems!$A:$A;FoodItems!$C:$C))</f>
        <v/>
      </c>
      <c r="H832">
        <f>IF(E832="";"";E832/100*XLOOKUP(XLOOKUP(C832;Portions!$A:$A;Portions!$B:$B);FoodItems!$A:$A;FoodItems!$D:$D))</f>
        <v/>
      </c>
      <c r="I832">
        <f>IF(E832="";"";E832/100*XLOOKUP(XLOOKUP(C832;Portions!$A:$A;Portions!$B:$B);FoodItems!$A:$A;FoodItems!$E:$E))</f>
        <v/>
      </c>
    </row>
    <row r="833">
      <c r="E833">
        <f>IF(C833="";"";D833*XLOOKUP(C833;Portions!$A:$A;Portions!$D:$D))</f>
        <v/>
      </c>
      <c r="F833">
        <f>IF(E833="";"";E833/100*XLOOKUP(XLOOKUP(C833;Portions!$A:$A;Portions!$B:$B);FoodItems!$A:$A;FoodItems!$B:$B))</f>
        <v/>
      </c>
      <c r="G833">
        <f>IF(E833="";"";E833/100*XLOOKUP(XLOOKUP(C833;Portions!$A:$A;Portions!$B:$B);FoodItems!$A:$A;FoodItems!$C:$C))</f>
        <v/>
      </c>
      <c r="H833">
        <f>IF(E833="";"";E833/100*XLOOKUP(XLOOKUP(C833;Portions!$A:$A;Portions!$B:$B);FoodItems!$A:$A;FoodItems!$D:$D))</f>
        <v/>
      </c>
      <c r="I833">
        <f>IF(E833="";"";E833/100*XLOOKUP(XLOOKUP(C833;Portions!$A:$A;Portions!$B:$B);FoodItems!$A:$A;FoodItems!$E:$E))</f>
        <v/>
      </c>
    </row>
    <row r="834">
      <c r="E834">
        <f>IF(C834="";"";D834*XLOOKUP(C834;Portions!$A:$A;Portions!$D:$D))</f>
        <v/>
      </c>
      <c r="F834">
        <f>IF(E834="";"";E834/100*XLOOKUP(XLOOKUP(C834;Portions!$A:$A;Portions!$B:$B);FoodItems!$A:$A;FoodItems!$B:$B))</f>
        <v/>
      </c>
      <c r="G834">
        <f>IF(E834="";"";E834/100*XLOOKUP(XLOOKUP(C834;Portions!$A:$A;Portions!$B:$B);FoodItems!$A:$A;FoodItems!$C:$C))</f>
        <v/>
      </c>
      <c r="H834">
        <f>IF(E834="";"";E834/100*XLOOKUP(XLOOKUP(C834;Portions!$A:$A;Portions!$B:$B);FoodItems!$A:$A;FoodItems!$D:$D))</f>
        <v/>
      </c>
      <c r="I834">
        <f>IF(E834="";"";E834/100*XLOOKUP(XLOOKUP(C834;Portions!$A:$A;Portions!$B:$B);FoodItems!$A:$A;FoodItems!$E:$E))</f>
        <v/>
      </c>
    </row>
    <row r="835">
      <c r="E835">
        <f>IF(C835="";"";D835*XLOOKUP(C835;Portions!$A:$A;Portions!$D:$D))</f>
        <v/>
      </c>
      <c r="F835">
        <f>IF(E835="";"";E835/100*XLOOKUP(XLOOKUP(C835;Portions!$A:$A;Portions!$B:$B);FoodItems!$A:$A;FoodItems!$B:$B))</f>
        <v/>
      </c>
      <c r="G835">
        <f>IF(E835="";"";E835/100*XLOOKUP(XLOOKUP(C835;Portions!$A:$A;Portions!$B:$B);FoodItems!$A:$A;FoodItems!$C:$C))</f>
        <v/>
      </c>
      <c r="H835">
        <f>IF(E835="";"";E835/100*XLOOKUP(XLOOKUP(C835;Portions!$A:$A;Portions!$B:$B);FoodItems!$A:$A;FoodItems!$D:$D))</f>
        <v/>
      </c>
      <c r="I835">
        <f>IF(E835="";"";E835/100*XLOOKUP(XLOOKUP(C835;Portions!$A:$A;Portions!$B:$B);FoodItems!$A:$A;FoodItems!$E:$E))</f>
        <v/>
      </c>
    </row>
    <row r="836">
      <c r="E836">
        <f>IF(C836="";"";D836*XLOOKUP(C836;Portions!$A:$A;Portions!$D:$D))</f>
        <v/>
      </c>
      <c r="F836">
        <f>IF(E836="";"";E836/100*XLOOKUP(XLOOKUP(C836;Portions!$A:$A;Portions!$B:$B);FoodItems!$A:$A;FoodItems!$B:$B))</f>
        <v/>
      </c>
      <c r="G836">
        <f>IF(E836="";"";E836/100*XLOOKUP(XLOOKUP(C836;Portions!$A:$A;Portions!$B:$B);FoodItems!$A:$A;FoodItems!$C:$C))</f>
        <v/>
      </c>
      <c r="H836">
        <f>IF(E836="";"";E836/100*XLOOKUP(XLOOKUP(C836;Portions!$A:$A;Portions!$B:$B);FoodItems!$A:$A;FoodItems!$D:$D))</f>
        <v/>
      </c>
      <c r="I836">
        <f>IF(E836="";"";E836/100*XLOOKUP(XLOOKUP(C836;Portions!$A:$A;Portions!$B:$B);FoodItems!$A:$A;FoodItems!$E:$E))</f>
        <v/>
      </c>
    </row>
    <row r="837">
      <c r="E837">
        <f>IF(C837="";"";D837*XLOOKUP(C837;Portions!$A:$A;Portions!$D:$D))</f>
        <v/>
      </c>
      <c r="F837">
        <f>IF(E837="";"";E837/100*XLOOKUP(XLOOKUP(C837;Portions!$A:$A;Portions!$B:$B);FoodItems!$A:$A;FoodItems!$B:$B))</f>
        <v/>
      </c>
      <c r="G837">
        <f>IF(E837="";"";E837/100*XLOOKUP(XLOOKUP(C837;Portions!$A:$A;Portions!$B:$B);FoodItems!$A:$A;FoodItems!$C:$C))</f>
        <v/>
      </c>
      <c r="H837">
        <f>IF(E837="";"";E837/100*XLOOKUP(XLOOKUP(C837;Portions!$A:$A;Portions!$B:$B);FoodItems!$A:$A;FoodItems!$D:$D))</f>
        <v/>
      </c>
      <c r="I837">
        <f>IF(E837="";"";E837/100*XLOOKUP(XLOOKUP(C837;Portions!$A:$A;Portions!$B:$B);FoodItems!$A:$A;FoodItems!$E:$E))</f>
        <v/>
      </c>
    </row>
    <row r="838">
      <c r="E838">
        <f>IF(C838="";"";D838*XLOOKUP(C838;Portions!$A:$A;Portions!$D:$D))</f>
        <v/>
      </c>
      <c r="F838">
        <f>IF(E838="";"";E838/100*XLOOKUP(XLOOKUP(C838;Portions!$A:$A;Portions!$B:$B);FoodItems!$A:$A;FoodItems!$B:$B))</f>
        <v/>
      </c>
      <c r="G838">
        <f>IF(E838="";"";E838/100*XLOOKUP(XLOOKUP(C838;Portions!$A:$A;Portions!$B:$B);FoodItems!$A:$A;FoodItems!$C:$C))</f>
        <v/>
      </c>
      <c r="H838">
        <f>IF(E838="";"";E838/100*XLOOKUP(XLOOKUP(C838;Portions!$A:$A;Portions!$B:$B);FoodItems!$A:$A;FoodItems!$D:$D))</f>
        <v/>
      </c>
      <c r="I838">
        <f>IF(E838="";"";E838/100*XLOOKUP(XLOOKUP(C838;Portions!$A:$A;Portions!$B:$B);FoodItems!$A:$A;FoodItems!$E:$E))</f>
        <v/>
      </c>
    </row>
    <row r="839">
      <c r="E839">
        <f>IF(C839="";"";D839*XLOOKUP(C839;Portions!$A:$A;Portions!$D:$D))</f>
        <v/>
      </c>
      <c r="F839">
        <f>IF(E839="";"";E839/100*XLOOKUP(XLOOKUP(C839;Portions!$A:$A;Portions!$B:$B);FoodItems!$A:$A;FoodItems!$B:$B))</f>
        <v/>
      </c>
      <c r="G839">
        <f>IF(E839="";"";E839/100*XLOOKUP(XLOOKUP(C839;Portions!$A:$A;Portions!$B:$B);FoodItems!$A:$A;FoodItems!$C:$C))</f>
        <v/>
      </c>
      <c r="H839">
        <f>IF(E839="";"";E839/100*XLOOKUP(XLOOKUP(C839;Portions!$A:$A;Portions!$B:$B);FoodItems!$A:$A;FoodItems!$D:$D))</f>
        <v/>
      </c>
      <c r="I839">
        <f>IF(E839="";"";E839/100*XLOOKUP(XLOOKUP(C839;Portions!$A:$A;Portions!$B:$B);FoodItems!$A:$A;FoodItems!$E:$E))</f>
        <v/>
      </c>
    </row>
    <row r="840">
      <c r="E840">
        <f>IF(C840="";"";D840*XLOOKUP(C840;Portions!$A:$A;Portions!$D:$D))</f>
        <v/>
      </c>
      <c r="F840">
        <f>IF(E840="";"";E840/100*XLOOKUP(XLOOKUP(C840;Portions!$A:$A;Portions!$B:$B);FoodItems!$A:$A;FoodItems!$B:$B))</f>
        <v/>
      </c>
      <c r="G840">
        <f>IF(E840="";"";E840/100*XLOOKUP(XLOOKUP(C840;Portions!$A:$A;Portions!$B:$B);FoodItems!$A:$A;FoodItems!$C:$C))</f>
        <v/>
      </c>
      <c r="H840">
        <f>IF(E840="";"";E840/100*XLOOKUP(XLOOKUP(C840;Portions!$A:$A;Portions!$B:$B);FoodItems!$A:$A;FoodItems!$D:$D))</f>
        <v/>
      </c>
      <c r="I840">
        <f>IF(E840="";"";E840/100*XLOOKUP(XLOOKUP(C840;Portions!$A:$A;Portions!$B:$B);FoodItems!$A:$A;FoodItems!$E:$E))</f>
        <v/>
      </c>
    </row>
    <row r="841">
      <c r="E841">
        <f>IF(C841="";"";D841*XLOOKUP(C841;Portions!$A:$A;Portions!$D:$D))</f>
        <v/>
      </c>
      <c r="F841">
        <f>IF(E841="";"";E841/100*XLOOKUP(XLOOKUP(C841;Portions!$A:$A;Portions!$B:$B);FoodItems!$A:$A;FoodItems!$B:$B))</f>
        <v/>
      </c>
      <c r="G841">
        <f>IF(E841="";"";E841/100*XLOOKUP(XLOOKUP(C841;Portions!$A:$A;Portions!$B:$B);FoodItems!$A:$A;FoodItems!$C:$C))</f>
        <v/>
      </c>
      <c r="H841">
        <f>IF(E841="";"";E841/100*XLOOKUP(XLOOKUP(C841;Portions!$A:$A;Portions!$B:$B);FoodItems!$A:$A;FoodItems!$D:$D))</f>
        <v/>
      </c>
      <c r="I841">
        <f>IF(E841="";"";E841/100*XLOOKUP(XLOOKUP(C841;Portions!$A:$A;Portions!$B:$B);FoodItems!$A:$A;FoodItems!$E:$E))</f>
        <v/>
      </c>
    </row>
    <row r="842">
      <c r="E842">
        <f>IF(C842="";"";D842*XLOOKUP(C842;Portions!$A:$A;Portions!$D:$D))</f>
        <v/>
      </c>
      <c r="F842">
        <f>IF(E842="";"";E842/100*XLOOKUP(XLOOKUP(C842;Portions!$A:$A;Portions!$B:$B);FoodItems!$A:$A;FoodItems!$B:$B))</f>
        <v/>
      </c>
      <c r="G842">
        <f>IF(E842="";"";E842/100*XLOOKUP(XLOOKUP(C842;Portions!$A:$A;Portions!$B:$B);FoodItems!$A:$A;FoodItems!$C:$C))</f>
        <v/>
      </c>
      <c r="H842">
        <f>IF(E842="";"";E842/100*XLOOKUP(XLOOKUP(C842;Portions!$A:$A;Portions!$B:$B);FoodItems!$A:$A;FoodItems!$D:$D))</f>
        <v/>
      </c>
      <c r="I842">
        <f>IF(E842="";"";E842/100*XLOOKUP(XLOOKUP(C842;Portions!$A:$A;Portions!$B:$B);FoodItems!$A:$A;FoodItems!$E:$E))</f>
        <v/>
      </c>
    </row>
    <row r="843">
      <c r="E843">
        <f>IF(C843="";"";D843*XLOOKUP(C843;Portions!$A:$A;Portions!$D:$D))</f>
        <v/>
      </c>
      <c r="F843">
        <f>IF(E843="";"";E843/100*XLOOKUP(XLOOKUP(C843;Portions!$A:$A;Portions!$B:$B);FoodItems!$A:$A;FoodItems!$B:$B))</f>
        <v/>
      </c>
      <c r="G843">
        <f>IF(E843="";"";E843/100*XLOOKUP(XLOOKUP(C843;Portions!$A:$A;Portions!$B:$B);FoodItems!$A:$A;FoodItems!$C:$C))</f>
        <v/>
      </c>
      <c r="H843">
        <f>IF(E843="";"";E843/100*XLOOKUP(XLOOKUP(C843;Portions!$A:$A;Portions!$B:$B);FoodItems!$A:$A;FoodItems!$D:$D))</f>
        <v/>
      </c>
      <c r="I843">
        <f>IF(E843="";"";E843/100*XLOOKUP(XLOOKUP(C843;Portions!$A:$A;Portions!$B:$B);FoodItems!$A:$A;FoodItems!$E:$E))</f>
        <v/>
      </c>
    </row>
    <row r="844">
      <c r="E844">
        <f>IF(C844="";"";D844*XLOOKUP(C844;Portions!$A:$A;Portions!$D:$D))</f>
        <v/>
      </c>
      <c r="F844">
        <f>IF(E844="";"";E844/100*XLOOKUP(XLOOKUP(C844;Portions!$A:$A;Portions!$B:$B);FoodItems!$A:$A;FoodItems!$B:$B))</f>
        <v/>
      </c>
      <c r="G844">
        <f>IF(E844="";"";E844/100*XLOOKUP(XLOOKUP(C844;Portions!$A:$A;Portions!$B:$B);FoodItems!$A:$A;FoodItems!$C:$C))</f>
        <v/>
      </c>
      <c r="H844">
        <f>IF(E844="";"";E844/100*XLOOKUP(XLOOKUP(C844;Portions!$A:$A;Portions!$B:$B);FoodItems!$A:$A;FoodItems!$D:$D))</f>
        <v/>
      </c>
      <c r="I844">
        <f>IF(E844="";"";E844/100*XLOOKUP(XLOOKUP(C844;Portions!$A:$A;Portions!$B:$B);FoodItems!$A:$A;FoodItems!$E:$E))</f>
        <v/>
      </c>
    </row>
    <row r="845">
      <c r="E845">
        <f>IF(C845="";"";D845*XLOOKUP(C845;Portions!$A:$A;Portions!$D:$D))</f>
        <v/>
      </c>
      <c r="F845">
        <f>IF(E845="";"";E845/100*XLOOKUP(XLOOKUP(C845;Portions!$A:$A;Portions!$B:$B);FoodItems!$A:$A;FoodItems!$B:$B))</f>
        <v/>
      </c>
      <c r="G845">
        <f>IF(E845="";"";E845/100*XLOOKUP(XLOOKUP(C845;Portions!$A:$A;Portions!$B:$B);FoodItems!$A:$A;FoodItems!$C:$C))</f>
        <v/>
      </c>
      <c r="H845">
        <f>IF(E845="";"";E845/100*XLOOKUP(XLOOKUP(C845;Portions!$A:$A;Portions!$B:$B);FoodItems!$A:$A;FoodItems!$D:$D))</f>
        <v/>
      </c>
      <c r="I845">
        <f>IF(E845="";"";E845/100*XLOOKUP(XLOOKUP(C845;Portions!$A:$A;Portions!$B:$B);FoodItems!$A:$A;FoodItems!$E:$E))</f>
        <v/>
      </c>
    </row>
    <row r="846">
      <c r="E846">
        <f>IF(C846="";"";D846*XLOOKUP(C846;Portions!$A:$A;Portions!$D:$D))</f>
        <v/>
      </c>
      <c r="F846">
        <f>IF(E846="";"";E846/100*XLOOKUP(XLOOKUP(C846;Portions!$A:$A;Portions!$B:$B);FoodItems!$A:$A;FoodItems!$B:$B))</f>
        <v/>
      </c>
      <c r="G846">
        <f>IF(E846="";"";E846/100*XLOOKUP(XLOOKUP(C846;Portions!$A:$A;Portions!$B:$B);FoodItems!$A:$A;FoodItems!$C:$C))</f>
        <v/>
      </c>
      <c r="H846">
        <f>IF(E846="";"";E846/100*XLOOKUP(XLOOKUP(C846;Portions!$A:$A;Portions!$B:$B);FoodItems!$A:$A;FoodItems!$D:$D))</f>
        <v/>
      </c>
      <c r="I846">
        <f>IF(E846="";"";E846/100*XLOOKUP(XLOOKUP(C846;Portions!$A:$A;Portions!$B:$B);FoodItems!$A:$A;FoodItems!$E:$E))</f>
        <v/>
      </c>
    </row>
    <row r="847">
      <c r="E847">
        <f>IF(C847="";"";D847*XLOOKUP(C847;Portions!$A:$A;Portions!$D:$D))</f>
        <v/>
      </c>
      <c r="F847">
        <f>IF(E847="";"";E847/100*XLOOKUP(XLOOKUP(C847;Portions!$A:$A;Portions!$B:$B);FoodItems!$A:$A;FoodItems!$B:$B))</f>
        <v/>
      </c>
      <c r="G847">
        <f>IF(E847="";"";E847/100*XLOOKUP(XLOOKUP(C847;Portions!$A:$A;Portions!$B:$B);FoodItems!$A:$A;FoodItems!$C:$C))</f>
        <v/>
      </c>
      <c r="H847">
        <f>IF(E847="";"";E847/100*XLOOKUP(XLOOKUP(C847;Portions!$A:$A;Portions!$B:$B);FoodItems!$A:$A;FoodItems!$D:$D))</f>
        <v/>
      </c>
      <c r="I847">
        <f>IF(E847="";"";E847/100*XLOOKUP(XLOOKUP(C847;Portions!$A:$A;Portions!$B:$B);FoodItems!$A:$A;FoodItems!$E:$E))</f>
        <v/>
      </c>
    </row>
    <row r="848">
      <c r="E848">
        <f>IF(C848="";"";D848*XLOOKUP(C848;Portions!$A:$A;Portions!$D:$D))</f>
        <v/>
      </c>
      <c r="F848">
        <f>IF(E848="";"";E848/100*XLOOKUP(XLOOKUP(C848;Portions!$A:$A;Portions!$B:$B);FoodItems!$A:$A;FoodItems!$B:$B))</f>
        <v/>
      </c>
      <c r="G848">
        <f>IF(E848="";"";E848/100*XLOOKUP(XLOOKUP(C848;Portions!$A:$A;Portions!$B:$B);FoodItems!$A:$A;FoodItems!$C:$C))</f>
        <v/>
      </c>
      <c r="H848">
        <f>IF(E848="";"";E848/100*XLOOKUP(XLOOKUP(C848;Portions!$A:$A;Portions!$B:$B);FoodItems!$A:$A;FoodItems!$D:$D))</f>
        <v/>
      </c>
      <c r="I848">
        <f>IF(E848="";"";E848/100*XLOOKUP(XLOOKUP(C848;Portions!$A:$A;Portions!$B:$B);FoodItems!$A:$A;FoodItems!$E:$E))</f>
        <v/>
      </c>
    </row>
    <row r="849">
      <c r="E849">
        <f>IF(C849="";"";D849*XLOOKUP(C849;Portions!$A:$A;Portions!$D:$D))</f>
        <v/>
      </c>
      <c r="F849">
        <f>IF(E849="";"";E849/100*XLOOKUP(XLOOKUP(C849;Portions!$A:$A;Portions!$B:$B);FoodItems!$A:$A;FoodItems!$B:$B))</f>
        <v/>
      </c>
      <c r="G849">
        <f>IF(E849="";"";E849/100*XLOOKUP(XLOOKUP(C849;Portions!$A:$A;Portions!$B:$B);FoodItems!$A:$A;FoodItems!$C:$C))</f>
        <v/>
      </c>
      <c r="H849">
        <f>IF(E849="";"";E849/100*XLOOKUP(XLOOKUP(C849;Portions!$A:$A;Portions!$B:$B);FoodItems!$A:$A;FoodItems!$D:$D))</f>
        <v/>
      </c>
      <c r="I849">
        <f>IF(E849="";"";E849/100*XLOOKUP(XLOOKUP(C849;Portions!$A:$A;Portions!$B:$B);FoodItems!$A:$A;FoodItems!$E:$E))</f>
        <v/>
      </c>
    </row>
    <row r="850">
      <c r="E850">
        <f>IF(C850="";"";D850*XLOOKUP(C850;Portions!$A:$A;Portions!$D:$D))</f>
        <v/>
      </c>
      <c r="F850">
        <f>IF(E850="";"";E850/100*XLOOKUP(XLOOKUP(C850;Portions!$A:$A;Portions!$B:$B);FoodItems!$A:$A;FoodItems!$B:$B))</f>
        <v/>
      </c>
      <c r="G850">
        <f>IF(E850="";"";E850/100*XLOOKUP(XLOOKUP(C850;Portions!$A:$A;Portions!$B:$B);FoodItems!$A:$A;FoodItems!$C:$C))</f>
        <v/>
      </c>
      <c r="H850">
        <f>IF(E850="";"";E850/100*XLOOKUP(XLOOKUP(C850;Portions!$A:$A;Portions!$B:$B);FoodItems!$A:$A;FoodItems!$D:$D))</f>
        <v/>
      </c>
      <c r="I850">
        <f>IF(E850="";"";E850/100*XLOOKUP(XLOOKUP(C850;Portions!$A:$A;Portions!$B:$B);FoodItems!$A:$A;FoodItems!$E:$E))</f>
        <v/>
      </c>
    </row>
    <row r="851">
      <c r="E851">
        <f>IF(C851="";"";D851*XLOOKUP(C851;Portions!$A:$A;Portions!$D:$D))</f>
        <v/>
      </c>
      <c r="F851">
        <f>IF(E851="";"";E851/100*XLOOKUP(XLOOKUP(C851;Portions!$A:$A;Portions!$B:$B);FoodItems!$A:$A;FoodItems!$B:$B))</f>
        <v/>
      </c>
      <c r="G851">
        <f>IF(E851="";"";E851/100*XLOOKUP(XLOOKUP(C851;Portions!$A:$A;Portions!$B:$B);FoodItems!$A:$A;FoodItems!$C:$C))</f>
        <v/>
      </c>
      <c r="H851">
        <f>IF(E851="";"";E851/100*XLOOKUP(XLOOKUP(C851;Portions!$A:$A;Portions!$B:$B);FoodItems!$A:$A;FoodItems!$D:$D))</f>
        <v/>
      </c>
      <c r="I851">
        <f>IF(E851="";"";E851/100*XLOOKUP(XLOOKUP(C851;Portions!$A:$A;Portions!$B:$B);FoodItems!$A:$A;FoodItems!$E:$E))</f>
        <v/>
      </c>
    </row>
    <row r="852">
      <c r="E852">
        <f>IF(C852="";"";D852*XLOOKUP(C852;Portions!$A:$A;Portions!$D:$D))</f>
        <v/>
      </c>
      <c r="F852">
        <f>IF(E852="";"";E852/100*XLOOKUP(XLOOKUP(C852;Portions!$A:$A;Portions!$B:$B);FoodItems!$A:$A;FoodItems!$B:$B))</f>
        <v/>
      </c>
      <c r="G852">
        <f>IF(E852="";"";E852/100*XLOOKUP(XLOOKUP(C852;Portions!$A:$A;Portions!$B:$B);FoodItems!$A:$A;FoodItems!$C:$C))</f>
        <v/>
      </c>
      <c r="H852">
        <f>IF(E852="";"";E852/100*XLOOKUP(XLOOKUP(C852;Portions!$A:$A;Portions!$B:$B);FoodItems!$A:$A;FoodItems!$D:$D))</f>
        <v/>
      </c>
      <c r="I852">
        <f>IF(E852="";"";E852/100*XLOOKUP(XLOOKUP(C852;Portions!$A:$A;Portions!$B:$B);FoodItems!$A:$A;FoodItems!$E:$E))</f>
        <v/>
      </c>
    </row>
    <row r="853">
      <c r="E853">
        <f>IF(C853="";"";D853*XLOOKUP(C853;Portions!$A:$A;Portions!$D:$D))</f>
        <v/>
      </c>
      <c r="F853">
        <f>IF(E853="";"";E853/100*XLOOKUP(XLOOKUP(C853;Portions!$A:$A;Portions!$B:$B);FoodItems!$A:$A;FoodItems!$B:$B))</f>
        <v/>
      </c>
      <c r="G853">
        <f>IF(E853="";"";E853/100*XLOOKUP(XLOOKUP(C853;Portions!$A:$A;Portions!$B:$B);FoodItems!$A:$A;FoodItems!$C:$C))</f>
        <v/>
      </c>
      <c r="H853">
        <f>IF(E853="";"";E853/100*XLOOKUP(XLOOKUP(C853;Portions!$A:$A;Portions!$B:$B);FoodItems!$A:$A;FoodItems!$D:$D))</f>
        <v/>
      </c>
      <c r="I853">
        <f>IF(E853="";"";E853/100*XLOOKUP(XLOOKUP(C853;Portions!$A:$A;Portions!$B:$B);FoodItems!$A:$A;FoodItems!$E:$E))</f>
        <v/>
      </c>
    </row>
    <row r="854">
      <c r="E854">
        <f>IF(C854="";"";D854*XLOOKUP(C854;Portions!$A:$A;Portions!$D:$D))</f>
        <v/>
      </c>
      <c r="F854">
        <f>IF(E854="";"";E854/100*XLOOKUP(XLOOKUP(C854;Portions!$A:$A;Portions!$B:$B);FoodItems!$A:$A;FoodItems!$B:$B))</f>
        <v/>
      </c>
      <c r="G854">
        <f>IF(E854="";"";E854/100*XLOOKUP(XLOOKUP(C854;Portions!$A:$A;Portions!$B:$B);FoodItems!$A:$A;FoodItems!$C:$C))</f>
        <v/>
      </c>
      <c r="H854">
        <f>IF(E854="";"";E854/100*XLOOKUP(XLOOKUP(C854;Portions!$A:$A;Portions!$B:$B);FoodItems!$A:$A;FoodItems!$D:$D))</f>
        <v/>
      </c>
      <c r="I854">
        <f>IF(E854="";"";E854/100*XLOOKUP(XLOOKUP(C854;Portions!$A:$A;Portions!$B:$B);FoodItems!$A:$A;FoodItems!$E:$E))</f>
        <v/>
      </c>
    </row>
    <row r="855">
      <c r="E855">
        <f>IF(C855="";"";D855*XLOOKUP(C855;Portions!$A:$A;Portions!$D:$D))</f>
        <v/>
      </c>
      <c r="F855">
        <f>IF(E855="";"";E855/100*XLOOKUP(XLOOKUP(C855;Portions!$A:$A;Portions!$B:$B);FoodItems!$A:$A;FoodItems!$B:$B))</f>
        <v/>
      </c>
      <c r="G855">
        <f>IF(E855="";"";E855/100*XLOOKUP(XLOOKUP(C855;Portions!$A:$A;Portions!$B:$B);FoodItems!$A:$A;FoodItems!$C:$C))</f>
        <v/>
      </c>
      <c r="H855">
        <f>IF(E855="";"";E855/100*XLOOKUP(XLOOKUP(C855;Portions!$A:$A;Portions!$B:$B);FoodItems!$A:$A;FoodItems!$D:$D))</f>
        <v/>
      </c>
      <c r="I855">
        <f>IF(E855="";"";E855/100*XLOOKUP(XLOOKUP(C855;Portions!$A:$A;Portions!$B:$B);FoodItems!$A:$A;FoodItems!$E:$E))</f>
        <v/>
      </c>
    </row>
    <row r="856">
      <c r="E856">
        <f>IF(C856="";"";D856*XLOOKUP(C856;Portions!$A:$A;Portions!$D:$D))</f>
        <v/>
      </c>
      <c r="F856">
        <f>IF(E856="";"";E856/100*XLOOKUP(XLOOKUP(C856;Portions!$A:$A;Portions!$B:$B);FoodItems!$A:$A;FoodItems!$B:$B))</f>
        <v/>
      </c>
      <c r="G856">
        <f>IF(E856="";"";E856/100*XLOOKUP(XLOOKUP(C856;Portions!$A:$A;Portions!$B:$B);FoodItems!$A:$A;FoodItems!$C:$C))</f>
        <v/>
      </c>
      <c r="H856">
        <f>IF(E856="";"";E856/100*XLOOKUP(XLOOKUP(C856;Portions!$A:$A;Portions!$B:$B);FoodItems!$A:$A;FoodItems!$D:$D))</f>
        <v/>
      </c>
      <c r="I856">
        <f>IF(E856="";"";E856/100*XLOOKUP(XLOOKUP(C856;Portions!$A:$A;Portions!$B:$B);FoodItems!$A:$A;FoodItems!$E:$E))</f>
        <v/>
      </c>
    </row>
    <row r="857">
      <c r="E857">
        <f>IF(C857="";"";D857*XLOOKUP(C857;Portions!$A:$A;Portions!$D:$D))</f>
        <v/>
      </c>
      <c r="F857">
        <f>IF(E857="";"";E857/100*XLOOKUP(XLOOKUP(C857;Portions!$A:$A;Portions!$B:$B);FoodItems!$A:$A;FoodItems!$B:$B))</f>
        <v/>
      </c>
      <c r="G857">
        <f>IF(E857="";"";E857/100*XLOOKUP(XLOOKUP(C857;Portions!$A:$A;Portions!$B:$B);FoodItems!$A:$A;FoodItems!$C:$C))</f>
        <v/>
      </c>
      <c r="H857">
        <f>IF(E857="";"";E857/100*XLOOKUP(XLOOKUP(C857;Portions!$A:$A;Portions!$B:$B);FoodItems!$A:$A;FoodItems!$D:$D))</f>
        <v/>
      </c>
      <c r="I857">
        <f>IF(E857="";"";E857/100*XLOOKUP(XLOOKUP(C857;Portions!$A:$A;Portions!$B:$B);FoodItems!$A:$A;FoodItems!$E:$E))</f>
        <v/>
      </c>
    </row>
    <row r="858">
      <c r="E858">
        <f>IF(C858="";"";D858*XLOOKUP(C858;Portions!$A:$A;Portions!$D:$D))</f>
        <v/>
      </c>
      <c r="F858">
        <f>IF(E858="";"";E858/100*XLOOKUP(XLOOKUP(C858;Portions!$A:$A;Portions!$B:$B);FoodItems!$A:$A;FoodItems!$B:$B))</f>
        <v/>
      </c>
      <c r="G858">
        <f>IF(E858="";"";E858/100*XLOOKUP(XLOOKUP(C858;Portions!$A:$A;Portions!$B:$B);FoodItems!$A:$A;FoodItems!$C:$C))</f>
        <v/>
      </c>
      <c r="H858">
        <f>IF(E858="";"";E858/100*XLOOKUP(XLOOKUP(C858;Portions!$A:$A;Portions!$B:$B);FoodItems!$A:$A;FoodItems!$D:$D))</f>
        <v/>
      </c>
      <c r="I858">
        <f>IF(E858="";"";E858/100*XLOOKUP(XLOOKUP(C858;Portions!$A:$A;Portions!$B:$B);FoodItems!$A:$A;FoodItems!$E:$E))</f>
        <v/>
      </c>
    </row>
    <row r="859">
      <c r="E859">
        <f>IF(C859="";"";D859*XLOOKUP(C859;Portions!$A:$A;Portions!$D:$D))</f>
        <v/>
      </c>
      <c r="F859">
        <f>IF(E859="";"";E859/100*XLOOKUP(XLOOKUP(C859;Portions!$A:$A;Portions!$B:$B);FoodItems!$A:$A;FoodItems!$B:$B))</f>
        <v/>
      </c>
      <c r="G859">
        <f>IF(E859="";"";E859/100*XLOOKUP(XLOOKUP(C859;Portions!$A:$A;Portions!$B:$B);FoodItems!$A:$A;FoodItems!$C:$C))</f>
        <v/>
      </c>
      <c r="H859">
        <f>IF(E859="";"";E859/100*XLOOKUP(XLOOKUP(C859;Portions!$A:$A;Portions!$B:$B);FoodItems!$A:$A;FoodItems!$D:$D))</f>
        <v/>
      </c>
      <c r="I859">
        <f>IF(E859="";"";E859/100*XLOOKUP(XLOOKUP(C859;Portions!$A:$A;Portions!$B:$B);FoodItems!$A:$A;FoodItems!$E:$E))</f>
        <v/>
      </c>
    </row>
    <row r="860">
      <c r="E860">
        <f>IF(C860="";"";D860*XLOOKUP(C860;Portions!$A:$A;Portions!$D:$D))</f>
        <v/>
      </c>
      <c r="F860">
        <f>IF(E860="";"";E860/100*XLOOKUP(XLOOKUP(C860;Portions!$A:$A;Portions!$B:$B);FoodItems!$A:$A;FoodItems!$B:$B))</f>
        <v/>
      </c>
      <c r="G860">
        <f>IF(E860="";"";E860/100*XLOOKUP(XLOOKUP(C860;Portions!$A:$A;Portions!$B:$B);FoodItems!$A:$A;FoodItems!$C:$C))</f>
        <v/>
      </c>
      <c r="H860">
        <f>IF(E860="";"";E860/100*XLOOKUP(XLOOKUP(C860;Portions!$A:$A;Portions!$B:$B);FoodItems!$A:$A;FoodItems!$D:$D))</f>
        <v/>
      </c>
      <c r="I860">
        <f>IF(E860="";"";E860/100*XLOOKUP(XLOOKUP(C860;Portions!$A:$A;Portions!$B:$B);FoodItems!$A:$A;FoodItems!$E:$E))</f>
        <v/>
      </c>
    </row>
    <row r="861">
      <c r="E861">
        <f>IF(C861="";"";D861*XLOOKUP(C861;Portions!$A:$A;Portions!$D:$D))</f>
        <v/>
      </c>
      <c r="F861">
        <f>IF(E861="";"";E861/100*XLOOKUP(XLOOKUP(C861;Portions!$A:$A;Portions!$B:$B);FoodItems!$A:$A;FoodItems!$B:$B))</f>
        <v/>
      </c>
      <c r="G861">
        <f>IF(E861="";"";E861/100*XLOOKUP(XLOOKUP(C861;Portions!$A:$A;Portions!$B:$B);FoodItems!$A:$A;FoodItems!$C:$C))</f>
        <v/>
      </c>
      <c r="H861">
        <f>IF(E861="";"";E861/100*XLOOKUP(XLOOKUP(C861;Portions!$A:$A;Portions!$B:$B);FoodItems!$A:$A;FoodItems!$D:$D))</f>
        <v/>
      </c>
      <c r="I861">
        <f>IF(E861="";"";E861/100*XLOOKUP(XLOOKUP(C861;Portions!$A:$A;Portions!$B:$B);FoodItems!$A:$A;FoodItems!$E:$E))</f>
        <v/>
      </c>
    </row>
    <row r="862">
      <c r="E862">
        <f>IF(C862="";"";D862*XLOOKUP(C862;Portions!$A:$A;Portions!$D:$D))</f>
        <v/>
      </c>
      <c r="F862">
        <f>IF(E862="";"";E862/100*XLOOKUP(XLOOKUP(C862;Portions!$A:$A;Portions!$B:$B);FoodItems!$A:$A;FoodItems!$B:$B))</f>
        <v/>
      </c>
      <c r="G862">
        <f>IF(E862="";"";E862/100*XLOOKUP(XLOOKUP(C862;Portions!$A:$A;Portions!$B:$B);FoodItems!$A:$A;FoodItems!$C:$C))</f>
        <v/>
      </c>
      <c r="H862">
        <f>IF(E862="";"";E862/100*XLOOKUP(XLOOKUP(C862;Portions!$A:$A;Portions!$B:$B);FoodItems!$A:$A;FoodItems!$D:$D))</f>
        <v/>
      </c>
      <c r="I862">
        <f>IF(E862="";"";E862/100*XLOOKUP(XLOOKUP(C862;Portions!$A:$A;Portions!$B:$B);FoodItems!$A:$A;FoodItems!$E:$E))</f>
        <v/>
      </c>
    </row>
    <row r="863">
      <c r="E863">
        <f>IF(C863="";"";D863*XLOOKUP(C863;Portions!$A:$A;Portions!$D:$D))</f>
        <v/>
      </c>
      <c r="F863">
        <f>IF(E863="";"";E863/100*XLOOKUP(XLOOKUP(C863;Portions!$A:$A;Portions!$B:$B);FoodItems!$A:$A;FoodItems!$B:$B))</f>
        <v/>
      </c>
      <c r="G863">
        <f>IF(E863="";"";E863/100*XLOOKUP(XLOOKUP(C863;Portions!$A:$A;Portions!$B:$B);FoodItems!$A:$A;FoodItems!$C:$C))</f>
        <v/>
      </c>
      <c r="H863">
        <f>IF(E863="";"";E863/100*XLOOKUP(XLOOKUP(C863;Portions!$A:$A;Portions!$B:$B);FoodItems!$A:$A;FoodItems!$D:$D))</f>
        <v/>
      </c>
      <c r="I863">
        <f>IF(E863="";"";E863/100*XLOOKUP(XLOOKUP(C863;Portions!$A:$A;Portions!$B:$B);FoodItems!$A:$A;FoodItems!$E:$E))</f>
        <v/>
      </c>
    </row>
    <row r="864">
      <c r="E864">
        <f>IF(C864="";"";D864*XLOOKUP(C864;Portions!$A:$A;Portions!$D:$D))</f>
        <v/>
      </c>
      <c r="F864">
        <f>IF(E864="";"";E864/100*XLOOKUP(XLOOKUP(C864;Portions!$A:$A;Portions!$B:$B);FoodItems!$A:$A;FoodItems!$B:$B))</f>
        <v/>
      </c>
      <c r="G864">
        <f>IF(E864="";"";E864/100*XLOOKUP(XLOOKUP(C864;Portions!$A:$A;Portions!$B:$B);FoodItems!$A:$A;FoodItems!$C:$C))</f>
        <v/>
      </c>
      <c r="H864">
        <f>IF(E864="";"";E864/100*XLOOKUP(XLOOKUP(C864;Portions!$A:$A;Portions!$B:$B);FoodItems!$A:$A;FoodItems!$D:$D))</f>
        <v/>
      </c>
      <c r="I864">
        <f>IF(E864="";"";E864/100*XLOOKUP(XLOOKUP(C864;Portions!$A:$A;Portions!$B:$B);FoodItems!$A:$A;FoodItems!$E:$E))</f>
        <v/>
      </c>
    </row>
    <row r="865">
      <c r="E865">
        <f>IF(C865="";"";D865*XLOOKUP(C865;Portions!$A:$A;Portions!$D:$D))</f>
        <v/>
      </c>
      <c r="F865">
        <f>IF(E865="";"";E865/100*XLOOKUP(XLOOKUP(C865;Portions!$A:$A;Portions!$B:$B);FoodItems!$A:$A;FoodItems!$B:$B))</f>
        <v/>
      </c>
      <c r="G865">
        <f>IF(E865="";"";E865/100*XLOOKUP(XLOOKUP(C865;Portions!$A:$A;Portions!$B:$B);FoodItems!$A:$A;FoodItems!$C:$C))</f>
        <v/>
      </c>
      <c r="H865">
        <f>IF(E865="";"";E865/100*XLOOKUP(XLOOKUP(C865;Portions!$A:$A;Portions!$B:$B);FoodItems!$A:$A;FoodItems!$D:$D))</f>
        <v/>
      </c>
      <c r="I865">
        <f>IF(E865="";"";E865/100*XLOOKUP(XLOOKUP(C865;Portions!$A:$A;Portions!$B:$B);FoodItems!$A:$A;FoodItems!$E:$E))</f>
        <v/>
      </c>
    </row>
    <row r="866">
      <c r="E866">
        <f>IF(C866="";"";D866*XLOOKUP(C866;Portions!$A:$A;Portions!$D:$D))</f>
        <v/>
      </c>
      <c r="F866">
        <f>IF(E866="";"";E866/100*XLOOKUP(XLOOKUP(C866;Portions!$A:$A;Portions!$B:$B);FoodItems!$A:$A;FoodItems!$B:$B))</f>
        <v/>
      </c>
      <c r="G866">
        <f>IF(E866="";"";E866/100*XLOOKUP(XLOOKUP(C866;Portions!$A:$A;Portions!$B:$B);FoodItems!$A:$A;FoodItems!$C:$C))</f>
        <v/>
      </c>
      <c r="H866">
        <f>IF(E866="";"";E866/100*XLOOKUP(XLOOKUP(C866;Portions!$A:$A;Portions!$B:$B);FoodItems!$A:$A;FoodItems!$D:$D))</f>
        <v/>
      </c>
      <c r="I866">
        <f>IF(E866="";"";E866/100*XLOOKUP(XLOOKUP(C866;Portions!$A:$A;Portions!$B:$B);FoodItems!$A:$A;FoodItems!$E:$E))</f>
        <v/>
      </c>
    </row>
    <row r="867">
      <c r="E867">
        <f>IF(C867="";"";D867*XLOOKUP(C867;Portions!$A:$A;Portions!$D:$D))</f>
        <v/>
      </c>
      <c r="F867">
        <f>IF(E867="";"";E867/100*XLOOKUP(XLOOKUP(C867;Portions!$A:$A;Portions!$B:$B);FoodItems!$A:$A;FoodItems!$B:$B))</f>
        <v/>
      </c>
      <c r="G867">
        <f>IF(E867="";"";E867/100*XLOOKUP(XLOOKUP(C867;Portions!$A:$A;Portions!$B:$B);FoodItems!$A:$A;FoodItems!$C:$C))</f>
        <v/>
      </c>
      <c r="H867">
        <f>IF(E867="";"";E867/100*XLOOKUP(XLOOKUP(C867;Portions!$A:$A;Portions!$B:$B);FoodItems!$A:$A;FoodItems!$D:$D))</f>
        <v/>
      </c>
      <c r="I867">
        <f>IF(E867="";"";E867/100*XLOOKUP(XLOOKUP(C867;Portions!$A:$A;Portions!$B:$B);FoodItems!$A:$A;FoodItems!$E:$E))</f>
        <v/>
      </c>
    </row>
    <row r="868">
      <c r="E868">
        <f>IF(C868="";"";D868*XLOOKUP(C868;Portions!$A:$A;Portions!$D:$D))</f>
        <v/>
      </c>
      <c r="F868">
        <f>IF(E868="";"";E868/100*XLOOKUP(XLOOKUP(C868;Portions!$A:$A;Portions!$B:$B);FoodItems!$A:$A;FoodItems!$B:$B))</f>
        <v/>
      </c>
      <c r="G868">
        <f>IF(E868="";"";E868/100*XLOOKUP(XLOOKUP(C868;Portions!$A:$A;Portions!$B:$B);FoodItems!$A:$A;FoodItems!$C:$C))</f>
        <v/>
      </c>
      <c r="H868">
        <f>IF(E868="";"";E868/100*XLOOKUP(XLOOKUP(C868;Portions!$A:$A;Portions!$B:$B);FoodItems!$A:$A;FoodItems!$D:$D))</f>
        <v/>
      </c>
      <c r="I868">
        <f>IF(E868="";"";E868/100*XLOOKUP(XLOOKUP(C868;Portions!$A:$A;Portions!$B:$B);FoodItems!$A:$A;FoodItems!$E:$E))</f>
        <v/>
      </c>
    </row>
    <row r="869">
      <c r="E869">
        <f>IF(C869="";"";D869*XLOOKUP(C869;Portions!$A:$A;Portions!$D:$D))</f>
        <v/>
      </c>
      <c r="F869">
        <f>IF(E869="";"";E869/100*XLOOKUP(XLOOKUP(C869;Portions!$A:$A;Portions!$B:$B);FoodItems!$A:$A;FoodItems!$B:$B))</f>
        <v/>
      </c>
      <c r="G869">
        <f>IF(E869="";"";E869/100*XLOOKUP(XLOOKUP(C869;Portions!$A:$A;Portions!$B:$B);FoodItems!$A:$A;FoodItems!$C:$C))</f>
        <v/>
      </c>
      <c r="H869">
        <f>IF(E869="";"";E869/100*XLOOKUP(XLOOKUP(C869;Portions!$A:$A;Portions!$B:$B);FoodItems!$A:$A;FoodItems!$D:$D))</f>
        <v/>
      </c>
      <c r="I869">
        <f>IF(E869="";"";E869/100*XLOOKUP(XLOOKUP(C869;Portions!$A:$A;Portions!$B:$B);FoodItems!$A:$A;FoodItems!$E:$E))</f>
        <v/>
      </c>
    </row>
    <row r="870">
      <c r="E870">
        <f>IF(C870="";"";D870*XLOOKUP(C870;Portions!$A:$A;Portions!$D:$D))</f>
        <v/>
      </c>
      <c r="F870">
        <f>IF(E870="";"";E870/100*XLOOKUP(XLOOKUP(C870;Portions!$A:$A;Portions!$B:$B);FoodItems!$A:$A;FoodItems!$B:$B))</f>
        <v/>
      </c>
      <c r="G870">
        <f>IF(E870="";"";E870/100*XLOOKUP(XLOOKUP(C870;Portions!$A:$A;Portions!$B:$B);FoodItems!$A:$A;FoodItems!$C:$C))</f>
        <v/>
      </c>
      <c r="H870">
        <f>IF(E870="";"";E870/100*XLOOKUP(XLOOKUP(C870;Portions!$A:$A;Portions!$B:$B);FoodItems!$A:$A;FoodItems!$D:$D))</f>
        <v/>
      </c>
      <c r="I870">
        <f>IF(E870="";"";E870/100*XLOOKUP(XLOOKUP(C870;Portions!$A:$A;Portions!$B:$B);FoodItems!$A:$A;FoodItems!$E:$E))</f>
        <v/>
      </c>
    </row>
    <row r="871">
      <c r="E871">
        <f>IF(C871="";"";D871*XLOOKUP(C871;Portions!$A:$A;Portions!$D:$D))</f>
        <v/>
      </c>
      <c r="F871">
        <f>IF(E871="";"";E871/100*XLOOKUP(XLOOKUP(C871;Portions!$A:$A;Portions!$B:$B);FoodItems!$A:$A;FoodItems!$B:$B))</f>
        <v/>
      </c>
      <c r="G871">
        <f>IF(E871="";"";E871/100*XLOOKUP(XLOOKUP(C871;Portions!$A:$A;Portions!$B:$B);FoodItems!$A:$A;FoodItems!$C:$C))</f>
        <v/>
      </c>
      <c r="H871">
        <f>IF(E871="";"";E871/100*XLOOKUP(XLOOKUP(C871;Portions!$A:$A;Portions!$B:$B);FoodItems!$A:$A;FoodItems!$D:$D))</f>
        <v/>
      </c>
      <c r="I871">
        <f>IF(E871="";"";E871/100*XLOOKUP(XLOOKUP(C871;Portions!$A:$A;Portions!$B:$B);FoodItems!$A:$A;FoodItems!$E:$E))</f>
        <v/>
      </c>
    </row>
    <row r="872">
      <c r="E872">
        <f>IF(C872="";"";D872*XLOOKUP(C872;Portions!$A:$A;Portions!$D:$D))</f>
        <v/>
      </c>
      <c r="F872">
        <f>IF(E872="";"";E872/100*XLOOKUP(XLOOKUP(C872;Portions!$A:$A;Portions!$B:$B);FoodItems!$A:$A;FoodItems!$B:$B))</f>
        <v/>
      </c>
      <c r="G872">
        <f>IF(E872="";"";E872/100*XLOOKUP(XLOOKUP(C872;Portions!$A:$A;Portions!$B:$B);FoodItems!$A:$A;FoodItems!$C:$C))</f>
        <v/>
      </c>
      <c r="H872">
        <f>IF(E872="";"";E872/100*XLOOKUP(XLOOKUP(C872;Portions!$A:$A;Portions!$B:$B);FoodItems!$A:$A;FoodItems!$D:$D))</f>
        <v/>
      </c>
      <c r="I872">
        <f>IF(E872="";"";E872/100*XLOOKUP(XLOOKUP(C872;Portions!$A:$A;Portions!$B:$B);FoodItems!$A:$A;FoodItems!$E:$E))</f>
        <v/>
      </c>
    </row>
    <row r="873">
      <c r="E873">
        <f>IF(C873="";"";D873*XLOOKUP(C873;Portions!$A:$A;Portions!$D:$D))</f>
        <v/>
      </c>
      <c r="F873">
        <f>IF(E873="";"";E873/100*XLOOKUP(XLOOKUP(C873;Portions!$A:$A;Portions!$B:$B);FoodItems!$A:$A;FoodItems!$B:$B))</f>
        <v/>
      </c>
      <c r="G873">
        <f>IF(E873="";"";E873/100*XLOOKUP(XLOOKUP(C873;Portions!$A:$A;Portions!$B:$B);FoodItems!$A:$A;FoodItems!$C:$C))</f>
        <v/>
      </c>
      <c r="H873">
        <f>IF(E873="";"";E873/100*XLOOKUP(XLOOKUP(C873;Portions!$A:$A;Portions!$B:$B);FoodItems!$A:$A;FoodItems!$D:$D))</f>
        <v/>
      </c>
      <c r="I873">
        <f>IF(E873="";"";E873/100*XLOOKUP(XLOOKUP(C873;Portions!$A:$A;Portions!$B:$B);FoodItems!$A:$A;FoodItems!$E:$E))</f>
        <v/>
      </c>
    </row>
    <row r="874">
      <c r="E874">
        <f>IF(C874="";"";D874*XLOOKUP(C874;Portions!$A:$A;Portions!$D:$D))</f>
        <v/>
      </c>
      <c r="F874">
        <f>IF(E874="";"";E874/100*XLOOKUP(XLOOKUP(C874;Portions!$A:$A;Portions!$B:$B);FoodItems!$A:$A;FoodItems!$B:$B))</f>
        <v/>
      </c>
      <c r="G874">
        <f>IF(E874="";"";E874/100*XLOOKUP(XLOOKUP(C874;Portions!$A:$A;Portions!$B:$B);FoodItems!$A:$A;FoodItems!$C:$C))</f>
        <v/>
      </c>
      <c r="H874">
        <f>IF(E874="";"";E874/100*XLOOKUP(XLOOKUP(C874;Portions!$A:$A;Portions!$B:$B);FoodItems!$A:$A;FoodItems!$D:$D))</f>
        <v/>
      </c>
      <c r="I874">
        <f>IF(E874="";"";E874/100*XLOOKUP(XLOOKUP(C874;Portions!$A:$A;Portions!$B:$B);FoodItems!$A:$A;FoodItems!$E:$E))</f>
        <v/>
      </c>
    </row>
    <row r="875">
      <c r="E875">
        <f>IF(C875="";"";D875*XLOOKUP(C875;Portions!$A:$A;Portions!$D:$D))</f>
        <v/>
      </c>
      <c r="F875">
        <f>IF(E875="";"";E875/100*XLOOKUP(XLOOKUP(C875;Portions!$A:$A;Portions!$B:$B);FoodItems!$A:$A;FoodItems!$B:$B))</f>
        <v/>
      </c>
      <c r="G875">
        <f>IF(E875="";"";E875/100*XLOOKUP(XLOOKUP(C875;Portions!$A:$A;Portions!$B:$B);FoodItems!$A:$A;FoodItems!$C:$C))</f>
        <v/>
      </c>
      <c r="H875">
        <f>IF(E875="";"";E875/100*XLOOKUP(XLOOKUP(C875;Portions!$A:$A;Portions!$B:$B);FoodItems!$A:$A;FoodItems!$D:$D))</f>
        <v/>
      </c>
      <c r="I875">
        <f>IF(E875="";"";E875/100*XLOOKUP(XLOOKUP(C875;Portions!$A:$A;Portions!$B:$B);FoodItems!$A:$A;FoodItems!$E:$E))</f>
        <v/>
      </c>
    </row>
    <row r="876">
      <c r="E876">
        <f>IF(C876="";"";D876*XLOOKUP(C876;Portions!$A:$A;Portions!$D:$D))</f>
        <v/>
      </c>
      <c r="F876">
        <f>IF(E876="";"";E876/100*XLOOKUP(XLOOKUP(C876;Portions!$A:$A;Portions!$B:$B);FoodItems!$A:$A;FoodItems!$B:$B))</f>
        <v/>
      </c>
      <c r="G876">
        <f>IF(E876="";"";E876/100*XLOOKUP(XLOOKUP(C876;Portions!$A:$A;Portions!$B:$B);FoodItems!$A:$A;FoodItems!$C:$C))</f>
        <v/>
      </c>
      <c r="H876">
        <f>IF(E876="";"";E876/100*XLOOKUP(XLOOKUP(C876;Portions!$A:$A;Portions!$B:$B);FoodItems!$A:$A;FoodItems!$D:$D))</f>
        <v/>
      </c>
      <c r="I876">
        <f>IF(E876="";"";E876/100*XLOOKUP(XLOOKUP(C876;Portions!$A:$A;Portions!$B:$B);FoodItems!$A:$A;FoodItems!$E:$E))</f>
        <v/>
      </c>
    </row>
    <row r="877">
      <c r="E877">
        <f>IF(C877="";"";D877*XLOOKUP(C877;Portions!$A:$A;Portions!$D:$D))</f>
        <v/>
      </c>
      <c r="F877">
        <f>IF(E877="";"";E877/100*XLOOKUP(XLOOKUP(C877;Portions!$A:$A;Portions!$B:$B);FoodItems!$A:$A;FoodItems!$B:$B))</f>
        <v/>
      </c>
      <c r="G877">
        <f>IF(E877="";"";E877/100*XLOOKUP(XLOOKUP(C877;Portions!$A:$A;Portions!$B:$B);FoodItems!$A:$A;FoodItems!$C:$C))</f>
        <v/>
      </c>
      <c r="H877">
        <f>IF(E877="";"";E877/100*XLOOKUP(XLOOKUP(C877;Portions!$A:$A;Portions!$B:$B);FoodItems!$A:$A;FoodItems!$D:$D))</f>
        <v/>
      </c>
      <c r="I877">
        <f>IF(E877="";"";E877/100*XLOOKUP(XLOOKUP(C877;Portions!$A:$A;Portions!$B:$B);FoodItems!$A:$A;FoodItems!$E:$E))</f>
        <v/>
      </c>
    </row>
    <row r="878">
      <c r="E878">
        <f>IF(C878="";"";D878*XLOOKUP(C878;Portions!$A:$A;Portions!$D:$D))</f>
        <v/>
      </c>
      <c r="F878">
        <f>IF(E878="";"";E878/100*XLOOKUP(XLOOKUP(C878;Portions!$A:$A;Portions!$B:$B);FoodItems!$A:$A;FoodItems!$B:$B))</f>
        <v/>
      </c>
      <c r="G878">
        <f>IF(E878="";"";E878/100*XLOOKUP(XLOOKUP(C878;Portions!$A:$A;Portions!$B:$B);FoodItems!$A:$A;FoodItems!$C:$C))</f>
        <v/>
      </c>
      <c r="H878">
        <f>IF(E878="";"";E878/100*XLOOKUP(XLOOKUP(C878;Portions!$A:$A;Portions!$B:$B);FoodItems!$A:$A;FoodItems!$D:$D))</f>
        <v/>
      </c>
      <c r="I878">
        <f>IF(E878="";"";E878/100*XLOOKUP(XLOOKUP(C878;Portions!$A:$A;Portions!$B:$B);FoodItems!$A:$A;FoodItems!$E:$E))</f>
        <v/>
      </c>
    </row>
    <row r="879">
      <c r="E879">
        <f>IF(C879="";"";D879*XLOOKUP(C879;Portions!$A:$A;Portions!$D:$D))</f>
        <v/>
      </c>
      <c r="F879">
        <f>IF(E879="";"";E879/100*XLOOKUP(XLOOKUP(C879;Portions!$A:$A;Portions!$B:$B);FoodItems!$A:$A;FoodItems!$B:$B))</f>
        <v/>
      </c>
      <c r="G879">
        <f>IF(E879="";"";E879/100*XLOOKUP(XLOOKUP(C879;Portions!$A:$A;Portions!$B:$B);FoodItems!$A:$A;FoodItems!$C:$C))</f>
        <v/>
      </c>
      <c r="H879">
        <f>IF(E879="";"";E879/100*XLOOKUP(XLOOKUP(C879;Portions!$A:$A;Portions!$B:$B);FoodItems!$A:$A;FoodItems!$D:$D))</f>
        <v/>
      </c>
      <c r="I879">
        <f>IF(E879="";"";E879/100*XLOOKUP(XLOOKUP(C879;Portions!$A:$A;Portions!$B:$B);FoodItems!$A:$A;FoodItems!$E:$E))</f>
        <v/>
      </c>
    </row>
    <row r="880">
      <c r="E880">
        <f>IF(C880="";"";D880*XLOOKUP(C880;Portions!$A:$A;Portions!$D:$D))</f>
        <v/>
      </c>
      <c r="F880">
        <f>IF(E880="";"";E880/100*XLOOKUP(XLOOKUP(C880;Portions!$A:$A;Portions!$B:$B);FoodItems!$A:$A;FoodItems!$B:$B))</f>
        <v/>
      </c>
      <c r="G880">
        <f>IF(E880="";"";E880/100*XLOOKUP(XLOOKUP(C880;Portions!$A:$A;Portions!$B:$B);FoodItems!$A:$A;FoodItems!$C:$C))</f>
        <v/>
      </c>
      <c r="H880">
        <f>IF(E880="";"";E880/100*XLOOKUP(XLOOKUP(C880;Portions!$A:$A;Portions!$B:$B);FoodItems!$A:$A;FoodItems!$D:$D))</f>
        <v/>
      </c>
      <c r="I880">
        <f>IF(E880="";"";E880/100*XLOOKUP(XLOOKUP(C880;Portions!$A:$A;Portions!$B:$B);FoodItems!$A:$A;FoodItems!$E:$E))</f>
        <v/>
      </c>
    </row>
    <row r="881">
      <c r="E881">
        <f>IF(C881="";"";D881*XLOOKUP(C881;Portions!$A:$A;Portions!$D:$D))</f>
        <v/>
      </c>
      <c r="F881">
        <f>IF(E881="";"";E881/100*XLOOKUP(XLOOKUP(C881;Portions!$A:$A;Portions!$B:$B);FoodItems!$A:$A;FoodItems!$B:$B))</f>
        <v/>
      </c>
      <c r="G881">
        <f>IF(E881="";"";E881/100*XLOOKUP(XLOOKUP(C881;Portions!$A:$A;Portions!$B:$B);FoodItems!$A:$A;FoodItems!$C:$C))</f>
        <v/>
      </c>
      <c r="H881">
        <f>IF(E881="";"";E881/100*XLOOKUP(XLOOKUP(C881;Portions!$A:$A;Portions!$B:$B);FoodItems!$A:$A;FoodItems!$D:$D))</f>
        <v/>
      </c>
      <c r="I881">
        <f>IF(E881="";"";E881/100*XLOOKUP(XLOOKUP(C881;Portions!$A:$A;Portions!$B:$B);FoodItems!$A:$A;FoodItems!$E:$E))</f>
        <v/>
      </c>
    </row>
    <row r="882">
      <c r="E882">
        <f>IF(C882="";"";D882*XLOOKUP(C882;Portions!$A:$A;Portions!$D:$D))</f>
        <v/>
      </c>
      <c r="F882">
        <f>IF(E882="";"";E882/100*XLOOKUP(XLOOKUP(C882;Portions!$A:$A;Portions!$B:$B);FoodItems!$A:$A;FoodItems!$B:$B))</f>
        <v/>
      </c>
      <c r="G882">
        <f>IF(E882="";"";E882/100*XLOOKUP(XLOOKUP(C882;Portions!$A:$A;Portions!$B:$B);FoodItems!$A:$A;FoodItems!$C:$C))</f>
        <v/>
      </c>
      <c r="H882">
        <f>IF(E882="";"";E882/100*XLOOKUP(XLOOKUP(C882;Portions!$A:$A;Portions!$B:$B);FoodItems!$A:$A;FoodItems!$D:$D))</f>
        <v/>
      </c>
      <c r="I882">
        <f>IF(E882="";"";E882/100*XLOOKUP(XLOOKUP(C882;Portions!$A:$A;Portions!$B:$B);FoodItems!$A:$A;FoodItems!$E:$E))</f>
        <v/>
      </c>
    </row>
    <row r="883">
      <c r="E883">
        <f>IF(C883="";"";D883*XLOOKUP(C883;Portions!$A:$A;Portions!$D:$D))</f>
        <v/>
      </c>
      <c r="F883">
        <f>IF(E883="";"";E883/100*XLOOKUP(XLOOKUP(C883;Portions!$A:$A;Portions!$B:$B);FoodItems!$A:$A;FoodItems!$B:$B))</f>
        <v/>
      </c>
      <c r="G883">
        <f>IF(E883="";"";E883/100*XLOOKUP(XLOOKUP(C883;Portions!$A:$A;Portions!$B:$B);FoodItems!$A:$A;FoodItems!$C:$C))</f>
        <v/>
      </c>
      <c r="H883">
        <f>IF(E883="";"";E883/100*XLOOKUP(XLOOKUP(C883;Portions!$A:$A;Portions!$B:$B);FoodItems!$A:$A;FoodItems!$D:$D))</f>
        <v/>
      </c>
      <c r="I883">
        <f>IF(E883="";"";E883/100*XLOOKUP(XLOOKUP(C883;Portions!$A:$A;Portions!$B:$B);FoodItems!$A:$A;FoodItems!$E:$E))</f>
        <v/>
      </c>
    </row>
    <row r="884">
      <c r="E884">
        <f>IF(C884="";"";D884*XLOOKUP(C884;Portions!$A:$A;Portions!$D:$D))</f>
        <v/>
      </c>
      <c r="F884">
        <f>IF(E884="";"";E884/100*XLOOKUP(XLOOKUP(C884;Portions!$A:$A;Portions!$B:$B);FoodItems!$A:$A;FoodItems!$B:$B))</f>
        <v/>
      </c>
      <c r="G884">
        <f>IF(E884="";"";E884/100*XLOOKUP(XLOOKUP(C884;Portions!$A:$A;Portions!$B:$B);FoodItems!$A:$A;FoodItems!$C:$C))</f>
        <v/>
      </c>
      <c r="H884">
        <f>IF(E884="";"";E884/100*XLOOKUP(XLOOKUP(C884;Portions!$A:$A;Portions!$B:$B);FoodItems!$A:$A;FoodItems!$D:$D))</f>
        <v/>
      </c>
      <c r="I884">
        <f>IF(E884="";"";E884/100*XLOOKUP(XLOOKUP(C884;Portions!$A:$A;Portions!$B:$B);FoodItems!$A:$A;FoodItems!$E:$E))</f>
        <v/>
      </c>
    </row>
    <row r="885">
      <c r="E885">
        <f>IF(C885="";"";D885*XLOOKUP(C885;Portions!$A:$A;Portions!$D:$D))</f>
        <v/>
      </c>
      <c r="F885">
        <f>IF(E885="";"";E885/100*XLOOKUP(XLOOKUP(C885;Portions!$A:$A;Portions!$B:$B);FoodItems!$A:$A;FoodItems!$B:$B))</f>
        <v/>
      </c>
      <c r="G885">
        <f>IF(E885="";"";E885/100*XLOOKUP(XLOOKUP(C885;Portions!$A:$A;Portions!$B:$B);FoodItems!$A:$A;FoodItems!$C:$C))</f>
        <v/>
      </c>
      <c r="H885">
        <f>IF(E885="";"";E885/100*XLOOKUP(XLOOKUP(C885;Portions!$A:$A;Portions!$B:$B);FoodItems!$A:$A;FoodItems!$D:$D))</f>
        <v/>
      </c>
      <c r="I885">
        <f>IF(E885="";"";E885/100*XLOOKUP(XLOOKUP(C885;Portions!$A:$A;Portions!$B:$B);FoodItems!$A:$A;FoodItems!$E:$E))</f>
        <v/>
      </c>
    </row>
    <row r="886">
      <c r="E886">
        <f>IF(C886="";"";D886*XLOOKUP(C886;Portions!$A:$A;Portions!$D:$D))</f>
        <v/>
      </c>
      <c r="F886">
        <f>IF(E886="";"";E886/100*XLOOKUP(XLOOKUP(C886;Portions!$A:$A;Portions!$B:$B);FoodItems!$A:$A;FoodItems!$B:$B))</f>
        <v/>
      </c>
      <c r="G886">
        <f>IF(E886="";"";E886/100*XLOOKUP(XLOOKUP(C886;Portions!$A:$A;Portions!$B:$B);FoodItems!$A:$A;FoodItems!$C:$C))</f>
        <v/>
      </c>
      <c r="H886">
        <f>IF(E886="";"";E886/100*XLOOKUP(XLOOKUP(C886;Portions!$A:$A;Portions!$B:$B);FoodItems!$A:$A;FoodItems!$D:$D))</f>
        <v/>
      </c>
      <c r="I886">
        <f>IF(E886="";"";E886/100*XLOOKUP(XLOOKUP(C886;Portions!$A:$A;Portions!$B:$B);FoodItems!$A:$A;FoodItems!$E:$E))</f>
        <v/>
      </c>
    </row>
    <row r="887">
      <c r="E887">
        <f>IF(C887="";"";D887*XLOOKUP(C887;Portions!$A:$A;Portions!$D:$D))</f>
        <v/>
      </c>
      <c r="F887">
        <f>IF(E887="";"";E887/100*XLOOKUP(XLOOKUP(C887;Portions!$A:$A;Portions!$B:$B);FoodItems!$A:$A;FoodItems!$B:$B))</f>
        <v/>
      </c>
      <c r="G887">
        <f>IF(E887="";"";E887/100*XLOOKUP(XLOOKUP(C887;Portions!$A:$A;Portions!$B:$B);FoodItems!$A:$A;FoodItems!$C:$C))</f>
        <v/>
      </c>
      <c r="H887">
        <f>IF(E887="";"";E887/100*XLOOKUP(XLOOKUP(C887;Portions!$A:$A;Portions!$B:$B);FoodItems!$A:$A;FoodItems!$D:$D))</f>
        <v/>
      </c>
      <c r="I887">
        <f>IF(E887="";"";E887/100*XLOOKUP(XLOOKUP(C887;Portions!$A:$A;Portions!$B:$B);FoodItems!$A:$A;FoodItems!$E:$E))</f>
        <v/>
      </c>
    </row>
    <row r="888">
      <c r="E888">
        <f>IF(C888="";"";D888*XLOOKUP(C888;Portions!$A:$A;Portions!$D:$D))</f>
        <v/>
      </c>
      <c r="F888">
        <f>IF(E888="";"";E888/100*XLOOKUP(XLOOKUP(C888;Portions!$A:$A;Portions!$B:$B);FoodItems!$A:$A;FoodItems!$B:$B))</f>
        <v/>
      </c>
      <c r="G888">
        <f>IF(E888="";"";E888/100*XLOOKUP(XLOOKUP(C888;Portions!$A:$A;Portions!$B:$B);FoodItems!$A:$A;FoodItems!$C:$C))</f>
        <v/>
      </c>
      <c r="H888">
        <f>IF(E888="";"";E888/100*XLOOKUP(XLOOKUP(C888;Portions!$A:$A;Portions!$B:$B);FoodItems!$A:$A;FoodItems!$D:$D))</f>
        <v/>
      </c>
      <c r="I888">
        <f>IF(E888="";"";E888/100*XLOOKUP(XLOOKUP(C888;Portions!$A:$A;Portions!$B:$B);FoodItems!$A:$A;FoodItems!$E:$E))</f>
        <v/>
      </c>
    </row>
    <row r="889">
      <c r="E889">
        <f>IF(C889="";"";D889*XLOOKUP(C889;Portions!$A:$A;Portions!$D:$D))</f>
        <v/>
      </c>
      <c r="F889">
        <f>IF(E889="";"";E889/100*XLOOKUP(XLOOKUP(C889;Portions!$A:$A;Portions!$B:$B);FoodItems!$A:$A;FoodItems!$B:$B))</f>
        <v/>
      </c>
      <c r="G889">
        <f>IF(E889="";"";E889/100*XLOOKUP(XLOOKUP(C889;Portions!$A:$A;Portions!$B:$B);FoodItems!$A:$A;FoodItems!$C:$C))</f>
        <v/>
      </c>
      <c r="H889">
        <f>IF(E889="";"";E889/100*XLOOKUP(XLOOKUP(C889;Portions!$A:$A;Portions!$B:$B);FoodItems!$A:$A;FoodItems!$D:$D))</f>
        <v/>
      </c>
      <c r="I889">
        <f>IF(E889="";"";E889/100*XLOOKUP(XLOOKUP(C889;Portions!$A:$A;Portions!$B:$B);FoodItems!$A:$A;FoodItems!$E:$E))</f>
        <v/>
      </c>
    </row>
    <row r="890">
      <c r="E890">
        <f>IF(C890="";"";D890*XLOOKUP(C890;Portions!$A:$A;Portions!$D:$D))</f>
        <v/>
      </c>
      <c r="F890">
        <f>IF(E890="";"";E890/100*XLOOKUP(XLOOKUP(C890;Portions!$A:$A;Portions!$B:$B);FoodItems!$A:$A;FoodItems!$B:$B))</f>
        <v/>
      </c>
      <c r="G890">
        <f>IF(E890="";"";E890/100*XLOOKUP(XLOOKUP(C890;Portions!$A:$A;Portions!$B:$B);FoodItems!$A:$A;FoodItems!$C:$C))</f>
        <v/>
      </c>
      <c r="H890">
        <f>IF(E890="";"";E890/100*XLOOKUP(XLOOKUP(C890;Portions!$A:$A;Portions!$B:$B);FoodItems!$A:$A;FoodItems!$D:$D))</f>
        <v/>
      </c>
      <c r="I890">
        <f>IF(E890="";"";E890/100*XLOOKUP(XLOOKUP(C890;Portions!$A:$A;Portions!$B:$B);FoodItems!$A:$A;FoodItems!$E:$E))</f>
        <v/>
      </c>
    </row>
    <row r="891">
      <c r="E891">
        <f>IF(C891="";"";D891*XLOOKUP(C891;Portions!$A:$A;Portions!$D:$D))</f>
        <v/>
      </c>
      <c r="F891">
        <f>IF(E891="";"";E891/100*XLOOKUP(XLOOKUP(C891;Portions!$A:$A;Portions!$B:$B);FoodItems!$A:$A;FoodItems!$B:$B))</f>
        <v/>
      </c>
      <c r="G891">
        <f>IF(E891="";"";E891/100*XLOOKUP(XLOOKUP(C891;Portions!$A:$A;Portions!$B:$B);FoodItems!$A:$A;FoodItems!$C:$C))</f>
        <v/>
      </c>
      <c r="H891">
        <f>IF(E891="";"";E891/100*XLOOKUP(XLOOKUP(C891;Portions!$A:$A;Portions!$B:$B);FoodItems!$A:$A;FoodItems!$D:$D))</f>
        <v/>
      </c>
      <c r="I891">
        <f>IF(E891="";"";E891/100*XLOOKUP(XLOOKUP(C891;Portions!$A:$A;Portions!$B:$B);FoodItems!$A:$A;FoodItems!$E:$E))</f>
        <v/>
      </c>
    </row>
    <row r="892">
      <c r="E892">
        <f>IF(C892="";"";D892*XLOOKUP(C892;Portions!$A:$A;Portions!$D:$D))</f>
        <v/>
      </c>
      <c r="F892">
        <f>IF(E892="";"";E892/100*XLOOKUP(XLOOKUP(C892;Portions!$A:$A;Portions!$B:$B);FoodItems!$A:$A;FoodItems!$B:$B))</f>
        <v/>
      </c>
      <c r="G892">
        <f>IF(E892="";"";E892/100*XLOOKUP(XLOOKUP(C892;Portions!$A:$A;Portions!$B:$B);FoodItems!$A:$A;FoodItems!$C:$C))</f>
        <v/>
      </c>
      <c r="H892">
        <f>IF(E892="";"";E892/100*XLOOKUP(XLOOKUP(C892;Portions!$A:$A;Portions!$B:$B);FoodItems!$A:$A;FoodItems!$D:$D))</f>
        <v/>
      </c>
      <c r="I892">
        <f>IF(E892="";"";E892/100*XLOOKUP(XLOOKUP(C892;Portions!$A:$A;Portions!$B:$B);FoodItems!$A:$A;FoodItems!$E:$E))</f>
        <v/>
      </c>
    </row>
    <row r="893">
      <c r="E893">
        <f>IF(C893="";"";D893*XLOOKUP(C893;Portions!$A:$A;Portions!$D:$D))</f>
        <v/>
      </c>
      <c r="F893">
        <f>IF(E893="";"";E893/100*XLOOKUP(XLOOKUP(C893;Portions!$A:$A;Portions!$B:$B);FoodItems!$A:$A;FoodItems!$B:$B))</f>
        <v/>
      </c>
      <c r="G893">
        <f>IF(E893="";"";E893/100*XLOOKUP(XLOOKUP(C893;Portions!$A:$A;Portions!$B:$B);FoodItems!$A:$A;FoodItems!$C:$C))</f>
        <v/>
      </c>
      <c r="H893">
        <f>IF(E893="";"";E893/100*XLOOKUP(XLOOKUP(C893;Portions!$A:$A;Portions!$B:$B);FoodItems!$A:$A;FoodItems!$D:$D))</f>
        <v/>
      </c>
      <c r="I893">
        <f>IF(E893="";"";E893/100*XLOOKUP(XLOOKUP(C893;Portions!$A:$A;Portions!$B:$B);FoodItems!$A:$A;FoodItems!$E:$E))</f>
        <v/>
      </c>
    </row>
    <row r="894">
      <c r="E894">
        <f>IF(C894="";"";D894*XLOOKUP(C894;Portions!$A:$A;Portions!$D:$D))</f>
        <v/>
      </c>
      <c r="F894">
        <f>IF(E894="";"";E894/100*XLOOKUP(XLOOKUP(C894;Portions!$A:$A;Portions!$B:$B);FoodItems!$A:$A;FoodItems!$B:$B))</f>
        <v/>
      </c>
      <c r="G894">
        <f>IF(E894="";"";E894/100*XLOOKUP(XLOOKUP(C894;Portions!$A:$A;Portions!$B:$B);FoodItems!$A:$A;FoodItems!$C:$C))</f>
        <v/>
      </c>
      <c r="H894">
        <f>IF(E894="";"";E894/100*XLOOKUP(XLOOKUP(C894;Portions!$A:$A;Portions!$B:$B);FoodItems!$A:$A;FoodItems!$D:$D))</f>
        <v/>
      </c>
      <c r="I894">
        <f>IF(E894="";"";E894/100*XLOOKUP(XLOOKUP(C894;Portions!$A:$A;Portions!$B:$B);FoodItems!$A:$A;FoodItems!$E:$E))</f>
        <v/>
      </c>
    </row>
    <row r="895">
      <c r="E895">
        <f>IF(C895="";"";D895*XLOOKUP(C895;Portions!$A:$A;Portions!$D:$D))</f>
        <v/>
      </c>
      <c r="F895">
        <f>IF(E895="";"";E895/100*XLOOKUP(XLOOKUP(C895;Portions!$A:$A;Portions!$B:$B);FoodItems!$A:$A;FoodItems!$B:$B))</f>
        <v/>
      </c>
      <c r="G895">
        <f>IF(E895="";"";E895/100*XLOOKUP(XLOOKUP(C895;Portions!$A:$A;Portions!$B:$B);FoodItems!$A:$A;FoodItems!$C:$C))</f>
        <v/>
      </c>
      <c r="H895">
        <f>IF(E895="";"";E895/100*XLOOKUP(XLOOKUP(C895;Portions!$A:$A;Portions!$B:$B);FoodItems!$A:$A;FoodItems!$D:$D))</f>
        <v/>
      </c>
      <c r="I895">
        <f>IF(E895="";"";E895/100*XLOOKUP(XLOOKUP(C895;Portions!$A:$A;Portions!$B:$B);FoodItems!$A:$A;FoodItems!$E:$E))</f>
        <v/>
      </c>
    </row>
    <row r="896">
      <c r="E896">
        <f>IF(C896="";"";D896*XLOOKUP(C896;Portions!$A:$A;Portions!$D:$D))</f>
        <v/>
      </c>
      <c r="F896">
        <f>IF(E896="";"";E896/100*XLOOKUP(XLOOKUP(C896;Portions!$A:$A;Portions!$B:$B);FoodItems!$A:$A;FoodItems!$B:$B))</f>
        <v/>
      </c>
      <c r="G896">
        <f>IF(E896="";"";E896/100*XLOOKUP(XLOOKUP(C896;Portions!$A:$A;Portions!$B:$B);FoodItems!$A:$A;FoodItems!$C:$C))</f>
        <v/>
      </c>
      <c r="H896">
        <f>IF(E896="";"";E896/100*XLOOKUP(XLOOKUP(C896;Portions!$A:$A;Portions!$B:$B);FoodItems!$A:$A;FoodItems!$D:$D))</f>
        <v/>
      </c>
      <c r="I896">
        <f>IF(E896="";"";E896/100*XLOOKUP(XLOOKUP(C896;Portions!$A:$A;Portions!$B:$B);FoodItems!$A:$A;FoodItems!$E:$E))</f>
        <v/>
      </c>
    </row>
    <row r="897">
      <c r="E897">
        <f>IF(C897="";"";D897*XLOOKUP(C897;Portions!$A:$A;Portions!$D:$D))</f>
        <v/>
      </c>
      <c r="F897">
        <f>IF(E897="";"";E897/100*XLOOKUP(XLOOKUP(C897;Portions!$A:$A;Portions!$B:$B);FoodItems!$A:$A;FoodItems!$B:$B))</f>
        <v/>
      </c>
      <c r="G897">
        <f>IF(E897="";"";E897/100*XLOOKUP(XLOOKUP(C897;Portions!$A:$A;Portions!$B:$B);FoodItems!$A:$A;FoodItems!$C:$C))</f>
        <v/>
      </c>
      <c r="H897">
        <f>IF(E897="";"";E897/100*XLOOKUP(XLOOKUP(C897;Portions!$A:$A;Portions!$B:$B);FoodItems!$A:$A;FoodItems!$D:$D))</f>
        <v/>
      </c>
      <c r="I897">
        <f>IF(E897="";"";E897/100*XLOOKUP(XLOOKUP(C897;Portions!$A:$A;Portions!$B:$B);FoodItems!$A:$A;FoodItems!$E:$E))</f>
        <v/>
      </c>
    </row>
    <row r="898">
      <c r="E898">
        <f>IF(C898="";"";D898*XLOOKUP(C898;Portions!$A:$A;Portions!$D:$D))</f>
        <v/>
      </c>
      <c r="F898">
        <f>IF(E898="";"";E898/100*XLOOKUP(XLOOKUP(C898;Portions!$A:$A;Portions!$B:$B);FoodItems!$A:$A;FoodItems!$B:$B))</f>
        <v/>
      </c>
      <c r="G898">
        <f>IF(E898="";"";E898/100*XLOOKUP(XLOOKUP(C898;Portions!$A:$A;Portions!$B:$B);FoodItems!$A:$A;FoodItems!$C:$C))</f>
        <v/>
      </c>
      <c r="H898">
        <f>IF(E898="";"";E898/100*XLOOKUP(XLOOKUP(C898;Portions!$A:$A;Portions!$B:$B);FoodItems!$A:$A;FoodItems!$D:$D))</f>
        <v/>
      </c>
      <c r="I898">
        <f>IF(E898="";"";E898/100*XLOOKUP(XLOOKUP(C898;Portions!$A:$A;Portions!$B:$B);FoodItems!$A:$A;FoodItems!$E:$E))</f>
        <v/>
      </c>
    </row>
    <row r="899">
      <c r="E899">
        <f>IF(C899="";"";D899*XLOOKUP(C899;Portions!$A:$A;Portions!$D:$D))</f>
        <v/>
      </c>
      <c r="F899">
        <f>IF(E899="";"";E899/100*XLOOKUP(XLOOKUP(C899;Portions!$A:$A;Portions!$B:$B);FoodItems!$A:$A;FoodItems!$B:$B))</f>
        <v/>
      </c>
      <c r="G899">
        <f>IF(E899="";"";E899/100*XLOOKUP(XLOOKUP(C899;Portions!$A:$A;Portions!$B:$B);FoodItems!$A:$A;FoodItems!$C:$C))</f>
        <v/>
      </c>
      <c r="H899">
        <f>IF(E899="";"";E899/100*XLOOKUP(XLOOKUP(C899;Portions!$A:$A;Portions!$B:$B);FoodItems!$A:$A;FoodItems!$D:$D))</f>
        <v/>
      </c>
      <c r="I899">
        <f>IF(E899="";"";E899/100*XLOOKUP(XLOOKUP(C899;Portions!$A:$A;Portions!$B:$B);FoodItems!$A:$A;FoodItems!$E:$E))</f>
        <v/>
      </c>
    </row>
    <row r="900">
      <c r="E900">
        <f>IF(C900="";"";D900*XLOOKUP(C900;Portions!$A:$A;Portions!$D:$D))</f>
        <v/>
      </c>
      <c r="F900">
        <f>IF(E900="";"";E900/100*XLOOKUP(XLOOKUP(C900;Portions!$A:$A;Portions!$B:$B);FoodItems!$A:$A;FoodItems!$B:$B))</f>
        <v/>
      </c>
      <c r="G900">
        <f>IF(E900="";"";E900/100*XLOOKUP(XLOOKUP(C900;Portions!$A:$A;Portions!$B:$B);FoodItems!$A:$A;FoodItems!$C:$C))</f>
        <v/>
      </c>
      <c r="H900">
        <f>IF(E900="";"";E900/100*XLOOKUP(XLOOKUP(C900;Portions!$A:$A;Portions!$B:$B);FoodItems!$A:$A;FoodItems!$D:$D))</f>
        <v/>
      </c>
      <c r="I900">
        <f>IF(E900="";"";E900/100*XLOOKUP(XLOOKUP(C900;Portions!$A:$A;Portions!$B:$B);FoodItems!$A:$A;FoodItems!$E:$E))</f>
        <v/>
      </c>
    </row>
    <row r="901">
      <c r="E901">
        <f>IF(C901="";"";D901*XLOOKUP(C901;Portions!$A:$A;Portions!$D:$D))</f>
        <v/>
      </c>
      <c r="F901">
        <f>IF(E901="";"";E901/100*XLOOKUP(XLOOKUP(C901;Portions!$A:$A;Portions!$B:$B);FoodItems!$A:$A;FoodItems!$B:$B))</f>
        <v/>
      </c>
      <c r="G901">
        <f>IF(E901="";"";E901/100*XLOOKUP(XLOOKUP(C901;Portions!$A:$A;Portions!$B:$B);FoodItems!$A:$A;FoodItems!$C:$C))</f>
        <v/>
      </c>
      <c r="H901">
        <f>IF(E901="";"";E901/100*XLOOKUP(XLOOKUP(C901;Portions!$A:$A;Portions!$B:$B);FoodItems!$A:$A;FoodItems!$D:$D))</f>
        <v/>
      </c>
      <c r="I901">
        <f>IF(E901="";"";E901/100*XLOOKUP(XLOOKUP(C901;Portions!$A:$A;Portions!$B:$B);FoodItems!$A:$A;FoodItems!$E:$E))</f>
        <v/>
      </c>
    </row>
    <row r="902">
      <c r="E902">
        <f>IF(C902="";"";D902*XLOOKUP(C902;Portions!$A:$A;Portions!$D:$D))</f>
        <v/>
      </c>
      <c r="F902">
        <f>IF(E902="";"";E902/100*XLOOKUP(XLOOKUP(C902;Portions!$A:$A;Portions!$B:$B);FoodItems!$A:$A;FoodItems!$B:$B))</f>
        <v/>
      </c>
      <c r="G902">
        <f>IF(E902="";"";E902/100*XLOOKUP(XLOOKUP(C902;Portions!$A:$A;Portions!$B:$B);FoodItems!$A:$A;FoodItems!$C:$C))</f>
        <v/>
      </c>
      <c r="H902">
        <f>IF(E902="";"";E902/100*XLOOKUP(XLOOKUP(C902;Portions!$A:$A;Portions!$B:$B);FoodItems!$A:$A;FoodItems!$D:$D))</f>
        <v/>
      </c>
      <c r="I902">
        <f>IF(E902="";"";E902/100*XLOOKUP(XLOOKUP(C902;Portions!$A:$A;Portions!$B:$B);FoodItems!$A:$A;FoodItems!$E:$E))</f>
        <v/>
      </c>
    </row>
    <row r="903">
      <c r="E903">
        <f>IF(C903="";"";D903*XLOOKUP(C903;Portions!$A:$A;Portions!$D:$D))</f>
        <v/>
      </c>
      <c r="F903">
        <f>IF(E903="";"";E903/100*XLOOKUP(XLOOKUP(C903;Portions!$A:$A;Portions!$B:$B);FoodItems!$A:$A;FoodItems!$B:$B))</f>
        <v/>
      </c>
      <c r="G903">
        <f>IF(E903="";"";E903/100*XLOOKUP(XLOOKUP(C903;Portions!$A:$A;Portions!$B:$B);FoodItems!$A:$A;FoodItems!$C:$C))</f>
        <v/>
      </c>
      <c r="H903">
        <f>IF(E903="";"";E903/100*XLOOKUP(XLOOKUP(C903;Portions!$A:$A;Portions!$B:$B);FoodItems!$A:$A;FoodItems!$D:$D))</f>
        <v/>
      </c>
      <c r="I903">
        <f>IF(E903="";"";E903/100*XLOOKUP(XLOOKUP(C903;Portions!$A:$A;Portions!$B:$B);FoodItems!$A:$A;FoodItems!$E:$E))</f>
        <v/>
      </c>
    </row>
    <row r="904">
      <c r="E904">
        <f>IF(C904="";"";D904*XLOOKUP(C904;Portions!$A:$A;Portions!$D:$D))</f>
        <v/>
      </c>
      <c r="F904">
        <f>IF(E904="";"";E904/100*XLOOKUP(XLOOKUP(C904;Portions!$A:$A;Portions!$B:$B);FoodItems!$A:$A;FoodItems!$B:$B))</f>
        <v/>
      </c>
      <c r="G904">
        <f>IF(E904="";"";E904/100*XLOOKUP(XLOOKUP(C904;Portions!$A:$A;Portions!$B:$B);FoodItems!$A:$A;FoodItems!$C:$C))</f>
        <v/>
      </c>
      <c r="H904">
        <f>IF(E904="";"";E904/100*XLOOKUP(XLOOKUP(C904;Portions!$A:$A;Portions!$B:$B);FoodItems!$A:$A;FoodItems!$D:$D))</f>
        <v/>
      </c>
      <c r="I904">
        <f>IF(E904="";"";E904/100*XLOOKUP(XLOOKUP(C904;Portions!$A:$A;Portions!$B:$B);FoodItems!$A:$A;FoodItems!$E:$E))</f>
        <v/>
      </c>
    </row>
    <row r="905">
      <c r="E905">
        <f>IF(C905="";"";D905*XLOOKUP(C905;Portions!$A:$A;Portions!$D:$D))</f>
        <v/>
      </c>
      <c r="F905">
        <f>IF(E905="";"";E905/100*XLOOKUP(XLOOKUP(C905;Portions!$A:$A;Portions!$B:$B);FoodItems!$A:$A;FoodItems!$B:$B))</f>
        <v/>
      </c>
      <c r="G905">
        <f>IF(E905="";"";E905/100*XLOOKUP(XLOOKUP(C905;Portions!$A:$A;Portions!$B:$B);FoodItems!$A:$A;FoodItems!$C:$C))</f>
        <v/>
      </c>
      <c r="H905">
        <f>IF(E905="";"";E905/100*XLOOKUP(XLOOKUP(C905;Portions!$A:$A;Portions!$B:$B);FoodItems!$A:$A;FoodItems!$D:$D))</f>
        <v/>
      </c>
      <c r="I905">
        <f>IF(E905="";"";E905/100*XLOOKUP(XLOOKUP(C905;Portions!$A:$A;Portions!$B:$B);FoodItems!$A:$A;FoodItems!$E:$E))</f>
        <v/>
      </c>
    </row>
    <row r="906">
      <c r="E906">
        <f>IF(C906="";"";D906*XLOOKUP(C906;Portions!$A:$A;Portions!$D:$D))</f>
        <v/>
      </c>
      <c r="F906">
        <f>IF(E906="";"";E906/100*XLOOKUP(XLOOKUP(C906;Portions!$A:$A;Portions!$B:$B);FoodItems!$A:$A;FoodItems!$B:$B))</f>
        <v/>
      </c>
      <c r="G906">
        <f>IF(E906="";"";E906/100*XLOOKUP(XLOOKUP(C906;Portions!$A:$A;Portions!$B:$B);FoodItems!$A:$A;FoodItems!$C:$C))</f>
        <v/>
      </c>
      <c r="H906">
        <f>IF(E906="";"";E906/100*XLOOKUP(XLOOKUP(C906;Portions!$A:$A;Portions!$B:$B);FoodItems!$A:$A;FoodItems!$D:$D))</f>
        <v/>
      </c>
      <c r="I906">
        <f>IF(E906="";"";E906/100*XLOOKUP(XLOOKUP(C906;Portions!$A:$A;Portions!$B:$B);FoodItems!$A:$A;FoodItems!$E:$E))</f>
        <v/>
      </c>
    </row>
    <row r="907">
      <c r="E907">
        <f>IF(C907="";"";D907*XLOOKUP(C907;Portions!$A:$A;Portions!$D:$D))</f>
        <v/>
      </c>
      <c r="F907">
        <f>IF(E907="";"";E907/100*XLOOKUP(XLOOKUP(C907;Portions!$A:$A;Portions!$B:$B);FoodItems!$A:$A;FoodItems!$B:$B))</f>
        <v/>
      </c>
      <c r="G907">
        <f>IF(E907="";"";E907/100*XLOOKUP(XLOOKUP(C907;Portions!$A:$A;Portions!$B:$B);FoodItems!$A:$A;FoodItems!$C:$C))</f>
        <v/>
      </c>
      <c r="H907">
        <f>IF(E907="";"";E907/100*XLOOKUP(XLOOKUP(C907;Portions!$A:$A;Portions!$B:$B);FoodItems!$A:$A;FoodItems!$D:$D))</f>
        <v/>
      </c>
      <c r="I907">
        <f>IF(E907="";"";E907/100*XLOOKUP(XLOOKUP(C907;Portions!$A:$A;Portions!$B:$B);FoodItems!$A:$A;FoodItems!$E:$E))</f>
        <v/>
      </c>
    </row>
    <row r="908">
      <c r="E908">
        <f>IF(C908="";"";D908*XLOOKUP(C908;Portions!$A:$A;Portions!$D:$D))</f>
        <v/>
      </c>
      <c r="F908">
        <f>IF(E908="";"";E908/100*XLOOKUP(XLOOKUP(C908;Portions!$A:$A;Portions!$B:$B);FoodItems!$A:$A;FoodItems!$B:$B))</f>
        <v/>
      </c>
      <c r="G908">
        <f>IF(E908="";"";E908/100*XLOOKUP(XLOOKUP(C908;Portions!$A:$A;Portions!$B:$B);FoodItems!$A:$A;FoodItems!$C:$C))</f>
        <v/>
      </c>
      <c r="H908">
        <f>IF(E908="";"";E908/100*XLOOKUP(XLOOKUP(C908;Portions!$A:$A;Portions!$B:$B);FoodItems!$A:$A;FoodItems!$D:$D))</f>
        <v/>
      </c>
      <c r="I908">
        <f>IF(E908="";"";E908/100*XLOOKUP(XLOOKUP(C908;Portions!$A:$A;Portions!$B:$B);FoodItems!$A:$A;FoodItems!$E:$E))</f>
        <v/>
      </c>
    </row>
    <row r="909">
      <c r="E909">
        <f>IF(C909="";"";D909*XLOOKUP(C909;Portions!$A:$A;Portions!$D:$D))</f>
        <v/>
      </c>
      <c r="F909">
        <f>IF(E909="";"";E909/100*XLOOKUP(XLOOKUP(C909;Portions!$A:$A;Portions!$B:$B);FoodItems!$A:$A;FoodItems!$B:$B))</f>
        <v/>
      </c>
      <c r="G909">
        <f>IF(E909="";"";E909/100*XLOOKUP(XLOOKUP(C909;Portions!$A:$A;Portions!$B:$B);FoodItems!$A:$A;FoodItems!$C:$C))</f>
        <v/>
      </c>
      <c r="H909">
        <f>IF(E909="";"";E909/100*XLOOKUP(XLOOKUP(C909;Portions!$A:$A;Portions!$B:$B);FoodItems!$A:$A;FoodItems!$D:$D))</f>
        <v/>
      </c>
      <c r="I909">
        <f>IF(E909="";"";E909/100*XLOOKUP(XLOOKUP(C909;Portions!$A:$A;Portions!$B:$B);FoodItems!$A:$A;FoodItems!$E:$E))</f>
        <v/>
      </c>
    </row>
    <row r="910">
      <c r="E910">
        <f>IF(C910="";"";D910*XLOOKUP(C910;Portions!$A:$A;Portions!$D:$D))</f>
        <v/>
      </c>
      <c r="F910">
        <f>IF(E910="";"";E910/100*XLOOKUP(XLOOKUP(C910;Portions!$A:$A;Portions!$B:$B);FoodItems!$A:$A;FoodItems!$B:$B))</f>
        <v/>
      </c>
      <c r="G910">
        <f>IF(E910="";"";E910/100*XLOOKUP(XLOOKUP(C910;Portions!$A:$A;Portions!$B:$B);FoodItems!$A:$A;FoodItems!$C:$C))</f>
        <v/>
      </c>
      <c r="H910">
        <f>IF(E910="";"";E910/100*XLOOKUP(XLOOKUP(C910;Portions!$A:$A;Portions!$B:$B);FoodItems!$A:$A;FoodItems!$D:$D))</f>
        <v/>
      </c>
      <c r="I910">
        <f>IF(E910="";"";E910/100*XLOOKUP(XLOOKUP(C910;Portions!$A:$A;Portions!$B:$B);FoodItems!$A:$A;FoodItems!$E:$E))</f>
        <v/>
      </c>
    </row>
    <row r="911">
      <c r="E911">
        <f>IF(C911="";"";D911*XLOOKUP(C911;Portions!$A:$A;Portions!$D:$D))</f>
        <v/>
      </c>
      <c r="F911">
        <f>IF(E911="";"";E911/100*XLOOKUP(XLOOKUP(C911;Portions!$A:$A;Portions!$B:$B);FoodItems!$A:$A;FoodItems!$B:$B))</f>
        <v/>
      </c>
      <c r="G911">
        <f>IF(E911="";"";E911/100*XLOOKUP(XLOOKUP(C911;Portions!$A:$A;Portions!$B:$B);FoodItems!$A:$A;FoodItems!$C:$C))</f>
        <v/>
      </c>
      <c r="H911">
        <f>IF(E911="";"";E911/100*XLOOKUP(XLOOKUP(C911;Portions!$A:$A;Portions!$B:$B);FoodItems!$A:$A;FoodItems!$D:$D))</f>
        <v/>
      </c>
      <c r="I911">
        <f>IF(E911="";"";E911/100*XLOOKUP(XLOOKUP(C911;Portions!$A:$A;Portions!$B:$B);FoodItems!$A:$A;FoodItems!$E:$E))</f>
        <v/>
      </c>
    </row>
    <row r="912">
      <c r="E912">
        <f>IF(C912="";"";D912*XLOOKUP(C912;Portions!$A:$A;Portions!$D:$D))</f>
        <v/>
      </c>
      <c r="F912">
        <f>IF(E912="";"";E912/100*XLOOKUP(XLOOKUP(C912;Portions!$A:$A;Portions!$B:$B);FoodItems!$A:$A;FoodItems!$B:$B))</f>
        <v/>
      </c>
      <c r="G912">
        <f>IF(E912="";"";E912/100*XLOOKUP(XLOOKUP(C912;Portions!$A:$A;Portions!$B:$B);FoodItems!$A:$A;FoodItems!$C:$C))</f>
        <v/>
      </c>
      <c r="H912">
        <f>IF(E912="";"";E912/100*XLOOKUP(XLOOKUP(C912;Portions!$A:$A;Portions!$B:$B);FoodItems!$A:$A;FoodItems!$D:$D))</f>
        <v/>
      </c>
      <c r="I912">
        <f>IF(E912="";"";E912/100*XLOOKUP(XLOOKUP(C912;Portions!$A:$A;Portions!$B:$B);FoodItems!$A:$A;FoodItems!$E:$E))</f>
        <v/>
      </c>
    </row>
    <row r="913">
      <c r="E913">
        <f>IF(C913="";"";D913*XLOOKUP(C913;Portions!$A:$A;Portions!$D:$D))</f>
        <v/>
      </c>
      <c r="F913">
        <f>IF(E913="";"";E913/100*XLOOKUP(XLOOKUP(C913;Portions!$A:$A;Portions!$B:$B);FoodItems!$A:$A;FoodItems!$B:$B))</f>
        <v/>
      </c>
      <c r="G913">
        <f>IF(E913="";"";E913/100*XLOOKUP(XLOOKUP(C913;Portions!$A:$A;Portions!$B:$B);FoodItems!$A:$A;FoodItems!$C:$C))</f>
        <v/>
      </c>
      <c r="H913">
        <f>IF(E913="";"";E913/100*XLOOKUP(XLOOKUP(C913;Portions!$A:$A;Portions!$B:$B);FoodItems!$A:$A;FoodItems!$D:$D))</f>
        <v/>
      </c>
      <c r="I913">
        <f>IF(E913="";"";E913/100*XLOOKUP(XLOOKUP(C913;Portions!$A:$A;Portions!$B:$B);FoodItems!$A:$A;FoodItems!$E:$E))</f>
        <v/>
      </c>
    </row>
    <row r="914">
      <c r="E914">
        <f>IF(C914="";"";D914*XLOOKUP(C914;Portions!$A:$A;Portions!$D:$D))</f>
        <v/>
      </c>
      <c r="F914">
        <f>IF(E914="";"";E914/100*XLOOKUP(XLOOKUP(C914;Portions!$A:$A;Portions!$B:$B);FoodItems!$A:$A;FoodItems!$B:$B))</f>
        <v/>
      </c>
      <c r="G914">
        <f>IF(E914="";"";E914/100*XLOOKUP(XLOOKUP(C914;Portions!$A:$A;Portions!$B:$B);FoodItems!$A:$A;FoodItems!$C:$C))</f>
        <v/>
      </c>
      <c r="H914">
        <f>IF(E914="";"";E914/100*XLOOKUP(XLOOKUP(C914;Portions!$A:$A;Portions!$B:$B);FoodItems!$A:$A;FoodItems!$D:$D))</f>
        <v/>
      </c>
      <c r="I914">
        <f>IF(E914="";"";E914/100*XLOOKUP(XLOOKUP(C914;Portions!$A:$A;Portions!$B:$B);FoodItems!$A:$A;FoodItems!$E:$E))</f>
        <v/>
      </c>
    </row>
    <row r="915">
      <c r="E915">
        <f>IF(C915="";"";D915*XLOOKUP(C915;Portions!$A:$A;Portions!$D:$D))</f>
        <v/>
      </c>
      <c r="F915">
        <f>IF(E915="";"";E915/100*XLOOKUP(XLOOKUP(C915;Portions!$A:$A;Portions!$B:$B);FoodItems!$A:$A;FoodItems!$B:$B))</f>
        <v/>
      </c>
      <c r="G915">
        <f>IF(E915="";"";E915/100*XLOOKUP(XLOOKUP(C915;Portions!$A:$A;Portions!$B:$B);FoodItems!$A:$A;FoodItems!$C:$C))</f>
        <v/>
      </c>
      <c r="H915">
        <f>IF(E915="";"";E915/100*XLOOKUP(XLOOKUP(C915;Portions!$A:$A;Portions!$B:$B);FoodItems!$A:$A;FoodItems!$D:$D))</f>
        <v/>
      </c>
      <c r="I915">
        <f>IF(E915="";"";E915/100*XLOOKUP(XLOOKUP(C915;Portions!$A:$A;Portions!$B:$B);FoodItems!$A:$A;FoodItems!$E:$E))</f>
        <v/>
      </c>
    </row>
    <row r="916">
      <c r="E916">
        <f>IF(C916="";"";D916*XLOOKUP(C916;Portions!$A:$A;Portions!$D:$D))</f>
        <v/>
      </c>
      <c r="F916">
        <f>IF(E916="";"";E916/100*XLOOKUP(XLOOKUP(C916;Portions!$A:$A;Portions!$B:$B);FoodItems!$A:$A;FoodItems!$B:$B))</f>
        <v/>
      </c>
      <c r="G916">
        <f>IF(E916="";"";E916/100*XLOOKUP(XLOOKUP(C916;Portions!$A:$A;Portions!$B:$B);FoodItems!$A:$A;FoodItems!$C:$C))</f>
        <v/>
      </c>
      <c r="H916">
        <f>IF(E916="";"";E916/100*XLOOKUP(XLOOKUP(C916;Portions!$A:$A;Portions!$B:$B);FoodItems!$A:$A;FoodItems!$D:$D))</f>
        <v/>
      </c>
      <c r="I916">
        <f>IF(E916="";"";E916/100*XLOOKUP(XLOOKUP(C916;Portions!$A:$A;Portions!$B:$B);FoodItems!$A:$A;FoodItems!$E:$E))</f>
        <v/>
      </c>
    </row>
    <row r="917">
      <c r="E917">
        <f>IF(C917="";"";D917*XLOOKUP(C917;Portions!$A:$A;Portions!$D:$D))</f>
        <v/>
      </c>
      <c r="F917">
        <f>IF(E917="";"";E917/100*XLOOKUP(XLOOKUP(C917;Portions!$A:$A;Portions!$B:$B);FoodItems!$A:$A;FoodItems!$B:$B))</f>
        <v/>
      </c>
      <c r="G917">
        <f>IF(E917="";"";E917/100*XLOOKUP(XLOOKUP(C917;Portions!$A:$A;Portions!$B:$B);FoodItems!$A:$A;FoodItems!$C:$C))</f>
        <v/>
      </c>
      <c r="H917">
        <f>IF(E917="";"";E917/100*XLOOKUP(XLOOKUP(C917;Portions!$A:$A;Portions!$B:$B);FoodItems!$A:$A;FoodItems!$D:$D))</f>
        <v/>
      </c>
      <c r="I917">
        <f>IF(E917="";"";E917/100*XLOOKUP(XLOOKUP(C917;Portions!$A:$A;Portions!$B:$B);FoodItems!$A:$A;FoodItems!$E:$E))</f>
        <v/>
      </c>
    </row>
    <row r="918">
      <c r="E918">
        <f>IF(C918="";"";D918*XLOOKUP(C918;Portions!$A:$A;Portions!$D:$D))</f>
        <v/>
      </c>
      <c r="F918">
        <f>IF(E918="";"";E918/100*XLOOKUP(XLOOKUP(C918;Portions!$A:$A;Portions!$B:$B);FoodItems!$A:$A;FoodItems!$B:$B))</f>
        <v/>
      </c>
      <c r="G918">
        <f>IF(E918="";"";E918/100*XLOOKUP(XLOOKUP(C918;Portions!$A:$A;Portions!$B:$B);FoodItems!$A:$A;FoodItems!$C:$C))</f>
        <v/>
      </c>
      <c r="H918">
        <f>IF(E918="";"";E918/100*XLOOKUP(XLOOKUP(C918;Portions!$A:$A;Portions!$B:$B);FoodItems!$A:$A;FoodItems!$D:$D))</f>
        <v/>
      </c>
      <c r="I918">
        <f>IF(E918="";"";E918/100*XLOOKUP(XLOOKUP(C918;Portions!$A:$A;Portions!$B:$B);FoodItems!$A:$A;FoodItems!$E:$E))</f>
        <v/>
      </c>
    </row>
    <row r="919">
      <c r="E919">
        <f>IF(C919="";"";D919*XLOOKUP(C919;Portions!$A:$A;Portions!$D:$D))</f>
        <v/>
      </c>
      <c r="F919">
        <f>IF(E919="";"";E919/100*XLOOKUP(XLOOKUP(C919;Portions!$A:$A;Portions!$B:$B);FoodItems!$A:$A;FoodItems!$B:$B))</f>
        <v/>
      </c>
      <c r="G919">
        <f>IF(E919="";"";E919/100*XLOOKUP(XLOOKUP(C919;Portions!$A:$A;Portions!$B:$B);FoodItems!$A:$A;FoodItems!$C:$C))</f>
        <v/>
      </c>
      <c r="H919">
        <f>IF(E919="";"";E919/100*XLOOKUP(XLOOKUP(C919;Portions!$A:$A;Portions!$B:$B);FoodItems!$A:$A;FoodItems!$D:$D))</f>
        <v/>
      </c>
      <c r="I919">
        <f>IF(E919="";"";E919/100*XLOOKUP(XLOOKUP(C919;Portions!$A:$A;Portions!$B:$B);FoodItems!$A:$A;FoodItems!$E:$E))</f>
        <v/>
      </c>
    </row>
    <row r="920">
      <c r="E920">
        <f>IF(C920="";"";D920*XLOOKUP(C920;Portions!$A:$A;Portions!$D:$D))</f>
        <v/>
      </c>
      <c r="F920">
        <f>IF(E920="";"";E920/100*XLOOKUP(XLOOKUP(C920;Portions!$A:$A;Portions!$B:$B);FoodItems!$A:$A;FoodItems!$B:$B))</f>
        <v/>
      </c>
      <c r="G920">
        <f>IF(E920="";"";E920/100*XLOOKUP(XLOOKUP(C920;Portions!$A:$A;Portions!$B:$B);FoodItems!$A:$A;FoodItems!$C:$C))</f>
        <v/>
      </c>
      <c r="H920">
        <f>IF(E920="";"";E920/100*XLOOKUP(XLOOKUP(C920;Portions!$A:$A;Portions!$B:$B);FoodItems!$A:$A;FoodItems!$D:$D))</f>
        <v/>
      </c>
      <c r="I920">
        <f>IF(E920="";"";E920/100*XLOOKUP(XLOOKUP(C920;Portions!$A:$A;Portions!$B:$B);FoodItems!$A:$A;FoodItems!$E:$E))</f>
        <v/>
      </c>
    </row>
    <row r="921">
      <c r="E921">
        <f>IF(C921="";"";D921*XLOOKUP(C921;Portions!$A:$A;Portions!$D:$D))</f>
        <v/>
      </c>
      <c r="F921">
        <f>IF(E921="";"";E921/100*XLOOKUP(XLOOKUP(C921;Portions!$A:$A;Portions!$B:$B);FoodItems!$A:$A;FoodItems!$B:$B))</f>
        <v/>
      </c>
      <c r="G921">
        <f>IF(E921="";"";E921/100*XLOOKUP(XLOOKUP(C921;Portions!$A:$A;Portions!$B:$B);FoodItems!$A:$A;FoodItems!$C:$C))</f>
        <v/>
      </c>
      <c r="H921">
        <f>IF(E921="";"";E921/100*XLOOKUP(XLOOKUP(C921;Portions!$A:$A;Portions!$B:$B);FoodItems!$A:$A;FoodItems!$D:$D))</f>
        <v/>
      </c>
      <c r="I921">
        <f>IF(E921="";"";E921/100*XLOOKUP(XLOOKUP(C921;Portions!$A:$A;Portions!$B:$B);FoodItems!$A:$A;FoodItems!$E:$E))</f>
        <v/>
      </c>
    </row>
    <row r="922">
      <c r="E922">
        <f>IF(C922="";"";D922*XLOOKUP(C922;Portions!$A:$A;Portions!$D:$D))</f>
        <v/>
      </c>
      <c r="F922">
        <f>IF(E922="";"";E922/100*XLOOKUP(XLOOKUP(C922;Portions!$A:$A;Portions!$B:$B);FoodItems!$A:$A;FoodItems!$B:$B))</f>
        <v/>
      </c>
      <c r="G922">
        <f>IF(E922="";"";E922/100*XLOOKUP(XLOOKUP(C922;Portions!$A:$A;Portions!$B:$B);FoodItems!$A:$A;FoodItems!$C:$C))</f>
        <v/>
      </c>
      <c r="H922">
        <f>IF(E922="";"";E922/100*XLOOKUP(XLOOKUP(C922;Portions!$A:$A;Portions!$B:$B);FoodItems!$A:$A;FoodItems!$D:$D))</f>
        <v/>
      </c>
      <c r="I922">
        <f>IF(E922="";"";E922/100*XLOOKUP(XLOOKUP(C922;Portions!$A:$A;Portions!$B:$B);FoodItems!$A:$A;FoodItems!$E:$E))</f>
        <v/>
      </c>
    </row>
    <row r="923">
      <c r="E923">
        <f>IF(C923="";"";D923*XLOOKUP(C923;Portions!$A:$A;Portions!$D:$D))</f>
        <v/>
      </c>
      <c r="F923">
        <f>IF(E923="";"";E923/100*XLOOKUP(XLOOKUP(C923;Portions!$A:$A;Portions!$B:$B);FoodItems!$A:$A;FoodItems!$B:$B))</f>
        <v/>
      </c>
      <c r="G923">
        <f>IF(E923="";"";E923/100*XLOOKUP(XLOOKUP(C923;Portions!$A:$A;Portions!$B:$B);FoodItems!$A:$A;FoodItems!$C:$C))</f>
        <v/>
      </c>
      <c r="H923">
        <f>IF(E923="";"";E923/100*XLOOKUP(XLOOKUP(C923;Portions!$A:$A;Portions!$B:$B);FoodItems!$A:$A;FoodItems!$D:$D))</f>
        <v/>
      </c>
      <c r="I923">
        <f>IF(E923="";"";E923/100*XLOOKUP(XLOOKUP(C923;Portions!$A:$A;Portions!$B:$B);FoodItems!$A:$A;FoodItems!$E:$E))</f>
        <v/>
      </c>
    </row>
    <row r="924">
      <c r="E924">
        <f>IF(C924="";"";D924*XLOOKUP(C924;Portions!$A:$A;Portions!$D:$D))</f>
        <v/>
      </c>
      <c r="F924">
        <f>IF(E924="";"";E924/100*XLOOKUP(XLOOKUP(C924;Portions!$A:$A;Portions!$B:$B);FoodItems!$A:$A;FoodItems!$B:$B))</f>
        <v/>
      </c>
      <c r="G924">
        <f>IF(E924="";"";E924/100*XLOOKUP(XLOOKUP(C924;Portions!$A:$A;Portions!$B:$B);FoodItems!$A:$A;FoodItems!$C:$C))</f>
        <v/>
      </c>
      <c r="H924">
        <f>IF(E924="";"";E924/100*XLOOKUP(XLOOKUP(C924;Portions!$A:$A;Portions!$B:$B);FoodItems!$A:$A;FoodItems!$D:$D))</f>
        <v/>
      </c>
      <c r="I924">
        <f>IF(E924="";"";E924/100*XLOOKUP(XLOOKUP(C924;Portions!$A:$A;Portions!$B:$B);FoodItems!$A:$A;FoodItems!$E:$E))</f>
        <v/>
      </c>
    </row>
    <row r="925">
      <c r="E925">
        <f>IF(C925="";"";D925*XLOOKUP(C925;Portions!$A:$A;Portions!$D:$D))</f>
        <v/>
      </c>
      <c r="F925">
        <f>IF(E925="";"";E925/100*XLOOKUP(XLOOKUP(C925;Portions!$A:$A;Portions!$B:$B);FoodItems!$A:$A;FoodItems!$B:$B))</f>
        <v/>
      </c>
      <c r="G925">
        <f>IF(E925="";"";E925/100*XLOOKUP(XLOOKUP(C925;Portions!$A:$A;Portions!$B:$B);FoodItems!$A:$A;FoodItems!$C:$C))</f>
        <v/>
      </c>
      <c r="H925">
        <f>IF(E925="";"";E925/100*XLOOKUP(XLOOKUP(C925;Portions!$A:$A;Portions!$B:$B);FoodItems!$A:$A;FoodItems!$D:$D))</f>
        <v/>
      </c>
      <c r="I925">
        <f>IF(E925="";"";E925/100*XLOOKUP(XLOOKUP(C925;Portions!$A:$A;Portions!$B:$B);FoodItems!$A:$A;FoodItems!$E:$E))</f>
        <v/>
      </c>
    </row>
    <row r="926">
      <c r="E926">
        <f>IF(C926="";"";D926*XLOOKUP(C926;Portions!$A:$A;Portions!$D:$D))</f>
        <v/>
      </c>
      <c r="F926">
        <f>IF(E926="";"";E926/100*XLOOKUP(XLOOKUP(C926;Portions!$A:$A;Portions!$B:$B);FoodItems!$A:$A;FoodItems!$B:$B))</f>
        <v/>
      </c>
      <c r="G926">
        <f>IF(E926="";"";E926/100*XLOOKUP(XLOOKUP(C926;Portions!$A:$A;Portions!$B:$B);FoodItems!$A:$A;FoodItems!$C:$C))</f>
        <v/>
      </c>
      <c r="H926">
        <f>IF(E926="";"";E926/100*XLOOKUP(XLOOKUP(C926;Portions!$A:$A;Portions!$B:$B);FoodItems!$A:$A;FoodItems!$D:$D))</f>
        <v/>
      </c>
      <c r="I926">
        <f>IF(E926="";"";E926/100*XLOOKUP(XLOOKUP(C926;Portions!$A:$A;Portions!$B:$B);FoodItems!$A:$A;FoodItems!$E:$E))</f>
        <v/>
      </c>
    </row>
    <row r="927">
      <c r="E927">
        <f>IF(C927="";"";D927*XLOOKUP(C927;Portions!$A:$A;Portions!$D:$D))</f>
        <v/>
      </c>
      <c r="F927">
        <f>IF(E927="";"";E927/100*XLOOKUP(XLOOKUP(C927;Portions!$A:$A;Portions!$B:$B);FoodItems!$A:$A;FoodItems!$B:$B))</f>
        <v/>
      </c>
      <c r="G927">
        <f>IF(E927="";"";E927/100*XLOOKUP(XLOOKUP(C927;Portions!$A:$A;Portions!$B:$B);FoodItems!$A:$A;FoodItems!$C:$C))</f>
        <v/>
      </c>
      <c r="H927">
        <f>IF(E927="";"";E927/100*XLOOKUP(XLOOKUP(C927;Portions!$A:$A;Portions!$B:$B);FoodItems!$A:$A;FoodItems!$D:$D))</f>
        <v/>
      </c>
      <c r="I927">
        <f>IF(E927="";"";E927/100*XLOOKUP(XLOOKUP(C927;Portions!$A:$A;Portions!$B:$B);FoodItems!$A:$A;FoodItems!$E:$E))</f>
        <v/>
      </c>
    </row>
    <row r="928">
      <c r="E928">
        <f>IF(C928="";"";D928*XLOOKUP(C928;Portions!$A:$A;Portions!$D:$D))</f>
        <v/>
      </c>
      <c r="F928">
        <f>IF(E928="";"";E928/100*XLOOKUP(XLOOKUP(C928;Portions!$A:$A;Portions!$B:$B);FoodItems!$A:$A;FoodItems!$B:$B))</f>
        <v/>
      </c>
      <c r="G928">
        <f>IF(E928="";"";E928/100*XLOOKUP(XLOOKUP(C928;Portions!$A:$A;Portions!$B:$B);FoodItems!$A:$A;FoodItems!$C:$C))</f>
        <v/>
      </c>
      <c r="H928">
        <f>IF(E928="";"";E928/100*XLOOKUP(XLOOKUP(C928;Portions!$A:$A;Portions!$B:$B);FoodItems!$A:$A;FoodItems!$D:$D))</f>
        <v/>
      </c>
      <c r="I928">
        <f>IF(E928="";"";E928/100*XLOOKUP(XLOOKUP(C928;Portions!$A:$A;Portions!$B:$B);FoodItems!$A:$A;FoodItems!$E:$E))</f>
        <v/>
      </c>
    </row>
    <row r="929">
      <c r="E929">
        <f>IF(C929="";"";D929*XLOOKUP(C929;Portions!$A:$A;Portions!$D:$D))</f>
        <v/>
      </c>
      <c r="F929">
        <f>IF(E929="";"";E929/100*XLOOKUP(XLOOKUP(C929;Portions!$A:$A;Portions!$B:$B);FoodItems!$A:$A;FoodItems!$B:$B))</f>
        <v/>
      </c>
      <c r="G929">
        <f>IF(E929="";"";E929/100*XLOOKUP(XLOOKUP(C929;Portions!$A:$A;Portions!$B:$B);FoodItems!$A:$A;FoodItems!$C:$C))</f>
        <v/>
      </c>
      <c r="H929">
        <f>IF(E929="";"";E929/100*XLOOKUP(XLOOKUP(C929;Portions!$A:$A;Portions!$B:$B);FoodItems!$A:$A;FoodItems!$D:$D))</f>
        <v/>
      </c>
      <c r="I929">
        <f>IF(E929="";"";E929/100*XLOOKUP(XLOOKUP(C929;Portions!$A:$A;Portions!$B:$B);FoodItems!$A:$A;FoodItems!$E:$E))</f>
        <v/>
      </c>
    </row>
    <row r="930">
      <c r="E930">
        <f>IF(C930="";"";D930*XLOOKUP(C930;Portions!$A:$A;Portions!$D:$D))</f>
        <v/>
      </c>
      <c r="F930">
        <f>IF(E930="";"";E930/100*XLOOKUP(XLOOKUP(C930;Portions!$A:$A;Portions!$B:$B);FoodItems!$A:$A;FoodItems!$B:$B))</f>
        <v/>
      </c>
      <c r="G930">
        <f>IF(E930="";"";E930/100*XLOOKUP(XLOOKUP(C930;Portions!$A:$A;Portions!$B:$B);FoodItems!$A:$A;FoodItems!$C:$C))</f>
        <v/>
      </c>
      <c r="H930">
        <f>IF(E930="";"";E930/100*XLOOKUP(XLOOKUP(C930;Portions!$A:$A;Portions!$B:$B);FoodItems!$A:$A;FoodItems!$D:$D))</f>
        <v/>
      </c>
      <c r="I930">
        <f>IF(E930="";"";E930/100*XLOOKUP(XLOOKUP(C930;Portions!$A:$A;Portions!$B:$B);FoodItems!$A:$A;FoodItems!$E:$E))</f>
        <v/>
      </c>
    </row>
    <row r="931">
      <c r="E931">
        <f>IF(C931="";"";D931*XLOOKUP(C931;Portions!$A:$A;Portions!$D:$D))</f>
        <v/>
      </c>
      <c r="F931">
        <f>IF(E931="";"";E931/100*XLOOKUP(XLOOKUP(C931;Portions!$A:$A;Portions!$B:$B);FoodItems!$A:$A;FoodItems!$B:$B))</f>
        <v/>
      </c>
      <c r="G931">
        <f>IF(E931="";"";E931/100*XLOOKUP(XLOOKUP(C931;Portions!$A:$A;Portions!$B:$B);FoodItems!$A:$A;FoodItems!$C:$C))</f>
        <v/>
      </c>
      <c r="H931">
        <f>IF(E931="";"";E931/100*XLOOKUP(XLOOKUP(C931;Portions!$A:$A;Portions!$B:$B);FoodItems!$A:$A;FoodItems!$D:$D))</f>
        <v/>
      </c>
      <c r="I931">
        <f>IF(E931="";"";E931/100*XLOOKUP(XLOOKUP(C931;Portions!$A:$A;Portions!$B:$B);FoodItems!$A:$A;FoodItems!$E:$E))</f>
        <v/>
      </c>
    </row>
    <row r="932">
      <c r="E932">
        <f>IF(C932="";"";D932*XLOOKUP(C932;Portions!$A:$A;Portions!$D:$D))</f>
        <v/>
      </c>
      <c r="F932">
        <f>IF(E932="";"";E932/100*XLOOKUP(XLOOKUP(C932;Portions!$A:$A;Portions!$B:$B);FoodItems!$A:$A;FoodItems!$B:$B))</f>
        <v/>
      </c>
      <c r="G932">
        <f>IF(E932="";"";E932/100*XLOOKUP(XLOOKUP(C932;Portions!$A:$A;Portions!$B:$B);FoodItems!$A:$A;FoodItems!$C:$C))</f>
        <v/>
      </c>
      <c r="H932">
        <f>IF(E932="";"";E932/100*XLOOKUP(XLOOKUP(C932;Portions!$A:$A;Portions!$B:$B);FoodItems!$A:$A;FoodItems!$D:$D))</f>
        <v/>
      </c>
      <c r="I932">
        <f>IF(E932="";"";E932/100*XLOOKUP(XLOOKUP(C932;Portions!$A:$A;Portions!$B:$B);FoodItems!$A:$A;FoodItems!$E:$E))</f>
        <v/>
      </c>
    </row>
    <row r="933">
      <c r="E933">
        <f>IF(C933="";"";D933*XLOOKUP(C933;Portions!$A:$A;Portions!$D:$D))</f>
        <v/>
      </c>
      <c r="F933">
        <f>IF(E933="";"";E933/100*XLOOKUP(XLOOKUP(C933;Portions!$A:$A;Portions!$B:$B);FoodItems!$A:$A;FoodItems!$B:$B))</f>
        <v/>
      </c>
      <c r="G933">
        <f>IF(E933="";"";E933/100*XLOOKUP(XLOOKUP(C933;Portions!$A:$A;Portions!$B:$B);FoodItems!$A:$A;FoodItems!$C:$C))</f>
        <v/>
      </c>
      <c r="H933">
        <f>IF(E933="";"";E933/100*XLOOKUP(XLOOKUP(C933;Portions!$A:$A;Portions!$B:$B);FoodItems!$A:$A;FoodItems!$D:$D))</f>
        <v/>
      </c>
      <c r="I933">
        <f>IF(E933="";"";E933/100*XLOOKUP(XLOOKUP(C933;Portions!$A:$A;Portions!$B:$B);FoodItems!$A:$A;FoodItems!$E:$E))</f>
        <v/>
      </c>
    </row>
    <row r="934">
      <c r="E934">
        <f>IF(C934="";"";D934*XLOOKUP(C934;Portions!$A:$A;Portions!$D:$D))</f>
        <v/>
      </c>
      <c r="F934">
        <f>IF(E934="";"";E934/100*XLOOKUP(XLOOKUP(C934;Portions!$A:$A;Portions!$B:$B);FoodItems!$A:$A;FoodItems!$B:$B))</f>
        <v/>
      </c>
      <c r="G934">
        <f>IF(E934="";"";E934/100*XLOOKUP(XLOOKUP(C934;Portions!$A:$A;Portions!$B:$B);FoodItems!$A:$A;FoodItems!$C:$C))</f>
        <v/>
      </c>
      <c r="H934">
        <f>IF(E934="";"";E934/100*XLOOKUP(XLOOKUP(C934;Portions!$A:$A;Portions!$B:$B);FoodItems!$A:$A;FoodItems!$D:$D))</f>
        <v/>
      </c>
      <c r="I934">
        <f>IF(E934="";"";E934/100*XLOOKUP(XLOOKUP(C934;Portions!$A:$A;Portions!$B:$B);FoodItems!$A:$A;FoodItems!$E:$E))</f>
        <v/>
      </c>
    </row>
    <row r="935">
      <c r="E935">
        <f>IF(C935="";"";D935*XLOOKUP(C935;Portions!$A:$A;Portions!$D:$D))</f>
        <v/>
      </c>
      <c r="F935">
        <f>IF(E935="";"";E935/100*XLOOKUP(XLOOKUP(C935;Portions!$A:$A;Portions!$B:$B);FoodItems!$A:$A;FoodItems!$B:$B))</f>
        <v/>
      </c>
      <c r="G935">
        <f>IF(E935="";"";E935/100*XLOOKUP(XLOOKUP(C935;Portions!$A:$A;Portions!$B:$B);FoodItems!$A:$A;FoodItems!$C:$C))</f>
        <v/>
      </c>
      <c r="H935">
        <f>IF(E935="";"";E935/100*XLOOKUP(XLOOKUP(C935;Portions!$A:$A;Portions!$B:$B);FoodItems!$A:$A;FoodItems!$D:$D))</f>
        <v/>
      </c>
      <c r="I935">
        <f>IF(E935="";"";E935/100*XLOOKUP(XLOOKUP(C935;Portions!$A:$A;Portions!$B:$B);FoodItems!$A:$A;FoodItems!$E:$E))</f>
        <v/>
      </c>
    </row>
    <row r="936">
      <c r="E936">
        <f>IF(C936="";"";D936*XLOOKUP(C936;Portions!$A:$A;Portions!$D:$D))</f>
        <v/>
      </c>
      <c r="F936">
        <f>IF(E936="";"";E936/100*XLOOKUP(XLOOKUP(C936;Portions!$A:$A;Portions!$B:$B);FoodItems!$A:$A;FoodItems!$B:$B))</f>
        <v/>
      </c>
      <c r="G936">
        <f>IF(E936="";"";E936/100*XLOOKUP(XLOOKUP(C936;Portions!$A:$A;Portions!$B:$B);FoodItems!$A:$A;FoodItems!$C:$C))</f>
        <v/>
      </c>
      <c r="H936">
        <f>IF(E936="";"";E936/100*XLOOKUP(XLOOKUP(C936;Portions!$A:$A;Portions!$B:$B);FoodItems!$A:$A;FoodItems!$D:$D))</f>
        <v/>
      </c>
      <c r="I936">
        <f>IF(E936="";"";E936/100*XLOOKUP(XLOOKUP(C936;Portions!$A:$A;Portions!$B:$B);FoodItems!$A:$A;FoodItems!$E:$E))</f>
        <v/>
      </c>
    </row>
    <row r="937">
      <c r="E937">
        <f>IF(C937="";"";D937*XLOOKUP(C937;Portions!$A:$A;Portions!$D:$D))</f>
        <v/>
      </c>
      <c r="F937">
        <f>IF(E937="";"";E937/100*XLOOKUP(XLOOKUP(C937;Portions!$A:$A;Portions!$B:$B);FoodItems!$A:$A;FoodItems!$B:$B))</f>
        <v/>
      </c>
      <c r="G937">
        <f>IF(E937="";"";E937/100*XLOOKUP(XLOOKUP(C937;Portions!$A:$A;Portions!$B:$B);FoodItems!$A:$A;FoodItems!$C:$C))</f>
        <v/>
      </c>
      <c r="H937">
        <f>IF(E937="";"";E937/100*XLOOKUP(XLOOKUP(C937;Portions!$A:$A;Portions!$B:$B);FoodItems!$A:$A;FoodItems!$D:$D))</f>
        <v/>
      </c>
      <c r="I937">
        <f>IF(E937="";"";E937/100*XLOOKUP(XLOOKUP(C937;Portions!$A:$A;Portions!$B:$B);FoodItems!$A:$A;FoodItems!$E:$E))</f>
        <v/>
      </c>
    </row>
    <row r="938">
      <c r="E938">
        <f>IF(C938="";"";D938*XLOOKUP(C938;Portions!$A:$A;Portions!$D:$D))</f>
        <v/>
      </c>
      <c r="F938">
        <f>IF(E938="";"";E938/100*XLOOKUP(XLOOKUP(C938;Portions!$A:$A;Portions!$B:$B);FoodItems!$A:$A;FoodItems!$B:$B))</f>
        <v/>
      </c>
      <c r="G938">
        <f>IF(E938="";"";E938/100*XLOOKUP(XLOOKUP(C938;Portions!$A:$A;Portions!$B:$B);FoodItems!$A:$A;FoodItems!$C:$C))</f>
        <v/>
      </c>
      <c r="H938">
        <f>IF(E938="";"";E938/100*XLOOKUP(XLOOKUP(C938;Portions!$A:$A;Portions!$B:$B);FoodItems!$A:$A;FoodItems!$D:$D))</f>
        <v/>
      </c>
      <c r="I938">
        <f>IF(E938="";"";E938/100*XLOOKUP(XLOOKUP(C938;Portions!$A:$A;Portions!$B:$B);FoodItems!$A:$A;FoodItems!$E:$E))</f>
        <v/>
      </c>
    </row>
    <row r="939">
      <c r="E939">
        <f>IF(C939="";"";D939*XLOOKUP(C939;Portions!$A:$A;Portions!$D:$D))</f>
        <v/>
      </c>
      <c r="F939">
        <f>IF(E939="";"";E939/100*XLOOKUP(XLOOKUP(C939;Portions!$A:$A;Portions!$B:$B);FoodItems!$A:$A;FoodItems!$B:$B))</f>
        <v/>
      </c>
      <c r="G939">
        <f>IF(E939="";"";E939/100*XLOOKUP(XLOOKUP(C939;Portions!$A:$A;Portions!$B:$B);FoodItems!$A:$A;FoodItems!$C:$C))</f>
        <v/>
      </c>
      <c r="H939">
        <f>IF(E939="";"";E939/100*XLOOKUP(XLOOKUP(C939;Portions!$A:$A;Portions!$B:$B);FoodItems!$A:$A;FoodItems!$D:$D))</f>
        <v/>
      </c>
      <c r="I939">
        <f>IF(E939="";"";E939/100*XLOOKUP(XLOOKUP(C939;Portions!$A:$A;Portions!$B:$B);FoodItems!$A:$A;FoodItems!$E:$E))</f>
        <v/>
      </c>
    </row>
    <row r="940">
      <c r="E940">
        <f>IF(C940="";"";D940*XLOOKUP(C940;Portions!$A:$A;Portions!$D:$D))</f>
        <v/>
      </c>
      <c r="F940">
        <f>IF(E940="";"";E940/100*XLOOKUP(XLOOKUP(C940;Portions!$A:$A;Portions!$B:$B);FoodItems!$A:$A;FoodItems!$B:$B))</f>
        <v/>
      </c>
      <c r="G940">
        <f>IF(E940="";"";E940/100*XLOOKUP(XLOOKUP(C940;Portions!$A:$A;Portions!$B:$B);FoodItems!$A:$A;FoodItems!$C:$C))</f>
        <v/>
      </c>
      <c r="H940">
        <f>IF(E940="";"";E940/100*XLOOKUP(XLOOKUP(C940;Portions!$A:$A;Portions!$B:$B);FoodItems!$A:$A;FoodItems!$D:$D))</f>
        <v/>
      </c>
      <c r="I940">
        <f>IF(E940="";"";E940/100*XLOOKUP(XLOOKUP(C940;Portions!$A:$A;Portions!$B:$B);FoodItems!$A:$A;FoodItems!$E:$E))</f>
        <v/>
      </c>
    </row>
    <row r="941">
      <c r="E941">
        <f>IF(C941="";"";D941*XLOOKUP(C941;Portions!$A:$A;Portions!$D:$D))</f>
        <v/>
      </c>
      <c r="F941">
        <f>IF(E941="";"";E941/100*XLOOKUP(XLOOKUP(C941;Portions!$A:$A;Portions!$B:$B);FoodItems!$A:$A;FoodItems!$B:$B))</f>
        <v/>
      </c>
      <c r="G941">
        <f>IF(E941="";"";E941/100*XLOOKUP(XLOOKUP(C941;Portions!$A:$A;Portions!$B:$B);FoodItems!$A:$A;FoodItems!$C:$C))</f>
        <v/>
      </c>
      <c r="H941">
        <f>IF(E941="";"";E941/100*XLOOKUP(XLOOKUP(C941;Portions!$A:$A;Portions!$B:$B);FoodItems!$A:$A;FoodItems!$D:$D))</f>
        <v/>
      </c>
      <c r="I941">
        <f>IF(E941="";"";E941/100*XLOOKUP(XLOOKUP(C941;Portions!$A:$A;Portions!$B:$B);FoodItems!$A:$A;FoodItems!$E:$E))</f>
        <v/>
      </c>
    </row>
    <row r="942">
      <c r="E942">
        <f>IF(C942="";"";D942*XLOOKUP(C942;Portions!$A:$A;Portions!$D:$D))</f>
        <v/>
      </c>
      <c r="F942">
        <f>IF(E942="";"";E942/100*XLOOKUP(XLOOKUP(C942;Portions!$A:$A;Portions!$B:$B);FoodItems!$A:$A;FoodItems!$B:$B))</f>
        <v/>
      </c>
      <c r="G942">
        <f>IF(E942="";"";E942/100*XLOOKUP(XLOOKUP(C942;Portions!$A:$A;Portions!$B:$B);FoodItems!$A:$A;FoodItems!$C:$C))</f>
        <v/>
      </c>
      <c r="H942">
        <f>IF(E942="";"";E942/100*XLOOKUP(XLOOKUP(C942;Portions!$A:$A;Portions!$B:$B);FoodItems!$A:$A;FoodItems!$D:$D))</f>
        <v/>
      </c>
      <c r="I942">
        <f>IF(E942="";"";E942/100*XLOOKUP(XLOOKUP(C942;Portions!$A:$A;Portions!$B:$B);FoodItems!$A:$A;FoodItems!$E:$E))</f>
        <v/>
      </c>
    </row>
    <row r="943">
      <c r="E943">
        <f>IF(C943="";"";D943*XLOOKUP(C943;Portions!$A:$A;Portions!$D:$D))</f>
        <v/>
      </c>
      <c r="F943">
        <f>IF(E943="";"";E943/100*XLOOKUP(XLOOKUP(C943;Portions!$A:$A;Portions!$B:$B);FoodItems!$A:$A;FoodItems!$B:$B))</f>
        <v/>
      </c>
      <c r="G943">
        <f>IF(E943="";"";E943/100*XLOOKUP(XLOOKUP(C943;Portions!$A:$A;Portions!$B:$B);FoodItems!$A:$A;FoodItems!$C:$C))</f>
        <v/>
      </c>
      <c r="H943">
        <f>IF(E943="";"";E943/100*XLOOKUP(XLOOKUP(C943;Portions!$A:$A;Portions!$B:$B);FoodItems!$A:$A;FoodItems!$D:$D))</f>
        <v/>
      </c>
      <c r="I943">
        <f>IF(E943="";"";E943/100*XLOOKUP(XLOOKUP(C943;Portions!$A:$A;Portions!$B:$B);FoodItems!$A:$A;FoodItems!$E:$E))</f>
        <v/>
      </c>
    </row>
    <row r="944">
      <c r="E944">
        <f>IF(C944="";"";D944*XLOOKUP(C944;Portions!$A:$A;Portions!$D:$D))</f>
        <v/>
      </c>
      <c r="F944">
        <f>IF(E944="";"";E944/100*XLOOKUP(XLOOKUP(C944;Portions!$A:$A;Portions!$B:$B);FoodItems!$A:$A;FoodItems!$B:$B))</f>
        <v/>
      </c>
      <c r="G944">
        <f>IF(E944="";"";E944/100*XLOOKUP(XLOOKUP(C944;Portions!$A:$A;Portions!$B:$B);FoodItems!$A:$A;FoodItems!$C:$C))</f>
        <v/>
      </c>
      <c r="H944">
        <f>IF(E944="";"";E944/100*XLOOKUP(XLOOKUP(C944;Portions!$A:$A;Portions!$B:$B);FoodItems!$A:$A;FoodItems!$D:$D))</f>
        <v/>
      </c>
      <c r="I944">
        <f>IF(E944="";"";E944/100*XLOOKUP(XLOOKUP(C944;Portions!$A:$A;Portions!$B:$B);FoodItems!$A:$A;FoodItems!$E:$E))</f>
        <v/>
      </c>
    </row>
    <row r="945">
      <c r="E945">
        <f>IF(C945="";"";D945*XLOOKUP(C945;Portions!$A:$A;Portions!$D:$D))</f>
        <v/>
      </c>
      <c r="F945">
        <f>IF(E945="";"";E945/100*XLOOKUP(XLOOKUP(C945;Portions!$A:$A;Portions!$B:$B);FoodItems!$A:$A;FoodItems!$B:$B))</f>
        <v/>
      </c>
      <c r="G945">
        <f>IF(E945="";"";E945/100*XLOOKUP(XLOOKUP(C945;Portions!$A:$A;Portions!$B:$B);FoodItems!$A:$A;FoodItems!$C:$C))</f>
        <v/>
      </c>
      <c r="H945">
        <f>IF(E945="";"";E945/100*XLOOKUP(XLOOKUP(C945;Portions!$A:$A;Portions!$B:$B);FoodItems!$A:$A;FoodItems!$D:$D))</f>
        <v/>
      </c>
      <c r="I945">
        <f>IF(E945="";"";E945/100*XLOOKUP(XLOOKUP(C945;Portions!$A:$A;Portions!$B:$B);FoodItems!$A:$A;FoodItems!$E:$E))</f>
        <v/>
      </c>
    </row>
    <row r="946">
      <c r="E946">
        <f>IF(C946="";"";D946*XLOOKUP(C946;Portions!$A:$A;Portions!$D:$D))</f>
        <v/>
      </c>
      <c r="F946">
        <f>IF(E946="";"";E946/100*XLOOKUP(XLOOKUP(C946;Portions!$A:$A;Portions!$B:$B);FoodItems!$A:$A;FoodItems!$B:$B))</f>
        <v/>
      </c>
      <c r="G946">
        <f>IF(E946="";"";E946/100*XLOOKUP(XLOOKUP(C946;Portions!$A:$A;Portions!$B:$B);FoodItems!$A:$A;FoodItems!$C:$C))</f>
        <v/>
      </c>
      <c r="H946">
        <f>IF(E946="";"";E946/100*XLOOKUP(XLOOKUP(C946;Portions!$A:$A;Portions!$B:$B);FoodItems!$A:$A;FoodItems!$D:$D))</f>
        <v/>
      </c>
      <c r="I946">
        <f>IF(E946="";"";E946/100*XLOOKUP(XLOOKUP(C946;Portions!$A:$A;Portions!$B:$B);FoodItems!$A:$A;FoodItems!$E:$E))</f>
        <v/>
      </c>
    </row>
    <row r="947">
      <c r="E947">
        <f>IF(C947="";"";D947*XLOOKUP(C947;Portions!$A:$A;Portions!$D:$D))</f>
        <v/>
      </c>
      <c r="F947">
        <f>IF(E947="";"";E947/100*XLOOKUP(XLOOKUP(C947;Portions!$A:$A;Portions!$B:$B);FoodItems!$A:$A;FoodItems!$B:$B))</f>
        <v/>
      </c>
      <c r="G947">
        <f>IF(E947="";"";E947/100*XLOOKUP(XLOOKUP(C947;Portions!$A:$A;Portions!$B:$B);FoodItems!$A:$A;FoodItems!$C:$C))</f>
        <v/>
      </c>
      <c r="H947">
        <f>IF(E947="";"";E947/100*XLOOKUP(XLOOKUP(C947;Portions!$A:$A;Portions!$B:$B);FoodItems!$A:$A;FoodItems!$D:$D))</f>
        <v/>
      </c>
      <c r="I947">
        <f>IF(E947="";"";E947/100*XLOOKUP(XLOOKUP(C947;Portions!$A:$A;Portions!$B:$B);FoodItems!$A:$A;FoodItems!$E:$E))</f>
        <v/>
      </c>
    </row>
    <row r="948">
      <c r="E948">
        <f>IF(C948="";"";D948*XLOOKUP(C948;Portions!$A:$A;Portions!$D:$D))</f>
        <v/>
      </c>
      <c r="F948">
        <f>IF(E948="";"";E948/100*XLOOKUP(XLOOKUP(C948;Portions!$A:$A;Portions!$B:$B);FoodItems!$A:$A;FoodItems!$B:$B))</f>
        <v/>
      </c>
      <c r="G948">
        <f>IF(E948="";"";E948/100*XLOOKUP(XLOOKUP(C948;Portions!$A:$A;Portions!$B:$B);FoodItems!$A:$A;FoodItems!$C:$C))</f>
        <v/>
      </c>
      <c r="H948">
        <f>IF(E948="";"";E948/100*XLOOKUP(XLOOKUP(C948;Portions!$A:$A;Portions!$B:$B);FoodItems!$A:$A;FoodItems!$D:$D))</f>
        <v/>
      </c>
      <c r="I948">
        <f>IF(E948="";"";E948/100*XLOOKUP(XLOOKUP(C948;Portions!$A:$A;Portions!$B:$B);FoodItems!$A:$A;FoodItems!$E:$E))</f>
        <v/>
      </c>
    </row>
    <row r="949">
      <c r="E949">
        <f>IF(C949="";"";D949*XLOOKUP(C949;Portions!$A:$A;Portions!$D:$D))</f>
        <v/>
      </c>
      <c r="F949">
        <f>IF(E949="";"";E949/100*XLOOKUP(XLOOKUP(C949;Portions!$A:$A;Portions!$B:$B);FoodItems!$A:$A;FoodItems!$B:$B))</f>
        <v/>
      </c>
      <c r="G949">
        <f>IF(E949="";"";E949/100*XLOOKUP(XLOOKUP(C949;Portions!$A:$A;Portions!$B:$B);FoodItems!$A:$A;FoodItems!$C:$C))</f>
        <v/>
      </c>
      <c r="H949">
        <f>IF(E949="";"";E949/100*XLOOKUP(XLOOKUP(C949;Portions!$A:$A;Portions!$B:$B);FoodItems!$A:$A;FoodItems!$D:$D))</f>
        <v/>
      </c>
      <c r="I949">
        <f>IF(E949="";"";E949/100*XLOOKUP(XLOOKUP(C949;Portions!$A:$A;Portions!$B:$B);FoodItems!$A:$A;FoodItems!$E:$E))</f>
        <v/>
      </c>
    </row>
    <row r="950">
      <c r="E950">
        <f>IF(C950="";"";D950*XLOOKUP(C950;Portions!$A:$A;Portions!$D:$D))</f>
        <v/>
      </c>
      <c r="F950">
        <f>IF(E950="";"";E950/100*XLOOKUP(XLOOKUP(C950;Portions!$A:$A;Portions!$B:$B);FoodItems!$A:$A;FoodItems!$B:$B))</f>
        <v/>
      </c>
      <c r="G950">
        <f>IF(E950="";"";E950/100*XLOOKUP(XLOOKUP(C950;Portions!$A:$A;Portions!$B:$B);FoodItems!$A:$A;FoodItems!$C:$C))</f>
        <v/>
      </c>
      <c r="H950">
        <f>IF(E950="";"";E950/100*XLOOKUP(XLOOKUP(C950;Portions!$A:$A;Portions!$B:$B);FoodItems!$A:$A;FoodItems!$D:$D))</f>
        <v/>
      </c>
      <c r="I950">
        <f>IF(E950="";"";E950/100*XLOOKUP(XLOOKUP(C950;Portions!$A:$A;Portions!$B:$B);FoodItems!$A:$A;FoodItems!$E:$E))</f>
        <v/>
      </c>
    </row>
    <row r="951">
      <c r="E951">
        <f>IF(C951="";"";D951*XLOOKUP(C951;Portions!$A:$A;Portions!$D:$D))</f>
        <v/>
      </c>
      <c r="F951">
        <f>IF(E951="";"";E951/100*XLOOKUP(XLOOKUP(C951;Portions!$A:$A;Portions!$B:$B);FoodItems!$A:$A;FoodItems!$B:$B))</f>
        <v/>
      </c>
      <c r="G951">
        <f>IF(E951="";"";E951/100*XLOOKUP(XLOOKUP(C951;Portions!$A:$A;Portions!$B:$B);FoodItems!$A:$A;FoodItems!$C:$C))</f>
        <v/>
      </c>
      <c r="H951">
        <f>IF(E951="";"";E951/100*XLOOKUP(XLOOKUP(C951;Portions!$A:$A;Portions!$B:$B);FoodItems!$A:$A;FoodItems!$D:$D))</f>
        <v/>
      </c>
      <c r="I951">
        <f>IF(E951="";"";E951/100*XLOOKUP(XLOOKUP(C951;Portions!$A:$A;Portions!$B:$B);FoodItems!$A:$A;FoodItems!$E:$E))</f>
        <v/>
      </c>
    </row>
    <row r="952">
      <c r="E952">
        <f>IF(C952="";"";D952*XLOOKUP(C952;Portions!$A:$A;Portions!$D:$D))</f>
        <v/>
      </c>
      <c r="F952">
        <f>IF(E952="";"";E952/100*XLOOKUP(XLOOKUP(C952;Portions!$A:$A;Portions!$B:$B);FoodItems!$A:$A;FoodItems!$B:$B))</f>
        <v/>
      </c>
      <c r="G952">
        <f>IF(E952="";"";E952/100*XLOOKUP(XLOOKUP(C952;Portions!$A:$A;Portions!$B:$B);FoodItems!$A:$A;FoodItems!$C:$C))</f>
        <v/>
      </c>
      <c r="H952">
        <f>IF(E952="";"";E952/100*XLOOKUP(XLOOKUP(C952;Portions!$A:$A;Portions!$B:$B);FoodItems!$A:$A;FoodItems!$D:$D))</f>
        <v/>
      </c>
      <c r="I952">
        <f>IF(E952="";"";E952/100*XLOOKUP(XLOOKUP(C952;Portions!$A:$A;Portions!$B:$B);FoodItems!$A:$A;FoodItems!$E:$E))</f>
        <v/>
      </c>
    </row>
    <row r="953">
      <c r="E953">
        <f>IF(C953="";"";D953*XLOOKUP(C953;Portions!$A:$A;Portions!$D:$D))</f>
        <v/>
      </c>
      <c r="F953">
        <f>IF(E953="";"";E953/100*XLOOKUP(XLOOKUP(C953;Portions!$A:$A;Portions!$B:$B);FoodItems!$A:$A;FoodItems!$B:$B))</f>
        <v/>
      </c>
      <c r="G953">
        <f>IF(E953="";"";E953/100*XLOOKUP(XLOOKUP(C953;Portions!$A:$A;Portions!$B:$B);FoodItems!$A:$A;FoodItems!$C:$C))</f>
        <v/>
      </c>
      <c r="H953">
        <f>IF(E953="";"";E953/100*XLOOKUP(XLOOKUP(C953;Portions!$A:$A;Portions!$B:$B);FoodItems!$A:$A;FoodItems!$D:$D))</f>
        <v/>
      </c>
      <c r="I953">
        <f>IF(E953="";"";E953/100*XLOOKUP(XLOOKUP(C953;Portions!$A:$A;Portions!$B:$B);FoodItems!$A:$A;FoodItems!$E:$E))</f>
        <v/>
      </c>
    </row>
    <row r="954">
      <c r="E954">
        <f>IF(C954="";"";D954*XLOOKUP(C954;Portions!$A:$A;Portions!$D:$D))</f>
        <v/>
      </c>
      <c r="F954">
        <f>IF(E954="";"";E954/100*XLOOKUP(XLOOKUP(C954;Portions!$A:$A;Portions!$B:$B);FoodItems!$A:$A;FoodItems!$B:$B))</f>
        <v/>
      </c>
      <c r="G954">
        <f>IF(E954="";"";E954/100*XLOOKUP(XLOOKUP(C954;Portions!$A:$A;Portions!$B:$B);FoodItems!$A:$A;FoodItems!$C:$C))</f>
        <v/>
      </c>
      <c r="H954">
        <f>IF(E954="";"";E954/100*XLOOKUP(XLOOKUP(C954;Portions!$A:$A;Portions!$B:$B);FoodItems!$A:$A;FoodItems!$D:$D))</f>
        <v/>
      </c>
      <c r="I954">
        <f>IF(E954="";"";E954/100*XLOOKUP(XLOOKUP(C954;Portions!$A:$A;Portions!$B:$B);FoodItems!$A:$A;FoodItems!$E:$E))</f>
        <v/>
      </c>
    </row>
    <row r="955">
      <c r="E955">
        <f>IF(C955="";"";D955*XLOOKUP(C955;Portions!$A:$A;Portions!$D:$D))</f>
        <v/>
      </c>
      <c r="F955">
        <f>IF(E955="";"";E955/100*XLOOKUP(XLOOKUP(C955;Portions!$A:$A;Portions!$B:$B);FoodItems!$A:$A;FoodItems!$B:$B))</f>
        <v/>
      </c>
      <c r="G955">
        <f>IF(E955="";"";E955/100*XLOOKUP(XLOOKUP(C955;Portions!$A:$A;Portions!$B:$B);FoodItems!$A:$A;FoodItems!$C:$C))</f>
        <v/>
      </c>
      <c r="H955">
        <f>IF(E955="";"";E955/100*XLOOKUP(XLOOKUP(C955;Portions!$A:$A;Portions!$B:$B);FoodItems!$A:$A;FoodItems!$D:$D))</f>
        <v/>
      </c>
      <c r="I955">
        <f>IF(E955="";"";E955/100*XLOOKUP(XLOOKUP(C955;Portions!$A:$A;Portions!$B:$B);FoodItems!$A:$A;FoodItems!$E:$E))</f>
        <v/>
      </c>
    </row>
    <row r="956">
      <c r="E956">
        <f>IF(C956="";"";D956*XLOOKUP(C956;Portions!$A:$A;Portions!$D:$D))</f>
        <v/>
      </c>
      <c r="F956">
        <f>IF(E956="";"";E956/100*XLOOKUP(XLOOKUP(C956;Portions!$A:$A;Portions!$B:$B);FoodItems!$A:$A;FoodItems!$B:$B))</f>
        <v/>
      </c>
      <c r="G956">
        <f>IF(E956="";"";E956/100*XLOOKUP(XLOOKUP(C956;Portions!$A:$A;Portions!$B:$B);FoodItems!$A:$A;FoodItems!$C:$C))</f>
        <v/>
      </c>
      <c r="H956">
        <f>IF(E956="";"";E956/100*XLOOKUP(XLOOKUP(C956;Portions!$A:$A;Portions!$B:$B);FoodItems!$A:$A;FoodItems!$D:$D))</f>
        <v/>
      </c>
      <c r="I956">
        <f>IF(E956="";"";E956/100*XLOOKUP(XLOOKUP(C956;Portions!$A:$A;Portions!$B:$B);FoodItems!$A:$A;FoodItems!$E:$E))</f>
        <v/>
      </c>
    </row>
    <row r="957">
      <c r="E957">
        <f>IF(C957="";"";D957*XLOOKUP(C957;Portions!$A:$A;Portions!$D:$D))</f>
        <v/>
      </c>
      <c r="F957">
        <f>IF(E957="";"";E957/100*XLOOKUP(XLOOKUP(C957;Portions!$A:$A;Portions!$B:$B);FoodItems!$A:$A;FoodItems!$B:$B))</f>
        <v/>
      </c>
      <c r="G957">
        <f>IF(E957="";"";E957/100*XLOOKUP(XLOOKUP(C957;Portions!$A:$A;Portions!$B:$B);FoodItems!$A:$A;FoodItems!$C:$C))</f>
        <v/>
      </c>
      <c r="H957">
        <f>IF(E957="";"";E957/100*XLOOKUP(XLOOKUP(C957;Portions!$A:$A;Portions!$B:$B);FoodItems!$A:$A;FoodItems!$D:$D))</f>
        <v/>
      </c>
      <c r="I957">
        <f>IF(E957="";"";E957/100*XLOOKUP(XLOOKUP(C957;Portions!$A:$A;Portions!$B:$B);FoodItems!$A:$A;FoodItems!$E:$E))</f>
        <v/>
      </c>
    </row>
    <row r="958">
      <c r="E958">
        <f>IF(C958="";"";D958*XLOOKUP(C958;Portions!$A:$A;Portions!$D:$D))</f>
        <v/>
      </c>
      <c r="F958">
        <f>IF(E958="";"";E958/100*XLOOKUP(XLOOKUP(C958;Portions!$A:$A;Portions!$B:$B);FoodItems!$A:$A;FoodItems!$B:$B))</f>
        <v/>
      </c>
      <c r="G958">
        <f>IF(E958="";"";E958/100*XLOOKUP(XLOOKUP(C958;Portions!$A:$A;Portions!$B:$B);FoodItems!$A:$A;FoodItems!$C:$C))</f>
        <v/>
      </c>
      <c r="H958">
        <f>IF(E958="";"";E958/100*XLOOKUP(XLOOKUP(C958;Portions!$A:$A;Portions!$B:$B);FoodItems!$A:$A;FoodItems!$D:$D))</f>
        <v/>
      </c>
      <c r="I958">
        <f>IF(E958="";"";E958/100*XLOOKUP(XLOOKUP(C958;Portions!$A:$A;Portions!$B:$B);FoodItems!$A:$A;FoodItems!$E:$E))</f>
        <v/>
      </c>
    </row>
    <row r="959">
      <c r="E959">
        <f>IF(C959="";"";D959*XLOOKUP(C959;Portions!$A:$A;Portions!$D:$D))</f>
        <v/>
      </c>
      <c r="F959">
        <f>IF(E959="";"";E959/100*XLOOKUP(XLOOKUP(C959;Portions!$A:$A;Portions!$B:$B);FoodItems!$A:$A;FoodItems!$B:$B))</f>
        <v/>
      </c>
      <c r="G959">
        <f>IF(E959="";"";E959/100*XLOOKUP(XLOOKUP(C959;Portions!$A:$A;Portions!$B:$B);FoodItems!$A:$A;FoodItems!$C:$C))</f>
        <v/>
      </c>
      <c r="H959">
        <f>IF(E959="";"";E959/100*XLOOKUP(XLOOKUP(C959;Portions!$A:$A;Portions!$B:$B);FoodItems!$A:$A;FoodItems!$D:$D))</f>
        <v/>
      </c>
      <c r="I959">
        <f>IF(E959="";"";E959/100*XLOOKUP(XLOOKUP(C959;Portions!$A:$A;Portions!$B:$B);FoodItems!$A:$A;FoodItems!$E:$E))</f>
        <v/>
      </c>
    </row>
    <row r="960">
      <c r="E960">
        <f>IF(C960="";"";D960*XLOOKUP(C960;Portions!$A:$A;Portions!$D:$D))</f>
        <v/>
      </c>
      <c r="F960">
        <f>IF(E960="";"";E960/100*XLOOKUP(XLOOKUP(C960;Portions!$A:$A;Portions!$B:$B);FoodItems!$A:$A;FoodItems!$B:$B))</f>
        <v/>
      </c>
      <c r="G960">
        <f>IF(E960="";"";E960/100*XLOOKUP(XLOOKUP(C960;Portions!$A:$A;Portions!$B:$B);FoodItems!$A:$A;FoodItems!$C:$C))</f>
        <v/>
      </c>
      <c r="H960">
        <f>IF(E960="";"";E960/100*XLOOKUP(XLOOKUP(C960;Portions!$A:$A;Portions!$B:$B);FoodItems!$A:$A;FoodItems!$D:$D))</f>
        <v/>
      </c>
      <c r="I960">
        <f>IF(E960="";"";E960/100*XLOOKUP(XLOOKUP(C960;Portions!$A:$A;Portions!$B:$B);FoodItems!$A:$A;FoodItems!$E:$E))</f>
        <v/>
      </c>
    </row>
    <row r="961">
      <c r="E961">
        <f>IF(C961="";"";D961*XLOOKUP(C961;Portions!$A:$A;Portions!$D:$D))</f>
        <v/>
      </c>
      <c r="F961">
        <f>IF(E961="";"";E961/100*XLOOKUP(XLOOKUP(C961;Portions!$A:$A;Portions!$B:$B);FoodItems!$A:$A;FoodItems!$B:$B))</f>
        <v/>
      </c>
      <c r="G961">
        <f>IF(E961="";"";E961/100*XLOOKUP(XLOOKUP(C961;Portions!$A:$A;Portions!$B:$B);FoodItems!$A:$A;FoodItems!$C:$C))</f>
        <v/>
      </c>
      <c r="H961">
        <f>IF(E961="";"";E961/100*XLOOKUP(XLOOKUP(C961;Portions!$A:$A;Portions!$B:$B);FoodItems!$A:$A;FoodItems!$D:$D))</f>
        <v/>
      </c>
      <c r="I961">
        <f>IF(E961="";"";E961/100*XLOOKUP(XLOOKUP(C961;Portions!$A:$A;Portions!$B:$B);FoodItems!$A:$A;FoodItems!$E:$E))</f>
        <v/>
      </c>
    </row>
    <row r="962">
      <c r="E962">
        <f>IF(C962="";"";D962*XLOOKUP(C962;Portions!$A:$A;Portions!$D:$D))</f>
        <v/>
      </c>
      <c r="F962">
        <f>IF(E962="";"";E962/100*XLOOKUP(XLOOKUP(C962;Portions!$A:$A;Portions!$B:$B);FoodItems!$A:$A;FoodItems!$B:$B))</f>
        <v/>
      </c>
      <c r="G962">
        <f>IF(E962="";"";E962/100*XLOOKUP(XLOOKUP(C962;Portions!$A:$A;Portions!$B:$B);FoodItems!$A:$A;FoodItems!$C:$C))</f>
        <v/>
      </c>
      <c r="H962">
        <f>IF(E962="";"";E962/100*XLOOKUP(XLOOKUP(C962;Portions!$A:$A;Portions!$B:$B);FoodItems!$A:$A;FoodItems!$D:$D))</f>
        <v/>
      </c>
      <c r="I962">
        <f>IF(E962="";"";E962/100*XLOOKUP(XLOOKUP(C962;Portions!$A:$A;Portions!$B:$B);FoodItems!$A:$A;FoodItems!$E:$E))</f>
        <v/>
      </c>
    </row>
    <row r="963">
      <c r="E963">
        <f>IF(C963="";"";D963*XLOOKUP(C963;Portions!$A:$A;Portions!$D:$D))</f>
        <v/>
      </c>
      <c r="F963">
        <f>IF(E963="";"";E963/100*XLOOKUP(XLOOKUP(C963;Portions!$A:$A;Portions!$B:$B);FoodItems!$A:$A;FoodItems!$B:$B))</f>
        <v/>
      </c>
      <c r="G963">
        <f>IF(E963="";"";E963/100*XLOOKUP(XLOOKUP(C963;Portions!$A:$A;Portions!$B:$B);FoodItems!$A:$A;FoodItems!$C:$C))</f>
        <v/>
      </c>
      <c r="H963">
        <f>IF(E963="";"";E963/100*XLOOKUP(XLOOKUP(C963;Portions!$A:$A;Portions!$B:$B);FoodItems!$A:$A;FoodItems!$D:$D))</f>
        <v/>
      </c>
      <c r="I963">
        <f>IF(E963="";"";E963/100*XLOOKUP(XLOOKUP(C963;Portions!$A:$A;Portions!$B:$B);FoodItems!$A:$A;FoodItems!$E:$E))</f>
        <v/>
      </c>
    </row>
    <row r="964">
      <c r="E964">
        <f>IF(C964="";"";D964*XLOOKUP(C964;Portions!$A:$A;Portions!$D:$D))</f>
        <v/>
      </c>
      <c r="F964">
        <f>IF(E964="";"";E964/100*XLOOKUP(XLOOKUP(C964;Portions!$A:$A;Portions!$B:$B);FoodItems!$A:$A;FoodItems!$B:$B))</f>
        <v/>
      </c>
      <c r="G964">
        <f>IF(E964="";"";E964/100*XLOOKUP(XLOOKUP(C964;Portions!$A:$A;Portions!$B:$B);FoodItems!$A:$A;FoodItems!$C:$C))</f>
        <v/>
      </c>
      <c r="H964">
        <f>IF(E964="";"";E964/100*XLOOKUP(XLOOKUP(C964;Portions!$A:$A;Portions!$B:$B);FoodItems!$A:$A;FoodItems!$D:$D))</f>
        <v/>
      </c>
      <c r="I964">
        <f>IF(E964="";"";E964/100*XLOOKUP(XLOOKUP(C964;Portions!$A:$A;Portions!$B:$B);FoodItems!$A:$A;FoodItems!$E:$E))</f>
        <v/>
      </c>
    </row>
    <row r="965">
      <c r="E965">
        <f>IF(C965="";"";D965*XLOOKUP(C965;Portions!$A:$A;Portions!$D:$D))</f>
        <v/>
      </c>
      <c r="F965">
        <f>IF(E965="";"";E965/100*XLOOKUP(XLOOKUP(C965;Portions!$A:$A;Portions!$B:$B);FoodItems!$A:$A;FoodItems!$B:$B))</f>
        <v/>
      </c>
      <c r="G965">
        <f>IF(E965="";"";E965/100*XLOOKUP(XLOOKUP(C965;Portions!$A:$A;Portions!$B:$B);FoodItems!$A:$A;FoodItems!$C:$C))</f>
        <v/>
      </c>
      <c r="H965">
        <f>IF(E965="";"";E965/100*XLOOKUP(XLOOKUP(C965;Portions!$A:$A;Portions!$B:$B);FoodItems!$A:$A;FoodItems!$D:$D))</f>
        <v/>
      </c>
      <c r="I965">
        <f>IF(E965="";"";E965/100*XLOOKUP(XLOOKUP(C965;Portions!$A:$A;Portions!$B:$B);FoodItems!$A:$A;FoodItems!$E:$E))</f>
        <v/>
      </c>
    </row>
    <row r="966">
      <c r="E966">
        <f>IF(C966="";"";D966*XLOOKUP(C966;Portions!$A:$A;Portions!$D:$D))</f>
        <v/>
      </c>
      <c r="F966">
        <f>IF(E966="";"";E966/100*XLOOKUP(XLOOKUP(C966;Portions!$A:$A;Portions!$B:$B);FoodItems!$A:$A;FoodItems!$B:$B))</f>
        <v/>
      </c>
      <c r="G966">
        <f>IF(E966="";"";E966/100*XLOOKUP(XLOOKUP(C966;Portions!$A:$A;Portions!$B:$B);FoodItems!$A:$A;FoodItems!$C:$C))</f>
        <v/>
      </c>
      <c r="H966">
        <f>IF(E966="";"";E966/100*XLOOKUP(XLOOKUP(C966;Portions!$A:$A;Portions!$B:$B);FoodItems!$A:$A;FoodItems!$D:$D))</f>
        <v/>
      </c>
      <c r="I966">
        <f>IF(E966="";"";E966/100*XLOOKUP(XLOOKUP(C966;Portions!$A:$A;Portions!$B:$B);FoodItems!$A:$A;FoodItems!$E:$E))</f>
        <v/>
      </c>
    </row>
    <row r="967">
      <c r="E967">
        <f>IF(C967="";"";D967*XLOOKUP(C967;Portions!$A:$A;Portions!$D:$D))</f>
        <v/>
      </c>
      <c r="F967">
        <f>IF(E967="";"";E967/100*XLOOKUP(XLOOKUP(C967;Portions!$A:$A;Portions!$B:$B);FoodItems!$A:$A;FoodItems!$B:$B))</f>
        <v/>
      </c>
      <c r="G967">
        <f>IF(E967="";"";E967/100*XLOOKUP(XLOOKUP(C967;Portions!$A:$A;Portions!$B:$B);FoodItems!$A:$A;FoodItems!$C:$C))</f>
        <v/>
      </c>
      <c r="H967">
        <f>IF(E967="";"";E967/100*XLOOKUP(XLOOKUP(C967;Portions!$A:$A;Portions!$B:$B);FoodItems!$A:$A;FoodItems!$D:$D))</f>
        <v/>
      </c>
      <c r="I967">
        <f>IF(E967="";"";E967/100*XLOOKUP(XLOOKUP(C967;Portions!$A:$A;Portions!$B:$B);FoodItems!$A:$A;FoodItems!$E:$E))</f>
        <v/>
      </c>
    </row>
    <row r="968">
      <c r="E968">
        <f>IF(C968="";"";D968*XLOOKUP(C968;Portions!$A:$A;Portions!$D:$D))</f>
        <v/>
      </c>
      <c r="F968">
        <f>IF(E968="";"";E968/100*XLOOKUP(XLOOKUP(C968;Portions!$A:$A;Portions!$B:$B);FoodItems!$A:$A;FoodItems!$B:$B))</f>
        <v/>
      </c>
      <c r="G968">
        <f>IF(E968="";"";E968/100*XLOOKUP(XLOOKUP(C968;Portions!$A:$A;Portions!$B:$B);FoodItems!$A:$A;FoodItems!$C:$C))</f>
        <v/>
      </c>
      <c r="H968">
        <f>IF(E968="";"";E968/100*XLOOKUP(XLOOKUP(C968;Portions!$A:$A;Portions!$B:$B);FoodItems!$A:$A;FoodItems!$D:$D))</f>
        <v/>
      </c>
      <c r="I968">
        <f>IF(E968="";"";E968/100*XLOOKUP(XLOOKUP(C968;Portions!$A:$A;Portions!$B:$B);FoodItems!$A:$A;FoodItems!$E:$E))</f>
        <v/>
      </c>
    </row>
    <row r="969">
      <c r="E969">
        <f>IF(C969="";"";D969*XLOOKUP(C969;Portions!$A:$A;Portions!$D:$D))</f>
        <v/>
      </c>
      <c r="F969">
        <f>IF(E969="";"";E969/100*XLOOKUP(XLOOKUP(C969;Portions!$A:$A;Portions!$B:$B);FoodItems!$A:$A;FoodItems!$B:$B))</f>
        <v/>
      </c>
      <c r="G969">
        <f>IF(E969="";"";E969/100*XLOOKUP(XLOOKUP(C969;Portions!$A:$A;Portions!$B:$B);FoodItems!$A:$A;FoodItems!$C:$C))</f>
        <v/>
      </c>
      <c r="H969">
        <f>IF(E969="";"";E969/100*XLOOKUP(XLOOKUP(C969;Portions!$A:$A;Portions!$B:$B);FoodItems!$A:$A;FoodItems!$D:$D))</f>
        <v/>
      </c>
      <c r="I969">
        <f>IF(E969="";"";E969/100*XLOOKUP(XLOOKUP(C969;Portions!$A:$A;Portions!$B:$B);FoodItems!$A:$A;FoodItems!$E:$E))</f>
        <v/>
      </c>
    </row>
    <row r="970">
      <c r="E970">
        <f>IF(C970="";"";D970*XLOOKUP(C970;Portions!$A:$A;Portions!$D:$D))</f>
        <v/>
      </c>
      <c r="F970">
        <f>IF(E970="";"";E970/100*XLOOKUP(XLOOKUP(C970;Portions!$A:$A;Portions!$B:$B);FoodItems!$A:$A;FoodItems!$B:$B))</f>
        <v/>
      </c>
      <c r="G970">
        <f>IF(E970="";"";E970/100*XLOOKUP(XLOOKUP(C970;Portions!$A:$A;Portions!$B:$B);FoodItems!$A:$A;FoodItems!$C:$C))</f>
        <v/>
      </c>
      <c r="H970">
        <f>IF(E970="";"";E970/100*XLOOKUP(XLOOKUP(C970;Portions!$A:$A;Portions!$B:$B);FoodItems!$A:$A;FoodItems!$D:$D))</f>
        <v/>
      </c>
      <c r="I970">
        <f>IF(E970="";"";E970/100*XLOOKUP(XLOOKUP(C970;Portions!$A:$A;Portions!$B:$B);FoodItems!$A:$A;FoodItems!$E:$E))</f>
        <v/>
      </c>
    </row>
    <row r="971">
      <c r="E971">
        <f>IF(C971="";"";D971*XLOOKUP(C971;Portions!$A:$A;Portions!$D:$D))</f>
        <v/>
      </c>
      <c r="F971">
        <f>IF(E971="";"";E971/100*XLOOKUP(XLOOKUP(C971;Portions!$A:$A;Portions!$B:$B);FoodItems!$A:$A;FoodItems!$B:$B))</f>
        <v/>
      </c>
      <c r="G971">
        <f>IF(E971="";"";E971/100*XLOOKUP(XLOOKUP(C971;Portions!$A:$A;Portions!$B:$B);FoodItems!$A:$A;FoodItems!$C:$C))</f>
        <v/>
      </c>
      <c r="H971">
        <f>IF(E971="";"";E971/100*XLOOKUP(XLOOKUP(C971;Portions!$A:$A;Portions!$B:$B);FoodItems!$A:$A;FoodItems!$D:$D))</f>
        <v/>
      </c>
      <c r="I971">
        <f>IF(E971="";"";E971/100*XLOOKUP(XLOOKUP(C971;Portions!$A:$A;Portions!$B:$B);FoodItems!$A:$A;FoodItems!$E:$E))</f>
        <v/>
      </c>
    </row>
    <row r="972">
      <c r="E972">
        <f>IF(C972="";"";D972*XLOOKUP(C972;Portions!$A:$A;Portions!$D:$D))</f>
        <v/>
      </c>
      <c r="F972">
        <f>IF(E972="";"";E972/100*XLOOKUP(XLOOKUP(C972;Portions!$A:$A;Portions!$B:$B);FoodItems!$A:$A;FoodItems!$B:$B))</f>
        <v/>
      </c>
      <c r="G972">
        <f>IF(E972="";"";E972/100*XLOOKUP(XLOOKUP(C972;Portions!$A:$A;Portions!$B:$B);FoodItems!$A:$A;FoodItems!$C:$C))</f>
        <v/>
      </c>
      <c r="H972">
        <f>IF(E972="";"";E972/100*XLOOKUP(XLOOKUP(C972;Portions!$A:$A;Portions!$B:$B);FoodItems!$A:$A;FoodItems!$D:$D))</f>
        <v/>
      </c>
      <c r="I972">
        <f>IF(E972="";"";E972/100*XLOOKUP(XLOOKUP(C972;Portions!$A:$A;Portions!$B:$B);FoodItems!$A:$A;FoodItems!$E:$E))</f>
        <v/>
      </c>
    </row>
    <row r="973">
      <c r="E973">
        <f>IF(C973="";"";D973*XLOOKUP(C973;Portions!$A:$A;Portions!$D:$D))</f>
        <v/>
      </c>
      <c r="F973">
        <f>IF(E973="";"";E973/100*XLOOKUP(XLOOKUP(C973;Portions!$A:$A;Portions!$B:$B);FoodItems!$A:$A;FoodItems!$B:$B))</f>
        <v/>
      </c>
      <c r="G973">
        <f>IF(E973="";"";E973/100*XLOOKUP(XLOOKUP(C973;Portions!$A:$A;Portions!$B:$B);FoodItems!$A:$A;FoodItems!$C:$C))</f>
        <v/>
      </c>
      <c r="H973">
        <f>IF(E973="";"";E973/100*XLOOKUP(XLOOKUP(C973;Portions!$A:$A;Portions!$B:$B);FoodItems!$A:$A;FoodItems!$D:$D))</f>
        <v/>
      </c>
      <c r="I973">
        <f>IF(E973="";"";E973/100*XLOOKUP(XLOOKUP(C973;Portions!$A:$A;Portions!$B:$B);FoodItems!$A:$A;FoodItems!$E:$E))</f>
        <v/>
      </c>
    </row>
    <row r="974">
      <c r="E974">
        <f>IF(C974="";"";D974*XLOOKUP(C974;Portions!$A:$A;Portions!$D:$D))</f>
        <v/>
      </c>
      <c r="F974">
        <f>IF(E974="";"";E974/100*XLOOKUP(XLOOKUP(C974;Portions!$A:$A;Portions!$B:$B);FoodItems!$A:$A;FoodItems!$B:$B))</f>
        <v/>
      </c>
      <c r="G974">
        <f>IF(E974="";"";E974/100*XLOOKUP(XLOOKUP(C974;Portions!$A:$A;Portions!$B:$B);FoodItems!$A:$A;FoodItems!$C:$C))</f>
        <v/>
      </c>
      <c r="H974">
        <f>IF(E974="";"";E974/100*XLOOKUP(XLOOKUP(C974;Portions!$A:$A;Portions!$B:$B);FoodItems!$A:$A;FoodItems!$D:$D))</f>
        <v/>
      </c>
      <c r="I974">
        <f>IF(E974="";"";E974/100*XLOOKUP(XLOOKUP(C974;Portions!$A:$A;Portions!$B:$B);FoodItems!$A:$A;FoodItems!$E:$E))</f>
        <v/>
      </c>
    </row>
    <row r="975">
      <c r="E975">
        <f>IF(C975="";"";D975*XLOOKUP(C975;Portions!$A:$A;Portions!$D:$D))</f>
        <v/>
      </c>
      <c r="F975">
        <f>IF(E975="";"";E975/100*XLOOKUP(XLOOKUP(C975;Portions!$A:$A;Portions!$B:$B);FoodItems!$A:$A;FoodItems!$B:$B))</f>
        <v/>
      </c>
      <c r="G975">
        <f>IF(E975="";"";E975/100*XLOOKUP(XLOOKUP(C975;Portions!$A:$A;Portions!$B:$B);FoodItems!$A:$A;FoodItems!$C:$C))</f>
        <v/>
      </c>
      <c r="H975">
        <f>IF(E975="";"";E975/100*XLOOKUP(XLOOKUP(C975;Portions!$A:$A;Portions!$B:$B);FoodItems!$A:$A;FoodItems!$D:$D))</f>
        <v/>
      </c>
      <c r="I975">
        <f>IF(E975="";"";E975/100*XLOOKUP(XLOOKUP(C975;Portions!$A:$A;Portions!$B:$B);FoodItems!$A:$A;FoodItems!$E:$E))</f>
        <v/>
      </c>
    </row>
    <row r="976">
      <c r="E976">
        <f>IF(C976="";"";D976*XLOOKUP(C976;Portions!$A:$A;Portions!$D:$D))</f>
        <v/>
      </c>
      <c r="F976">
        <f>IF(E976="";"";E976/100*XLOOKUP(XLOOKUP(C976;Portions!$A:$A;Portions!$B:$B);FoodItems!$A:$A;FoodItems!$B:$B))</f>
        <v/>
      </c>
      <c r="G976">
        <f>IF(E976="";"";E976/100*XLOOKUP(XLOOKUP(C976;Portions!$A:$A;Portions!$B:$B);FoodItems!$A:$A;FoodItems!$C:$C))</f>
        <v/>
      </c>
      <c r="H976">
        <f>IF(E976="";"";E976/100*XLOOKUP(XLOOKUP(C976;Portions!$A:$A;Portions!$B:$B);FoodItems!$A:$A;FoodItems!$D:$D))</f>
        <v/>
      </c>
      <c r="I976">
        <f>IF(E976="";"";E976/100*XLOOKUP(XLOOKUP(C976;Portions!$A:$A;Portions!$B:$B);FoodItems!$A:$A;FoodItems!$E:$E))</f>
        <v/>
      </c>
    </row>
    <row r="977">
      <c r="E977">
        <f>IF(C977="";"";D977*XLOOKUP(C977;Portions!$A:$A;Portions!$D:$D))</f>
        <v/>
      </c>
      <c r="F977">
        <f>IF(E977="";"";E977/100*XLOOKUP(XLOOKUP(C977;Portions!$A:$A;Portions!$B:$B);FoodItems!$A:$A;FoodItems!$B:$B))</f>
        <v/>
      </c>
      <c r="G977">
        <f>IF(E977="";"";E977/100*XLOOKUP(XLOOKUP(C977;Portions!$A:$A;Portions!$B:$B);FoodItems!$A:$A;FoodItems!$C:$C))</f>
        <v/>
      </c>
      <c r="H977">
        <f>IF(E977="";"";E977/100*XLOOKUP(XLOOKUP(C977;Portions!$A:$A;Portions!$B:$B);FoodItems!$A:$A;FoodItems!$D:$D))</f>
        <v/>
      </c>
      <c r="I977">
        <f>IF(E977="";"";E977/100*XLOOKUP(XLOOKUP(C977;Portions!$A:$A;Portions!$B:$B);FoodItems!$A:$A;FoodItems!$E:$E))</f>
        <v/>
      </c>
    </row>
    <row r="978">
      <c r="E978">
        <f>IF(C978="";"";D978*XLOOKUP(C978;Portions!$A:$A;Portions!$D:$D))</f>
        <v/>
      </c>
      <c r="F978">
        <f>IF(E978="";"";E978/100*XLOOKUP(XLOOKUP(C978;Portions!$A:$A;Portions!$B:$B);FoodItems!$A:$A;FoodItems!$B:$B))</f>
        <v/>
      </c>
      <c r="G978">
        <f>IF(E978="";"";E978/100*XLOOKUP(XLOOKUP(C978;Portions!$A:$A;Portions!$B:$B);FoodItems!$A:$A;FoodItems!$C:$C))</f>
        <v/>
      </c>
      <c r="H978">
        <f>IF(E978="";"";E978/100*XLOOKUP(XLOOKUP(C978;Portions!$A:$A;Portions!$B:$B);FoodItems!$A:$A;FoodItems!$D:$D))</f>
        <v/>
      </c>
      <c r="I978">
        <f>IF(E978="";"";E978/100*XLOOKUP(XLOOKUP(C978;Portions!$A:$A;Portions!$B:$B);FoodItems!$A:$A;FoodItems!$E:$E))</f>
        <v/>
      </c>
    </row>
    <row r="979">
      <c r="E979">
        <f>IF(C979="";"";D979*XLOOKUP(C979;Portions!$A:$A;Portions!$D:$D))</f>
        <v/>
      </c>
      <c r="F979">
        <f>IF(E979="";"";E979/100*XLOOKUP(XLOOKUP(C979;Portions!$A:$A;Portions!$B:$B);FoodItems!$A:$A;FoodItems!$B:$B))</f>
        <v/>
      </c>
      <c r="G979">
        <f>IF(E979="";"";E979/100*XLOOKUP(XLOOKUP(C979;Portions!$A:$A;Portions!$B:$B);FoodItems!$A:$A;FoodItems!$C:$C))</f>
        <v/>
      </c>
      <c r="H979">
        <f>IF(E979="";"";E979/100*XLOOKUP(XLOOKUP(C979;Portions!$A:$A;Portions!$B:$B);FoodItems!$A:$A;FoodItems!$D:$D))</f>
        <v/>
      </c>
      <c r="I979">
        <f>IF(E979="";"";E979/100*XLOOKUP(XLOOKUP(C979;Portions!$A:$A;Portions!$B:$B);FoodItems!$A:$A;FoodItems!$E:$E))</f>
        <v/>
      </c>
    </row>
    <row r="980">
      <c r="E980">
        <f>IF(C980="";"";D980*XLOOKUP(C980;Portions!$A:$A;Portions!$D:$D))</f>
        <v/>
      </c>
      <c r="F980">
        <f>IF(E980="";"";E980/100*XLOOKUP(XLOOKUP(C980;Portions!$A:$A;Portions!$B:$B);FoodItems!$A:$A;FoodItems!$B:$B))</f>
        <v/>
      </c>
      <c r="G980">
        <f>IF(E980="";"";E980/100*XLOOKUP(XLOOKUP(C980;Portions!$A:$A;Portions!$B:$B);FoodItems!$A:$A;FoodItems!$C:$C))</f>
        <v/>
      </c>
      <c r="H980">
        <f>IF(E980="";"";E980/100*XLOOKUP(XLOOKUP(C980;Portions!$A:$A;Portions!$B:$B);FoodItems!$A:$A;FoodItems!$D:$D))</f>
        <v/>
      </c>
      <c r="I980">
        <f>IF(E980="";"";E980/100*XLOOKUP(XLOOKUP(C980;Portions!$A:$A;Portions!$B:$B);FoodItems!$A:$A;FoodItems!$E:$E))</f>
        <v/>
      </c>
    </row>
    <row r="981">
      <c r="E981">
        <f>IF(C981="";"";D981*XLOOKUP(C981;Portions!$A:$A;Portions!$D:$D))</f>
        <v/>
      </c>
      <c r="F981">
        <f>IF(E981="";"";E981/100*XLOOKUP(XLOOKUP(C981;Portions!$A:$A;Portions!$B:$B);FoodItems!$A:$A;FoodItems!$B:$B))</f>
        <v/>
      </c>
      <c r="G981">
        <f>IF(E981="";"";E981/100*XLOOKUP(XLOOKUP(C981;Portions!$A:$A;Portions!$B:$B);FoodItems!$A:$A;FoodItems!$C:$C))</f>
        <v/>
      </c>
      <c r="H981">
        <f>IF(E981="";"";E981/100*XLOOKUP(XLOOKUP(C981;Portions!$A:$A;Portions!$B:$B);FoodItems!$A:$A;FoodItems!$D:$D))</f>
        <v/>
      </c>
      <c r="I981">
        <f>IF(E981="";"";E981/100*XLOOKUP(XLOOKUP(C981;Portions!$A:$A;Portions!$B:$B);FoodItems!$A:$A;FoodItems!$E:$E))</f>
        <v/>
      </c>
    </row>
    <row r="982">
      <c r="E982">
        <f>IF(C982="";"";D982*XLOOKUP(C982;Portions!$A:$A;Portions!$D:$D))</f>
        <v/>
      </c>
      <c r="F982">
        <f>IF(E982="";"";E982/100*XLOOKUP(XLOOKUP(C982;Portions!$A:$A;Portions!$B:$B);FoodItems!$A:$A;FoodItems!$B:$B))</f>
        <v/>
      </c>
      <c r="G982">
        <f>IF(E982="";"";E982/100*XLOOKUP(XLOOKUP(C982;Portions!$A:$A;Portions!$B:$B);FoodItems!$A:$A;FoodItems!$C:$C))</f>
        <v/>
      </c>
      <c r="H982">
        <f>IF(E982="";"";E982/100*XLOOKUP(XLOOKUP(C982;Portions!$A:$A;Portions!$B:$B);FoodItems!$A:$A;FoodItems!$D:$D))</f>
        <v/>
      </c>
      <c r="I982">
        <f>IF(E982="";"";E982/100*XLOOKUP(XLOOKUP(C982;Portions!$A:$A;Portions!$B:$B);FoodItems!$A:$A;FoodItems!$E:$E))</f>
        <v/>
      </c>
    </row>
    <row r="983">
      <c r="E983">
        <f>IF(C983="";"";D983*XLOOKUP(C983;Portions!$A:$A;Portions!$D:$D))</f>
        <v/>
      </c>
      <c r="F983">
        <f>IF(E983="";"";E983/100*XLOOKUP(XLOOKUP(C983;Portions!$A:$A;Portions!$B:$B);FoodItems!$A:$A;FoodItems!$B:$B))</f>
        <v/>
      </c>
      <c r="G983">
        <f>IF(E983="";"";E983/100*XLOOKUP(XLOOKUP(C983;Portions!$A:$A;Portions!$B:$B);FoodItems!$A:$A;FoodItems!$C:$C))</f>
        <v/>
      </c>
      <c r="H983">
        <f>IF(E983="";"";E983/100*XLOOKUP(XLOOKUP(C983;Portions!$A:$A;Portions!$B:$B);FoodItems!$A:$A;FoodItems!$D:$D))</f>
        <v/>
      </c>
      <c r="I983">
        <f>IF(E983="";"";E983/100*XLOOKUP(XLOOKUP(C983;Portions!$A:$A;Portions!$B:$B);FoodItems!$A:$A;FoodItems!$E:$E))</f>
        <v/>
      </c>
    </row>
    <row r="984">
      <c r="E984">
        <f>IF(C984="";"";D984*XLOOKUP(C984;Portions!$A:$A;Portions!$D:$D))</f>
        <v/>
      </c>
      <c r="F984">
        <f>IF(E984="";"";E984/100*XLOOKUP(XLOOKUP(C984;Portions!$A:$A;Portions!$B:$B);FoodItems!$A:$A;FoodItems!$B:$B))</f>
        <v/>
      </c>
      <c r="G984">
        <f>IF(E984="";"";E984/100*XLOOKUP(XLOOKUP(C984;Portions!$A:$A;Portions!$B:$B);FoodItems!$A:$A;FoodItems!$C:$C))</f>
        <v/>
      </c>
      <c r="H984">
        <f>IF(E984="";"";E984/100*XLOOKUP(XLOOKUP(C984;Portions!$A:$A;Portions!$B:$B);FoodItems!$A:$A;FoodItems!$D:$D))</f>
        <v/>
      </c>
      <c r="I984">
        <f>IF(E984="";"";E984/100*XLOOKUP(XLOOKUP(C984;Portions!$A:$A;Portions!$B:$B);FoodItems!$A:$A;FoodItems!$E:$E))</f>
        <v/>
      </c>
    </row>
    <row r="985">
      <c r="E985">
        <f>IF(C985="";"";D985*XLOOKUP(C985;Portions!$A:$A;Portions!$D:$D))</f>
        <v/>
      </c>
      <c r="F985">
        <f>IF(E985="";"";E985/100*XLOOKUP(XLOOKUP(C985;Portions!$A:$A;Portions!$B:$B);FoodItems!$A:$A;FoodItems!$B:$B))</f>
        <v/>
      </c>
      <c r="G985">
        <f>IF(E985="";"";E985/100*XLOOKUP(XLOOKUP(C985;Portions!$A:$A;Portions!$B:$B);FoodItems!$A:$A;FoodItems!$C:$C))</f>
        <v/>
      </c>
      <c r="H985">
        <f>IF(E985="";"";E985/100*XLOOKUP(XLOOKUP(C985;Portions!$A:$A;Portions!$B:$B);FoodItems!$A:$A;FoodItems!$D:$D))</f>
        <v/>
      </c>
      <c r="I985">
        <f>IF(E985="";"";E985/100*XLOOKUP(XLOOKUP(C985;Portions!$A:$A;Portions!$B:$B);FoodItems!$A:$A;FoodItems!$E:$E))</f>
        <v/>
      </c>
    </row>
    <row r="986">
      <c r="E986">
        <f>IF(C986="";"";D986*XLOOKUP(C986;Portions!$A:$A;Portions!$D:$D))</f>
        <v/>
      </c>
      <c r="F986">
        <f>IF(E986="";"";E986/100*XLOOKUP(XLOOKUP(C986;Portions!$A:$A;Portions!$B:$B);FoodItems!$A:$A;FoodItems!$B:$B))</f>
        <v/>
      </c>
      <c r="G986">
        <f>IF(E986="";"";E986/100*XLOOKUP(XLOOKUP(C986;Portions!$A:$A;Portions!$B:$B);FoodItems!$A:$A;FoodItems!$C:$C))</f>
        <v/>
      </c>
      <c r="H986">
        <f>IF(E986="";"";E986/100*XLOOKUP(XLOOKUP(C986;Portions!$A:$A;Portions!$B:$B);FoodItems!$A:$A;FoodItems!$D:$D))</f>
        <v/>
      </c>
      <c r="I986">
        <f>IF(E986="";"";E986/100*XLOOKUP(XLOOKUP(C986;Portions!$A:$A;Portions!$B:$B);FoodItems!$A:$A;FoodItems!$E:$E))</f>
        <v/>
      </c>
    </row>
    <row r="987">
      <c r="E987">
        <f>IF(C987="";"";D987*XLOOKUP(C987;Portions!$A:$A;Portions!$D:$D))</f>
        <v/>
      </c>
      <c r="F987">
        <f>IF(E987="";"";E987/100*XLOOKUP(XLOOKUP(C987;Portions!$A:$A;Portions!$B:$B);FoodItems!$A:$A;FoodItems!$B:$B))</f>
        <v/>
      </c>
      <c r="G987">
        <f>IF(E987="";"";E987/100*XLOOKUP(XLOOKUP(C987;Portions!$A:$A;Portions!$B:$B);FoodItems!$A:$A;FoodItems!$C:$C))</f>
        <v/>
      </c>
      <c r="H987">
        <f>IF(E987="";"";E987/100*XLOOKUP(XLOOKUP(C987;Portions!$A:$A;Portions!$B:$B);FoodItems!$A:$A;FoodItems!$D:$D))</f>
        <v/>
      </c>
      <c r="I987">
        <f>IF(E987="";"";E987/100*XLOOKUP(XLOOKUP(C987;Portions!$A:$A;Portions!$B:$B);FoodItems!$A:$A;FoodItems!$E:$E))</f>
        <v/>
      </c>
    </row>
    <row r="988">
      <c r="E988">
        <f>IF(C988="";"";D988*XLOOKUP(C988;Portions!$A:$A;Portions!$D:$D))</f>
        <v/>
      </c>
      <c r="F988">
        <f>IF(E988="";"";E988/100*XLOOKUP(XLOOKUP(C988;Portions!$A:$A;Portions!$B:$B);FoodItems!$A:$A;FoodItems!$B:$B))</f>
        <v/>
      </c>
      <c r="G988">
        <f>IF(E988="";"";E988/100*XLOOKUP(XLOOKUP(C988;Portions!$A:$A;Portions!$B:$B);FoodItems!$A:$A;FoodItems!$C:$C))</f>
        <v/>
      </c>
      <c r="H988">
        <f>IF(E988="";"";E988/100*XLOOKUP(XLOOKUP(C988;Portions!$A:$A;Portions!$B:$B);FoodItems!$A:$A;FoodItems!$D:$D))</f>
        <v/>
      </c>
      <c r="I988">
        <f>IF(E988="";"";E988/100*XLOOKUP(XLOOKUP(C988;Portions!$A:$A;Portions!$B:$B);FoodItems!$A:$A;FoodItems!$E:$E))</f>
        <v/>
      </c>
    </row>
    <row r="989">
      <c r="E989">
        <f>IF(C989="";"";D989*XLOOKUP(C989;Portions!$A:$A;Portions!$D:$D))</f>
        <v/>
      </c>
      <c r="F989">
        <f>IF(E989="";"";E989/100*XLOOKUP(XLOOKUP(C989;Portions!$A:$A;Portions!$B:$B);FoodItems!$A:$A;FoodItems!$B:$B))</f>
        <v/>
      </c>
      <c r="G989">
        <f>IF(E989="";"";E989/100*XLOOKUP(XLOOKUP(C989;Portions!$A:$A;Portions!$B:$B);FoodItems!$A:$A;FoodItems!$C:$C))</f>
        <v/>
      </c>
      <c r="H989">
        <f>IF(E989="";"";E989/100*XLOOKUP(XLOOKUP(C989;Portions!$A:$A;Portions!$B:$B);FoodItems!$A:$A;FoodItems!$D:$D))</f>
        <v/>
      </c>
      <c r="I989">
        <f>IF(E989="";"";E989/100*XLOOKUP(XLOOKUP(C989;Portions!$A:$A;Portions!$B:$B);FoodItems!$A:$A;FoodItems!$E:$E))</f>
        <v/>
      </c>
    </row>
    <row r="990">
      <c r="E990">
        <f>IF(C990="";"";D990*XLOOKUP(C990;Portions!$A:$A;Portions!$D:$D))</f>
        <v/>
      </c>
      <c r="F990">
        <f>IF(E990="";"";E990/100*XLOOKUP(XLOOKUP(C990;Portions!$A:$A;Portions!$B:$B);FoodItems!$A:$A;FoodItems!$B:$B))</f>
        <v/>
      </c>
      <c r="G990">
        <f>IF(E990="";"";E990/100*XLOOKUP(XLOOKUP(C990;Portions!$A:$A;Portions!$B:$B);FoodItems!$A:$A;FoodItems!$C:$C))</f>
        <v/>
      </c>
      <c r="H990">
        <f>IF(E990="";"";E990/100*XLOOKUP(XLOOKUP(C990;Portions!$A:$A;Portions!$B:$B);FoodItems!$A:$A;FoodItems!$D:$D))</f>
        <v/>
      </c>
      <c r="I990">
        <f>IF(E990="";"";E990/100*XLOOKUP(XLOOKUP(C990;Portions!$A:$A;Portions!$B:$B);FoodItems!$A:$A;FoodItems!$E:$E))</f>
        <v/>
      </c>
    </row>
    <row r="991">
      <c r="E991">
        <f>IF(C991="";"";D991*XLOOKUP(C991;Portions!$A:$A;Portions!$D:$D))</f>
        <v/>
      </c>
      <c r="F991">
        <f>IF(E991="";"";E991/100*XLOOKUP(XLOOKUP(C991;Portions!$A:$A;Portions!$B:$B);FoodItems!$A:$A;FoodItems!$B:$B))</f>
        <v/>
      </c>
      <c r="G991">
        <f>IF(E991="";"";E991/100*XLOOKUP(XLOOKUP(C991;Portions!$A:$A;Portions!$B:$B);FoodItems!$A:$A;FoodItems!$C:$C))</f>
        <v/>
      </c>
      <c r="H991">
        <f>IF(E991="";"";E991/100*XLOOKUP(XLOOKUP(C991;Portions!$A:$A;Portions!$B:$B);FoodItems!$A:$A;FoodItems!$D:$D))</f>
        <v/>
      </c>
      <c r="I991">
        <f>IF(E991="";"";E991/100*XLOOKUP(XLOOKUP(C991;Portions!$A:$A;Portions!$B:$B);FoodItems!$A:$A;FoodItems!$E:$E))</f>
        <v/>
      </c>
    </row>
    <row r="992">
      <c r="E992">
        <f>IF(C992="";"";D992*XLOOKUP(C992;Portions!$A:$A;Portions!$D:$D))</f>
        <v/>
      </c>
      <c r="F992">
        <f>IF(E992="";"";E992/100*XLOOKUP(XLOOKUP(C992;Portions!$A:$A;Portions!$B:$B);FoodItems!$A:$A;FoodItems!$B:$B))</f>
        <v/>
      </c>
      <c r="G992">
        <f>IF(E992="";"";E992/100*XLOOKUP(XLOOKUP(C992;Portions!$A:$A;Portions!$B:$B);FoodItems!$A:$A;FoodItems!$C:$C))</f>
        <v/>
      </c>
      <c r="H992">
        <f>IF(E992="";"";E992/100*XLOOKUP(XLOOKUP(C992;Portions!$A:$A;Portions!$B:$B);FoodItems!$A:$A;FoodItems!$D:$D))</f>
        <v/>
      </c>
      <c r="I992">
        <f>IF(E992="";"";E992/100*XLOOKUP(XLOOKUP(C992;Portions!$A:$A;Portions!$B:$B);FoodItems!$A:$A;FoodItems!$E:$E))</f>
        <v/>
      </c>
    </row>
    <row r="993">
      <c r="E993">
        <f>IF(C993="";"";D993*XLOOKUP(C993;Portions!$A:$A;Portions!$D:$D))</f>
        <v/>
      </c>
      <c r="F993">
        <f>IF(E993="";"";E993/100*XLOOKUP(XLOOKUP(C993;Portions!$A:$A;Portions!$B:$B);FoodItems!$A:$A;FoodItems!$B:$B))</f>
        <v/>
      </c>
      <c r="G993">
        <f>IF(E993="";"";E993/100*XLOOKUP(XLOOKUP(C993;Portions!$A:$A;Portions!$B:$B);FoodItems!$A:$A;FoodItems!$C:$C))</f>
        <v/>
      </c>
      <c r="H993">
        <f>IF(E993="";"";E993/100*XLOOKUP(XLOOKUP(C993;Portions!$A:$A;Portions!$B:$B);FoodItems!$A:$A;FoodItems!$D:$D))</f>
        <v/>
      </c>
      <c r="I993">
        <f>IF(E993="";"";E993/100*XLOOKUP(XLOOKUP(C993;Portions!$A:$A;Portions!$B:$B);FoodItems!$A:$A;FoodItems!$E:$E))</f>
        <v/>
      </c>
    </row>
    <row r="994">
      <c r="E994">
        <f>IF(C994="";"";D994*XLOOKUP(C994;Portions!$A:$A;Portions!$D:$D))</f>
        <v/>
      </c>
      <c r="F994">
        <f>IF(E994="";"";E994/100*XLOOKUP(XLOOKUP(C994;Portions!$A:$A;Portions!$B:$B);FoodItems!$A:$A;FoodItems!$B:$B))</f>
        <v/>
      </c>
      <c r="G994">
        <f>IF(E994="";"";E994/100*XLOOKUP(XLOOKUP(C994;Portions!$A:$A;Portions!$B:$B);FoodItems!$A:$A;FoodItems!$C:$C))</f>
        <v/>
      </c>
      <c r="H994">
        <f>IF(E994="";"";E994/100*XLOOKUP(XLOOKUP(C994;Portions!$A:$A;Portions!$B:$B);FoodItems!$A:$A;FoodItems!$D:$D))</f>
        <v/>
      </c>
      <c r="I994">
        <f>IF(E994="";"";E994/100*XLOOKUP(XLOOKUP(C994;Portions!$A:$A;Portions!$B:$B);FoodItems!$A:$A;FoodItems!$E:$E))</f>
        <v/>
      </c>
    </row>
    <row r="995">
      <c r="E995">
        <f>IF(C995="";"";D995*XLOOKUP(C995;Portions!$A:$A;Portions!$D:$D))</f>
        <v/>
      </c>
      <c r="F995">
        <f>IF(E995="";"";E995/100*XLOOKUP(XLOOKUP(C995;Portions!$A:$A;Portions!$B:$B);FoodItems!$A:$A;FoodItems!$B:$B))</f>
        <v/>
      </c>
      <c r="G995">
        <f>IF(E995="";"";E995/100*XLOOKUP(XLOOKUP(C995;Portions!$A:$A;Portions!$B:$B);FoodItems!$A:$A;FoodItems!$C:$C))</f>
        <v/>
      </c>
      <c r="H995">
        <f>IF(E995="";"";E995/100*XLOOKUP(XLOOKUP(C995;Portions!$A:$A;Portions!$B:$B);FoodItems!$A:$A;FoodItems!$D:$D))</f>
        <v/>
      </c>
      <c r="I995">
        <f>IF(E995="";"";E995/100*XLOOKUP(XLOOKUP(C995;Portions!$A:$A;Portions!$B:$B);FoodItems!$A:$A;FoodItems!$E:$E))</f>
        <v/>
      </c>
    </row>
    <row r="996">
      <c r="E996">
        <f>IF(C996="";"";D996*XLOOKUP(C996;Portions!$A:$A;Portions!$D:$D))</f>
        <v/>
      </c>
      <c r="F996">
        <f>IF(E996="";"";E996/100*XLOOKUP(XLOOKUP(C996;Portions!$A:$A;Portions!$B:$B);FoodItems!$A:$A;FoodItems!$B:$B))</f>
        <v/>
      </c>
      <c r="G996">
        <f>IF(E996="";"";E996/100*XLOOKUP(XLOOKUP(C996;Portions!$A:$A;Portions!$B:$B);FoodItems!$A:$A;FoodItems!$C:$C))</f>
        <v/>
      </c>
      <c r="H996">
        <f>IF(E996="";"";E996/100*XLOOKUP(XLOOKUP(C996;Portions!$A:$A;Portions!$B:$B);FoodItems!$A:$A;FoodItems!$D:$D))</f>
        <v/>
      </c>
      <c r="I996">
        <f>IF(E996="";"";E996/100*XLOOKUP(XLOOKUP(C996;Portions!$A:$A;Portions!$B:$B);FoodItems!$A:$A;FoodItems!$E:$E))</f>
        <v/>
      </c>
    </row>
    <row r="997">
      <c r="E997">
        <f>IF(C997="";"";D997*XLOOKUP(C997;Portions!$A:$A;Portions!$D:$D))</f>
        <v/>
      </c>
      <c r="F997">
        <f>IF(E997="";"";E997/100*XLOOKUP(XLOOKUP(C997;Portions!$A:$A;Portions!$B:$B);FoodItems!$A:$A;FoodItems!$B:$B))</f>
        <v/>
      </c>
      <c r="G997">
        <f>IF(E997="";"";E997/100*XLOOKUP(XLOOKUP(C997;Portions!$A:$A;Portions!$B:$B);FoodItems!$A:$A;FoodItems!$C:$C))</f>
        <v/>
      </c>
      <c r="H997">
        <f>IF(E997="";"";E997/100*XLOOKUP(XLOOKUP(C997;Portions!$A:$A;Portions!$B:$B);FoodItems!$A:$A;FoodItems!$D:$D))</f>
        <v/>
      </c>
      <c r="I997">
        <f>IF(E997="";"";E997/100*XLOOKUP(XLOOKUP(C997;Portions!$A:$A;Portions!$B:$B);FoodItems!$A:$A;FoodItems!$E:$E))</f>
        <v/>
      </c>
    </row>
    <row r="998">
      <c r="E998">
        <f>IF(C998="";"";D998*XLOOKUP(C998;Portions!$A:$A;Portions!$D:$D))</f>
        <v/>
      </c>
      <c r="F998">
        <f>IF(E998="";"";E998/100*XLOOKUP(XLOOKUP(C998;Portions!$A:$A;Portions!$B:$B);FoodItems!$A:$A;FoodItems!$B:$B))</f>
        <v/>
      </c>
      <c r="G998">
        <f>IF(E998="";"";E998/100*XLOOKUP(XLOOKUP(C998;Portions!$A:$A;Portions!$B:$B);FoodItems!$A:$A;FoodItems!$C:$C))</f>
        <v/>
      </c>
      <c r="H998">
        <f>IF(E998="";"";E998/100*XLOOKUP(XLOOKUP(C998;Portions!$A:$A;Portions!$B:$B);FoodItems!$A:$A;FoodItems!$D:$D))</f>
        <v/>
      </c>
      <c r="I998">
        <f>IF(E998="";"";E998/100*XLOOKUP(XLOOKUP(C998;Portions!$A:$A;Portions!$B:$B);FoodItems!$A:$A;FoodItems!$E:$E))</f>
        <v/>
      </c>
    </row>
    <row r="999">
      <c r="E999">
        <f>IF(C999="";"";D999*XLOOKUP(C999;Portions!$A:$A;Portions!$D:$D))</f>
        <v/>
      </c>
      <c r="F999">
        <f>IF(E999="";"";E999/100*XLOOKUP(XLOOKUP(C999;Portions!$A:$A;Portions!$B:$B);FoodItems!$A:$A;FoodItems!$B:$B))</f>
        <v/>
      </c>
      <c r="G999">
        <f>IF(E999="";"";E999/100*XLOOKUP(XLOOKUP(C999;Portions!$A:$A;Portions!$B:$B);FoodItems!$A:$A;FoodItems!$C:$C))</f>
        <v/>
      </c>
      <c r="H999">
        <f>IF(E999="";"";E999/100*XLOOKUP(XLOOKUP(C999;Portions!$A:$A;Portions!$B:$B);FoodItems!$A:$A;FoodItems!$D:$D))</f>
        <v/>
      </c>
      <c r="I999">
        <f>IF(E999="";"";E999/100*XLOOKUP(XLOOKUP(C999;Portions!$A:$A;Portions!$B:$B);FoodItems!$A:$A;FoodItems!$E:$E))</f>
        <v/>
      </c>
    </row>
    <row r="1000">
      <c r="E1000">
        <f>IF(C1000="";"";D1000*XLOOKUP(C1000;Portions!$A:$A;Portions!$D:$D))</f>
        <v/>
      </c>
      <c r="F1000">
        <f>IF(E1000="";"";E1000/100*XLOOKUP(XLOOKUP(C1000;Portions!$A:$A;Portions!$B:$B);FoodItems!$A:$A;FoodItems!$B:$B))</f>
        <v/>
      </c>
      <c r="G1000">
        <f>IF(E1000="";"";E1000/100*XLOOKUP(XLOOKUP(C1000;Portions!$A:$A;Portions!$B:$B);FoodItems!$A:$A;FoodItems!$C:$C))</f>
        <v/>
      </c>
      <c r="H1000">
        <f>IF(E1000="";"";E1000/100*XLOOKUP(XLOOKUP(C1000;Portions!$A:$A;Portions!$B:$B);FoodItems!$A:$A;FoodItems!$D:$D))</f>
        <v/>
      </c>
      <c r="I1000">
        <f>IF(E1000="";"";E1000/100*XLOOKUP(XLOOKUP(C1000;Portions!$A:$A;Portions!$B:$B);FoodItems!$A:$A;FoodItems!$E:$E))</f>
        <v/>
      </c>
    </row>
  </sheetData>
  <dataValidations count="1">
    <dataValidation sqref="C2:C500" showDropDown="0" showInputMessage="0" showErrorMessage="0" allowBlank="1" type="list">
      <formula1>=Portions!$A$2:$A$200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2" customHeight="1">
      <c r="A1" s="1" t="inlineStr">
        <is>
          <t>Дата</t>
        </is>
      </c>
      <c r="B1" s="1" t="inlineStr">
        <is>
          <t>Время</t>
        </is>
      </c>
      <c r="C1" s="1" t="inlineStr">
        <is>
          <t>Категория</t>
        </is>
      </c>
      <c r="D1" s="1" t="inlineStr">
        <is>
          <t>Подкатегория</t>
        </is>
      </c>
      <c r="E1" s="1" t="inlineStr">
        <is>
          <t>Минут</t>
        </is>
      </c>
      <c r="F1" s="1" t="inlineStr">
        <is>
          <t>Комментарий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22" customHeight="1">
      <c r="A1" s="1" t="inlineStr">
        <is>
          <t>Продукт</t>
        </is>
      </c>
      <c r="B1" s="1" t="inlineStr">
        <is>
          <t>Белки_на_100г</t>
        </is>
      </c>
      <c r="C1" s="1" t="inlineStr">
        <is>
          <t>Жиры_на_100г</t>
        </is>
      </c>
      <c r="D1" s="1" t="inlineStr">
        <is>
          <t>Угли_на_100г</t>
        </is>
      </c>
      <c r="E1" s="1" t="inlineStr">
        <is>
          <t>Ккал_на_100г</t>
        </is>
      </c>
    </row>
    <row r="2">
      <c r="A2" t="inlineStr">
        <is>
          <t>Творог</t>
        </is>
      </c>
      <c r="B2" t="n">
        <v>18</v>
      </c>
      <c r="C2" t="n">
        <v>1.8</v>
      </c>
      <c r="D2" t="n">
        <v>3.3</v>
      </c>
      <c r="E2" t="n">
        <v>102</v>
      </c>
    </row>
    <row r="3">
      <c r="A3" t="inlineStr">
        <is>
          <t>Яйца</t>
        </is>
      </c>
      <c r="B3" t="n">
        <v>12.5</v>
      </c>
      <c r="C3" t="n">
        <v>10</v>
      </c>
      <c r="D3" t="n">
        <v>0.7</v>
      </c>
      <c r="E3" t="n">
        <v>150</v>
      </c>
    </row>
    <row r="4">
      <c r="A4" t="inlineStr">
        <is>
          <t>Грудка</t>
        </is>
      </c>
      <c r="B4" t="n">
        <v>22</v>
      </c>
      <c r="C4" t="n">
        <v>1</v>
      </c>
      <c r="D4" t="n">
        <v>0</v>
      </c>
      <c r="E4" t="n">
        <v>104</v>
      </c>
    </row>
    <row r="5">
      <c r="A5" t="inlineStr">
        <is>
          <t>Рис</t>
        </is>
      </c>
      <c r="B5" t="n">
        <v>7</v>
      </c>
      <c r="C5" t="n">
        <v>0.4</v>
      </c>
      <c r="D5" t="n">
        <v>77</v>
      </c>
      <c r="E5" t="n">
        <v>340</v>
      </c>
    </row>
    <row r="6">
      <c r="A6" t="inlineStr">
        <is>
          <t>Овсянка</t>
        </is>
      </c>
      <c r="B6" t="n">
        <v>13</v>
      </c>
      <c r="C6" t="n">
        <v>6</v>
      </c>
      <c r="D6" t="n">
        <v>66</v>
      </c>
      <c r="E6" t="n">
        <v>370</v>
      </c>
    </row>
    <row r="7">
      <c r="A7" t="inlineStr">
        <is>
          <t>Картоха</t>
        </is>
      </c>
      <c r="B7" t="n">
        <v>2</v>
      </c>
      <c r="C7" t="n">
        <v>0.4</v>
      </c>
      <c r="D7" t="n">
        <v>16</v>
      </c>
      <c r="E7" t="n">
        <v>80</v>
      </c>
    </row>
    <row r="8">
      <c r="A8" t="inlineStr">
        <is>
          <t>Гречка</t>
        </is>
      </c>
      <c r="B8" t="n">
        <v>14</v>
      </c>
      <c r="C8" t="n">
        <v>3</v>
      </c>
      <c r="D8" t="n">
        <v>58</v>
      </c>
      <c r="E8" t="n">
        <v>320</v>
      </c>
    </row>
    <row r="9">
      <c r="A9" t="inlineStr">
        <is>
          <t>Банан</t>
        </is>
      </c>
      <c r="B9" t="n">
        <v>1.5</v>
      </c>
      <c r="C9" t="n">
        <v>0.35</v>
      </c>
      <c r="D9" t="n">
        <v>21</v>
      </c>
      <c r="E9" t="n">
        <v>93</v>
      </c>
    </row>
    <row r="10">
      <c r="A10" t="inlineStr">
        <is>
          <t>Зефир</t>
        </is>
      </c>
      <c r="B10" t="n">
        <v>0.7</v>
      </c>
      <c r="C10" t="n">
        <v>0.1</v>
      </c>
      <c r="D10" t="n">
        <v>80</v>
      </c>
      <c r="E10" t="n">
        <v>315</v>
      </c>
    </row>
    <row r="11">
      <c r="A11" t="inlineStr">
        <is>
          <t>Греческий йогурт</t>
        </is>
      </c>
      <c r="B11" t="n">
        <v>7.5</v>
      </c>
      <c r="C11" t="n">
        <v>2</v>
      </c>
      <c r="D11" t="n">
        <v>4.4</v>
      </c>
      <c r="E11" t="n">
        <v>66</v>
      </c>
    </row>
    <row r="12">
      <c r="A12" t="inlineStr">
        <is>
          <t>Обезжир. йогурт</t>
        </is>
      </c>
      <c r="B12" t="n">
        <v>3</v>
      </c>
      <c r="C12" t="n">
        <v>1.5</v>
      </c>
      <c r="D12" t="n">
        <v>7.8</v>
      </c>
      <c r="E12" t="n">
        <v>57</v>
      </c>
    </row>
    <row r="13">
      <c r="A13" t="inlineStr">
        <is>
          <t>Йогурт типа чудо</t>
        </is>
      </c>
      <c r="B13" t="n">
        <v>3</v>
      </c>
      <c r="C13" t="n">
        <v>4</v>
      </c>
      <c r="D13" t="n">
        <v>10.5</v>
      </c>
      <c r="E13" t="n">
        <v>85.3</v>
      </c>
    </row>
    <row r="14">
      <c r="A14" t="inlineStr">
        <is>
          <t>Булочка венская</t>
        </is>
      </c>
      <c r="B14" t="n">
        <v>5.25</v>
      </c>
      <c r="C14" t="n">
        <v>1.5</v>
      </c>
      <c r="D14" t="n">
        <v>42.75</v>
      </c>
      <c r="E14" t="n">
        <v>285</v>
      </c>
    </row>
    <row r="15">
      <c r="A15" t="inlineStr">
        <is>
          <t>Печенье американское</t>
        </is>
      </c>
      <c r="B15" t="n">
        <v>11.2</v>
      </c>
      <c r="C15" t="n">
        <v>48</v>
      </c>
      <c r="D15" t="n">
        <v>126</v>
      </c>
      <c r="E15" t="n">
        <v>960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 ht="22" customHeight="1">
      <c r="A1" t="inlineStr">
        <is>
          <t>Код_порции</t>
        </is>
      </c>
      <c r="B1" t="inlineStr">
        <is>
          <t>Продукт</t>
        </is>
      </c>
      <c r="C1" t="inlineStr">
        <is>
          <t>Описание</t>
        </is>
      </c>
      <c r="D1" t="inlineStr">
        <is>
          <t>Грамм_в_порции</t>
        </is>
      </c>
    </row>
    <row r="2">
      <c r="A2" t="inlineStr">
        <is>
          <t>EGG_C2_1</t>
        </is>
      </c>
      <c r="B2" t="inlineStr">
        <is>
          <t>Яйца</t>
        </is>
      </c>
      <c r="C2" t="inlineStr">
        <is>
          <t>C2 (1 шт) — укажи граммы</t>
        </is>
      </c>
      <c r="D2" t="n">
        <v>45</v>
      </c>
    </row>
    <row r="3">
      <c r="A3" t="inlineStr">
        <is>
          <t>EGG_C1_1</t>
        </is>
      </c>
      <c r="B3" t="inlineStr">
        <is>
          <t>Яйца</t>
        </is>
      </c>
      <c r="C3" t="inlineStr">
        <is>
          <t>C1 (1 шт) — укажи граммы</t>
        </is>
      </c>
      <c r="D3" t="n">
        <v>52</v>
      </c>
    </row>
    <row r="4">
      <c r="A4" t="inlineStr">
        <is>
          <t>EGG_C0_1</t>
        </is>
      </c>
      <c r="B4" t="inlineStr">
        <is>
          <t>Яйца</t>
        </is>
      </c>
      <c r="C4" t="inlineStr">
        <is>
          <t>C0 (1 шт) — укажи граммы</t>
        </is>
      </c>
      <c r="D4" t="n">
        <v>60</v>
      </c>
    </row>
    <row r="5">
      <c r="A5" t="inlineStr">
        <is>
          <t>CURD_180</t>
        </is>
      </c>
      <c r="B5" t="inlineStr">
        <is>
          <t>Творог</t>
        </is>
      </c>
      <c r="C5" t="inlineStr">
        <is>
          <t>Пачка 180 г</t>
        </is>
      </c>
      <c r="D5" t="n">
        <v>180</v>
      </c>
    </row>
    <row r="6">
      <c r="A6" t="inlineStr">
        <is>
          <t>CURD_300</t>
        </is>
      </c>
      <c r="B6" t="inlineStr">
        <is>
          <t>Творог</t>
        </is>
      </c>
      <c r="C6" t="inlineStr">
        <is>
          <t>Пачка 300 г</t>
        </is>
      </c>
      <c r="D6" t="n">
        <v>300</v>
      </c>
    </row>
    <row r="7">
      <c r="A7" t="inlineStr">
        <is>
          <t>CHICK_100</t>
        </is>
      </c>
      <c r="B7" t="inlineStr">
        <is>
          <t>Грудка</t>
        </is>
      </c>
      <c r="C7" t="inlineStr">
        <is>
          <t>100 г</t>
        </is>
      </c>
      <c r="D7" t="n">
        <v>100</v>
      </c>
    </row>
    <row r="8">
      <c r="A8" t="inlineStr">
        <is>
          <t>CHICK_150</t>
        </is>
      </c>
      <c r="B8" t="inlineStr">
        <is>
          <t>Грудка</t>
        </is>
      </c>
      <c r="C8" t="inlineStr">
        <is>
          <t>150 г</t>
        </is>
      </c>
      <c r="D8" t="n">
        <v>150</v>
      </c>
    </row>
    <row r="9">
      <c r="A9" t="inlineStr">
        <is>
          <t>CHICK_200</t>
        </is>
      </c>
      <c r="B9" t="inlineStr">
        <is>
          <t>Грудка</t>
        </is>
      </c>
      <c r="C9" t="inlineStr">
        <is>
          <t>200 г</t>
        </is>
      </c>
      <c r="D9" t="n">
        <v>200</v>
      </c>
    </row>
    <row r="10">
      <c r="A10" t="inlineStr">
        <is>
          <t>CHICK_250</t>
        </is>
      </c>
      <c r="B10" t="inlineStr">
        <is>
          <t>Грудка</t>
        </is>
      </c>
      <c r="C10" t="inlineStr">
        <is>
          <t>250 г</t>
        </is>
      </c>
      <c r="D10" t="n">
        <v>250</v>
      </c>
    </row>
    <row r="11">
      <c r="A11" t="inlineStr">
        <is>
          <t>CHICK_300</t>
        </is>
      </c>
      <c r="B11" t="inlineStr">
        <is>
          <t>Грудка</t>
        </is>
      </c>
      <c r="C11" t="inlineStr">
        <is>
          <t>300 г</t>
        </is>
      </c>
      <c r="D11" t="n">
        <v>300</v>
      </c>
    </row>
    <row r="12">
      <c r="A12" t="inlineStr">
        <is>
          <t>CHICK_350</t>
        </is>
      </c>
      <c r="B12" t="inlineStr">
        <is>
          <t>Грудка</t>
        </is>
      </c>
      <c r="C12" t="inlineStr">
        <is>
          <t>350 г</t>
        </is>
      </c>
      <c r="D12" t="n">
        <v>350</v>
      </c>
    </row>
    <row r="13">
      <c r="A13" t="inlineStr">
        <is>
          <t>RICE_100</t>
        </is>
      </c>
      <c r="B13" t="inlineStr">
        <is>
          <t>Рис</t>
        </is>
      </c>
      <c r="C13" t="inlineStr">
        <is>
          <t>100 г (сух.)</t>
        </is>
      </c>
      <c r="D13" t="n">
        <v>100</v>
      </c>
    </row>
    <row r="14">
      <c r="A14" t="inlineStr">
        <is>
          <t>OAT_100</t>
        </is>
      </c>
      <c r="B14" t="inlineStr">
        <is>
          <t>Овсянка</t>
        </is>
      </c>
      <c r="C14" t="inlineStr">
        <is>
          <t>100 г</t>
        </is>
      </c>
      <c r="D14" t="n">
        <v>100</v>
      </c>
    </row>
    <row r="15">
      <c r="A15" t="inlineStr">
        <is>
          <t>POT_100</t>
        </is>
      </c>
      <c r="B15" t="inlineStr">
        <is>
          <t>Картоха</t>
        </is>
      </c>
      <c r="C15" t="inlineStr">
        <is>
          <t>100 г</t>
        </is>
      </c>
      <c r="D15" t="n">
        <v>100</v>
      </c>
    </row>
    <row r="16">
      <c r="A16" t="inlineStr">
        <is>
          <t>BCKW_100</t>
        </is>
      </c>
      <c r="B16" t="inlineStr">
        <is>
          <t>Гречка</t>
        </is>
      </c>
      <c r="C16" t="inlineStr">
        <is>
          <t>100 г</t>
        </is>
      </c>
      <c r="D16" t="n">
        <v>100</v>
      </c>
    </row>
    <row r="17">
      <c r="A17" t="inlineStr">
        <is>
          <t>BANANA_1</t>
        </is>
      </c>
      <c r="B17" t="inlineStr">
        <is>
          <t>Банан</t>
        </is>
      </c>
      <c r="C17" t="inlineStr">
        <is>
          <t>1 шт — укажи граммы</t>
        </is>
      </c>
      <c r="D17" t="n">
        <v>120</v>
      </c>
    </row>
    <row r="18">
      <c r="A18" t="inlineStr">
        <is>
          <t>MARSH_1</t>
        </is>
      </c>
      <c r="B18" t="inlineStr">
        <is>
          <t>Зефир</t>
        </is>
      </c>
      <c r="C18" t="inlineStr">
        <is>
          <t>1 зефирка ~30 г</t>
        </is>
      </c>
      <c r="D18" t="n">
        <v>30</v>
      </c>
    </row>
    <row r="19">
      <c r="A19" t="inlineStr">
        <is>
          <t>GREEK_140</t>
        </is>
      </c>
      <c r="B19" t="inlineStr">
        <is>
          <t>Греческий йогурт</t>
        </is>
      </c>
      <c r="C19" t="inlineStr">
        <is>
          <t>140 г</t>
        </is>
      </c>
      <c r="D19" t="n">
        <v>140</v>
      </c>
    </row>
    <row r="20">
      <c r="A20" t="inlineStr">
        <is>
          <t>GREEK_250</t>
        </is>
      </c>
      <c r="B20" t="inlineStr">
        <is>
          <t>Греческий йогурт</t>
        </is>
      </c>
      <c r="C20" t="inlineStr">
        <is>
          <t>250 г</t>
        </is>
      </c>
      <c r="D20" t="n">
        <v>250</v>
      </c>
    </row>
    <row r="21">
      <c r="A21" t="inlineStr">
        <is>
          <t>FATFREE_260</t>
        </is>
      </c>
      <c r="B21" t="inlineStr">
        <is>
          <t>Обезжир. йогурт</t>
        </is>
      </c>
      <c r="C21" t="inlineStr">
        <is>
          <t>260 г</t>
        </is>
      </c>
      <c r="D21" t="n">
        <v>260</v>
      </c>
    </row>
    <row r="22">
      <c r="A22" t="inlineStr">
        <is>
          <t>CHUDO_100</t>
        </is>
      </c>
      <c r="B22" t="inlineStr">
        <is>
          <t>Йогурт типа чудо</t>
        </is>
      </c>
      <c r="C22" t="inlineStr">
        <is>
          <t>100 г</t>
        </is>
      </c>
      <c r="D22" t="n">
        <v>100</v>
      </c>
    </row>
    <row r="23">
      <c r="A23" t="inlineStr">
        <is>
          <t>CHUDO_140</t>
        </is>
      </c>
      <c r="B23" t="inlineStr">
        <is>
          <t>Йогурт типа чудо</t>
        </is>
      </c>
      <c r="C23" t="inlineStr">
        <is>
          <t>140 г</t>
        </is>
      </c>
      <c r="D23" t="n">
        <v>140</v>
      </c>
    </row>
    <row r="24">
      <c r="A24" t="inlineStr">
        <is>
          <t>CHUDO_260</t>
        </is>
      </c>
      <c r="B24" t="inlineStr">
        <is>
          <t>Йогурт типа чудо</t>
        </is>
      </c>
      <c r="C24" t="inlineStr">
        <is>
          <t>260 г</t>
        </is>
      </c>
      <c r="D24" t="n">
        <v>260</v>
      </c>
    </row>
    <row r="25">
      <c r="A25" t="inlineStr">
        <is>
          <t>CHUDO_300</t>
        </is>
      </c>
      <c r="B25" t="inlineStr">
        <is>
          <t>Йогурт типа чудо</t>
        </is>
      </c>
      <c r="C25" t="inlineStr">
        <is>
          <t>300 г</t>
        </is>
      </c>
      <c r="D25" t="n">
        <v>300</v>
      </c>
    </row>
    <row r="26">
      <c r="A26" t="inlineStr">
        <is>
          <t>BUN_1</t>
        </is>
      </c>
      <c r="B26" t="inlineStr">
        <is>
          <t>Булочка венская</t>
        </is>
      </c>
      <c r="C26" t="inlineStr">
        <is>
          <t>1 шт — укажи граммы</t>
        </is>
      </c>
      <c r="D26" t="n">
        <v>95</v>
      </c>
    </row>
    <row r="27">
      <c r="A27" t="inlineStr">
        <is>
          <t>COOKIE_1</t>
        </is>
      </c>
      <c r="B27" t="inlineStr">
        <is>
          <t>Печенье американское</t>
        </is>
      </c>
      <c r="C27" t="inlineStr">
        <is>
          <t>1 шт ~55 г</t>
        </is>
      </c>
      <c r="D27" t="n">
        <v>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 ht="22" customHeight="1">
      <c r="A1" t="inlineStr">
        <is>
          <t>Категория</t>
        </is>
      </c>
      <c r="B1" t="inlineStr">
        <is>
          <t>Значение</t>
        </is>
      </c>
      <c r="C1" t="inlineStr">
        <is>
          <t>Score</t>
        </is>
      </c>
    </row>
    <row r="2">
      <c r="A2" t="inlineStr">
        <is>
          <t>Тренировка</t>
        </is>
      </c>
      <c r="B2" t="inlineStr">
        <is>
          <t>Пропустил</t>
        </is>
      </c>
      <c r="C2" t="n">
        <v>0</v>
      </c>
    </row>
    <row r="3">
      <c r="A3" t="inlineStr">
        <is>
          <t>Тренировка</t>
        </is>
      </c>
      <c r="B3" t="inlineStr">
        <is>
          <t>Отдых</t>
        </is>
      </c>
      <c r="C3" t="n">
        <v>0.6</v>
      </c>
    </row>
    <row r="4">
      <c r="A4" t="inlineStr">
        <is>
          <t>Тренировка</t>
        </is>
      </c>
      <c r="B4" t="inlineStr">
        <is>
          <t>Ноги</t>
        </is>
      </c>
      <c r="C4" t="n">
        <v>1</v>
      </c>
    </row>
    <row r="5">
      <c r="A5" t="inlineStr">
        <is>
          <t>Тренировка</t>
        </is>
      </c>
      <c r="B5" t="inlineStr">
        <is>
          <t>Верх</t>
        </is>
      </c>
      <c r="C5" t="n">
        <v>1</v>
      </c>
    </row>
    <row r="6">
      <c r="A6" t="inlineStr">
        <is>
          <t>Кардио</t>
        </is>
      </c>
      <c r="B6" t="inlineStr">
        <is>
          <t>0</t>
        </is>
      </c>
      <c r="C6" t="n">
        <v>0</v>
      </c>
    </row>
    <row r="7">
      <c r="A7" t="inlineStr">
        <is>
          <t>Кардио</t>
        </is>
      </c>
      <c r="B7" t="inlineStr">
        <is>
          <t>10</t>
        </is>
      </c>
      <c r="C7" t="n">
        <v>0.25</v>
      </c>
    </row>
    <row r="8">
      <c r="A8" t="inlineStr">
        <is>
          <t>Кардио</t>
        </is>
      </c>
      <c r="B8" t="inlineStr">
        <is>
          <t>20</t>
        </is>
      </c>
      <c r="C8" t="n">
        <v>0.5</v>
      </c>
    </row>
    <row r="9">
      <c r="A9" t="inlineStr">
        <is>
          <t>Кардио</t>
        </is>
      </c>
      <c r="B9" t="inlineStr">
        <is>
          <t>30</t>
        </is>
      </c>
      <c r="C9" t="n">
        <v>0.75</v>
      </c>
    </row>
    <row r="10">
      <c r="A10" t="inlineStr">
        <is>
          <t>Кардио</t>
        </is>
      </c>
      <c r="B10" t="inlineStr">
        <is>
          <t>40</t>
        </is>
      </c>
      <c r="C10" t="n">
        <v>1</v>
      </c>
    </row>
    <row r="11">
      <c r="A11" t="inlineStr">
        <is>
          <t>Шаги</t>
        </is>
      </c>
      <c r="B11" t="inlineStr">
        <is>
          <t>&lt;5k</t>
        </is>
      </c>
      <c r="C11" t="n">
        <v>0</v>
      </c>
    </row>
    <row r="12">
      <c r="A12" t="inlineStr">
        <is>
          <t>Шаги</t>
        </is>
      </c>
      <c r="B12" t="inlineStr">
        <is>
          <t>5-7k</t>
        </is>
      </c>
      <c r="C12" t="n">
        <v>0.25</v>
      </c>
    </row>
    <row r="13">
      <c r="A13" t="inlineStr">
        <is>
          <t>Шаги</t>
        </is>
      </c>
      <c r="B13" t="inlineStr">
        <is>
          <t>7-10k</t>
        </is>
      </c>
      <c r="C13" t="n">
        <v>0.5</v>
      </c>
    </row>
    <row r="14">
      <c r="A14" t="inlineStr">
        <is>
          <t>Шаги</t>
        </is>
      </c>
      <c r="B14" t="inlineStr">
        <is>
          <t>10-12k</t>
        </is>
      </c>
      <c r="C14" t="n">
        <v>0.75</v>
      </c>
    </row>
    <row r="15">
      <c r="A15" t="inlineStr">
        <is>
          <t>Шаги</t>
        </is>
      </c>
      <c r="B15" t="inlineStr">
        <is>
          <t>12-15k</t>
        </is>
      </c>
      <c r="C15" t="n">
        <v>0.9</v>
      </c>
    </row>
    <row r="16">
      <c r="A16" t="inlineStr">
        <is>
          <t>Шаги</t>
        </is>
      </c>
      <c r="B16" t="inlineStr">
        <is>
          <t>15k+</t>
        </is>
      </c>
      <c r="C16" t="n">
        <v>1</v>
      </c>
    </row>
    <row r="17">
      <c r="A17" t="inlineStr">
        <is>
          <t>Английский_мин</t>
        </is>
      </c>
      <c r="B17" t="inlineStr">
        <is>
          <t>15</t>
        </is>
      </c>
      <c r="C17" t="n">
        <v>0.25</v>
      </c>
    </row>
    <row r="18">
      <c r="A18" t="inlineStr">
        <is>
          <t>Английский_мин</t>
        </is>
      </c>
      <c r="B18" t="inlineStr">
        <is>
          <t>30</t>
        </is>
      </c>
      <c r="C18" t="n">
        <v>0.5</v>
      </c>
    </row>
    <row r="19">
      <c r="A19" t="inlineStr">
        <is>
          <t>Английский_мин</t>
        </is>
      </c>
      <c r="B19" t="inlineStr">
        <is>
          <t>45</t>
        </is>
      </c>
      <c r="C19" t="n">
        <v>0.6</v>
      </c>
    </row>
    <row r="20">
      <c r="A20" t="inlineStr">
        <is>
          <t>Английский_мин</t>
        </is>
      </c>
      <c r="B20" t="inlineStr">
        <is>
          <t>60</t>
        </is>
      </c>
      <c r="C20" t="n">
        <v>0.7</v>
      </c>
    </row>
    <row r="21">
      <c r="A21" t="inlineStr">
        <is>
          <t>Английский_мин</t>
        </is>
      </c>
      <c r="B21" t="inlineStr">
        <is>
          <t>90</t>
        </is>
      </c>
      <c r="C21" t="n">
        <v>0.85</v>
      </c>
    </row>
    <row r="22">
      <c r="A22" t="inlineStr">
        <is>
          <t>Английский_мин</t>
        </is>
      </c>
      <c r="B22" t="inlineStr">
        <is>
          <t>120</t>
        </is>
      </c>
      <c r="C22" t="n">
        <v>1</v>
      </c>
    </row>
    <row r="23">
      <c r="A23" t="inlineStr">
        <is>
          <t>Код_режим</t>
        </is>
      </c>
      <c r="B23" t="inlineStr">
        <is>
          <t>Сам</t>
        </is>
      </c>
      <c r="C23" t="n">
        <v>1</v>
      </c>
    </row>
    <row r="24">
      <c r="A24" t="inlineStr">
        <is>
          <t>Код_режим</t>
        </is>
      </c>
      <c r="B24" t="inlineStr">
        <is>
          <t>С помощью</t>
        </is>
      </c>
      <c r="C24" t="n">
        <v>1</v>
      </c>
    </row>
    <row r="25">
      <c r="A25" t="inlineStr">
        <is>
          <t>Код_режим</t>
        </is>
      </c>
      <c r="B25" t="inlineStr">
        <is>
          <t>Вайб код</t>
        </is>
      </c>
      <c r="C25" t="n">
        <v>1</v>
      </c>
    </row>
    <row r="26">
      <c r="A26" t="inlineStr">
        <is>
          <t>Код_тема</t>
        </is>
      </c>
      <c r="B26" t="inlineStr">
        <is>
          <t>МЛ</t>
        </is>
      </c>
      <c r="C26" t="n">
        <v>1</v>
      </c>
    </row>
    <row r="27">
      <c r="A27" t="inlineStr">
        <is>
          <t>Код_тема</t>
        </is>
      </c>
      <c r="B27" t="inlineStr">
        <is>
          <t>Алгосы</t>
        </is>
      </c>
      <c r="C27" t="n">
        <v>1</v>
      </c>
    </row>
    <row r="28">
      <c r="A28" t="inlineStr">
        <is>
          <t>Код_тема</t>
        </is>
      </c>
      <c r="B28" t="inlineStr">
        <is>
          <t>ВУЗ</t>
        </is>
      </c>
      <c r="C28" t="n">
        <v>1</v>
      </c>
    </row>
    <row r="29">
      <c r="A29" t="inlineStr">
        <is>
          <t>Код_тема</t>
        </is>
      </c>
      <c r="B29" t="inlineStr">
        <is>
          <t>Веб</t>
        </is>
      </c>
      <c r="C29" t="n">
        <v>1</v>
      </c>
    </row>
    <row r="30">
      <c r="A30" t="inlineStr">
        <is>
          <t>Чтение_стр</t>
        </is>
      </c>
      <c r="B30" t="inlineStr">
        <is>
          <t>10</t>
        </is>
      </c>
      <c r="C30" t="n">
        <v>0.1</v>
      </c>
    </row>
    <row r="31">
      <c r="A31" t="inlineStr">
        <is>
          <t>Чтение_стр</t>
        </is>
      </c>
      <c r="B31" t="inlineStr">
        <is>
          <t>20</t>
        </is>
      </c>
      <c r="C31" t="n">
        <v>0.2</v>
      </c>
    </row>
    <row r="32">
      <c r="A32" t="inlineStr">
        <is>
          <t>Чтение_стр</t>
        </is>
      </c>
      <c r="B32" t="inlineStr">
        <is>
          <t>30</t>
        </is>
      </c>
      <c r="C32" t="n">
        <v>0.3</v>
      </c>
    </row>
    <row r="33">
      <c r="A33" t="inlineStr">
        <is>
          <t>Чтение_стр</t>
        </is>
      </c>
      <c r="B33" t="inlineStr">
        <is>
          <t>40</t>
        </is>
      </c>
      <c r="C33" t="n">
        <v>0.4</v>
      </c>
    </row>
    <row r="34">
      <c r="A34" t="inlineStr">
        <is>
          <t>Чтение_стр</t>
        </is>
      </c>
      <c r="B34" t="inlineStr">
        <is>
          <t>50</t>
        </is>
      </c>
      <c r="C34" t="n">
        <v>0.5</v>
      </c>
    </row>
    <row r="35">
      <c r="A35" t="inlineStr">
        <is>
          <t>Чтение_стр</t>
        </is>
      </c>
      <c r="B35" t="inlineStr">
        <is>
          <t>60</t>
        </is>
      </c>
      <c r="C35" t="n">
        <v>0.6</v>
      </c>
    </row>
    <row r="36">
      <c r="A36" t="inlineStr">
        <is>
          <t>Чтение_стр</t>
        </is>
      </c>
      <c r="B36" t="inlineStr">
        <is>
          <t>70</t>
        </is>
      </c>
      <c r="C36" t="n">
        <v>0.7</v>
      </c>
    </row>
    <row r="37">
      <c r="A37" t="inlineStr">
        <is>
          <t>Чтение_стр</t>
        </is>
      </c>
      <c r="B37" t="inlineStr">
        <is>
          <t>80</t>
        </is>
      </c>
      <c r="C37" t="n">
        <v>0.8</v>
      </c>
    </row>
    <row r="38">
      <c r="A38" t="inlineStr">
        <is>
          <t>Чтение_стр</t>
        </is>
      </c>
      <c r="B38" t="inlineStr">
        <is>
          <t>90</t>
        </is>
      </c>
      <c r="C38" t="n">
        <v>0.9</v>
      </c>
    </row>
    <row r="39">
      <c r="A39" t="inlineStr">
        <is>
          <t>Чтение_стр</t>
        </is>
      </c>
      <c r="B39" t="inlineStr">
        <is>
          <t>100</t>
        </is>
      </c>
      <c r="C39" t="n">
        <v>1</v>
      </c>
    </row>
    <row r="40">
      <c r="A40" t="inlineStr">
        <is>
          <t>Отдых_время</t>
        </is>
      </c>
      <c r="B40" t="inlineStr">
        <is>
          <t>0ч</t>
        </is>
      </c>
      <c r="C40" t="n">
        <v>0</v>
      </c>
    </row>
    <row r="41">
      <c r="A41" t="inlineStr">
        <is>
          <t>Отдых_время</t>
        </is>
      </c>
      <c r="B41" t="inlineStr">
        <is>
          <t>1-3ч</t>
        </is>
      </c>
      <c r="C41" t="n">
        <v>0.5</v>
      </c>
    </row>
    <row r="42">
      <c r="A42" t="inlineStr">
        <is>
          <t>Отдых_время</t>
        </is>
      </c>
      <c r="B42" t="inlineStr">
        <is>
          <t>3-6ч</t>
        </is>
      </c>
      <c r="C42" t="n">
        <v>0.7</v>
      </c>
    </row>
    <row r="43">
      <c r="A43" t="inlineStr">
        <is>
          <t>Отдых_время</t>
        </is>
      </c>
      <c r="B43" t="inlineStr">
        <is>
          <t>пол дня</t>
        </is>
      </c>
      <c r="C43" t="n">
        <v>0.8</v>
      </c>
    </row>
    <row r="44">
      <c r="A44" t="inlineStr">
        <is>
          <t>Отдых_время</t>
        </is>
      </c>
      <c r="B44" t="inlineStr">
        <is>
          <t>весь день</t>
        </is>
      </c>
      <c r="C44" t="n">
        <v>0.6</v>
      </c>
    </row>
    <row r="45">
      <c r="A45" t="inlineStr">
        <is>
          <t>Отдых_тип</t>
        </is>
      </c>
      <c r="B45" t="inlineStr">
        <is>
          <t>гулял</t>
        </is>
      </c>
      <c r="C45" t="n">
        <v>0</v>
      </c>
    </row>
    <row r="46">
      <c r="A46" t="inlineStr">
        <is>
          <t>Отдых_тип</t>
        </is>
      </c>
      <c r="B46" t="inlineStr">
        <is>
          <t>кафовал</t>
        </is>
      </c>
      <c r="C46" t="n">
        <v>0</v>
      </c>
    </row>
    <row r="47">
      <c r="A47" t="inlineStr">
        <is>
          <t>Отдых_тип</t>
        </is>
      </c>
      <c r="B47" t="inlineStr">
        <is>
          <t>с кентами</t>
        </is>
      </c>
      <c r="C47" t="n">
        <v>0</v>
      </c>
    </row>
    <row r="48">
      <c r="A48" t="inlineStr">
        <is>
          <t>Отдых_тип</t>
        </is>
      </c>
      <c r="B48" t="inlineStr">
        <is>
          <t>в егорлыке</t>
        </is>
      </c>
      <c r="C48" t="n">
        <v>0</v>
      </c>
    </row>
    <row r="49">
      <c r="A49" t="inlineStr">
        <is>
          <t>Сон_отбой</t>
        </is>
      </c>
      <c r="B49" t="inlineStr">
        <is>
          <t>10</t>
        </is>
      </c>
      <c r="C49" t="n">
        <v>0</v>
      </c>
    </row>
    <row r="50">
      <c r="A50" t="inlineStr">
        <is>
          <t>Сон_отбой</t>
        </is>
      </c>
      <c r="B50" t="inlineStr">
        <is>
          <t>11</t>
        </is>
      </c>
      <c r="C50" t="n">
        <v>0</v>
      </c>
    </row>
    <row r="51">
      <c r="A51" t="inlineStr">
        <is>
          <t>Сон_отбой</t>
        </is>
      </c>
      <c r="B51" t="inlineStr">
        <is>
          <t>12</t>
        </is>
      </c>
      <c r="C51" t="n">
        <v>0</v>
      </c>
    </row>
    <row r="52">
      <c r="A52" t="inlineStr">
        <is>
          <t>Сон_отбой</t>
        </is>
      </c>
      <c r="B52" t="inlineStr">
        <is>
          <t>1</t>
        </is>
      </c>
      <c r="C52" t="n">
        <v>0</v>
      </c>
    </row>
    <row r="53">
      <c r="A53" t="inlineStr">
        <is>
          <t>Сон_отбой</t>
        </is>
      </c>
      <c r="B53" t="inlineStr">
        <is>
          <t>2</t>
        </is>
      </c>
      <c r="C53" t="n">
        <v>0</v>
      </c>
    </row>
    <row r="54">
      <c r="A54" t="inlineStr">
        <is>
          <t>Сон_отбой</t>
        </is>
      </c>
      <c r="B54" t="inlineStr">
        <is>
          <t>3</t>
        </is>
      </c>
      <c r="C54" t="n">
        <v>0</v>
      </c>
    </row>
    <row r="55">
      <c r="A55" t="inlineStr">
        <is>
          <t>Сон_отбой</t>
        </is>
      </c>
      <c r="B55" t="inlineStr">
        <is>
          <t>4</t>
        </is>
      </c>
      <c r="C55" t="n">
        <v>0</v>
      </c>
    </row>
    <row r="56">
      <c r="A56" t="inlineStr">
        <is>
          <t>Сон_отбой</t>
        </is>
      </c>
      <c r="B56" t="inlineStr">
        <is>
          <t>5</t>
        </is>
      </c>
      <c r="C56" t="n">
        <v>0</v>
      </c>
    </row>
    <row r="57">
      <c r="A57" t="inlineStr">
        <is>
          <t>Сон_отбой</t>
        </is>
      </c>
      <c r="B57" t="inlineStr">
        <is>
          <t>6</t>
        </is>
      </c>
      <c r="C57" t="n">
        <v>0</v>
      </c>
    </row>
    <row r="58">
      <c r="A58" t="inlineStr">
        <is>
          <t>Сон_часы</t>
        </is>
      </c>
      <c r="B58" t="inlineStr">
        <is>
          <t>&lt;6</t>
        </is>
      </c>
      <c r="C58" t="n">
        <v>0</v>
      </c>
    </row>
    <row r="59">
      <c r="A59" t="inlineStr">
        <is>
          <t>Сон_часы</t>
        </is>
      </c>
      <c r="B59" t="inlineStr">
        <is>
          <t>6-8</t>
        </is>
      </c>
      <c r="C59" t="n">
        <v>1</v>
      </c>
    </row>
    <row r="60">
      <c r="A60" t="inlineStr">
        <is>
          <t>Сон_часы</t>
        </is>
      </c>
      <c r="B60" t="inlineStr">
        <is>
          <t>&gt;8</t>
        </is>
      </c>
      <c r="C60" t="n">
        <v>0.8</v>
      </c>
    </row>
    <row r="61">
      <c r="A61" t="inlineStr">
        <is>
          <t>Режим</t>
        </is>
      </c>
      <c r="B61" t="inlineStr">
        <is>
          <t>сбит</t>
        </is>
      </c>
      <c r="C61" t="n">
        <v>0.3</v>
      </c>
    </row>
    <row r="62">
      <c r="A62" t="inlineStr">
        <is>
          <t>Режим</t>
        </is>
      </c>
      <c r="B62" t="inlineStr">
        <is>
          <t>не сбит</t>
        </is>
      </c>
      <c r="C62" t="n">
        <v>1</v>
      </c>
    </row>
    <row r="63">
      <c r="A63" t="inlineStr">
        <is>
          <t>Продуктивность</t>
        </is>
      </c>
      <c r="B63" t="inlineStr">
        <is>
          <t>0</t>
        </is>
      </c>
      <c r="C63" t="n">
        <v>0</v>
      </c>
    </row>
    <row r="64">
      <c r="A64" t="inlineStr">
        <is>
          <t>Продуктивность</t>
        </is>
      </c>
      <c r="B64" t="inlineStr">
        <is>
          <t>25</t>
        </is>
      </c>
      <c r="C64" t="n">
        <v>0.25</v>
      </c>
    </row>
    <row r="65">
      <c r="A65" t="inlineStr">
        <is>
          <t>Продуктивность</t>
        </is>
      </c>
      <c r="B65" t="inlineStr">
        <is>
          <t>50</t>
        </is>
      </c>
      <c r="C65" t="n">
        <v>0.5</v>
      </c>
    </row>
    <row r="66">
      <c r="A66" t="inlineStr">
        <is>
          <t>Продуктивность</t>
        </is>
      </c>
      <c r="B66" t="inlineStr">
        <is>
          <t>75</t>
        </is>
      </c>
      <c r="C66" t="n">
        <v>0.75</v>
      </c>
    </row>
    <row r="67">
      <c r="A67" t="inlineStr">
        <is>
          <t>Продуктивность</t>
        </is>
      </c>
      <c r="B67" t="inlineStr">
        <is>
          <t>100</t>
        </is>
      </c>
      <c r="C67" t="n">
        <v>1</v>
      </c>
    </row>
    <row r="68">
      <c r="A68" t="inlineStr">
        <is>
          <t>Настроение</t>
        </is>
      </c>
      <c r="B68" t="inlineStr">
        <is>
          <t>Отличное</t>
        </is>
      </c>
      <c r="C68" t="n">
        <v>1</v>
      </c>
    </row>
    <row r="69">
      <c r="A69" t="inlineStr">
        <is>
          <t>Настроение</t>
        </is>
      </c>
      <c r="B69" t="inlineStr">
        <is>
          <t>Веселый</t>
        </is>
      </c>
      <c r="C69" t="n">
        <v>0.85</v>
      </c>
    </row>
    <row r="70">
      <c r="A70" t="inlineStr">
        <is>
          <t>Настроение</t>
        </is>
      </c>
      <c r="B70" t="inlineStr">
        <is>
          <t>Обычное</t>
        </is>
      </c>
      <c r="C70" t="n">
        <v>0.7</v>
      </c>
    </row>
    <row r="71">
      <c r="A71" t="inlineStr">
        <is>
          <t>Настроение</t>
        </is>
      </c>
      <c r="B71" t="inlineStr">
        <is>
          <t>Серьезный</t>
        </is>
      </c>
      <c r="C71" t="n">
        <v>0.6</v>
      </c>
    </row>
    <row r="72">
      <c r="A72" t="inlineStr">
        <is>
          <t>Настроение</t>
        </is>
      </c>
      <c r="B72" t="inlineStr">
        <is>
          <t>Раздраженный</t>
        </is>
      </c>
      <c r="C72" t="n">
        <v>0.4</v>
      </c>
    </row>
    <row r="73">
      <c r="A73" t="inlineStr">
        <is>
          <t>Настроение</t>
        </is>
      </c>
      <c r="B73" t="inlineStr">
        <is>
          <t>Беспокойный</t>
        </is>
      </c>
      <c r="C73" t="n">
        <v>0.3</v>
      </c>
    </row>
    <row r="74">
      <c r="A74" t="inlineStr">
        <is>
          <t>Настроение</t>
        </is>
      </c>
      <c r="B74" t="inlineStr">
        <is>
          <t>Злой</t>
        </is>
      </c>
      <c r="C74" t="n">
        <v>0.2</v>
      </c>
    </row>
    <row r="75">
      <c r="A75" t="inlineStr">
        <is>
          <t>Энергия</t>
        </is>
      </c>
      <c r="B75" t="inlineStr">
        <is>
          <t>нет</t>
        </is>
      </c>
      <c r="C75" t="n">
        <v>0</v>
      </c>
    </row>
    <row r="76">
      <c r="A76" t="inlineStr">
        <is>
          <t>Энергия</t>
        </is>
      </c>
      <c r="B76" t="inlineStr">
        <is>
          <t>мало</t>
        </is>
      </c>
      <c r="C76" t="n">
        <v>0.33</v>
      </c>
    </row>
    <row r="77">
      <c r="A77" t="inlineStr">
        <is>
          <t>Энергия</t>
        </is>
      </c>
      <c r="B77" t="inlineStr">
        <is>
          <t>есть</t>
        </is>
      </c>
      <c r="C77" t="n">
        <v>0.66</v>
      </c>
    </row>
    <row r="78">
      <c r="A78" t="inlineStr">
        <is>
          <t>Энергия</t>
        </is>
      </c>
      <c r="B78" t="inlineStr">
        <is>
          <t>я живчик</t>
        </is>
      </c>
      <c r="C78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</cols>
  <sheetData>
    <row r="1">
      <c r="A1" t="inlineStr">
        <is>
          <t>Dashboard</t>
        </is>
      </c>
    </row>
    <row r="2">
      <c r="A2" t="inlineStr">
        <is>
          <t>Дата:</t>
        </is>
      </c>
      <c r="B2">
        <f>TODAY()</f>
        <v/>
      </c>
    </row>
    <row r="3">
      <c r="A3" t="inlineStr">
        <is>
          <t>Качество дня:</t>
        </is>
      </c>
      <c r="B3">
        <f>IFERROR(XLOOKUP($B$2;Daily!$A:$A;Daily!$Y:$Y);"")</f>
        <v/>
      </c>
    </row>
    <row r="4">
      <c r="A4" t="inlineStr">
        <is>
          <t>Не заполнено:</t>
        </is>
      </c>
      <c r="B4">
        <f>IFERROR(XLOOKUP($B$2;Daily!$A:$A;Daily!$Z:$Z);"")</f>
        <v/>
      </c>
    </row>
    <row r="5">
      <c r="A5" t="inlineStr">
        <is>
          <t>Ккал:</t>
        </is>
      </c>
      <c r="B5">
        <f>IFERROR(XLOOKUP($B$2;Daily!$A:$A;Daily!$U:$U);"")</f>
        <v/>
      </c>
    </row>
    <row r="6">
      <c r="A6" t="inlineStr">
        <is>
          <t>Белки:</t>
        </is>
      </c>
      <c r="B6">
        <f>IFERROR(XLOOKUP($B$2;Daily!$A:$A;Daily!$V:$V);"")</f>
        <v/>
      </c>
    </row>
    <row r="7">
      <c r="A7" t="inlineStr">
        <is>
          <t>Жиры:</t>
        </is>
      </c>
      <c r="B7">
        <f>IFERROR(XLOOKUP($B$2;Daily!$A:$A;Daily!$W:$W);"")</f>
        <v/>
      </c>
    </row>
    <row r="8">
      <c r="A8" t="inlineStr">
        <is>
          <t>Угли:</t>
        </is>
      </c>
      <c r="B8">
        <f>IFERROR(XLOOKUP($B$2;Daily!$A:$A;Daily!$X:$X);"")</f>
        <v/>
      </c>
    </row>
    <row r="10">
      <c r="A10" t="inlineStr">
        <is>
          <t>Среднее качество за 7 дней:</t>
        </is>
      </c>
      <c r="B10">
        <f>IFERROR(AVERAGE(OFFSET(Daily!$Y$2;COUNTA(Daily!$A:$A)-8;0;7;1));"")</f>
        <v/>
      </c>
    </row>
    <row r="11">
      <c r="A11" t="inlineStr">
        <is>
          <t>Средние калории за 7 дней:</t>
        </is>
      </c>
      <c r="B11">
        <f>IFERROR(AVERAGE(OFFSET(Daily!$U$2;COUNTA(Daily!$A:$A)-8;0;7;1));"")</f>
        <v/>
      </c>
    </row>
    <row r="12">
      <c r="A12" t="inlineStr">
        <is>
          <t>Средний белок за 7 дней:</t>
        </is>
      </c>
      <c r="B12">
        <f>IFERROR(AVERAGE(OFFSET(Daily!$V$2;COUNTA(Daily!$A:$A)-8;0;7;1));"")</f>
        <v/>
      </c>
    </row>
    <row r="13">
      <c r="A13" t="inlineStr">
        <is>
          <t>Средние жиры за 7 дней:</t>
        </is>
      </c>
      <c r="B13">
        <f>IFERROR(AVERAGE(OFFSET(Daily!$W$2;COUNTA(Daily!$A:$A)-8;0;7;1));"")</f>
        <v/>
      </c>
    </row>
    <row r="14">
      <c r="A14" t="inlineStr">
        <is>
          <t>Средние угли за 7 дней:</t>
        </is>
      </c>
      <c r="B14">
        <f>IFERROR(AVERAGE(OFFSET(Daily!$X$2;COUNTA(Daily!$A:$A)-8;0;7;1));"")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2026-01-30T10:35:42Z</dcterms:created>
  <dcterms:modified xsi:type="dcterms:W3CDTF">2026-01-30T12:24:39Z</dcterms:modified>
</cp:coreProperties>
</file>
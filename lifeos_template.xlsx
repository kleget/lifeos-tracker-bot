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FoodLog" sheetId="2" state="visible" r:id="rId2"/>
    <sheet name="SessionLog" sheetId="3" state="visible" r:id="rId3"/>
    <sheet name="FoodItems" sheetId="4" state="visible" r:id="rId4"/>
    <sheet name="Portions" sheetId="5" state="visible" r:id="rId5"/>
    <sheet name="Dictionaries" sheetId="6" state="visible" r:id="rId6"/>
    <sheet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22" customHeight="1">
      <c r="A1" s="1" t="inlineStr">
        <is>
          <t>Дата</t>
        </is>
      </c>
      <c r="B1" s="1" t="inlineStr">
        <is>
          <t>Тренировка</t>
        </is>
      </c>
      <c r="C1" s="1" t="inlineStr">
        <is>
          <t>Кардио_мин</t>
        </is>
      </c>
      <c r="D1" s="1" t="inlineStr">
        <is>
          <t>Шаги_категория</t>
        </is>
      </c>
      <c r="E1" s="1" t="inlineStr">
        <is>
          <t>Английский_мин</t>
        </is>
      </c>
      <c r="F1" s="1" t="inlineStr">
        <is>
          <t>Код_режим</t>
        </is>
      </c>
      <c r="G1" s="1" t="inlineStr">
        <is>
          <t>Код_тема</t>
        </is>
      </c>
      <c r="H1" s="1" t="inlineStr">
        <is>
          <t>Чтение_стр</t>
        </is>
      </c>
      <c r="I1" s="1" t="inlineStr">
        <is>
          <t>Отдых_время</t>
        </is>
      </c>
      <c r="J1" s="1" t="inlineStr">
        <is>
          <t>Отдых_тип</t>
        </is>
      </c>
      <c r="K1" s="1" t="inlineStr">
        <is>
          <t>Сон_отбой</t>
        </is>
      </c>
      <c r="L1" s="1" t="inlineStr">
        <is>
          <t>Сон_часы</t>
        </is>
      </c>
      <c r="M1" s="1" t="inlineStr">
        <is>
          <t>Режим</t>
        </is>
      </c>
      <c r="N1" s="1" t="inlineStr">
        <is>
          <t>Продуктивность</t>
        </is>
      </c>
      <c r="O1" s="1" t="inlineStr">
        <is>
          <t>Настроение</t>
        </is>
      </c>
      <c r="P1" t="inlineStr">
        <is>
          <t>Энергия</t>
        </is>
      </c>
      <c r="Q1" t="inlineStr">
        <is>
          <t>Вес</t>
        </is>
      </c>
      <c r="R1" t="inlineStr">
        <is>
          <t>О_чем_жалею</t>
        </is>
      </c>
      <c r="S1" t="inlineStr">
        <is>
          <t>Отзыв_о_дне</t>
        </is>
      </c>
      <c r="T1" t="inlineStr">
        <is>
          <t>Привычки</t>
        </is>
      </c>
      <c r="U1" t="inlineStr">
        <is>
          <t>Ккал</t>
        </is>
      </c>
      <c r="V1" t="inlineStr">
        <is>
          <t>Белки</t>
        </is>
      </c>
      <c r="W1" t="inlineStr">
        <is>
          <t>Жиры</t>
        </is>
      </c>
      <c r="X1" t="inlineStr">
        <is>
          <t>Угли</t>
        </is>
      </c>
      <c r="Y1" t="inlineStr">
        <is>
          <t>Качество_дня</t>
        </is>
      </c>
      <c r="Z1" t="inlineStr">
        <is>
          <t>Не_заполнено</t>
        </is>
      </c>
    </row>
    <row r="2">
      <c r="A2" s="2" t="inlineStr"/>
      <c r="J2">
        <f>IF(A2="","",SUMIF(FoodLog!$A:$A,A2,FoodLog!$I:$I))</f>
        <v/>
      </c>
      <c r="K2">
        <f>IF(A2="","",SUMIF(FoodLog!$A:$A,A2,FoodLog!$F:$F))</f>
        <v/>
      </c>
      <c r="L2">
        <f>IF(A2="","",SUMIF(FoodLog!$A:$A,A2,FoodLog!$G:$G))</f>
        <v/>
      </c>
      <c r="M2">
        <f>IF(A2="","",SUMIF(FoodLog!$A:$A,A2,FoodLog!$H:$H))</f>
        <v/>
      </c>
      <c r="N2">
        <f>LET(train,B2,cardio,C2,steps,D2,sleep,E2,reg,F2,prod,I2,kcal,J2,p,K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">
        <f>TEXTJOIN(", ",TRUE,IF(B2="","тренировка",""),IF(D2="","шаги",""),IF(E2="","сон",""),IF(F2="","режим",""),IF(G2="","настроение",""),IF(H2="","энергия",""),IF(I2="","продуктивность",""),IF(J2="","еда (ккал)",""))</f>
        <v/>
      </c>
      <c r="U2">
        <f>IF($A2="","",IF(SUMIF(FoodLog!$A:$A,$A2,FoodLog!$I:$I)=0,"",SUMIF(FoodLog!$A:$A,$A2,FoodLog!$I:$I)))</f>
        <v/>
      </c>
      <c r="V2">
        <f>IF($A2="","",IF(SUMIF(FoodLog!$A:$A,$A2,FoodLog!$F:$F)=0,"",SUMIF(FoodLog!$A:$A,$A2,FoodLog!$F:$F)))</f>
        <v/>
      </c>
      <c r="W2">
        <f>IF($A2="","",IF(SUMIF(FoodLog!$A:$A,$A2,FoodLog!$G:$G)=0,"",SUMIF(FoodLog!$A:$A,$A2,FoodLog!$G:$G)))</f>
        <v/>
      </c>
      <c r="X2">
        <f>IF($A2="","",IF(SUMIF(FoodLog!$A:$A,$A2,FoodLog!$H:$H)=0,"",SUMIF(FoodLog!$A:$A,$A2,FoodLog!$H:$H)))</f>
        <v/>
      </c>
      <c r="Y2">
        <f>IF($A2="","",IFERROR(ROUND(100*AVERAGE(IF($B2="","",XLOOKUP($B2,FILTER(Dictionaries!$B:$B,Dictionaries!$A:$A="Тренировка"),FILTER(Dictionaries!$C:$C,Dictionaries!$A:$A="Тренировка"))),IF($C2="","",MIN($C2/40,1)),IF($D2="","",XLOOKUP($D2,FILTER(Dictionaries!$B:$B,Dictionaries!$A:$A="Шаги"),FILTER(Dictionaries!$C:$C,Dictionaries!$A:$A="Шаги"))),IF($E2="","",MIN($E2/120,1)),IF(OR($F2&lt;&gt;"",$G2&lt;&gt;""),1,""),IF($H2="","",MIN($H2/100,1)),IF($L2="","",XLOOKUP($L2,FILTER(Dictionaries!$B:$B,Dictionaries!$A:$A="Сон_часы"),FILTER(Dictionaries!$C:$C,Dictionaries!$A:$A="Сон_часы"))),IF($M2="","",XLOOKUP($M2,FILTER(Dictionaries!$B:$B,Dictionaries!$A:$A="Режим"),FILTER(Dictionaries!$C:$C,Dictionaries!$A:$A="Режим"))),IF($N2="","",MIN($N2/100,1)),IF($O2="","",XLOOKUP($O2,FILTER(Dictionaries!$B:$B,Dictionaries!$A:$A="Настроение"),FILTER(Dictionaries!$C:$C,Dictionaries!$A:$A="Настроение"))),IF($P2="","",XLOOKUP($P2,FILTER(Dictionaries!$B:$B,Dictionaries!$A:$A="Энергия"),FILTER(Dictionaries!$C:$C,Dictionaries!$A:$A="Энергия"))),IF($U2="","",AVERAGE(IF(OR($B2="Ноги",$B2="Верх"),IFS(AND($U2&gt;=1900,$U2&lt;=2050),1,AND($U2&gt;=1850,$U2&lt;1900),0.7,AND($U2&gt;2050,$U2&lt;=2100),0.7,TRUE,0.2),IFS(AND($U2&gt;=1700,$U2&lt;=1850),1,AND($U2&gt;=1650,$U2&lt;1700),0.7,AND($U2&gt;1850,$U2&lt;=1900),0.7,TRUE,0.2)),IF(OR($B2="Ноги",$B2="Верх"),IFS(AND($V2&gt;=125,$V2&lt;=135),1,AND($V2&gt;=115,$V2&lt;125),0.7,AND($V2&gt;135,$V2&lt;=145),0.7,AND($V2&gt;=105,$V2&lt;115),0.4,AND($V2&gt;145,$V2&lt;=155),0.4,TRUE,0.2),IFS(AND($V2&gt;=120,$V2&lt;=130),1,AND($V2&gt;=110,$V2&lt;120),0.7,AND($V2&gt;130,$V2&lt;=140),0.7,AND($V2&gt;=100,$V2&lt;110),0.4,AND($V2&gt;140,$V2&lt;=150),0.4,TRUE,0.2)),IFS(AND($W2&gt;=55,$W2&lt;=65),1,AND($W2&gt;=50,$W2&lt;55),0.7,AND($W2&gt;65,$W2&lt;=70),0.7,AND($W2&gt;=45,$W2&lt;50),0.4,AND($W2&gt;70,$W2&lt;=75),0.4,TRUE,0.2),IF(OR($B2="Ноги",$B2="Верх"),IFS(AND($X2&gt;=180,$X2&lt;=210),1,AND($X2&gt;=160,$X2&lt;180),0.7,AND($X2&gt;210,$X2&lt;=230),0.7,AND($X2&gt;=140,$X2&lt;160),0.4,AND($X2&gt;230,$X2&lt;=250),0.4,TRUE,0.2),IFS(AND($X2&gt;=140,$X2&lt;=170),1,AND($X2&gt;=120,$X2&lt;140),0.7,AND($X2&gt;170,$X2&lt;=190),0.7,AND($X2&gt;=100,$X2&lt;120),0.4,AND($X2&gt;190,$X2&lt;=210),0.4,TRUE,0.2))))),1),""))</f>
        <v/>
      </c>
      <c r="Z2">
        <f>IF($A2="","",TEXTJOIN(", ",TRUE,IF($B2="","Тренировка",""),IF($C2="","Кардио",""),IF($D2="","Шаги",""),IF($E2="","Английский",""),IF($F2="","Код-режим",""),IF($G2="","Код-тема",""),IF($H2="","Чтение",""),IF($L2="","Сон",""),IF($M2="","Режим",""),IF($N2="","Продуктивность",""),IF($O2="","Настроение",""),IF($P2="","Энергия",""),IF($U2="","Еда","")))</f>
        <v/>
      </c>
    </row>
    <row r="3">
      <c r="A3" s="2" t="inlineStr"/>
      <c r="J3">
        <f>IF(A3="","",SUMIF(FoodLog!$A:$A,A3,FoodLog!$I:$I))</f>
        <v/>
      </c>
      <c r="K3">
        <f>IF(A3="","",SUMIF(FoodLog!$A:$A,A3,FoodLog!$F:$F))</f>
        <v/>
      </c>
      <c r="L3">
        <f>IF(A3="","",SUMIF(FoodLog!$A:$A,A3,FoodLog!$G:$G))</f>
        <v/>
      </c>
      <c r="M3">
        <f>IF(A3="","",SUMIF(FoodLog!$A:$A,A3,FoodLog!$H:$H))</f>
        <v/>
      </c>
      <c r="N3">
        <f>LET(train,B3,cardio,C3,steps,D3,sleep,E3,reg,F3,prod,I3,kcal,J3,p,K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">
        <f>TEXTJOIN(", ",TRUE,IF(B3="","тренировка",""),IF(D3="","шаги",""),IF(E3="","сон",""),IF(F3="","режим",""),IF(G3="","настроение",""),IF(H3="","энергия",""),IF(I3="","продуктивность",""),IF(J3="","еда (ккал)",""))</f>
        <v/>
      </c>
      <c r="U3">
        <f>IF($A3="","",IF(SUMIF(FoodLog!$A:$A,$A3,FoodLog!$I:$I)=0,"",SUMIF(FoodLog!$A:$A,$A3,FoodLog!$I:$I)))</f>
        <v/>
      </c>
      <c r="V3">
        <f>IF($A3="","",IF(SUMIF(FoodLog!$A:$A,$A3,FoodLog!$F:$F)=0,"",SUMIF(FoodLog!$A:$A,$A3,FoodLog!$F:$F)))</f>
        <v/>
      </c>
      <c r="W3">
        <f>IF($A3="","",IF(SUMIF(FoodLog!$A:$A,$A3,FoodLog!$G:$G)=0,"",SUMIF(FoodLog!$A:$A,$A3,FoodLog!$G:$G)))</f>
        <v/>
      </c>
      <c r="X3">
        <f>IF($A3="","",IF(SUMIF(FoodLog!$A:$A,$A3,FoodLog!$H:$H)=0,"",SUMIF(FoodLog!$A:$A,$A3,FoodLog!$H:$H)))</f>
        <v/>
      </c>
      <c r="Y3">
        <f>IF($A3="","",IFERROR(ROUND(100*AVERAGE(IF($B3="","",XLOOKUP($B3,FILTER(Dictionaries!$B:$B,Dictionaries!$A:$A="Тренировка"),FILTER(Dictionaries!$C:$C,Dictionaries!$A:$A="Тренировка"))),IF($C3="","",MIN($C3/40,1)),IF($D3="","",XLOOKUP($D3,FILTER(Dictionaries!$B:$B,Dictionaries!$A:$A="Шаги"),FILTER(Dictionaries!$C:$C,Dictionaries!$A:$A="Шаги"))),IF($E3="","",MIN($E3/120,1)),IF(OR($F3&lt;&gt;"",$G3&lt;&gt;""),1,""),IF($H3="","",MIN($H3/100,1)),IF($L3="","",XLOOKUP($L3,FILTER(Dictionaries!$B:$B,Dictionaries!$A:$A="Сон_часы"),FILTER(Dictionaries!$C:$C,Dictionaries!$A:$A="Сон_часы"))),IF($M3="","",XLOOKUP($M3,FILTER(Dictionaries!$B:$B,Dictionaries!$A:$A="Режим"),FILTER(Dictionaries!$C:$C,Dictionaries!$A:$A="Режим"))),IF($N3="","",MIN($N3/100,1)),IF($O3="","",XLOOKUP($O3,FILTER(Dictionaries!$B:$B,Dictionaries!$A:$A="Настроение"),FILTER(Dictionaries!$C:$C,Dictionaries!$A:$A="Настроение"))),IF($P3="","",XLOOKUP($P3,FILTER(Dictionaries!$B:$B,Dictionaries!$A:$A="Энергия"),FILTER(Dictionaries!$C:$C,Dictionaries!$A:$A="Энергия"))),IF($U3="","",AVERAGE(IF(OR($B3="Ноги",$B3="Верх"),IFS(AND($U3&gt;=1900,$U3&lt;=2050),1,AND($U3&gt;=1850,$U3&lt;1900),0.7,AND($U3&gt;2050,$U3&lt;=2100),0.7,TRUE,0.2),IFS(AND($U3&gt;=1700,$U3&lt;=1850),1,AND($U3&gt;=1650,$U3&lt;1700),0.7,AND($U3&gt;1850,$U3&lt;=1900),0.7,TRUE,0.2)),IF(OR($B3="Ноги",$B3="Верх"),IFS(AND($V3&gt;=125,$V3&lt;=135),1,AND($V3&gt;=115,$V3&lt;125),0.7,AND($V3&gt;135,$V3&lt;=145),0.7,AND($V3&gt;=105,$V3&lt;115),0.4,AND($V3&gt;145,$V3&lt;=155),0.4,TRUE,0.2),IFS(AND($V3&gt;=120,$V3&lt;=130),1,AND($V3&gt;=110,$V3&lt;120),0.7,AND($V3&gt;130,$V3&lt;=140),0.7,AND($V3&gt;=100,$V3&lt;110),0.4,AND($V3&gt;140,$V3&lt;=150),0.4,TRUE,0.2)),IFS(AND($W3&gt;=55,$W3&lt;=65),1,AND($W3&gt;=50,$W3&lt;55),0.7,AND($W3&gt;65,$W3&lt;=70),0.7,AND($W3&gt;=45,$W3&lt;50),0.4,AND($W3&gt;70,$W3&lt;=75),0.4,TRUE,0.2),IF(OR($B3="Ноги",$B3="Верх"),IFS(AND($X3&gt;=180,$X3&lt;=210),1,AND($X3&gt;=160,$X3&lt;180),0.7,AND($X3&gt;210,$X3&lt;=230),0.7,AND($X3&gt;=140,$X3&lt;160),0.4,AND($X3&gt;230,$X3&lt;=250),0.4,TRUE,0.2),IFS(AND($X3&gt;=140,$X3&lt;=170),1,AND($X3&gt;=120,$X3&lt;140),0.7,AND($X3&gt;170,$X3&lt;=190),0.7,AND($X3&gt;=100,$X3&lt;120),0.4,AND($X3&gt;190,$X3&lt;=210),0.4,TRUE,0.2))))),1),""))</f>
        <v/>
      </c>
      <c r="Z3">
        <f>IF($A3="","",TEXTJOIN(", ",TRUE,IF($B3="","Тренировка",""),IF($C3="","Кардио",""),IF($D3="","Шаги",""),IF($E3="","Английский",""),IF($F3="","Код-режим",""),IF($G3="","Код-тема",""),IF($H3="","Чтение",""),IF($L3="","Сон",""),IF($M3="","Режим",""),IF($N3="","Продуктивность",""),IF($O3="","Настроение",""),IF($P3="","Энергия",""),IF($U3="","Еда","")))</f>
        <v/>
      </c>
    </row>
    <row r="4">
      <c r="A4" s="2" t="inlineStr"/>
      <c r="J4">
        <f>IF(A4="","",SUMIF(FoodLog!$A:$A,A4,FoodLog!$I:$I))</f>
        <v/>
      </c>
      <c r="K4">
        <f>IF(A4="","",SUMIF(FoodLog!$A:$A,A4,FoodLog!$F:$F))</f>
        <v/>
      </c>
      <c r="L4">
        <f>IF(A4="","",SUMIF(FoodLog!$A:$A,A4,FoodLog!$G:$G))</f>
        <v/>
      </c>
      <c r="M4">
        <f>IF(A4="","",SUMIF(FoodLog!$A:$A,A4,FoodLog!$H:$H))</f>
        <v/>
      </c>
      <c r="N4">
        <f>LET(train,B4,cardio,C4,steps,D4,sleep,E4,reg,F4,prod,I4,kcal,J4,p,K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">
        <f>TEXTJOIN(", ",TRUE,IF(B4="","тренировка",""),IF(D4="","шаги",""),IF(E4="","сон",""),IF(F4="","режим",""),IF(G4="","настроение",""),IF(H4="","энергия",""),IF(I4="","продуктивность",""),IF(J4="","еда (ккал)",""))</f>
        <v/>
      </c>
      <c r="U4">
        <f>IF($A4="","",IF(SUMIF(FoodLog!$A:$A,$A4,FoodLog!$I:$I)=0,"",SUMIF(FoodLog!$A:$A,$A4,FoodLog!$I:$I)))</f>
        <v/>
      </c>
      <c r="V4">
        <f>IF($A4="","",IF(SUMIF(FoodLog!$A:$A,$A4,FoodLog!$F:$F)=0,"",SUMIF(FoodLog!$A:$A,$A4,FoodLog!$F:$F)))</f>
        <v/>
      </c>
      <c r="W4">
        <f>IF($A4="","",IF(SUMIF(FoodLog!$A:$A,$A4,FoodLog!$G:$G)=0,"",SUMIF(FoodLog!$A:$A,$A4,FoodLog!$G:$G)))</f>
        <v/>
      </c>
      <c r="X4">
        <f>IF($A4="","",IF(SUMIF(FoodLog!$A:$A,$A4,FoodLog!$H:$H)=0,"",SUMIF(FoodLog!$A:$A,$A4,FoodLog!$H:$H)))</f>
        <v/>
      </c>
      <c r="Y4">
        <f>IF($A4="","",IFERROR(ROUND(100*AVERAGE(IF($B4="","",XLOOKUP($B4,FILTER(Dictionaries!$B:$B,Dictionaries!$A:$A="Тренировка"),FILTER(Dictionaries!$C:$C,Dictionaries!$A:$A="Тренировка"))),IF($C4="","",MIN($C4/40,1)),IF($D4="","",XLOOKUP($D4,FILTER(Dictionaries!$B:$B,Dictionaries!$A:$A="Шаги"),FILTER(Dictionaries!$C:$C,Dictionaries!$A:$A="Шаги"))),IF($E4="","",MIN($E4/120,1)),IF(OR($F4&lt;&gt;"",$G4&lt;&gt;""),1,""),IF($H4="","",MIN($H4/100,1)),IF($L4="","",XLOOKUP($L4,FILTER(Dictionaries!$B:$B,Dictionaries!$A:$A="Сон_часы"),FILTER(Dictionaries!$C:$C,Dictionaries!$A:$A="Сон_часы"))),IF($M4="","",XLOOKUP($M4,FILTER(Dictionaries!$B:$B,Dictionaries!$A:$A="Режим"),FILTER(Dictionaries!$C:$C,Dictionaries!$A:$A="Режим"))),IF($N4="","",MIN($N4/100,1)),IF($O4="","",XLOOKUP($O4,FILTER(Dictionaries!$B:$B,Dictionaries!$A:$A="Настроение"),FILTER(Dictionaries!$C:$C,Dictionaries!$A:$A="Настроение"))),IF($P4="","",XLOOKUP($P4,FILTER(Dictionaries!$B:$B,Dictionaries!$A:$A="Энергия"),FILTER(Dictionaries!$C:$C,Dictionaries!$A:$A="Энергия"))),IF($U4="","",AVERAGE(IF(OR($B4="Ноги",$B4="Верх"),IFS(AND($U4&gt;=1900,$U4&lt;=2050),1,AND($U4&gt;=1850,$U4&lt;1900),0.7,AND($U4&gt;2050,$U4&lt;=2100),0.7,TRUE,0.2),IFS(AND($U4&gt;=1700,$U4&lt;=1850),1,AND($U4&gt;=1650,$U4&lt;1700),0.7,AND($U4&gt;1850,$U4&lt;=1900),0.7,TRUE,0.2)),IF(OR($B4="Ноги",$B4="Верх"),IFS(AND($V4&gt;=125,$V4&lt;=135),1,AND($V4&gt;=115,$V4&lt;125),0.7,AND($V4&gt;135,$V4&lt;=145),0.7,AND($V4&gt;=105,$V4&lt;115),0.4,AND($V4&gt;145,$V4&lt;=155),0.4,TRUE,0.2),IFS(AND($V4&gt;=120,$V4&lt;=130),1,AND($V4&gt;=110,$V4&lt;120),0.7,AND($V4&gt;130,$V4&lt;=140),0.7,AND($V4&gt;=100,$V4&lt;110),0.4,AND($V4&gt;140,$V4&lt;=150),0.4,TRUE,0.2)),IFS(AND($W4&gt;=55,$W4&lt;=65),1,AND($W4&gt;=50,$W4&lt;55),0.7,AND($W4&gt;65,$W4&lt;=70),0.7,AND($W4&gt;=45,$W4&lt;50),0.4,AND($W4&gt;70,$W4&lt;=75),0.4,TRUE,0.2),IF(OR($B4="Ноги",$B4="Верх"),IFS(AND($X4&gt;=180,$X4&lt;=210),1,AND($X4&gt;=160,$X4&lt;180),0.7,AND($X4&gt;210,$X4&lt;=230),0.7,AND($X4&gt;=140,$X4&lt;160),0.4,AND($X4&gt;230,$X4&lt;=250),0.4,TRUE,0.2),IFS(AND($X4&gt;=140,$X4&lt;=170),1,AND($X4&gt;=120,$X4&lt;140),0.7,AND($X4&gt;170,$X4&lt;=190),0.7,AND($X4&gt;=100,$X4&lt;120),0.4,AND($X4&gt;190,$X4&lt;=210),0.4,TRUE,0.2))))),1),""))</f>
        <v/>
      </c>
      <c r="Z4">
        <f>IF($A4="","",TEXTJOIN(", ",TRUE,IF($B4="","Тренировка",""),IF($C4="","Кардио",""),IF($D4="","Шаги",""),IF($E4="","Английский",""),IF($F4="","Код-режим",""),IF($G4="","Код-тема",""),IF($H4="","Чтение",""),IF($L4="","Сон",""),IF($M4="","Режим",""),IF($N4="","Продуктивность",""),IF($O4="","Настроение",""),IF($P4="","Энергия",""),IF($U4="","Еда","")))</f>
        <v/>
      </c>
    </row>
    <row r="5">
      <c r="A5" s="2" t="inlineStr"/>
      <c r="J5">
        <f>IF(A5="","",SUMIF(FoodLog!$A:$A,A5,FoodLog!$I:$I))</f>
        <v/>
      </c>
      <c r="K5">
        <f>IF(A5="","",SUMIF(FoodLog!$A:$A,A5,FoodLog!$F:$F))</f>
        <v/>
      </c>
      <c r="L5">
        <f>IF(A5="","",SUMIF(FoodLog!$A:$A,A5,FoodLog!$G:$G))</f>
        <v/>
      </c>
      <c r="M5">
        <f>IF(A5="","",SUMIF(FoodLog!$A:$A,A5,FoodLog!$H:$H))</f>
        <v/>
      </c>
      <c r="N5">
        <f>LET(train,B5,cardio,C5,steps,D5,sleep,E5,reg,F5,prod,I5,kcal,J5,p,K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">
        <f>TEXTJOIN(", ",TRUE,IF(B5="","тренировка",""),IF(D5="","шаги",""),IF(E5="","сон",""),IF(F5="","режим",""),IF(G5="","настроение",""),IF(H5="","энергия",""),IF(I5="","продуктивность",""),IF(J5="","еда (ккал)",""))</f>
        <v/>
      </c>
      <c r="U5">
        <f>IF($A5="","",IF(SUMIF(FoodLog!$A:$A,$A5,FoodLog!$I:$I)=0,"",SUMIF(FoodLog!$A:$A,$A5,FoodLog!$I:$I)))</f>
        <v/>
      </c>
      <c r="V5">
        <f>IF($A5="","",IF(SUMIF(FoodLog!$A:$A,$A5,FoodLog!$F:$F)=0,"",SUMIF(FoodLog!$A:$A,$A5,FoodLog!$F:$F)))</f>
        <v/>
      </c>
      <c r="W5">
        <f>IF($A5="","",IF(SUMIF(FoodLog!$A:$A,$A5,FoodLog!$G:$G)=0,"",SUMIF(FoodLog!$A:$A,$A5,FoodLog!$G:$G)))</f>
        <v/>
      </c>
      <c r="X5">
        <f>IF($A5="","",IF(SUMIF(FoodLog!$A:$A,$A5,FoodLog!$H:$H)=0,"",SUMIF(FoodLog!$A:$A,$A5,FoodLog!$H:$H)))</f>
        <v/>
      </c>
      <c r="Y5">
        <f>IF($A5="","",IFERROR(ROUND(100*AVERAGE(IF($B5="","",XLOOKUP($B5,FILTER(Dictionaries!$B:$B,Dictionaries!$A:$A="Тренировка"),FILTER(Dictionaries!$C:$C,Dictionaries!$A:$A="Тренировка"))),IF($C5="","",MIN($C5/40,1)),IF($D5="","",XLOOKUP($D5,FILTER(Dictionaries!$B:$B,Dictionaries!$A:$A="Шаги"),FILTER(Dictionaries!$C:$C,Dictionaries!$A:$A="Шаги"))),IF($E5="","",MIN($E5/120,1)),IF(OR($F5&lt;&gt;"",$G5&lt;&gt;""),1,""),IF($H5="","",MIN($H5/100,1)),IF($L5="","",XLOOKUP($L5,FILTER(Dictionaries!$B:$B,Dictionaries!$A:$A="Сон_часы"),FILTER(Dictionaries!$C:$C,Dictionaries!$A:$A="Сон_часы"))),IF($M5="","",XLOOKUP($M5,FILTER(Dictionaries!$B:$B,Dictionaries!$A:$A="Режим"),FILTER(Dictionaries!$C:$C,Dictionaries!$A:$A="Режим"))),IF($N5="","",MIN($N5/100,1)),IF($O5="","",XLOOKUP($O5,FILTER(Dictionaries!$B:$B,Dictionaries!$A:$A="Настроение"),FILTER(Dictionaries!$C:$C,Dictionaries!$A:$A="Настроение"))),IF($P5="","",XLOOKUP($P5,FILTER(Dictionaries!$B:$B,Dictionaries!$A:$A="Энергия"),FILTER(Dictionaries!$C:$C,Dictionaries!$A:$A="Энергия"))),IF($U5="","",AVERAGE(IF(OR($B5="Ноги",$B5="Верх"),IFS(AND($U5&gt;=1900,$U5&lt;=2050),1,AND($U5&gt;=1850,$U5&lt;1900),0.7,AND($U5&gt;2050,$U5&lt;=2100),0.7,TRUE,0.2),IFS(AND($U5&gt;=1700,$U5&lt;=1850),1,AND($U5&gt;=1650,$U5&lt;1700),0.7,AND($U5&gt;1850,$U5&lt;=1900),0.7,TRUE,0.2)),IF(OR($B5="Ноги",$B5="Верх"),IFS(AND($V5&gt;=125,$V5&lt;=135),1,AND($V5&gt;=115,$V5&lt;125),0.7,AND($V5&gt;135,$V5&lt;=145),0.7,AND($V5&gt;=105,$V5&lt;115),0.4,AND($V5&gt;145,$V5&lt;=155),0.4,TRUE,0.2),IFS(AND($V5&gt;=120,$V5&lt;=130),1,AND($V5&gt;=110,$V5&lt;120),0.7,AND($V5&gt;130,$V5&lt;=140),0.7,AND($V5&gt;=100,$V5&lt;110),0.4,AND($V5&gt;140,$V5&lt;=150),0.4,TRUE,0.2)),IFS(AND($W5&gt;=55,$W5&lt;=65),1,AND($W5&gt;=50,$W5&lt;55),0.7,AND($W5&gt;65,$W5&lt;=70),0.7,AND($W5&gt;=45,$W5&lt;50),0.4,AND($W5&gt;70,$W5&lt;=75),0.4,TRUE,0.2),IF(OR($B5="Ноги",$B5="Верх"),IFS(AND($X5&gt;=180,$X5&lt;=210),1,AND($X5&gt;=160,$X5&lt;180),0.7,AND($X5&gt;210,$X5&lt;=230),0.7,AND($X5&gt;=140,$X5&lt;160),0.4,AND($X5&gt;230,$X5&lt;=250),0.4,TRUE,0.2),IFS(AND($X5&gt;=140,$X5&lt;=170),1,AND($X5&gt;=120,$X5&lt;140),0.7,AND($X5&gt;170,$X5&lt;=190),0.7,AND($X5&gt;=100,$X5&lt;120),0.4,AND($X5&gt;190,$X5&lt;=210),0.4,TRUE,0.2))))),1),""))</f>
        <v/>
      </c>
      <c r="Z5">
        <f>IF($A5="","",TEXTJOIN(", ",TRUE,IF($B5="","Тренировка",""),IF($C5="","Кардио",""),IF($D5="","Шаги",""),IF($E5="","Английский",""),IF($F5="","Код-режим",""),IF($G5="","Код-тема",""),IF($H5="","Чтение",""),IF($L5="","Сон",""),IF($M5="","Режим",""),IF($N5="","Продуктивность",""),IF($O5="","Настроение",""),IF($P5="","Энергия",""),IF($U5="","Еда","")))</f>
        <v/>
      </c>
    </row>
    <row r="6">
      <c r="A6" s="2" t="inlineStr"/>
      <c r="J6">
        <f>IF(A6="","",SUMIF(FoodLog!$A:$A,A6,FoodLog!$I:$I))</f>
        <v/>
      </c>
      <c r="K6">
        <f>IF(A6="","",SUMIF(FoodLog!$A:$A,A6,FoodLog!$F:$F))</f>
        <v/>
      </c>
      <c r="L6">
        <f>IF(A6="","",SUMIF(FoodLog!$A:$A,A6,FoodLog!$G:$G))</f>
        <v/>
      </c>
      <c r="M6">
        <f>IF(A6="","",SUMIF(FoodLog!$A:$A,A6,FoodLog!$H:$H))</f>
        <v/>
      </c>
      <c r="N6">
        <f>LET(train,B6,cardio,C6,steps,D6,sleep,E6,reg,F6,prod,I6,kcal,J6,p,K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">
        <f>TEXTJOIN(", ",TRUE,IF(B6="","тренировка",""),IF(D6="","шаги",""),IF(E6="","сон",""),IF(F6="","режим",""),IF(G6="","настроение",""),IF(H6="","энергия",""),IF(I6="","продуктивность",""),IF(J6="","еда (ккал)",""))</f>
        <v/>
      </c>
      <c r="U6">
        <f>IF($A6="","",IF(SUMIF(FoodLog!$A:$A,$A6,FoodLog!$I:$I)=0,"",SUMIF(FoodLog!$A:$A,$A6,FoodLog!$I:$I)))</f>
        <v/>
      </c>
      <c r="V6">
        <f>IF($A6="","",IF(SUMIF(FoodLog!$A:$A,$A6,FoodLog!$F:$F)=0,"",SUMIF(FoodLog!$A:$A,$A6,FoodLog!$F:$F)))</f>
        <v/>
      </c>
      <c r="W6">
        <f>IF($A6="","",IF(SUMIF(FoodLog!$A:$A,$A6,FoodLog!$G:$G)=0,"",SUMIF(FoodLog!$A:$A,$A6,FoodLog!$G:$G)))</f>
        <v/>
      </c>
      <c r="X6">
        <f>IF($A6="","",IF(SUMIF(FoodLog!$A:$A,$A6,FoodLog!$H:$H)=0,"",SUMIF(FoodLog!$A:$A,$A6,FoodLog!$H:$H)))</f>
        <v/>
      </c>
      <c r="Y6">
        <f>IF($A6="","",IFERROR(ROUND(100*AVERAGE(IF($B6="","",XLOOKUP($B6,FILTER(Dictionaries!$B:$B,Dictionaries!$A:$A="Тренировка"),FILTER(Dictionaries!$C:$C,Dictionaries!$A:$A="Тренировка"))),IF($C6="","",MIN($C6/40,1)),IF($D6="","",XLOOKUP($D6,FILTER(Dictionaries!$B:$B,Dictionaries!$A:$A="Шаги"),FILTER(Dictionaries!$C:$C,Dictionaries!$A:$A="Шаги"))),IF($E6="","",MIN($E6/120,1)),IF(OR($F6&lt;&gt;"",$G6&lt;&gt;""),1,""),IF($H6="","",MIN($H6/100,1)),IF($L6="","",XLOOKUP($L6,FILTER(Dictionaries!$B:$B,Dictionaries!$A:$A="Сон_часы"),FILTER(Dictionaries!$C:$C,Dictionaries!$A:$A="Сон_часы"))),IF($M6="","",XLOOKUP($M6,FILTER(Dictionaries!$B:$B,Dictionaries!$A:$A="Режим"),FILTER(Dictionaries!$C:$C,Dictionaries!$A:$A="Режим"))),IF($N6="","",MIN($N6/100,1)),IF($O6="","",XLOOKUP($O6,FILTER(Dictionaries!$B:$B,Dictionaries!$A:$A="Настроение"),FILTER(Dictionaries!$C:$C,Dictionaries!$A:$A="Настроение"))),IF($P6="","",XLOOKUP($P6,FILTER(Dictionaries!$B:$B,Dictionaries!$A:$A="Энергия"),FILTER(Dictionaries!$C:$C,Dictionaries!$A:$A="Энергия"))),IF($U6="","",AVERAGE(IF(OR($B6="Ноги",$B6="Верх"),IFS(AND($U6&gt;=1900,$U6&lt;=2050),1,AND($U6&gt;=1850,$U6&lt;1900),0.7,AND($U6&gt;2050,$U6&lt;=2100),0.7,TRUE,0.2),IFS(AND($U6&gt;=1700,$U6&lt;=1850),1,AND($U6&gt;=1650,$U6&lt;1700),0.7,AND($U6&gt;1850,$U6&lt;=1900),0.7,TRUE,0.2)),IF(OR($B6="Ноги",$B6="Верх"),IFS(AND($V6&gt;=125,$V6&lt;=135),1,AND($V6&gt;=115,$V6&lt;125),0.7,AND($V6&gt;135,$V6&lt;=145),0.7,AND($V6&gt;=105,$V6&lt;115),0.4,AND($V6&gt;145,$V6&lt;=155),0.4,TRUE,0.2),IFS(AND($V6&gt;=120,$V6&lt;=130),1,AND($V6&gt;=110,$V6&lt;120),0.7,AND($V6&gt;130,$V6&lt;=140),0.7,AND($V6&gt;=100,$V6&lt;110),0.4,AND($V6&gt;140,$V6&lt;=150),0.4,TRUE,0.2)),IFS(AND($W6&gt;=55,$W6&lt;=65),1,AND($W6&gt;=50,$W6&lt;55),0.7,AND($W6&gt;65,$W6&lt;=70),0.7,AND($W6&gt;=45,$W6&lt;50),0.4,AND($W6&gt;70,$W6&lt;=75),0.4,TRUE,0.2),IF(OR($B6="Ноги",$B6="Верх"),IFS(AND($X6&gt;=180,$X6&lt;=210),1,AND($X6&gt;=160,$X6&lt;180),0.7,AND($X6&gt;210,$X6&lt;=230),0.7,AND($X6&gt;=140,$X6&lt;160),0.4,AND($X6&gt;230,$X6&lt;=250),0.4,TRUE,0.2),IFS(AND($X6&gt;=140,$X6&lt;=170),1,AND($X6&gt;=120,$X6&lt;140),0.7,AND($X6&gt;170,$X6&lt;=190),0.7,AND($X6&gt;=100,$X6&lt;120),0.4,AND($X6&gt;190,$X6&lt;=210),0.4,TRUE,0.2))))),1),""))</f>
        <v/>
      </c>
      <c r="Z6">
        <f>IF($A6="","",TEXTJOIN(", ",TRUE,IF($B6="","Тренировка",""),IF($C6="","Кардио",""),IF($D6="","Шаги",""),IF($E6="","Английский",""),IF($F6="","Код-режим",""),IF($G6="","Код-тема",""),IF($H6="","Чтение",""),IF($L6="","Сон",""),IF($M6="","Режим",""),IF($N6="","Продуктивность",""),IF($O6="","Настроение",""),IF($P6="","Энергия",""),IF($U6="","Еда","")))</f>
        <v/>
      </c>
    </row>
    <row r="7">
      <c r="A7" s="2" t="inlineStr"/>
      <c r="J7">
        <f>IF(A7="","",SUMIF(FoodLog!$A:$A,A7,FoodLog!$I:$I))</f>
        <v/>
      </c>
      <c r="K7">
        <f>IF(A7="","",SUMIF(FoodLog!$A:$A,A7,FoodLog!$F:$F))</f>
        <v/>
      </c>
      <c r="L7">
        <f>IF(A7="","",SUMIF(FoodLog!$A:$A,A7,FoodLog!$G:$G))</f>
        <v/>
      </c>
      <c r="M7">
        <f>IF(A7="","",SUMIF(FoodLog!$A:$A,A7,FoodLog!$H:$H))</f>
        <v/>
      </c>
      <c r="N7">
        <f>LET(train,B7,cardio,C7,steps,D7,sleep,E7,reg,F7,prod,I7,kcal,J7,p,K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">
        <f>TEXTJOIN(", ",TRUE,IF(B7="","тренировка",""),IF(D7="","шаги",""),IF(E7="","сон",""),IF(F7="","режим",""),IF(G7="","настроение",""),IF(H7="","энергия",""),IF(I7="","продуктивность",""),IF(J7="","еда (ккал)",""))</f>
        <v/>
      </c>
      <c r="U7">
        <f>IF($A7="","",IF(SUMIF(FoodLog!$A:$A,$A7,FoodLog!$I:$I)=0,"",SUMIF(FoodLog!$A:$A,$A7,FoodLog!$I:$I)))</f>
        <v/>
      </c>
      <c r="V7">
        <f>IF($A7="","",IF(SUMIF(FoodLog!$A:$A,$A7,FoodLog!$F:$F)=0,"",SUMIF(FoodLog!$A:$A,$A7,FoodLog!$F:$F)))</f>
        <v/>
      </c>
      <c r="W7">
        <f>IF($A7="","",IF(SUMIF(FoodLog!$A:$A,$A7,FoodLog!$G:$G)=0,"",SUMIF(FoodLog!$A:$A,$A7,FoodLog!$G:$G)))</f>
        <v/>
      </c>
      <c r="X7">
        <f>IF($A7="","",IF(SUMIF(FoodLog!$A:$A,$A7,FoodLog!$H:$H)=0,"",SUMIF(FoodLog!$A:$A,$A7,FoodLog!$H:$H)))</f>
        <v/>
      </c>
      <c r="Y7">
        <f>IF($A7="","",IFERROR(ROUND(100*AVERAGE(IF($B7="","",XLOOKUP($B7,FILTER(Dictionaries!$B:$B,Dictionaries!$A:$A="Тренировка"),FILTER(Dictionaries!$C:$C,Dictionaries!$A:$A="Тренировка"))),IF($C7="","",MIN($C7/40,1)),IF($D7="","",XLOOKUP($D7,FILTER(Dictionaries!$B:$B,Dictionaries!$A:$A="Шаги"),FILTER(Dictionaries!$C:$C,Dictionaries!$A:$A="Шаги"))),IF($E7="","",MIN($E7/120,1)),IF(OR($F7&lt;&gt;"",$G7&lt;&gt;""),1,""),IF($H7="","",MIN($H7/100,1)),IF($L7="","",XLOOKUP($L7,FILTER(Dictionaries!$B:$B,Dictionaries!$A:$A="Сон_часы"),FILTER(Dictionaries!$C:$C,Dictionaries!$A:$A="Сон_часы"))),IF($M7="","",XLOOKUP($M7,FILTER(Dictionaries!$B:$B,Dictionaries!$A:$A="Режим"),FILTER(Dictionaries!$C:$C,Dictionaries!$A:$A="Режим"))),IF($N7="","",MIN($N7/100,1)),IF($O7="","",XLOOKUP($O7,FILTER(Dictionaries!$B:$B,Dictionaries!$A:$A="Настроение"),FILTER(Dictionaries!$C:$C,Dictionaries!$A:$A="Настроение"))),IF($P7="","",XLOOKUP($P7,FILTER(Dictionaries!$B:$B,Dictionaries!$A:$A="Энергия"),FILTER(Dictionaries!$C:$C,Dictionaries!$A:$A="Энергия"))),IF($U7="","",AVERAGE(IF(OR($B7="Ноги",$B7="Верх"),IFS(AND($U7&gt;=1900,$U7&lt;=2050),1,AND($U7&gt;=1850,$U7&lt;1900),0.7,AND($U7&gt;2050,$U7&lt;=2100),0.7,TRUE,0.2),IFS(AND($U7&gt;=1700,$U7&lt;=1850),1,AND($U7&gt;=1650,$U7&lt;1700),0.7,AND($U7&gt;1850,$U7&lt;=1900),0.7,TRUE,0.2)),IF(OR($B7="Ноги",$B7="Верх"),IFS(AND($V7&gt;=125,$V7&lt;=135),1,AND($V7&gt;=115,$V7&lt;125),0.7,AND($V7&gt;135,$V7&lt;=145),0.7,AND($V7&gt;=105,$V7&lt;115),0.4,AND($V7&gt;145,$V7&lt;=155),0.4,TRUE,0.2),IFS(AND($V7&gt;=120,$V7&lt;=130),1,AND($V7&gt;=110,$V7&lt;120),0.7,AND($V7&gt;130,$V7&lt;=140),0.7,AND($V7&gt;=100,$V7&lt;110),0.4,AND($V7&gt;140,$V7&lt;=150),0.4,TRUE,0.2)),IFS(AND($W7&gt;=55,$W7&lt;=65),1,AND($W7&gt;=50,$W7&lt;55),0.7,AND($W7&gt;65,$W7&lt;=70),0.7,AND($W7&gt;=45,$W7&lt;50),0.4,AND($W7&gt;70,$W7&lt;=75),0.4,TRUE,0.2),IF(OR($B7="Ноги",$B7="Верх"),IFS(AND($X7&gt;=180,$X7&lt;=210),1,AND($X7&gt;=160,$X7&lt;180),0.7,AND($X7&gt;210,$X7&lt;=230),0.7,AND($X7&gt;=140,$X7&lt;160),0.4,AND($X7&gt;230,$X7&lt;=250),0.4,TRUE,0.2),IFS(AND($X7&gt;=140,$X7&lt;=170),1,AND($X7&gt;=120,$X7&lt;140),0.7,AND($X7&gt;170,$X7&lt;=190),0.7,AND($X7&gt;=100,$X7&lt;120),0.4,AND($X7&gt;190,$X7&lt;=210),0.4,TRUE,0.2))))),1),""))</f>
        <v/>
      </c>
      <c r="Z7">
        <f>IF($A7="","",TEXTJOIN(", ",TRUE,IF($B7="","Тренировка",""),IF($C7="","Кардио",""),IF($D7="","Шаги",""),IF($E7="","Английский",""),IF($F7="","Код-режим",""),IF($G7="","Код-тема",""),IF($H7="","Чтение",""),IF($L7="","Сон",""),IF($M7="","Режим",""),IF($N7="","Продуктивность",""),IF($O7="","Настроение",""),IF($P7="","Энергия",""),IF($U7="","Еда","")))</f>
        <v/>
      </c>
    </row>
    <row r="8">
      <c r="A8" s="2" t="inlineStr"/>
      <c r="J8">
        <f>IF(A8="","",SUMIF(FoodLog!$A:$A,A8,FoodLog!$I:$I))</f>
        <v/>
      </c>
      <c r="K8">
        <f>IF(A8="","",SUMIF(FoodLog!$A:$A,A8,FoodLog!$F:$F))</f>
        <v/>
      </c>
      <c r="L8">
        <f>IF(A8="","",SUMIF(FoodLog!$A:$A,A8,FoodLog!$G:$G))</f>
        <v/>
      </c>
      <c r="M8">
        <f>IF(A8="","",SUMIF(FoodLog!$A:$A,A8,FoodLog!$H:$H))</f>
        <v/>
      </c>
      <c r="N8">
        <f>LET(train,B8,cardio,C8,steps,D8,sleep,E8,reg,F8,prod,I8,kcal,J8,p,K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">
        <f>TEXTJOIN(", ",TRUE,IF(B8="","тренировка",""),IF(D8="","шаги",""),IF(E8="","сон",""),IF(F8="","режим",""),IF(G8="","настроение",""),IF(H8="","энергия",""),IF(I8="","продуктивность",""),IF(J8="","еда (ккал)",""))</f>
        <v/>
      </c>
      <c r="U8">
        <f>IF($A8="","",IF(SUMIF(FoodLog!$A:$A,$A8,FoodLog!$I:$I)=0,"",SUMIF(FoodLog!$A:$A,$A8,FoodLog!$I:$I)))</f>
        <v/>
      </c>
      <c r="V8">
        <f>IF($A8="","",IF(SUMIF(FoodLog!$A:$A,$A8,FoodLog!$F:$F)=0,"",SUMIF(FoodLog!$A:$A,$A8,FoodLog!$F:$F)))</f>
        <v/>
      </c>
      <c r="W8">
        <f>IF($A8="","",IF(SUMIF(FoodLog!$A:$A,$A8,FoodLog!$G:$G)=0,"",SUMIF(FoodLog!$A:$A,$A8,FoodLog!$G:$G)))</f>
        <v/>
      </c>
      <c r="X8">
        <f>IF($A8="","",IF(SUMIF(FoodLog!$A:$A,$A8,FoodLog!$H:$H)=0,"",SUMIF(FoodLog!$A:$A,$A8,FoodLog!$H:$H)))</f>
        <v/>
      </c>
      <c r="Y8">
        <f>IF($A8="","",IFERROR(ROUND(100*AVERAGE(IF($B8="","",XLOOKUP($B8,FILTER(Dictionaries!$B:$B,Dictionaries!$A:$A="Тренировка"),FILTER(Dictionaries!$C:$C,Dictionaries!$A:$A="Тренировка"))),IF($C8="","",MIN($C8/40,1)),IF($D8="","",XLOOKUP($D8,FILTER(Dictionaries!$B:$B,Dictionaries!$A:$A="Шаги"),FILTER(Dictionaries!$C:$C,Dictionaries!$A:$A="Шаги"))),IF($E8="","",MIN($E8/120,1)),IF(OR($F8&lt;&gt;"",$G8&lt;&gt;""),1,""),IF($H8="","",MIN($H8/100,1)),IF($L8="","",XLOOKUP($L8,FILTER(Dictionaries!$B:$B,Dictionaries!$A:$A="Сон_часы"),FILTER(Dictionaries!$C:$C,Dictionaries!$A:$A="Сон_часы"))),IF($M8="","",XLOOKUP($M8,FILTER(Dictionaries!$B:$B,Dictionaries!$A:$A="Режим"),FILTER(Dictionaries!$C:$C,Dictionaries!$A:$A="Режим"))),IF($N8="","",MIN($N8/100,1)),IF($O8="","",XLOOKUP($O8,FILTER(Dictionaries!$B:$B,Dictionaries!$A:$A="Настроение"),FILTER(Dictionaries!$C:$C,Dictionaries!$A:$A="Настроение"))),IF($P8="","",XLOOKUP($P8,FILTER(Dictionaries!$B:$B,Dictionaries!$A:$A="Энергия"),FILTER(Dictionaries!$C:$C,Dictionaries!$A:$A="Энергия"))),IF($U8="","",AVERAGE(IF(OR($B8="Ноги",$B8="Верх"),IFS(AND($U8&gt;=1900,$U8&lt;=2050),1,AND($U8&gt;=1850,$U8&lt;1900),0.7,AND($U8&gt;2050,$U8&lt;=2100),0.7,TRUE,0.2),IFS(AND($U8&gt;=1700,$U8&lt;=1850),1,AND($U8&gt;=1650,$U8&lt;1700),0.7,AND($U8&gt;1850,$U8&lt;=1900),0.7,TRUE,0.2)),IF(OR($B8="Ноги",$B8="Верх"),IFS(AND($V8&gt;=125,$V8&lt;=135),1,AND($V8&gt;=115,$V8&lt;125),0.7,AND($V8&gt;135,$V8&lt;=145),0.7,AND($V8&gt;=105,$V8&lt;115),0.4,AND($V8&gt;145,$V8&lt;=155),0.4,TRUE,0.2),IFS(AND($V8&gt;=120,$V8&lt;=130),1,AND($V8&gt;=110,$V8&lt;120),0.7,AND($V8&gt;130,$V8&lt;=140),0.7,AND($V8&gt;=100,$V8&lt;110),0.4,AND($V8&gt;140,$V8&lt;=150),0.4,TRUE,0.2)),IFS(AND($W8&gt;=55,$W8&lt;=65),1,AND($W8&gt;=50,$W8&lt;55),0.7,AND($W8&gt;65,$W8&lt;=70),0.7,AND($W8&gt;=45,$W8&lt;50),0.4,AND($W8&gt;70,$W8&lt;=75),0.4,TRUE,0.2),IF(OR($B8="Ноги",$B8="Верх"),IFS(AND($X8&gt;=180,$X8&lt;=210),1,AND($X8&gt;=160,$X8&lt;180),0.7,AND($X8&gt;210,$X8&lt;=230),0.7,AND($X8&gt;=140,$X8&lt;160),0.4,AND($X8&gt;230,$X8&lt;=250),0.4,TRUE,0.2),IFS(AND($X8&gt;=140,$X8&lt;=170),1,AND($X8&gt;=120,$X8&lt;140),0.7,AND($X8&gt;170,$X8&lt;=190),0.7,AND($X8&gt;=100,$X8&lt;120),0.4,AND($X8&gt;190,$X8&lt;=210),0.4,TRUE,0.2))))),1),""))</f>
        <v/>
      </c>
      <c r="Z8">
        <f>IF($A8="","",TEXTJOIN(", ",TRUE,IF($B8="","Тренировка",""),IF($C8="","Кардио",""),IF($D8="","Шаги",""),IF($E8="","Английский",""),IF($F8="","Код-режим",""),IF($G8="","Код-тема",""),IF($H8="","Чтение",""),IF($L8="","Сон",""),IF($M8="","Режим",""),IF($N8="","Продуктивность",""),IF($O8="","Настроение",""),IF($P8="","Энергия",""),IF($U8="","Еда","")))</f>
        <v/>
      </c>
    </row>
    <row r="9">
      <c r="A9" s="2" t="inlineStr"/>
      <c r="J9">
        <f>IF(A9="","",SUMIF(FoodLog!$A:$A,A9,FoodLog!$I:$I))</f>
        <v/>
      </c>
      <c r="K9">
        <f>IF(A9="","",SUMIF(FoodLog!$A:$A,A9,FoodLog!$F:$F))</f>
        <v/>
      </c>
      <c r="L9">
        <f>IF(A9="","",SUMIF(FoodLog!$A:$A,A9,FoodLog!$G:$G))</f>
        <v/>
      </c>
      <c r="M9">
        <f>IF(A9="","",SUMIF(FoodLog!$A:$A,A9,FoodLog!$H:$H))</f>
        <v/>
      </c>
      <c r="N9">
        <f>LET(train,B9,cardio,C9,steps,D9,sleep,E9,reg,F9,prod,I9,kcal,J9,p,K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9">
        <f>TEXTJOIN(", ",TRUE,IF(B9="","тренировка",""),IF(D9="","шаги",""),IF(E9="","сон",""),IF(F9="","режим",""),IF(G9="","настроение",""),IF(H9="","энергия",""),IF(I9="","продуктивность",""),IF(J9="","еда (ккал)",""))</f>
        <v/>
      </c>
      <c r="U9">
        <f>IF($A9="","",IF(SUMIF(FoodLog!$A:$A,$A9,FoodLog!$I:$I)=0,"",SUMIF(FoodLog!$A:$A,$A9,FoodLog!$I:$I)))</f>
        <v/>
      </c>
      <c r="V9">
        <f>IF($A9="","",IF(SUMIF(FoodLog!$A:$A,$A9,FoodLog!$F:$F)=0,"",SUMIF(FoodLog!$A:$A,$A9,FoodLog!$F:$F)))</f>
        <v/>
      </c>
      <c r="W9">
        <f>IF($A9="","",IF(SUMIF(FoodLog!$A:$A,$A9,FoodLog!$G:$G)=0,"",SUMIF(FoodLog!$A:$A,$A9,FoodLog!$G:$G)))</f>
        <v/>
      </c>
      <c r="X9">
        <f>IF($A9="","",IF(SUMIF(FoodLog!$A:$A,$A9,FoodLog!$H:$H)=0,"",SUMIF(FoodLog!$A:$A,$A9,FoodLog!$H:$H)))</f>
        <v/>
      </c>
      <c r="Y9">
        <f>IF($A9="","",IFERROR(ROUND(100*AVERAGE(IF($B9="","",XLOOKUP($B9,FILTER(Dictionaries!$B:$B,Dictionaries!$A:$A="Тренировка"),FILTER(Dictionaries!$C:$C,Dictionaries!$A:$A="Тренировка"))),IF($C9="","",MIN($C9/40,1)),IF($D9="","",XLOOKUP($D9,FILTER(Dictionaries!$B:$B,Dictionaries!$A:$A="Шаги"),FILTER(Dictionaries!$C:$C,Dictionaries!$A:$A="Шаги"))),IF($E9="","",MIN($E9/120,1)),IF(OR($F9&lt;&gt;"",$G9&lt;&gt;""),1,""),IF($H9="","",MIN($H9/100,1)),IF($L9="","",XLOOKUP($L9,FILTER(Dictionaries!$B:$B,Dictionaries!$A:$A="Сон_часы"),FILTER(Dictionaries!$C:$C,Dictionaries!$A:$A="Сон_часы"))),IF($M9="","",XLOOKUP($M9,FILTER(Dictionaries!$B:$B,Dictionaries!$A:$A="Режим"),FILTER(Dictionaries!$C:$C,Dictionaries!$A:$A="Режим"))),IF($N9="","",MIN($N9/100,1)),IF($O9="","",XLOOKUP($O9,FILTER(Dictionaries!$B:$B,Dictionaries!$A:$A="Настроение"),FILTER(Dictionaries!$C:$C,Dictionaries!$A:$A="Настроение"))),IF($P9="","",XLOOKUP($P9,FILTER(Dictionaries!$B:$B,Dictionaries!$A:$A="Энергия"),FILTER(Dictionaries!$C:$C,Dictionaries!$A:$A="Энергия"))),IF($U9="","",AVERAGE(IF(OR($B9="Ноги",$B9="Верх"),IFS(AND($U9&gt;=1900,$U9&lt;=2050),1,AND($U9&gt;=1850,$U9&lt;1900),0.7,AND($U9&gt;2050,$U9&lt;=2100),0.7,TRUE,0.2),IFS(AND($U9&gt;=1700,$U9&lt;=1850),1,AND($U9&gt;=1650,$U9&lt;1700),0.7,AND($U9&gt;1850,$U9&lt;=1900),0.7,TRUE,0.2)),IF(OR($B9="Ноги",$B9="Верх"),IFS(AND($V9&gt;=125,$V9&lt;=135),1,AND($V9&gt;=115,$V9&lt;125),0.7,AND($V9&gt;135,$V9&lt;=145),0.7,AND($V9&gt;=105,$V9&lt;115),0.4,AND($V9&gt;145,$V9&lt;=155),0.4,TRUE,0.2),IFS(AND($V9&gt;=120,$V9&lt;=130),1,AND($V9&gt;=110,$V9&lt;120),0.7,AND($V9&gt;130,$V9&lt;=140),0.7,AND($V9&gt;=100,$V9&lt;110),0.4,AND($V9&gt;140,$V9&lt;=150),0.4,TRUE,0.2)),IFS(AND($W9&gt;=55,$W9&lt;=65),1,AND($W9&gt;=50,$W9&lt;55),0.7,AND($W9&gt;65,$W9&lt;=70),0.7,AND($W9&gt;=45,$W9&lt;50),0.4,AND($W9&gt;70,$W9&lt;=75),0.4,TRUE,0.2),IF(OR($B9="Ноги",$B9="Верх"),IFS(AND($X9&gt;=180,$X9&lt;=210),1,AND($X9&gt;=160,$X9&lt;180),0.7,AND($X9&gt;210,$X9&lt;=230),0.7,AND($X9&gt;=140,$X9&lt;160),0.4,AND($X9&gt;230,$X9&lt;=250),0.4,TRUE,0.2),IFS(AND($X9&gt;=140,$X9&lt;=170),1,AND($X9&gt;=120,$X9&lt;140),0.7,AND($X9&gt;170,$X9&lt;=190),0.7,AND($X9&gt;=100,$X9&lt;120),0.4,AND($X9&gt;190,$X9&lt;=210),0.4,TRUE,0.2))))),1),""))</f>
        <v/>
      </c>
      <c r="Z9">
        <f>IF($A9="","",TEXTJOIN(", ",TRUE,IF($B9="","Тренировка",""),IF($C9="","Кардио",""),IF($D9="","Шаги",""),IF($E9="","Английский",""),IF($F9="","Код-режим",""),IF($G9="","Код-тема",""),IF($H9="","Чтение",""),IF($L9="","Сон",""),IF($M9="","Режим",""),IF($N9="","Продуктивность",""),IF($O9="","Настроение",""),IF($P9="","Энергия",""),IF($U9="","Еда","")))</f>
        <v/>
      </c>
    </row>
    <row r="10">
      <c r="A10" s="2" t="inlineStr"/>
      <c r="J10">
        <f>IF(A10="","",SUMIF(FoodLog!$A:$A,A10,FoodLog!$I:$I))</f>
        <v/>
      </c>
      <c r="K10">
        <f>IF(A10="","",SUMIF(FoodLog!$A:$A,A10,FoodLog!$F:$F))</f>
        <v/>
      </c>
      <c r="L10">
        <f>IF(A10="","",SUMIF(FoodLog!$A:$A,A10,FoodLog!$G:$G))</f>
        <v/>
      </c>
      <c r="M10">
        <f>IF(A10="","",SUMIF(FoodLog!$A:$A,A10,FoodLog!$H:$H))</f>
        <v/>
      </c>
      <c r="N10">
        <f>LET(train,B10,cardio,C10,steps,D10,sleep,E10,reg,F10,prod,I10,kcal,J10,p,K10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0">
        <f>TEXTJOIN(", ",TRUE,IF(B10="","тренировка",""),IF(D10="","шаги",""),IF(E10="","сон",""),IF(F10="","режим",""),IF(G10="","настроение",""),IF(H10="","энергия",""),IF(I10="","продуктивность",""),IF(J10="","еда (ккал)",""))</f>
        <v/>
      </c>
      <c r="U10">
        <f>IF($A10="","",IF(SUMIF(FoodLog!$A:$A,$A10,FoodLog!$I:$I)=0,"",SUMIF(FoodLog!$A:$A,$A10,FoodLog!$I:$I)))</f>
        <v/>
      </c>
      <c r="V10">
        <f>IF($A10="","",IF(SUMIF(FoodLog!$A:$A,$A10,FoodLog!$F:$F)=0,"",SUMIF(FoodLog!$A:$A,$A10,FoodLog!$F:$F)))</f>
        <v/>
      </c>
      <c r="W10">
        <f>IF($A10="","",IF(SUMIF(FoodLog!$A:$A,$A10,FoodLog!$G:$G)=0,"",SUMIF(FoodLog!$A:$A,$A10,FoodLog!$G:$G)))</f>
        <v/>
      </c>
      <c r="X10">
        <f>IF($A10="","",IF(SUMIF(FoodLog!$A:$A,$A10,FoodLog!$H:$H)=0,"",SUMIF(FoodLog!$A:$A,$A10,FoodLog!$H:$H)))</f>
        <v/>
      </c>
      <c r="Y10">
        <f>IF($A10="","",IFERROR(ROUND(100*AVERAGE(IF($B10="","",XLOOKUP($B10,FILTER(Dictionaries!$B:$B,Dictionaries!$A:$A="Тренировка"),FILTER(Dictionaries!$C:$C,Dictionaries!$A:$A="Тренировка"))),IF($C10="","",MIN($C10/40,1)),IF($D10="","",XLOOKUP($D10,FILTER(Dictionaries!$B:$B,Dictionaries!$A:$A="Шаги"),FILTER(Dictionaries!$C:$C,Dictionaries!$A:$A="Шаги"))),IF($E10="","",MIN($E10/120,1)),IF(OR($F10&lt;&gt;"",$G10&lt;&gt;""),1,""),IF($H10="","",MIN($H10/100,1)),IF($L10="","",XLOOKUP($L10,FILTER(Dictionaries!$B:$B,Dictionaries!$A:$A="Сон_часы"),FILTER(Dictionaries!$C:$C,Dictionaries!$A:$A="Сон_часы"))),IF($M10="","",XLOOKUP($M10,FILTER(Dictionaries!$B:$B,Dictionaries!$A:$A="Режим"),FILTER(Dictionaries!$C:$C,Dictionaries!$A:$A="Режим"))),IF($N10="","",MIN($N10/100,1)),IF($O10="","",XLOOKUP($O10,FILTER(Dictionaries!$B:$B,Dictionaries!$A:$A="Настроение"),FILTER(Dictionaries!$C:$C,Dictionaries!$A:$A="Настроение"))),IF($P10="","",XLOOKUP($P10,FILTER(Dictionaries!$B:$B,Dictionaries!$A:$A="Энергия"),FILTER(Dictionaries!$C:$C,Dictionaries!$A:$A="Энергия"))),IF($U10="","",AVERAGE(IF(OR($B10="Ноги",$B10="Верх"),IFS(AND($U10&gt;=1900,$U10&lt;=2050),1,AND($U10&gt;=1850,$U10&lt;1900),0.7,AND($U10&gt;2050,$U10&lt;=2100),0.7,TRUE,0.2),IFS(AND($U10&gt;=1700,$U10&lt;=1850),1,AND($U10&gt;=1650,$U10&lt;1700),0.7,AND($U10&gt;1850,$U10&lt;=1900),0.7,TRUE,0.2)),IF(OR($B10="Ноги",$B10="Верх"),IFS(AND($V10&gt;=125,$V10&lt;=135),1,AND($V10&gt;=115,$V10&lt;125),0.7,AND($V10&gt;135,$V10&lt;=145),0.7,AND($V10&gt;=105,$V10&lt;115),0.4,AND($V10&gt;145,$V10&lt;=155),0.4,TRUE,0.2),IFS(AND($V10&gt;=120,$V10&lt;=130),1,AND($V10&gt;=110,$V10&lt;120),0.7,AND($V10&gt;130,$V10&lt;=140),0.7,AND($V10&gt;=100,$V10&lt;110),0.4,AND($V10&gt;140,$V10&lt;=150),0.4,TRUE,0.2)),IFS(AND($W10&gt;=55,$W10&lt;=65),1,AND($W10&gt;=50,$W10&lt;55),0.7,AND($W10&gt;65,$W10&lt;=70),0.7,AND($W10&gt;=45,$W10&lt;50),0.4,AND($W10&gt;70,$W10&lt;=75),0.4,TRUE,0.2),IF(OR($B10="Ноги",$B10="Верх"),IFS(AND($X10&gt;=180,$X10&lt;=210),1,AND($X10&gt;=160,$X10&lt;180),0.7,AND($X10&gt;210,$X10&lt;=230),0.7,AND($X10&gt;=140,$X10&lt;160),0.4,AND($X10&gt;230,$X10&lt;=250),0.4,TRUE,0.2),IFS(AND($X10&gt;=140,$X10&lt;=170),1,AND($X10&gt;=120,$X10&lt;140),0.7,AND($X10&gt;170,$X10&lt;=190),0.7,AND($X10&gt;=100,$X10&lt;120),0.4,AND($X10&gt;190,$X10&lt;=210),0.4,TRUE,0.2))))),1),""))</f>
        <v/>
      </c>
      <c r="Z10">
        <f>IF($A10="","",TEXTJOIN(", ",TRUE,IF($B10="","Тренировка",""),IF($C10="","Кардио",""),IF($D10="","Шаги",""),IF($E10="","Английский",""),IF($F10="","Код-режим",""),IF($G10="","Код-тема",""),IF($H10="","Чтение",""),IF($L10="","Сон",""),IF($M10="","Режим",""),IF($N10="","Продуктивность",""),IF($O10="","Настроение",""),IF($P10="","Энергия",""),IF($U10="","Еда","")))</f>
        <v/>
      </c>
    </row>
    <row r="11">
      <c r="A11" s="2" t="inlineStr"/>
      <c r="J11">
        <f>IF(A11="","",SUMIF(FoodLog!$A:$A,A11,FoodLog!$I:$I))</f>
        <v/>
      </c>
      <c r="K11">
        <f>IF(A11="","",SUMIF(FoodLog!$A:$A,A11,FoodLog!$F:$F))</f>
        <v/>
      </c>
      <c r="L11">
        <f>IF(A11="","",SUMIF(FoodLog!$A:$A,A11,FoodLog!$G:$G))</f>
        <v/>
      </c>
      <c r="M11">
        <f>IF(A11="","",SUMIF(FoodLog!$A:$A,A11,FoodLog!$H:$H))</f>
        <v/>
      </c>
      <c r="N11">
        <f>LET(train,B11,cardio,C11,steps,D11,sleep,E11,reg,F11,prod,I11,kcal,J11,p,K11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1">
        <f>TEXTJOIN(", ",TRUE,IF(B11="","тренировка",""),IF(D11="","шаги",""),IF(E11="","сон",""),IF(F11="","режим",""),IF(G11="","настроение",""),IF(H11="","энергия",""),IF(I11="","продуктивность",""),IF(J11="","еда (ккал)",""))</f>
        <v/>
      </c>
      <c r="U11">
        <f>IF($A11="","",IF(SUMIF(FoodLog!$A:$A,$A11,FoodLog!$I:$I)=0,"",SUMIF(FoodLog!$A:$A,$A11,FoodLog!$I:$I)))</f>
        <v/>
      </c>
      <c r="V11">
        <f>IF($A11="","",IF(SUMIF(FoodLog!$A:$A,$A11,FoodLog!$F:$F)=0,"",SUMIF(FoodLog!$A:$A,$A11,FoodLog!$F:$F)))</f>
        <v/>
      </c>
      <c r="W11">
        <f>IF($A11="","",IF(SUMIF(FoodLog!$A:$A,$A11,FoodLog!$G:$G)=0,"",SUMIF(FoodLog!$A:$A,$A11,FoodLog!$G:$G)))</f>
        <v/>
      </c>
      <c r="X11">
        <f>IF($A11="","",IF(SUMIF(FoodLog!$A:$A,$A11,FoodLog!$H:$H)=0,"",SUMIF(FoodLog!$A:$A,$A11,FoodLog!$H:$H)))</f>
        <v/>
      </c>
      <c r="Y11">
        <f>IF($A11="","",IFERROR(ROUND(100*AVERAGE(IF($B11="","",XLOOKUP($B11,FILTER(Dictionaries!$B:$B,Dictionaries!$A:$A="Тренировка"),FILTER(Dictionaries!$C:$C,Dictionaries!$A:$A="Тренировка"))),IF($C11="","",MIN($C11/40,1)),IF($D11="","",XLOOKUP($D11,FILTER(Dictionaries!$B:$B,Dictionaries!$A:$A="Шаги"),FILTER(Dictionaries!$C:$C,Dictionaries!$A:$A="Шаги"))),IF($E11="","",MIN($E11/120,1)),IF(OR($F11&lt;&gt;"",$G11&lt;&gt;""),1,""),IF($H11="","",MIN($H11/100,1)),IF($L11="","",XLOOKUP($L11,FILTER(Dictionaries!$B:$B,Dictionaries!$A:$A="Сон_часы"),FILTER(Dictionaries!$C:$C,Dictionaries!$A:$A="Сон_часы"))),IF($M11="","",XLOOKUP($M11,FILTER(Dictionaries!$B:$B,Dictionaries!$A:$A="Режим"),FILTER(Dictionaries!$C:$C,Dictionaries!$A:$A="Режим"))),IF($N11="","",MIN($N11/100,1)),IF($O11="","",XLOOKUP($O11,FILTER(Dictionaries!$B:$B,Dictionaries!$A:$A="Настроение"),FILTER(Dictionaries!$C:$C,Dictionaries!$A:$A="Настроение"))),IF($P11="","",XLOOKUP($P11,FILTER(Dictionaries!$B:$B,Dictionaries!$A:$A="Энергия"),FILTER(Dictionaries!$C:$C,Dictionaries!$A:$A="Энергия"))),IF($U11="","",AVERAGE(IF(OR($B11="Ноги",$B11="Верх"),IFS(AND($U11&gt;=1900,$U11&lt;=2050),1,AND($U11&gt;=1850,$U11&lt;1900),0.7,AND($U11&gt;2050,$U11&lt;=2100),0.7,TRUE,0.2),IFS(AND($U11&gt;=1700,$U11&lt;=1850),1,AND($U11&gt;=1650,$U11&lt;1700),0.7,AND($U11&gt;1850,$U11&lt;=1900),0.7,TRUE,0.2)),IF(OR($B11="Ноги",$B11="Верх"),IFS(AND($V11&gt;=125,$V11&lt;=135),1,AND($V11&gt;=115,$V11&lt;125),0.7,AND($V11&gt;135,$V11&lt;=145),0.7,AND($V11&gt;=105,$V11&lt;115),0.4,AND($V11&gt;145,$V11&lt;=155),0.4,TRUE,0.2),IFS(AND($V11&gt;=120,$V11&lt;=130),1,AND($V11&gt;=110,$V11&lt;120),0.7,AND($V11&gt;130,$V11&lt;=140),0.7,AND($V11&gt;=100,$V11&lt;110),0.4,AND($V11&gt;140,$V11&lt;=150),0.4,TRUE,0.2)),IFS(AND($W11&gt;=55,$W11&lt;=65),1,AND($W11&gt;=50,$W11&lt;55),0.7,AND($W11&gt;65,$W11&lt;=70),0.7,AND($W11&gt;=45,$W11&lt;50),0.4,AND($W11&gt;70,$W11&lt;=75),0.4,TRUE,0.2),IF(OR($B11="Ноги",$B11="Верх"),IFS(AND($X11&gt;=180,$X11&lt;=210),1,AND($X11&gt;=160,$X11&lt;180),0.7,AND($X11&gt;210,$X11&lt;=230),0.7,AND($X11&gt;=140,$X11&lt;160),0.4,AND($X11&gt;230,$X11&lt;=250),0.4,TRUE,0.2),IFS(AND($X11&gt;=140,$X11&lt;=170),1,AND($X11&gt;=120,$X11&lt;140),0.7,AND($X11&gt;170,$X11&lt;=190),0.7,AND($X11&gt;=100,$X11&lt;120),0.4,AND($X11&gt;190,$X11&lt;=210),0.4,TRUE,0.2))))),1),""))</f>
        <v/>
      </c>
      <c r="Z11">
        <f>IF($A11="","",TEXTJOIN(", ",TRUE,IF($B11="","Тренировка",""),IF($C11="","Кардио",""),IF($D11="","Шаги",""),IF($E11="","Английский",""),IF($F11="","Код-режим",""),IF($G11="","Код-тема",""),IF($H11="","Чтение",""),IF($L11="","Сон",""),IF($M11="","Режим",""),IF($N11="","Продуктивность",""),IF($O11="","Настроение",""),IF($P11="","Энергия",""),IF($U11="","Еда","")))</f>
        <v/>
      </c>
    </row>
    <row r="12">
      <c r="A12" s="2" t="inlineStr"/>
      <c r="J12">
        <f>IF(A12="","",SUMIF(FoodLog!$A:$A,A12,FoodLog!$I:$I))</f>
        <v/>
      </c>
      <c r="K12">
        <f>IF(A12="","",SUMIF(FoodLog!$A:$A,A12,FoodLog!$F:$F))</f>
        <v/>
      </c>
      <c r="L12">
        <f>IF(A12="","",SUMIF(FoodLog!$A:$A,A12,FoodLog!$G:$G))</f>
        <v/>
      </c>
      <c r="M12">
        <f>IF(A12="","",SUMIF(FoodLog!$A:$A,A12,FoodLog!$H:$H))</f>
        <v/>
      </c>
      <c r="N12">
        <f>LET(train,B12,cardio,C12,steps,D12,sleep,E12,reg,F12,prod,I12,kcal,J12,p,K12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2">
        <f>TEXTJOIN(", ",TRUE,IF(B12="","тренировка",""),IF(D12="","шаги",""),IF(E12="","сон",""),IF(F12="","режим",""),IF(G12="","настроение",""),IF(H12="","энергия",""),IF(I12="","продуктивность",""),IF(J12="","еда (ккал)",""))</f>
        <v/>
      </c>
      <c r="U12">
        <f>IF($A12="","",IF(SUMIF(FoodLog!$A:$A,$A12,FoodLog!$I:$I)=0,"",SUMIF(FoodLog!$A:$A,$A12,FoodLog!$I:$I)))</f>
        <v/>
      </c>
      <c r="V12">
        <f>IF($A12="","",IF(SUMIF(FoodLog!$A:$A,$A12,FoodLog!$F:$F)=0,"",SUMIF(FoodLog!$A:$A,$A12,FoodLog!$F:$F)))</f>
        <v/>
      </c>
      <c r="W12">
        <f>IF($A12="","",IF(SUMIF(FoodLog!$A:$A,$A12,FoodLog!$G:$G)=0,"",SUMIF(FoodLog!$A:$A,$A12,FoodLog!$G:$G)))</f>
        <v/>
      </c>
      <c r="X12">
        <f>IF($A12="","",IF(SUMIF(FoodLog!$A:$A,$A12,FoodLog!$H:$H)=0,"",SUMIF(FoodLog!$A:$A,$A12,FoodLog!$H:$H)))</f>
        <v/>
      </c>
      <c r="Y12">
        <f>IF($A12="","",IFERROR(ROUND(100*AVERAGE(IF($B12="","",XLOOKUP($B12,FILTER(Dictionaries!$B:$B,Dictionaries!$A:$A="Тренировка"),FILTER(Dictionaries!$C:$C,Dictionaries!$A:$A="Тренировка"))),IF($C12="","",MIN($C12/40,1)),IF($D12="","",XLOOKUP($D12,FILTER(Dictionaries!$B:$B,Dictionaries!$A:$A="Шаги"),FILTER(Dictionaries!$C:$C,Dictionaries!$A:$A="Шаги"))),IF($E12="","",MIN($E12/120,1)),IF(OR($F12&lt;&gt;"",$G12&lt;&gt;""),1,""),IF($H12="","",MIN($H12/100,1)),IF($L12="","",XLOOKUP($L12,FILTER(Dictionaries!$B:$B,Dictionaries!$A:$A="Сон_часы"),FILTER(Dictionaries!$C:$C,Dictionaries!$A:$A="Сон_часы"))),IF($M12="","",XLOOKUP($M12,FILTER(Dictionaries!$B:$B,Dictionaries!$A:$A="Режим"),FILTER(Dictionaries!$C:$C,Dictionaries!$A:$A="Режим"))),IF($N12="","",MIN($N12/100,1)),IF($O12="","",XLOOKUP($O12,FILTER(Dictionaries!$B:$B,Dictionaries!$A:$A="Настроение"),FILTER(Dictionaries!$C:$C,Dictionaries!$A:$A="Настроение"))),IF($P12="","",XLOOKUP($P12,FILTER(Dictionaries!$B:$B,Dictionaries!$A:$A="Энергия"),FILTER(Dictionaries!$C:$C,Dictionaries!$A:$A="Энергия"))),IF($U12="","",AVERAGE(IF(OR($B12="Ноги",$B12="Верх"),IFS(AND($U12&gt;=1900,$U12&lt;=2050),1,AND($U12&gt;=1850,$U12&lt;1900),0.7,AND($U12&gt;2050,$U12&lt;=2100),0.7,TRUE,0.2),IFS(AND($U12&gt;=1700,$U12&lt;=1850),1,AND($U12&gt;=1650,$U12&lt;1700),0.7,AND($U12&gt;1850,$U12&lt;=1900),0.7,TRUE,0.2)),IF(OR($B12="Ноги",$B12="Верх"),IFS(AND($V12&gt;=125,$V12&lt;=135),1,AND($V12&gt;=115,$V12&lt;125),0.7,AND($V12&gt;135,$V12&lt;=145),0.7,AND($V12&gt;=105,$V12&lt;115),0.4,AND($V12&gt;145,$V12&lt;=155),0.4,TRUE,0.2),IFS(AND($V12&gt;=120,$V12&lt;=130),1,AND($V12&gt;=110,$V12&lt;120),0.7,AND($V12&gt;130,$V12&lt;=140),0.7,AND($V12&gt;=100,$V12&lt;110),0.4,AND($V12&gt;140,$V12&lt;=150),0.4,TRUE,0.2)),IFS(AND($W12&gt;=55,$W12&lt;=65),1,AND($W12&gt;=50,$W12&lt;55),0.7,AND($W12&gt;65,$W12&lt;=70),0.7,AND($W12&gt;=45,$W12&lt;50),0.4,AND($W12&gt;70,$W12&lt;=75),0.4,TRUE,0.2),IF(OR($B12="Ноги",$B12="Верх"),IFS(AND($X12&gt;=180,$X12&lt;=210),1,AND($X12&gt;=160,$X12&lt;180),0.7,AND($X12&gt;210,$X12&lt;=230),0.7,AND($X12&gt;=140,$X12&lt;160),0.4,AND($X12&gt;230,$X12&lt;=250),0.4,TRUE,0.2),IFS(AND($X12&gt;=140,$X12&lt;=170),1,AND($X12&gt;=120,$X12&lt;140),0.7,AND($X12&gt;170,$X12&lt;=190),0.7,AND($X12&gt;=100,$X12&lt;120),0.4,AND($X12&gt;190,$X12&lt;=210),0.4,TRUE,0.2))))),1),""))</f>
        <v/>
      </c>
      <c r="Z12">
        <f>IF($A12="","",TEXTJOIN(", ",TRUE,IF($B12="","Тренировка",""),IF($C12="","Кардио",""),IF($D12="","Шаги",""),IF($E12="","Английский",""),IF($F12="","Код-режим",""),IF($G12="","Код-тема",""),IF($H12="","Чтение",""),IF($L12="","Сон",""),IF($M12="","Режим",""),IF($N12="","Продуктивность",""),IF($O12="","Настроение",""),IF($P12="","Энергия",""),IF($U12="","Еда","")))</f>
        <v/>
      </c>
    </row>
    <row r="13">
      <c r="A13" s="2" t="inlineStr"/>
      <c r="J13">
        <f>IF(A13="","",SUMIF(FoodLog!$A:$A,A13,FoodLog!$I:$I))</f>
        <v/>
      </c>
      <c r="K13">
        <f>IF(A13="","",SUMIF(FoodLog!$A:$A,A13,FoodLog!$F:$F))</f>
        <v/>
      </c>
      <c r="L13">
        <f>IF(A13="","",SUMIF(FoodLog!$A:$A,A13,FoodLog!$G:$G))</f>
        <v/>
      </c>
      <c r="M13">
        <f>IF(A13="","",SUMIF(FoodLog!$A:$A,A13,FoodLog!$H:$H))</f>
        <v/>
      </c>
      <c r="N13">
        <f>LET(train,B13,cardio,C13,steps,D13,sleep,E13,reg,F13,prod,I13,kcal,J13,p,K13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3">
        <f>TEXTJOIN(", ",TRUE,IF(B13="","тренировка",""),IF(D13="","шаги",""),IF(E13="","сон",""),IF(F13="","режим",""),IF(G13="","настроение",""),IF(H13="","энергия",""),IF(I13="","продуктивность",""),IF(J13="","еда (ккал)",""))</f>
        <v/>
      </c>
      <c r="U13">
        <f>IF($A13="","",IF(SUMIF(FoodLog!$A:$A,$A13,FoodLog!$I:$I)=0,"",SUMIF(FoodLog!$A:$A,$A13,FoodLog!$I:$I)))</f>
        <v/>
      </c>
      <c r="V13">
        <f>IF($A13="","",IF(SUMIF(FoodLog!$A:$A,$A13,FoodLog!$F:$F)=0,"",SUMIF(FoodLog!$A:$A,$A13,FoodLog!$F:$F)))</f>
        <v/>
      </c>
      <c r="W13">
        <f>IF($A13="","",IF(SUMIF(FoodLog!$A:$A,$A13,FoodLog!$G:$G)=0,"",SUMIF(FoodLog!$A:$A,$A13,FoodLog!$G:$G)))</f>
        <v/>
      </c>
      <c r="X13">
        <f>IF($A13="","",IF(SUMIF(FoodLog!$A:$A,$A13,FoodLog!$H:$H)=0,"",SUMIF(FoodLog!$A:$A,$A13,FoodLog!$H:$H)))</f>
        <v/>
      </c>
      <c r="Y13">
        <f>IF($A13="","",IFERROR(ROUND(100*AVERAGE(IF($B13="","",XLOOKUP($B13,FILTER(Dictionaries!$B:$B,Dictionaries!$A:$A="Тренировка"),FILTER(Dictionaries!$C:$C,Dictionaries!$A:$A="Тренировка"))),IF($C13="","",MIN($C13/40,1)),IF($D13="","",XLOOKUP($D13,FILTER(Dictionaries!$B:$B,Dictionaries!$A:$A="Шаги"),FILTER(Dictionaries!$C:$C,Dictionaries!$A:$A="Шаги"))),IF($E13="","",MIN($E13/120,1)),IF(OR($F13&lt;&gt;"",$G13&lt;&gt;""),1,""),IF($H13="","",MIN($H13/100,1)),IF($L13="","",XLOOKUP($L13,FILTER(Dictionaries!$B:$B,Dictionaries!$A:$A="Сон_часы"),FILTER(Dictionaries!$C:$C,Dictionaries!$A:$A="Сон_часы"))),IF($M13="","",XLOOKUP($M13,FILTER(Dictionaries!$B:$B,Dictionaries!$A:$A="Режим"),FILTER(Dictionaries!$C:$C,Dictionaries!$A:$A="Режим"))),IF($N13="","",MIN($N13/100,1)),IF($O13="","",XLOOKUP($O13,FILTER(Dictionaries!$B:$B,Dictionaries!$A:$A="Настроение"),FILTER(Dictionaries!$C:$C,Dictionaries!$A:$A="Настроение"))),IF($P13="","",XLOOKUP($P13,FILTER(Dictionaries!$B:$B,Dictionaries!$A:$A="Энергия"),FILTER(Dictionaries!$C:$C,Dictionaries!$A:$A="Энергия"))),IF($U13="","",AVERAGE(IF(OR($B13="Ноги",$B13="Верх"),IFS(AND($U13&gt;=1900,$U13&lt;=2050),1,AND($U13&gt;=1850,$U13&lt;1900),0.7,AND($U13&gt;2050,$U13&lt;=2100),0.7,TRUE,0.2),IFS(AND($U13&gt;=1700,$U13&lt;=1850),1,AND($U13&gt;=1650,$U13&lt;1700),0.7,AND($U13&gt;1850,$U13&lt;=1900),0.7,TRUE,0.2)),IF(OR($B13="Ноги",$B13="Верх"),IFS(AND($V13&gt;=125,$V13&lt;=135),1,AND($V13&gt;=115,$V13&lt;125),0.7,AND($V13&gt;135,$V13&lt;=145),0.7,AND($V13&gt;=105,$V13&lt;115),0.4,AND($V13&gt;145,$V13&lt;=155),0.4,TRUE,0.2),IFS(AND($V13&gt;=120,$V13&lt;=130),1,AND($V13&gt;=110,$V13&lt;120),0.7,AND($V13&gt;130,$V13&lt;=140),0.7,AND($V13&gt;=100,$V13&lt;110),0.4,AND($V13&gt;140,$V13&lt;=150),0.4,TRUE,0.2)),IFS(AND($W13&gt;=55,$W13&lt;=65),1,AND($W13&gt;=50,$W13&lt;55),0.7,AND($W13&gt;65,$W13&lt;=70),0.7,AND($W13&gt;=45,$W13&lt;50),0.4,AND($W13&gt;70,$W13&lt;=75),0.4,TRUE,0.2),IF(OR($B13="Ноги",$B13="Верх"),IFS(AND($X13&gt;=180,$X13&lt;=210),1,AND($X13&gt;=160,$X13&lt;180),0.7,AND($X13&gt;210,$X13&lt;=230),0.7,AND($X13&gt;=140,$X13&lt;160),0.4,AND($X13&gt;230,$X13&lt;=250),0.4,TRUE,0.2),IFS(AND($X13&gt;=140,$X13&lt;=170),1,AND($X13&gt;=120,$X13&lt;140),0.7,AND($X13&gt;170,$X13&lt;=190),0.7,AND($X13&gt;=100,$X13&lt;120),0.4,AND($X13&gt;190,$X13&lt;=210),0.4,TRUE,0.2))))),1),""))</f>
        <v/>
      </c>
      <c r="Z13">
        <f>IF($A13="","",TEXTJOIN(", ",TRUE,IF($B13="","Тренировка",""),IF($C13="","Кардио",""),IF($D13="","Шаги",""),IF($E13="","Английский",""),IF($F13="","Код-режим",""),IF($G13="","Код-тема",""),IF($H13="","Чтение",""),IF($L13="","Сон",""),IF($M13="","Режим",""),IF($N13="","Продуктивность",""),IF($O13="","Настроение",""),IF($P13="","Энергия",""),IF($U13="","Еда","")))</f>
        <v/>
      </c>
    </row>
    <row r="14">
      <c r="A14" s="2" t="inlineStr"/>
      <c r="J14">
        <f>IF(A14="","",SUMIF(FoodLog!$A:$A,A14,FoodLog!$I:$I))</f>
        <v/>
      </c>
      <c r="K14">
        <f>IF(A14="","",SUMIF(FoodLog!$A:$A,A14,FoodLog!$F:$F))</f>
        <v/>
      </c>
      <c r="L14">
        <f>IF(A14="","",SUMIF(FoodLog!$A:$A,A14,FoodLog!$G:$G))</f>
        <v/>
      </c>
      <c r="M14">
        <f>IF(A14="","",SUMIF(FoodLog!$A:$A,A14,FoodLog!$H:$H))</f>
        <v/>
      </c>
      <c r="N14">
        <f>LET(train,B14,cardio,C14,steps,D14,sleep,E14,reg,F14,prod,I14,kcal,J14,p,K14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4">
        <f>TEXTJOIN(", ",TRUE,IF(B14="","тренировка",""),IF(D14="","шаги",""),IF(E14="","сон",""),IF(F14="","режим",""),IF(G14="","настроение",""),IF(H14="","энергия",""),IF(I14="","продуктивность",""),IF(J14="","еда (ккал)",""))</f>
        <v/>
      </c>
      <c r="U14">
        <f>IF($A14="","",IF(SUMIF(FoodLog!$A:$A,$A14,FoodLog!$I:$I)=0,"",SUMIF(FoodLog!$A:$A,$A14,FoodLog!$I:$I)))</f>
        <v/>
      </c>
      <c r="V14">
        <f>IF($A14="","",IF(SUMIF(FoodLog!$A:$A,$A14,FoodLog!$F:$F)=0,"",SUMIF(FoodLog!$A:$A,$A14,FoodLog!$F:$F)))</f>
        <v/>
      </c>
      <c r="W14">
        <f>IF($A14="","",IF(SUMIF(FoodLog!$A:$A,$A14,FoodLog!$G:$G)=0,"",SUMIF(FoodLog!$A:$A,$A14,FoodLog!$G:$G)))</f>
        <v/>
      </c>
      <c r="X14">
        <f>IF($A14="","",IF(SUMIF(FoodLog!$A:$A,$A14,FoodLog!$H:$H)=0,"",SUMIF(FoodLog!$A:$A,$A14,FoodLog!$H:$H)))</f>
        <v/>
      </c>
      <c r="Y14">
        <f>IF($A14="","",IFERROR(ROUND(100*AVERAGE(IF($B14="","",XLOOKUP($B14,FILTER(Dictionaries!$B:$B,Dictionaries!$A:$A="Тренировка"),FILTER(Dictionaries!$C:$C,Dictionaries!$A:$A="Тренировка"))),IF($C14="","",MIN($C14/40,1)),IF($D14="","",XLOOKUP($D14,FILTER(Dictionaries!$B:$B,Dictionaries!$A:$A="Шаги"),FILTER(Dictionaries!$C:$C,Dictionaries!$A:$A="Шаги"))),IF($E14="","",MIN($E14/120,1)),IF(OR($F14&lt;&gt;"",$G14&lt;&gt;""),1,""),IF($H14="","",MIN($H14/100,1)),IF($L14="","",XLOOKUP($L14,FILTER(Dictionaries!$B:$B,Dictionaries!$A:$A="Сон_часы"),FILTER(Dictionaries!$C:$C,Dictionaries!$A:$A="Сон_часы"))),IF($M14="","",XLOOKUP($M14,FILTER(Dictionaries!$B:$B,Dictionaries!$A:$A="Режим"),FILTER(Dictionaries!$C:$C,Dictionaries!$A:$A="Режим"))),IF($N14="","",MIN($N14/100,1)),IF($O14="","",XLOOKUP($O14,FILTER(Dictionaries!$B:$B,Dictionaries!$A:$A="Настроение"),FILTER(Dictionaries!$C:$C,Dictionaries!$A:$A="Настроение"))),IF($P14="","",XLOOKUP($P14,FILTER(Dictionaries!$B:$B,Dictionaries!$A:$A="Энергия"),FILTER(Dictionaries!$C:$C,Dictionaries!$A:$A="Энергия"))),IF($U14="","",AVERAGE(IF(OR($B14="Ноги",$B14="Верх"),IFS(AND($U14&gt;=1900,$U14&lt;=2050),1,AND($U14&gt;=1850,$U14&lt;1900),0.7,AND($U14&gt;2050,$U14&lt;=2100),0.7,TRUE,0.2),IFS(AND($U14&gt;=1700,$U14&lt;=1850),1,AND($U14&gt;=1650,$U14&lt;1700),0.7,AND($U14&gt;1850,$U14&lt;=1900),0.7,TRUE,0.2)),IF(OR($B14="Ноги",$B14="Верх"),IFS(AND($V14&gt;=125,$V14&lt;=135),1,AND($V14&gt;=115,$V14&lt;125),0.7,AND($V14&gt;135,$V14&lt;=145),0.7,AND($V14&gt;=105,$V14&lt;115),0.4,AND($V14&gt;145,$V14&lt;=155),0.4,TRUE,0.2),IFS(AND($V14&gt;=120,$V14&lt;=130),1,AND($V14&gt;=110,$V14&lt;120),0.7,AND($V14&gt;130,$V14&lt;=140),0.7,AND($V14&gt;=100,$V14&lt;110),0.4,AND($V14&gt;140,$V14&lt;=150),0.4,TRUE,0.2)),IFS(AND($W14&gt;=55,$W14&lt;=65),1,AND($W14&gt;=50,$W14&lt;55),0.7,AND($W14&gt;65,$W14&lt;=70),0.7,AND($W14&gt;=45,$W14&lt;50),0.4,AND($W14&gt;70,$W14&lt;=75),0.4,TRUE,0.2),IF(OR($B14="Ноги",$B14="Верх"),IFS(AND($X14&gt;=180,$X14&lt;=210),1,AND($X14&gt;=160,$X14&lt;180),0.7,AND($X14&gt;210,$X14&lt;=230),0.7,AND($X14&gt;=140,$X14&lt;160),0.4,AND($X14&gt;230,$X14&lt;=250),0.4,TRUE,0.2),IFS(AND($X14&gt;=140,$X14&lt;=170),1,AND($X14&gt;=120,$X14&lt;140),0.7,AND($X14&gt;170,$X14&lt;=190),0.7,AND($X14&gt;=100,$X14&lt;120),0.4,AND($X14&gt;190,$X14&lt;=210),0.4,TRUE,0.2))))),1),""))</f>
        <v/>
      </c>
      <c r="Z14">
        <f>IF($A14="","",TEXTJOIN(", ",TRUE,IF($B14="","Тренировка",""),IF($C14="","Кардио",""),IF($D14="","Шаги",""),IF($E14="","Английский",""),IF($F14="","Код-режим",""),IF($G14="","Код-тема",""),IF($H14="","Чтение",""),IF($L14="","Сон",""),IF($M14="","Режим",""),IF($N14="","Продуктивность",""),IF($O14="","Настроение",""),IF($P14="","Энергия",""),IF($U14="","Еда","")))</f>
        <v/>
      </c>
    </row>
    <row r="15">
      <c r="A15" s="2" t="inlineStr"/>
      <c r="J15">
        <f>IF(A15="","",SUMIF(FoodLog!$A:$A,A15,FoodLog!$I:$I))</f>
        <v/>
      </c>
      <c r="K15">
        <f>IF(A15="","",SUMIF(FoodLog!$A:$A,A15,FoodLog!$F:$F))</f>
        <v/>
      </c>
      <c r="L15">
        <f>IF(A15="","",SUMIF(FoodLog!$A:$A,A15,FoodLog!$G:$G))</f>
        <v/>
      </c>
      <c r="M15">
        <f>IF(A15="","",SUMIF(FoodLog!$A:$A,A15,FoodLog!$H:$H))</f>
        <v/>
      </c>
      <c r="N15">
        <f>LET(train,B15,cardio,C15,steps,D15,sleep,E15,reg,F15,prod,I15,kcal,J15,p,K15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5">
        <f>TEXTJOIN(", ",TRUE,IF(B15="","тренировка",""),IF(D15="","шаги",""),IF(E15="","сон",""),IF(F15="","режим",""),IF(G15="","настроение",""),IF(H15="","энергия",""),IF(I15="","продуктивность",""),IF(J15="","еда (ккал)",""))</f>
        <v/>
      </c>
      <c r="U15">
        <f>IF($A15="","",IF(SUMIF(FoodLog!$A:$A,$A15,FoodLog!$I:$I)=0,"",SUMIF(FoodLog!$A:$A,$A15,FoodLog!$I:$I)))</f>
        <v/>
      </c>
      <c r="V15">
        <f>IF($A15="","",IF(SUMIF(FoodLog!$A:$A,$A15,FoodLog!$F:$F)=0,"",SUMIF(FoodLog!$A:$A,$A15,FoodLog!$F:$F)))</f>
        <v/>
      </c>
      <c r="W15">
        <f>IF($A15="","",IF(SUMIF(FoodLog!$A:$A,$A15,FoodLog!$G:$G)=0,"",SUMIF(FoodLog!$A:$A,$A15,FoodLog!$G:$G)))</f>
        <v/>
      </c>
      <c r="X15">
        <f>IF($A15="","",IF(SUMIF(FoodLog!$A:$A,$A15,FoodLog!$H:$H)=0,"",SUMIF(FoodLog!$A:$A,$A15,FoodLog!$H:$H)))</f>
        <v/>
      </c>
      <c r="Y15">
        <f>IF($A15="","",IFERROR(ROUND(100*AVERAGE(IF($B15="","",XLOOKUP($B15,FILTER(Dictionaries!$B:$B,Dictionaries!$A:$A="Тренировка"),FILTER(Dictionaries!$C:$C,Dictionaries!$A:$A="Тренировка"))),IF($C15="","",MIN($C15/40,1)),IF($D15="","",XLOOKUP($D15,FILTER(Dictionaries!$B:$B,Dictionaries!$A:$A="Шаги"),FILTER(Dictionaries!$C:$C,Dictionaries!$A:$A="Шаги"))),IF($E15="","",MIN($E15/120,1)),IF(OR($F15&lt;&gt;"",$G15&lt;&gt;""),1,""),IF($H15="","",MIN($H15/100,1)),IF($L15="","",XLOOKUP($L15,FILTER(Dictionaries!$B:$B,Dictionaries!$A:$A="Сон_часы"),FILTER(Dictionaries!$C:$C,Dictionaries!$A:$A="Сон_часы"))),IF($M15="","",XLOOKUP($M15,FILTER(Dictionaries!$B:$B,Dictionaries!$A:$A="Режим"),FILTER(Dictionaries!$C:$C,Dictionaries!$A:$A="Режим"))),IF($N15="","",MIN($N15/100,1)),IF($O15="","",XLOOKUP($O15,FILTER(Dictionaries!$B:$B,Dictionaries!$A:$A="Настроение"),FILTER(Dictionaries!$C:$C,Dictionaries!$A:$A="Настроение"))),IF($P15="","",XLOOKUP($P15,FILTER(Dictionaries!$B:$B,Dictionaries!$A:$A="Энергия"),FILTER(Dictionaries!$C:$C,Dictionaries!$A:$A="Энергия"))),IF($U15="","",AVERAGE(IF(OR($B15="Ноги",$B15="Верх"),IFS(AND($U15&gt;=1900,$U15&lt;=2050),1,AND($U15&gt;=1850,$U15&lt;1900),0.7,AND($U15&gt;2050,$U15&lt;=2100),0.7,TRUE,0.2),IFS(AND($U15&gt;=1700,$U15&lt;=1850),1,AND($U15&gt;=1650,$U15&lt;1700),0.7,AND($U15&gt;1850,$U15&lt;=1900),0.7,TRUE,0.2)),IF(OR($B15="Ноги",$B15="Верх"),IFS(AND($V15&gt;=125,$V15&lt;=135),1,AND($V15&gt;=115,$V15&lt;125),0.7,AND($V15&gt;135,$V15&lt;=145),0.7,AND($V15&gt;=105,$V15&lt;115),0.4,AND($V15&gt;145,$V15&lt;=155),0.4,TRUE,0.2),IFS(AND($V15&gt;=120,$V15&lt;=130),1,AND($V15&gt;=110,$V15&lt;120),0.7,AND($V15&gt;130,$V15&lt;=140),0.7,AND($V15&gt;=100,$V15&lt;110),0.4,AND($V15&gt;140,$V15&lt;=150),0.4,TRUE,0.2)),IFS(AND($W15&gt;=55,$W15&lt;=65),1,AND($W15&gt;=50,$W15&lt;55),0.7,AND($W15&gt;65,$W15&lt;=70),0.7,AND($W15&gt;=45,$W15&lt;50),0.4,AND($W15&gt;70,$W15&lt;=75),0.4,TRUE,0.2),IF(OR($B15="Ноги",$B15="Верх"),IFS(AND($X15&gt;=180,$X15&lt;=210),1,AND($X15&gt;=160,$X15&lt;180),0.7,AND($X15&gt;210,$X15&lt;=230),0.7,AND($X15&gt;=140,$X15&lt;160),0.4,AND($X15&gt;230,$X15&lt;=250),0.4,TRUE,0.2),IFS(AND($X15&gt;=140,$X15&lt;=170),1,AND($X15&gt;=120,$X15&lt;140),0.7,AND($X15&gt;170,$X15&lt;=190),0.7,AND($X15&gt;=100,$X15&lt;120),0.4,AND($X15&gt;190,$X15&lt;=210),0.4,TRUE,0.2))))),1),""))</f>
        <v/>
      </c>
      <c r="Z15">
        <f>IF($A15="","",TEXTJOIN(", ",TRUE,IF($B15="","Тренировка",""),IF($C15="","Кардио",""),IF($D15="","Шаги",""),IF($E15="","Английский",""),IF($F15="","Код-режим",""),IF($G15="","Код-тема",""),IF($H15="","Чтение",""),IF($L15="","Сон",""),IF($M15="","Режим",""),IF($N15="","Продуктивность",""),IF($O15="","Настроение",""),IF($P15="","Энергия",""),IF($U15="","Еда","")))</f>
        <v/>
      </c>
    </row>
    <row r="16">
      <c r="A16" s="2" t="inlineStr"/>
      <c r="J16">
        <f>IF(A16="","",SUMIF(FoodLog!$A:$A,A16,FoodLog!$I:$I))</f>
        <v/>
      </c>
      <c r="K16">
        <f>IF(A16="","",SUMIF(FoodLog!$A:$A,A16,FoodLog!$F:$F))</f>
        <v/>
      </c>
      <c r="L16">
        <f>IF(A16="","",SUMIF(FoodLog!$A:$A,A16,FoodLog!$G:$G))</f>
        <v/>
      </c>
      <c r="M16">
        <f>IF(A16="","",SUMIF(FoodLog!$A:$A,A16,FoodLog!$H:$H))</f>
        <v/>
      </c>
      <c r="N16">
        <f>LET(train,B16,cardio,C16,steps,D16,sleep,E16,reg,F16,prod,I16,kcal,J16,p,K16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6">
        <f>TEXTJOIN(", ",TRUE,IF(B16="","тренировка",""),IF(D16="","шаги",""),IF(E16="","сон",""),IF(F16="","режим",""),IF(G16="","настроение",""),IF(H16="","энергия",""),IF(I16="","продуктивность",""),IF(J16="","еда (ккал)",""))</f>
        <v/>
      </c>
      <c r="U16">
        <f>IF($A16="","",IF(SUMIF(FoodLog!$A:$A,$A16,FoodLog!$I:$I)=0,"",SUMIF(FoodLog!$A:$A,$A16,FoodLog!$I:$I)))</f>
        <v/>
      </c>
      <c r="V16">
        <f>IF($A16="","",IF(SUMIF(FoodLog!$A:$A,$A16,FoodLog!$F:$F)=0,"",SUMIF(FoodLog!$A:$A,$A16,FoodLog!$F:$F)))</f>
        <v/>
      </c>
      <c r="W16">
        <f>IF($A16="","",IF(SUMIF(FoodLog!$A:$A,$A16,FoodLog!$G:$G)=0,"",SUMIF(FoodLog!$A:$A,$A16,FoodLog!$G:$G)))</f>
        <v/>
      </c>
      <c r="X16">
        <f>IF($A16="","",IF(SUMIF(FoodLog!$A:$A,$A16,FoodLog!$H:$H)=0,"",SUMIF(FoodLog!$A:$A,$A16,FoodLog!$H:$H)))</f>
        <v/>
      </c>
      <c r="Y16">
        <f>IF($A16="","",IFERROR(ROUND(100*AVERAGE(IF($B16="","",XLOOKUP($B16,FILTER(Dictionaries!$B:$B,Dictionaries!$A:$A="Тренировка"),FILTER(Dictionaries!$C:$C,Dictionaries!$A:$A="Тренировка"))),IF($C16="","",MIN($C16/40,1)),IF($D16="","",XLOOKUP($D16,FILTER(Dictionaries!$B:$B,Dictionaries!$A:$A="Шаги"),FILTER(Dictionaries!$C:$C,Dictionaries!$A:$A="Шаги"))),IF($E16="","",MIN($E16/120,1)),IF(OR($F16&lt;&gt;"",$G16&lt;&gt;""),1,""),IF($H16="","",MIN($H16/100,1)),IF($L16="","",XLOOKUP($L16,FILTER(Dictionaries!$B:$B,Dictionaries!$A:$A="Сон_часы"),FILTER(Dictionaries!$C:$C,Dictionaries!$A:$A="Сон_часы"))),IF($M16="","",XLOOKUP($M16,FILTER(Dictionaries!$B:$B,Dictionaries!$A:$A="Режим"),FILTER(Dictionaries!$C:$C,Dictionaries!$A:$A="Режим"))),IF($N16="","",MIN($N16/100,1)),IF($O16="","",XLOOKUP($O16,FILTER(Dictionaries!$B:$B,Dictionaries!$A:$A="Настроение"),FILTER(Dictionaries!$C:$C,Dictionaries!$A:$A="Настроение"))),IF($P16="","",XLOOKUP($P16,FILTER(Dictionaries!$B:$B,Dictionaries!$A:$A="Энергия"),FILTER(Dictionaries!$C:$C,Dictionaries!$A:$A="Энергия"))),IF($U16="","",AVERAGE(IF(OR($B16="Ноги",$B16="Верх"),IFS(AND($U16&gt;=1900,$U16&lt;=2050),1,AND($U16&gt;=1850,$U16&lt;1900),0.7,AND($U16&gt;2050,$U16&lt;=2100),0.7,TRUE,0.2),IFS(AND($U16&gt;=1700,$U16&lt;=1850),1,AND($U16&gt;=1650,$U16&lt;1700),0.7,AND($U16&gt;1850,$U16&lt;=1900),0.7,TRUE,0.2)),IF(OR($B16="Ноги",$B16="Верх"),IFS(AND($V16&gt;=125,$V16&lt;=135),1,AND($V16&gt;=115,$V16&lt;125),0.7,AND($V16&gt;135,$V16&lt;=145),0.7,AND($V16&gt;=105,$V16&lt;115),0.4,AND($V16&gt;145,$V16&lt;=155),0.4,TRUE,0.2),IFS(AND($V16&gt;=120,$V16&lt;=130),1,AND($V16&gt;=110,$V16&lt;120),0.7,AND($V16&gt;130,$V16&lt;=140),0.7,AND($V16&gt;=100,$V16&lt;110),0.4,AND($V16&gt;140,$V16&lt;=150),0.4,TRUE,0.2)),IFS(AND($W16&gt;=55,$W16&lt;=65),1,AND($W16&gt;=50,$W16&lt;55),0.7,AND($W16&gt;65,$W16&lt;=70),0.7,AND($W16&gt;=45,$W16&lt;50),0.4,AND($W16&gt;70,$W16&lt;=75),0.4,TRUE,0.2),IF(OR($B16="Ноги",$B16="Верх"),IFS(AND($X16&gt;=180,$X16&lt;=210),1,AND($X16&gt;=160,$X16&lt;180),0.7,AND($X16&gt;210,$X16&lt;=230),0.7,AND($X16&gt;=140,$X16&lt;160),0.4,AND($X16&gt;230,$X16&lt;=250),0.4,TRUE,0.2),IFS(AND($X16&gt;=140,$X16&lt;=170),1,AND($X16&gt;=120,$X16&lt;140),0.7,AND($X16&gt;170,$X16&lt;=190),0.7,AND($X16&gt;=100,$X16&lt;120),0.4,AND($X16&gt;190,$X16&lt;=210),0.4,TRUE,0.2))))),1),""))</f>
        <v/>
      </c>
      <c r="Z16">
        <f>IF($A16="","",TEXTJOIN(", ",TRUE,IF($B16="","Тренировка",""),IF($C16="","Кардио",""),IF($D16="","Шаги",""),IF($E16="","Английский",""),IF($F16="","Код-режим",""),IF($G16="","Код-тема",""),IF($H16="","Чтение",""),IF($L16="","Сон",""),IF($M16="","Режим",""),IF($N16="","Продуктивность",""),IF($O16="","Настроение",""),IF($P16="","Энергия",""),IF($U16="","Еда","")))</f>
        <v/>
      </c>
    </row>
    <row r="17">
      <c r="A17" s="2" t="inlineStr"/>
      <c r="J17">
        <f>IF(A17="","",SUMIF(FoodLog!$A:$A,A17,FoodLog!$I:$I))</f>
        <v/>
      </c>
      <c r="K17">
        <f>IF(A17="","",SUMIF(FoodLog!$A:$A,A17,FoodLog!$F:$F))</f>
        <v/>
      </c>
      <c r="L17">
        <f>IF(A17="","",SUMIF(FoodLog!$A:$A,A17,FoodLog!$G:$G))</f>
        <v/>
      </c>
      <c r="M17">
        <f>IF(A17="","",SUMIF(FoodLog!$A:$A,A17,FoodLog!$H:$H))</f>
        <v/>
      </c>
      <c r="N17">
        <f>LET(train,B17,cardio,C17,steps,D17,sleep,E17,reg,F17,prod,I17,kcal,J17,p,K17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7">
        <f>TEXTJOIN(", ",TRUE,IF(B17="","тренировка",""),IF(D17="","шаги",""),IF(E17="","сон",""),IF(F17="","режим",""),IF(G17="","настроение",""),IF(H17="","энергия",""),IF(I17="","продуктивность",""),IF(J17="","еда (ккал)",""))</f>
        <v/>
      </c>
      <c r="U17">
        <f>IF($A17="","",IF(SUMIF(FoodLog!$A:$A,$A17,FoodLog!$I:$I)=0,"",SUMIF(FoodLog!$A:$A,$A17,FoodLog!$I:$I)))</f>
        <v/>
      </c>
      <c r="V17">
        <f>IF($A17="","",IF(SUMIF(FoodLog!$A:$A,$A17,FoodLog!$F:$F)=0,"",SUMIF(FoodLog!$A:$A,$A17,FoodLog!$F:$F)))</f>
        <v/>
      </c>
      <c r="W17">
        <f>IF($A17="","",IF(SUMIF(FoodLog!$A:$A,$A17,FoodLog!$G:$G)=0,"",SUMIF(FoodLog!$A:$A,$A17,FoodLog!$G:$G)))</f>
        <v/>
      </c>
      <c r="X17">
        <f>IF($A17="","",IF(SUMIF(FoodLog!$A:$A,$A17,FoodLog!$H:$H)=0,"",SUMIF(FoodLog!$A:$A,$A17,FoodLog!$H:$H)))</f>
        <v/>
      </c>
      <c r="Y17">
        <f>IF($A17="","",IFERROR(ROUND(100*AVERAGE(IF($B17="","",XLOOKUP($B17,FILTER(Dictionaries!$B:$B,Dictionaries!$A:$A="Тренировка"),FILTER(Dictionaries!$C:$C,Dictionaries!$A:$A="Тренировка"))),IF($C17="","",MIN($C17/40,1)),IF($D17="","",XLOOKUP($D17,FILTER(Dictionaries!$B:$B,Dictionaries!$A:$A="Шаги"),FILTER(Dictionaries!$C:$C,Dictionaries!$A:$A="Шаги"))),IF($E17="","",MIN($E17/120,1)),IF(OR($F17&lt;&gt;"",$G17&lt;&gt;""),1,""),IF($H17="","",MIN($H17/100,1)),IF($L17="","",XLOOKUP($L17,FILTER(Dictionaries!$B:$B,Dictionaries!$A:$A="Сон_часы"),FILTER(Dictionaries!$C:$C,Dictionaries!$A:$A="Сон_часы"))),IF($M17="","",XLOOKUP($M17,FILTER(Dictionaries!$B:$B,Dictionaries!$A:$A="Режим"),FILTER(Dictionaries!$C:$C,Dictionaries!$A:$A="Режим"))),IF($N17="","",MIN($N17/100,1)),IF($O17="","",XLOOKUP($O17,FILTER(Dictionaries!$B:$B,Dictionaries!$A:$A="Настроение"),FILTER(Dictionaries!$C:$C,Dictionaries!$A:$A="Настроение"))),IF($P17="","",XLOOKUP($P17,FILTER(Dictionaries!$B:$B,Dictionaries!$A:$A="Энергия"),FILTER(Dictionaries!$C:$C,Dictionaries!$A:$A="Энергия"))),IF($U17="","",AVERAGE(IF(OR($B17="Ноги",$B17="Верх"),IFS(AND($U17&gt;=1900,$U17&lt;=2050),1,AND($U17&gt;=1850,$U17&lt;1900),0.7,AND($U17&gt;2050,$U17&lt;=2100),0.7,TRUE,0.2),IFS(AND($U17&gt;=1700,$U17&lt;=1850),1,AND($U17&gt;=1650,$U17&lt;1700),0.7,AND($U17&gt;1850,$U17&lt;=1900),0.7,TRUE,0.2)),IF(OR($B17="Ноги",$B17="Верх"),IFS(AND($V17&gt;=125,$V17&lt;=135),1,AND($V17&gt;=115,$V17&lt;125),0.7,AND($V17&gt;135,$V17&lt;=145),0.7,AND($V17&gt;=105,$V17&lt;115),0.4,AND($V17&gt;145,$V17&lt;=155),0.4,TRUE,0.2),IFS(AND($V17&gt;=120,$V17&lt;=130),1,AND($V17&gt;=110,$V17&lt;120),0.7,AND($V17&gt;130,$V17&lt;=140),0.7,AND($V17&gt;=100,$V17&lt;110),0.4,AND($V17&gt;140,$V17&lt;=150),0.4,TRUE,0.2)),IFS(AND($W17&gt;=55,$W17&lt;=65),1,AND($W17&gt;=50,$W17&lt;55),0.7,AND($W17&gt;65,$W17&lt;=70),0.7,AND($W17&gt;=45,$W17&lt;50),0.4,AND($W17&gt;70,$W17&lt;=75),0.4,TRUE,0.2),IF(OR($B17="Ноги",$B17="Верх"),IFS(AND($X17&gt;=180,$X17&lt;=210),1,AND($X17&gt;=160,$X17&lt;180),0.7,AND($X17&gt;210,$X17&lt;=230),0.7,AND($X17&gt;=140,$X17&lt;160),0.4,AND($X17&gt;230,$X17&lt;=250),0.4,TRUE,0.2),IFS(AND($X17&gt;=140,$X17&lt;=170),1,AND($X17&gt;=120,$X17&lt;140),0.7,AND($X17&gt;170,$X17&lt;=190),0.7,AND($X17&gt;=100,$X17&lt;120),0.4,AND($X17&gt;190,$X17&lt;=210),0.4,TRUE,0.2))))),1),""))</f>
        <v/>
      </c>
      <c r="Z17">
        <f>IF($A17="","",TEXTJOIN(", ",TRUE,IF($B17="","Тренировка",""),IF($C17="","Кардио",""),IF($D17="","Шаги",""),IF($E17="","Английский",""),IF($F17="","Код-режим",""),IF($G17="","Код-тема",""),IF($H17="","Чтение",""),IF($L17="","Сон",""),IF($M17="","Режим",""),IF($N17="","Продуктивность",""),IF($O17="","Настроение",""),IF($P17="","Энергия",""),IF($U17="","Еда","")))</f>
        <v/>
      </c>
    </row>
    <row r="18">
      <c r="A18" s="2" t="inlineStr"/>
      <c r="J18">
        <f>IF(A18="","",SUMIF(FoodLog!$A:$A,A18,FoodLog!$I:$I))</f>
        <v/>
      </c>
      <c r="K18">
        <f>IF(A18="","",SUMIF(FoodLog!$A:$A,A18,FoodLog!$F:$F))</f>
        <v/>
      </c>
      <c r="L18">
        <f>IF(A18="","",SUMIF(FoodLog!$A:$A,A18,FoodLog!$G:$G))</f>
        <v/>
      </c>
      <c r="M18">
        <f>IF(A18="","",SUMIF(FoodLog!$A:$A,A18,FoodLog!$H:$H))</f>
        <v/>
      </c>
      <c r="N18">
        <f>LET(train,B18,cardio,C18,steps,D18,sleep,E18,reg,F18,prod,I18,kcal,J18,p,K18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8">
        <f>TEXTJOIN(", ",TRUE,IF(B18="","тренировка",""),IF(D18="","шаги",""),IF(E18="","сон",""),IF(F18="","режим",""),IF(G18="","настроение",""),IF(H18="","энергия",""),IF(I18="","продуктивность",""),IF(J18="","еда (ккал)",""))</f>
        <v/>
      </c>
      <c r="U18">
        <f>IF($A18="","",IF(SUMIF(FoodLog!$A:$A,$A18,FoodLog!$I:$I)=0,"",SUMIF(FoodLog!$A:$A,$A18,FoodLog!$I:$I)))</f>
        <v/>
      </c>
      <c r="V18">
        <f>IF($A18="","",IF(SUMIF(FoodLog!$A:$A,$A18,FoodLog!$F:$F)=0,"",SUMIF(FoodLog!$A:$A,$A18,FoodLog!$F:$F)))</f>
        <v/>
      </c>
      <c r="W18">
        <f>IF($A18="","",IF(SUMIF(FoodLog!$A:$A,$A18,FoodLog!$G:$G)=0,"",SUMIF(FoodLog!$A:$A,$A18,FoodLog!$G:$G)))</f>
        <v/>
      </c>
      <c r="X18">
        <f>IF($A18="","",IF(SUMIF(FoodLog!$A:$A,$A18,FoodLog!$H:$H)=0,"",SUMIF(FoodLog!$A:$A,$A18,FoodLog!$H:$H)))</f>
        <v/>
      </c>
      <c r="Y18">
        <f>IF($A18="","",IFERROR(ROUND(100*AVERAGE(IF($B18="","",XLOOKUP($B18,FILTER(Dictionaries!$B:$B,Dictionaries!$A:$A="Тренировка"),FILTER(Dictionaries!$C:$C,Dictionaries!$A:$A="Тренировка"))),IF($C18="","",MIN($C18/40,1)),IF($D18="","",XLOOKUP($D18,FILTER(Dictionaries!$B:$B,Dictionaries!$A:$A="Шаги"),FILTER(Dictionaries!$C:$C,Dictionaries!$A:$A="Шаги"))),IF($E18="","",MIN($E18/120,1)),IF(OR($F18&lt;&gt;"",$G18&lt;&gt;""),1,""),IF($H18="","",MIN($H18/100,1)),IF($L18="","",XLOOKUP($L18,FILTER(Dictionaries!$B:$B,Dictionaries!$A:$A="Сон_часы"),FILTER(Dictionaries!$C:$C,Dictionaries!$A:$A="Сон_часы"))),IF($M18="","",XLOOKUP($M18,FILTER(Dictionaries!$B:$B,Dictionaries!$A:$A="Режим"),FILTER(Dictionaries!$C:$C,Dictionaries!$A:$A="Режим"))),IF($N18="","",MIN($N18/100,1)),IF($O18="","",XLOOKUP($O18,FILTER(Dictionaries!$B:$B,Dictionaries!$A:$A="Настроение"),FILTER(Dictionaries!$C:$C,Dictionaries!$A:$A="Настроение"))),IF($P18="","",XLOOKUP($P18,FILTER(Dictionaries!$B:$B,Dictionaries!$A:$A="Энергия"),FILTER(Dictionaries!$C:$C,Dictionaries!$A:$A="Энергия"))),IF($U18="","",AVERAGE(IF(OR($B18="Ноги",$B18="Верх"),IFS(AND($U18&gt;=1900,$U18&lt;=2050),1,AND($U18&gt;=1850,$U18&lt;1900),0.7,AND($U18&gt;2050,$U18&lt;=2100),0.7,TRUE,0.2),IFS(AND($U18&gt;=1700,$U18&lt;=1850),1,AND($U18&gt;=1650,$U18&lt;1700),0.7,AND($U18&gt;1850,$U18&lt;=1900),0.7,TRUE,0.2)),IF(OR($B18="Ноги",$B18="Верх"),IFS(AND($V18&gt;=125,$V18&lt;=135),1,AND($V18&gt;=115,$V18&lt;125),0.7,AND($V18&gt;135,$V18&lt;=145),0.7,AND($V18&gt;=105,$V18&lt;115),0.4,AND($V18&gt;145,$V18&lt;=155),0.4,TRUE,0.2),IFS(AND($V18&gt;=120,$V18&lt;=130),1,AND($V18&gt;=110,$V18&lt;120),0.7,AND($V18&gt;130,$V18&lt;=140),0.7,AND($V18&gt;=100,$V18&lt;110),0.4,AND($V18&gt;140,$V18&lt;=150),0.4,TRUE,0.2)),IFS(AND($W18&gt;=55,$W18&lt;=65),1,AND($W18&gt;=50,$W18&lt;55),0.7,AND($W18&gt;65,$W18&lt;=70),0.7,AND($W18&gt;=45,$W18&lt;50),0.4,AND($W18&gt;70,$W18&lt;=75),0.4,TRUE,0.2),IF(OR($B18="Ноги",$B18="Верх"),IFS(AND($X18&gt;=180,$X18&lt;=210),1,AND($X18&gt;=160,$X18&lt;180),0.7,AND($X18&gt;210,$X18&lt;=230),0.7,AND($X18&gt;=140,$X18&lt;160),0.4,AND($X18&gt;230,$X18&lt;=250),0.4,TRUE,0.2),IFS(AND($X18&gt;=140,$X18&lt;=170),1,AND($X18&gt;=120,$X18&lt;140),0.7,AND($X18&gt;170,$X18&lt;=190),0.7,AND($X18&gt;=100,$X18&lt;120),0.4,AND($X18&gt;190,$X18&lt;=210),0.4,TRUE,0.2))))),1),""))</f>
        <v/>
      </c>
      <c r="Z18">
        <f>IF($A18="","",TEXTJOIN(", ",TRUE,IF($B18="","Тренировка",""),IF($C18="","Кардио",""),IF($D18="","Шаги",""),IF($E18="","Английский",""),IF($F18="","Код-режим",""),IF($G18="","Код-тема",""),IF($H18="","Чтение",""),IF($L18="","Сон",""),IF($M18="","Режим",""),IF($N18="","Продуктивность",""),IF($O18="","Настроение",""),IF($P18="","Энергия",""),IF($U18="","Еда","")))</f>
        <v/>
      </c>
    </row>
    <row r="19">
      <c r="A19" s="2" t="inlineStr"/>
      <c r="J19">
        <f>IF(A19="","",SUMIF(FoodLog!$A:$A,A19,FoodLog!$I:$I))</f>
        <v/>
      </c>
      <c r="K19">
        <f>IF(A19="","",SUMIF(FoodLog!$A:$A,A19,FoodLog!$F:$F))</f>
        <v/>
      </c>
      <c r="L19">
        <f>IF(A19="","",SUMIF(FoodLog!$A:$A,A19,FoodLog!$G:$G))</f>
        <v/>
      </c>
      <c r="M19">
        <f>IF(A19="","",SUMIF(FoodLog!$A:$A,A19,FoodLog!$H:$H))</f>
        <v/>
      </c>
      <c r="N19">
        <f>LET(train,B19,cardio,C19,steps,D19,sleep,E19,reg,F19,prod,I19,kcal,J19,p,K19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19">
        <f>TEXTJOIN(", ",TRUE,IF(B19="","тренировка",""),IF(D19="","шаги",""),IF(E19="","сон",""),IF(F19="","режим",""),IF(G19="","настроение",""),IF(H19="","энергия",""),IF(I19="","продуктивность",""),IF(J19="","еда (ккал)",""))</f>
        <v/>
      </c>
      <c r="U19">
        <f>IF($A19="","",IF(SUMIF(FoodLog!$A:$A,$A19,FoodLog!$I:$I)=0,"",SUMIF(FoodLog!$A:$A,$A19,FoodLog!$I:$I)))</f>
        <v/>
      </c>
      <c r="V19">
        <f>IF($A19="","",IF(SUMIF(FoodLog!$A:$A,$A19,FoodLog!$F:$F)=0,"",SUMIF(FoodLog!$A:$A,$A19,FoodLog!$F:$F)))</f>
        <v/>
      </c>
      <c r="W19">
        <f>IF($A19="","",IF(SUMIF(FoodLog!$A:$A,$A19,FoodLog!$G:$G)=0,"",SUMIF(FoodLog!$A:$A,$A19,FoodLog!$G:$G)))</f>
        <v/>
      </c>
      <c r="X19">
        <f>IF($A19="","",IF(SUMIF(FoodLog!$A:$A,$A19,FoodLog!$H:$H)=0,"",SUMIF(FoodLog!$A:$A,$A19,FoodLog!$H:$H)))</f>
        <v/>
      </c>
      <c r="Y19">
        <f>IF($A19="","",IFERROR(ROUND(100*AVERAGE(IF($B19="","",XLOOKUP($B19,FILTER(Dictionaries!$B:$B,Dictionaries!$A:$A="Тренировка"),FILTER(Dictionaries!$C:$C,Dictionaries!$A:$A="Тренировка"))),IF($C19="","",MIN($C19/40,1)),IF($D19="","",XLOOKUP($D19,FILTER(Dictionaries!$B:$B,Dictionaries!$A:$A="Шаги"),FILTER(Dictionaries!$C:$C,Dictionaries!$A:$A="Шаги"))),IF($E19="","",MIN($E19/120,1)),IF(OR($F19&lt;&gt;"",$G19&lt;&gt;""),1,""),IF($H19="","",MIN($H19/100,1)),IF($L19="","",XLOOKUP($L19,FILTER(Dictionaries!$B:$B,Dictionaries!$A:$A="Сон_часы"),FILTER(Dictionaries!$C:$C,Dictionaries!$A:$A="Сон_часы"))),IF($M19="","",XLOOKUP($M19,FILTER(Dictionaries!$B:$B,Dictionaries!$A:$A="Режим"),FILTER(Dictionaries!$C:$C,Dictionaries!$A:$A="Режим"))),IF($N19="","",MIN($N19/100,1)),IF($O19="","",XLOOKUP($O19,FILTER(Dictionaries!$B:$B,Dictionaries!$A:$A="Настроение"),FILTER(Dictionaries!$C:$C,Dictionaries!$A:$A="Настроение"))),IF($P19="","",XLOOKUP($P19,FILTER(Dictionaries!$B:$B,Dictionaries!$A:$A="Энергия"),FILTER(Dictionaries!$C:$C,Dictionaries!$A:$A="Энергия"))),IF($U19="","",AVERAGE(IF(OR($B19="Ноги",$B19="Верх"),IFS(AND($U19&gt;=1900,$U19&lt;=2050),1,AND($U19&gt;=1850,$U19&lt;1900),0.7,AND($U19&gt;2050,$U19&lt;=2100),0.7,TRUE,0.2),IFS(AND($U19&gt;=1700,$U19&lt;=1850),1,AND($U19&gt;=1650,$U19&lt;1700),0.7,AND($U19&gt;1850,$U19&lt;=1900),0.7,TRUE,0.2)),IF(OR($B19="Ноги",$B19="Верх"),IFS(AND($V19&gt;=125,$V19&lt;=135),1,AND($V19&gt;=115,$V19&lt;125),0.7,AND($V19&gt;135,$V19&lt;=145),0.7,AND($V19&gt;=105,$V19&lt;115),0.4,AND($V19&gt;145,$V19&lt;=155),0.4,TRUE,0.2),IFS(AND($V19&gt;=120,$V19&lt;=130),1,AND($V19&gt;=110,$V19&lt;120),0.7,AND($V19&gt;130,$V19&lt;=140),0.7,AND($V19&gt;=100,$V19&lt;110),0.4,AND($V19&gt;140,$V19&lt;=150),0.4,TRUE,0.2)),IFS(AND($W19&gt;=55,$W19&lt;=65),1,AND($W19&gt;=50,$W19&lt;55),0.7,AND($W19&gt;65,$W19&lt;=70),0.7,AND($W19&gt;=45,$W19&lt;50),0.4,AND($W19&gt;70,$W19&lt;=75),0.4,TRUE,0.2),IF(OR($B19="Ноги",$B19="Верх"),IFS(AND($X19&gt;=180,$X19&lt;=210),1,AND($X19&gt;=160,$X19&lt;180),0.7,AND($X19&gt;210,$X19&lt;=230),0.7,AND($X19&gt;=140,$X19&lt;160),0.4,AND($X19&gt;230,$X19&lt;=250),0.4,TRUE,0.2),IFS(AND($X19&gt;=140,$X19&lt;=170),1,AND($X19&gt;=120,$X19&lt;140),0.7,AND($X19&gt;170,$X19&lt;=190),0.7,AND($X19&gt;=100,$X19&lt;120),0.4,AND($X19&gt;190,$X19&lt;=210),0.4,TRUE,0.2))))),1),""))</f>
        <v/>
      </c>
      <c r="Z19">
        <f>IF($A19="","",TEXTJOIN(", ",TRUE,IF($B19="","Тренировка",""),IF($C19="","Кардио",""),IF($D19="","Шаги",""),IF($E19="","Английский",""),IF($F19="","Код-режим",""),IF($G19="","Код-тема",""),IF($H19="","Чтение",""),IF($L19="","Сон",""),IF($M19="","Режим",""),IF($N19="","Продуктивность",""),IF($O19="","Настроение",""),IF($P19="","Энергия",""),IF($U19="","Еда","")))</f>
        <v/>
      </c>
    </row>
    <row r="20">
      <c r="A20" s="2" t="inlineStr"/>
      <c r="J20">
        <f>IF(A20="","",SUMIF(FoodLog!$A:$A,A20,FoodLog!$I:$I))</f>
        <v/>
      </c>
      <c r="K20">
        <f>IF(A20="","",SUMIF(FoodLog!$A:$A,A20,FoodLog!$F:$F))</f>
        <v/>
      </c>
      <c r="L20">
        <f>IF(A20="","",SUMIF(FoodLog!$A:$A,A20,FoodLog!$G:$G))</f>
        <v/>
      </c>
      <c r="M20">
        <f>IF(A20="","",SUMIF(FoodLog!$A:$A,A20,FoodLog!$H:$H))</f>
        <v/>
      </c>
      <c r="N20">
        <f>LET(train,B20,cardio,C20,steps,D20,sleep,E20,reg,F20,prod,I20,kcal,J20,p,K20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0">
        <f>TEXTJOIN(", ",TRUE,IF(B20="","тренировка",""),IF(D20="","шаги",""),IF(E20="","сон",""),IF(F20="","режим",""),IF(G20="","настроение",""),IF(H20="","энергия",""),IF(I20="","продуктивность",""),IF(J20="","еда (ккал)",""))</f>
        <v/>
      </c>
      <c r="U20">
        <f>IF($A20="","",IF(SUMIF(FoodLog!$A:$A,$A20,FoodLog!$I:$I)=0,"",SUMIF(FoodLog!$A:$A,$A20,FoodLog!$I:$I)))</f>
        <v/>
      </c>
      <c r="V20">
        <f>IF($A20="","",IF(SUMIF(FoodLog!$A:$A,$A20,FoodLog!$F:$F)=0,"",SUMIF(FoodLog!$A:$A,$A20,FoodLog!$F:$F)))</f>
        <v/>
      </c>
      <c r="W20">
        <f>IF($A20="","",IF(SUMIF(FoodLog!$A:$A,$A20,FoodLog!$G:$G)=0,"",SUMIF(FoodLog!$A:$A,$A20,FoodLog!$G:$G)))</f>
        <v/>
      </c>
      <c r="X20">
        <f>IF($A20="","",IF(SUMIF(FoodLog!$A:$A,$A20,FoodLog!$H:$H)=0,"",SUMIF(FoodLog!$A:$A,$A20,FoodLog!$H:$H)))</f>
        <v/>
      </c>
      <c r="Y20">
        <f>IF($A20="","",IFERROR(ROUND(100*AVERAGE(IF($B20="","",XLOOKUP($B20,FILTER(Dictionaries!$B:$B,Dictionaries!$A:$A="Тренировка"),FILTER(Dictionaries!$C:$C,Dictionaries!$A:$A="Тренировка"))),IF($C20="","",MIN($C20/40,1)),IF($D20="","",XLOOKUP($D20,FILTER(Dictionaries!$B:$B,Dictionaries!$A:$A="Шаги"),FILTER(Dictionaries!$C:$C,Dictionaries!$A:$A="Шаги"))),IF($E20="","",MIN($E20/120,1)),IF(OR($F20&lt;&gt;"",$G20&lt;&gt;""),1,""),IF($H20="","",MIN($H20/100,1)),IF($L20="","",XLOOKUP($L20,FILTER(Dictionaries!$B:$B,Dictionaries!$A:$A="Сон_часы"),FILTER(Dictionaries!$C:$C,Dictionaries!$A:$A="Сон_часы"))),IF($M20="","",XLOOKUP($M20,FILTER(Dictionaries!$B:$B,Dictionaries!$A:$A="Режим"),FILTER(Dictionaries!$C:$C,Dictionaries!$A:$A="Режим"))),IF($N20="","",MIN($N20/100,1)),IF($O20="","",XLOOKUP($O20,FILTER(Dictionaries!$B:$B,Dictionaries!$A:$A="Настроение"),FILTER(Dictionaries!$C:$C,Dictionaries!$A:$A="Настроение"))),IF($P20="","",XLOOKUP($P20,FILTER(Dictionaries!$B:$B,Dictionaries!$A:$A="Энергия"),FILTER(Dictionaries!$C:$C,Dictionaries!$A:$A="Энергия"))),IF($U20="","",AVERAGE(IF(OR($B20="Ноги",$B20="Верх"),IFS(AND($U20&gt;=1900,$U20&lt;=2050),1,AND($U20&gt;=1850,$U20&lt;1900),0.7,AND($U20&gt;2050,$U20&lt;=2100),0.7,TRUE,0.2),IFS(AND($U20&gt;=1700,$U20&lt;=1850),1,AND($U20&gt;=1650,$U20&lt;1700),0.7,AND($U20&gt;1850,$U20&lt;=1900),0.7,TRUE,0.2)),IF(OR($B20="Ноги",$B20="Верх"),IFS(AND($V20&gt;=125,$V20&lt;=135),1,AND($V20&gt;=115,$V20&lt;125),0.7,AND($V20&gt;135,$V20&lt;=145),0.7,AND($V20&gt;=105,$V20&lt;115),0.4,AND($V20&gt;145,$V20&lt;=155),0.4,TRUE,0.2),IFS(AND($V20&gt;=120,$V20&lt;=130),1,AND($V20&gt;=110,$V20&lt;120),0.7,AND($V20&gt;130,$V20&lt;=140),0.7,AND($V20&gt;=100,$V20&lt;110),0.4,AND($V20&gt;140,$V20&lt;=150),0.4,TRUE,0.2)),IFS(AND($W20&gt;=55,$W20&lt;=65),1,AND($W20&gt;=50,$W20&lt;55),0.7,AND($W20&gt;65,$W20&lt;=70),0.7,AND($W20&gt;=45,$W20&lt;50),0.4,AND($W20&gt;70,$W20&lt;=75),0.4,TRUE,0.2),IF(OR($B20="Ноги",$B20="Верх"),IFS(AND($X20&gt;=180,$X20&lt;=210),1,AND($X20&gt;=160,$X20&lt;180),0.7,AND($X20&gt;210,$X20&lt;=230),0.7,AND($X20&gt;=140,$X20&lt;160),0.4,AND($X20&gt;230,$X20&lt;=250),0.4,TRUE,0.2),IFS(AND($X20&gt;=140,$X20&lt;=170),1,AND($X20&gt;=120,$X20&lt;140),0.7,AND($X20&gt;170,$X20&lt;=190),0.7,AND($X20&gt;=100,$X20&lt;120),0.4,AND($X20&gt;190,$X20&lt;=210),0.4,TRUE,0.2))))),1),""))</f>
        <v/>
      </c>
      <c r="Z20">
        <f>IF($A20="","",TEXTJOIN(", ",TRUE,IF($B20="","Тренировка",""),IF($C20="","Кардио",""),IF($D20="","Шаги",""),IF($E20="","Английский",""),IF($F20="","Код-режим",""),IF($G20="","Код-тема",""),IF($H20="","Чтение",""),IF($L20="","Сон",""),IF($M20="","Режим",""),IF($N20="","Продуктивность",""),IF($O20="","Настроение",""),IF($P20="","Энергия",""),IF($U20="","Еда","")))</f>
        <v/>
      </c>
    </row>
    <row r="21">
      <c r="A21" s="2" t="inlineStr"/>
      <c r="J21">
        <f>IF(A21="","",SUMIF(FoodLog!$A:$A,A21,FoodLog!$I:$I))</f>
        <v/>
      </c>
      <c r="K21">
        <f>IF(A21="","",SUMIF(FoodLog!$A:$A,A21,FoodLog!$F:$F))</f>
        <v/>
      </c>
      <c r="L21">
        <f>IF(A21="","",SUMIF(FoodLog!$A:$A,A21,FoodLog!$G:$G))</f>
        <v/>
      </c>
      <c r="M21">
        <f>IF(A21="","",SUMIF(FoodLog!$A:$A,A21,FoodLog!$H:$H))</f>
        <v/>
      </c>
      <c r="N21">
        <f>LET(train,B21,cardio,C21,steps,D21,sleep,E21,reg,F21,prod,I21,kcal,J21,p,K21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1">
        <f>TEXTJOIN(", ",TRUE,IF(B21="","тренировка",""),IF(D21="","шаги",""),IF(E21="","сон",""),IF(F21="","режим",""),IF(G21="","настроение",""),IF(H21="","энергия",""),IF(I21="","продуктивность",""),IF(J21="","еда (ккал)",""))</f>
        <v/>
      </c>
      <c r="U21">
        <f>IF($A21="","",IF(SUMIF(FoodLog!$A:$A,$A21,FoodLog!$I:$I)=0,"",SUMIF(FoodLog!$A:$A,$A21,FoodLog!$I:$I)))</f>
        <v/>
      </c>
      <c r="V21">
        <f>IF($A21="","",IF(SUMIF(FoodLog!$A:$A,$A21,FoodLog!$F:$F)=0,"",SUMIF(FoodLog!$A:$A,$A21,FoodLog!$F:$F)))</f>
        <v/>
      </c>
      <c r="W21">
        <f>IF($A21="","",IF(SUMIF(FoodLog!$A:$A,$A21,FoodLog!$G:$G)=0,"",SUMIF(FoodLog!$A:$A,$A21,FoodLog!$G:$G)))</f>
        <v/>
      </c>
      <c r="X21">
        <f>IF($A21="","",IF(SUMIF(FoodLog!$A:$A,$A21,FoodLog!$H:$H)=0,"",SUMIF(FoodLog!$A:$A,$A21,FoodLog!$H:$H)))</f>
        <v/>
      </c>
      <c r="Y21">
        <f>IF($A21="","",IFERROR(ROUND(100*AVERAGE(IF($B21="","",XLOOKUP($B21,FILTER(Dictionaries!$B:$B,Dictionaries!$A:$A="Тренировка"),FILTER(Dictionaries!$C:$C,Dictionaries!$A:$A="Тренировка"))),IF($C21="","",MIN($C21/40,1)),IF($D21="","",XLOOKUP($D21,FILTER(Dictionaries!$B:$B,Dictionaries!$A:$A="Шаги"),FILTER(Dictionaries!$C:$C,Dictionaries!$A:$A="Шаги"))),IF($E21="","",MIN($E21/120,1)),IF(OR($F21&lt;&gt;"",$G21&lt;&gt;""),1,""),IF($H21="","",MIN($H21/100,1)),IF($L21="","",XLOOKUP($L21,FILTER(Dictionaries!$B:$B,Dictionaries!$A:$A="Сон_часы"),FILTER(Dictionaries!$C:$C,Dictionaries!$A:$A="Сон_часы"))),IF($M21="","",XLOOKUP($M21,FILTER(Dictionaries!$B:$B,Dictionaries!$A:$A="Режим"),FILTER(Dictionaries!$C:$C,Dictionaries!$A:$A="Режим"))),IF($N21="","",MIN($N21/100,1)),IF($O21="","",XLOOKUP($O21,FILTER(Dictionaries!$B:$B,Dictionaries!$A:$A="Настроение"),FILTER(Dictionaries!$C:$C,Dictionaries!$A:$A="Настроение"))),IF($P21="","",XLOOKUP($P21,FILTER(Dictionaries!$B:$B,Dictionaries!$A:$A="Энергия"),FILTER(Dictionaries!$C:$C,Dictionaries!$A:$A="Энергия"))),IF($U21="","",AVERAGE(IF(OR($B21="Ноги",$B21="Верх"),IFS(AND($U21&gt;=1900,$U21&lt;=2050),1,AND($U21&gt;=1850,$U21&lt;1900),0.7,AND($U21&gt;2050,$U21&lt;=2100),0.7,TRUE,0.2),IFS(AND($U21&gt;=1700,$U21&lt;=1850),1,AND($U21&gt;=1650,$U21&lt;1700),0.7,AND($U21&gt;1850,$U21&lt;=1900),0.7,TRUE,0.2)),IF(OR($B21="Ноги",$B21="Верх"),IFS(AND($V21&gt;=125,$V21&lt;=135),1,AND($V21&gt;=115,$V21&lt;125),0.7,AND($V21&gt;135,$V21&lt;=145),0.7,AND($V21&gt;=105,$V21&lt;115),0.4,AND($V21&gt;145,$V21&lt;=155),0.4,TRUE,0.2),IFS(AND($V21&gt;=120,$V21&lt;=130),1,AND($V21&gt;=110,$V21&lt;120),0.7,AND($V21&gt;130,$V21&lt;=140),0.7,AND($V21&gt;=100,$V21&lt;110),0.4,AND($V21&gt;140,$V21&lt;=150),0.4,TRUE,0.2)),IFS(AND($W21&gt;=55,$W21&lt;=65),1,AND($W21&gt;=50,$W21&lt;55),0.7,AND($W21&gt;65,$W21&lt;=70),0.7,AND($W21&gt;=45,$W21&lt;50),0.4,AND($W21&gt;70,$W21&lt;=75),0.4,TRUE,0.2),IF(OR($B21="Ноги",$B21="Верх"),IFS(AND($X21&gt;=180,$X21&lt;=210),1,AND($X21&gt;=160,$X21&lt;180),0.7,AND($X21&gt;210,$X21&lt;=230),0.7,AND($X21&gt;=140,$X21&lt;160),0.4,AND($X21&gt;230,$X21&lt;=250),0.4,TRUE,0.2),IFS(AND($X21&gt;=140,$X21&lt;=170),1,AND($X21&gt;=120,$X21&lt;140),0.7,AND($X21&gt;170,$X21&lt;=190),0.7,AND($X21&gt;=100,$X21&lt;120),0.4,AND($X21&gt;190,$X21&lt;=210),0.4,TRUE,0.2))))),1),""))</f>
        <v/>
      </c>
      <c r="Z21">
        <f>IF($A21="","",TEXTJOIN(", ",TRUE,IF($B21="","Тренировка",""),IF($C21="","Кардио",""),IF($D21="","Шаги",""),IF($E21="","Английский",""),IF($F21="","Код-режим",""),IF($G21="","Код-тема",""),IF($H21="","Чтение",""),IF($L21="","Сон",""),IF($M21="","Режим",""),IF($N21="","Продуктивность",""),IF($O21="","Настроение",""),IF($P21="","Энергия",""),IF($U21="","Еда","")))</f>
        <v/>
      </c>
    </row>
    <row r="22">
      <c r="A22" s="2" t="inlineStr"/>
      <c r="J22">
        <f>IF(A22="","",SUMIF(FoodLog!$A:$A,A22,FoodLog!$I:$I))</f>
        <v/>
      </c>
      <c r="K22">
        <f>IF(A22="","",SUMIF(FoodLog!$A:$A,A22,FoodLog!$F:$F))</f>
        <v/>
      </c>
      <c r="L22">
        <f>IF(A22="","",SUMIF(FoodLog!$A:$A,A22,FoodLog!$G:$G))</f>
        <v/>
      </c>
      <c r="M22">
        <f>IF(A22="","",SUMIF(FoodLog!$A:$A,A22,FoodLog!$H:$H))</f>
        <v/>
      </c>
      <c r="N22">
        <f>LET(train,B22,cardio,C22,steps,D22,sleep,E22,reg,F22,prod,I22,kcal,J22,p,K22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2">
        <f>TEXTJOIN(", ",TRUE,IF(B22="","тренировка",""),IF(D22="","шаги",""),IF(E22="","сон",""),IF(F22="","режим",""),IF(G22="","настроение",""),IF(H22="","энергия",""),IF(I22="","продуктивность",""),IF(J22="","еда (ккал)",""))</f>
        <v/>
      </c>
      <c r="U22">
        <f>IF($A22="","",IF(SUMIF(FoodLog!$A:$A,$A22,FoodLog!$I:$I)=0,"",SUMIF(FoodLog!$A:$A,$A22,FoodLog!$I:$I)))</f>
        <v/>
      </c>
      <c r="V22">
        <f>IF($A22="","",IF(SUMIF(FoodLog!$A:$A,$A22,FoodLog!$F:$F)=0,"",SUMIF(FoodLog!$A:$A,$A22,FoodLog!$F:$F)))</f>
        <v/>
      </c>
      <c r="W22">
        <f>IF($A22="","",IF(SUMIF(FoodLog!$A:$A,$A22,FoodLog!$G:$G)=0,"",SUMIF(FoodLog!$A:$A,$A22,FoodLog!$G:$G)))</f>
        <v/>
      </c>
      <c r="X22">
        <f>IF($A22="","",IF(SUMIF(FoodLog!$A:$A,$A22,FoodLog!$H:$H)=0,"",SUMIF(FoodLog!$A:$A,$A22,FoodLog!$H:$H)))</f>
        <v/>
      </c>
      <c r="Y22">
        <f>IF($A22="","",IFERROR(ROUND(100*AVERAGE(IF($B22="","",XLOOKUP($B22,FILTER(Dictionaries!$B:$B,Dictionaries!$A:$A="Тренировка"),FILTER(Dictionaries!$C:$C,Dictionaries!$A:$A="Тренировка"))),IF($C22="","",MIN($C22/40,1)),IF($D22="","",XLOOKUP($D22,FILTER(Dictionaries!$B:$B,Dictionaries!$A:$A="Шаги"),FILTER(Dictionaries!$C:$C,Dictionaries!$A:$A="Шаги"))),IF($E22="","",MIN($E22/120,1)),IF(OR($F22&lt;&gt;"",$G22&lt;&gt;""),1,""),IF($H22="","",MIN($H22/100,1)),IF($L22="","",XLOOKUP($L22,FILTER(Dictionaries!$B:$B,Dictionaries!$A:$A="Сон_часы"),FILTER(Dictionaries!$C:$C,Dictionaries!$A:$A="Сон_часы"))),IF($M22="","",XLOOKUP($M22,FILTER(Dictionaries!$B:$B,Dictionaries!$A:$A="Режим"),FILTER(Dictionaries!$C:$C,Dictionaries!$A:$A="Режим"))),IF($N22="","",MIN($N22/100,1)),IF($O22="","",XLOOKUP($O22,FILTER(Dictionaries!$B:$B,Dictionaries!$A:$A="Настроение"),FILTER(Dictionaries!$C:$C,Dictionaries!$A:$A="Настроение"))),IF($P22="","",XLOOKUP($P22,FILTER(Dictionaries!$B:$B,Dictionaries!$A:$A="Энергия"),FILTER(Dictionaries!$C:$C,Dictionaries!$A:$A="Энергия"))),IF($U22="","",AVERAGE(IF(OR($B22="Ноги",$B22="Верх"),IFS(AND($U22&gt;=1900,$U22&lt;=2050),1,AND($U22&gt;=1850,$U22&lt;1900),0.7,AND($U22&gt;2050,$U22&lt;=2100),0.7,TRUE,0.2),IFS(AND($U22&gt;=1700,$U22&lt;=1850),1,AND($U22&gt;=1650,$U22&lt;1700),0.7,AND($U22&gt;1850,$U22&lt;=1900),0.7,TRUE,0.2)),IF(OR($B22="Ноги",$B22="Верх"),IFS(AND($V22&gt;=125,$V22&lt;=135),1,AND($V22&gt;=115,$V22&lt;125),0.7,AND($V22&gt;135,$V22&lt;=145),0.7,AND($V22&gt;=105,$V22&lt;115),0.4,AND($V22&gt;145,$V22&lt;=155),0.4,TRUE,0.2),IFS(AND($V22&gt;=120,$V22&lt;=130),1,AND($V22&gt;=110,$V22&lt;120),0.7,AND($V22&gt;130,$V22&lt;=140),0.7,AND($V22&gt;=100,$V22&lt;110),0.4,AND($V22&gt;140,$V22&lt;=150),0.4,TRUE,0.2)),IFS(AND($W22&gt;=55,$W22&lt;=65),1,AND($W22&gt;=50,$W22&lt;55),0.7,AND($W22&gt;65,$W22&lt;=70),0.7,AND($W22&gt;=45,$W22&lt;50),0.4,AND($W22&gt;70,$W22&lt;=75),0.4,TRUE,0.2),IF(OR($B22="Ноги",$B22="Верх"),IFS(AND($X22&gt;=180,$X22&lt;=210),1,AND($X22&gt;=160,$X22&lt;180),0.7,AND($X22&gt;210,$X22&lt;=230),0.7,AND($X22&gt;=140,$X22&lt;160),0.4,AND($X22&gt;230,$X22&lt;=250),0.4,TRUE,0.2),IFS(AND($X22&gt;=140,$X22&lt;=170),1,AND($X22&gt;=120,$X22&lt;140),0.7,AND($X22&gt;170,$X22&lt;=190),0.7,AND($X22&gt;=100,$X22&lt;120),0.4,AND($X22&gt;190,$X22&lt;=210),0.4,TRUE,0.2))))),1),""))</f>
        <v/>
      </c>
      <c r="Z22">
        <f>IF($A22="","",TEXTJOIN(", ",TRUE,IF($B22="","Тренировка",""),IF($C22="","Кардио",""),IF($D22="","Шаги",""),IF($E22="","Английский",""),IF($F22="","Код-режим",""),IF($G22="","Код-тема",""),IF($H22="","Чтение",""),IF($L22="","Сон",""),IF($M22="","Режим",""),IF($N22="","Продуктивность",""),IF($O22="","Настроение",""),IF($P22="","Энергия",""),IF($U22="","Еда","")))</f>
        <v/>
      </c>
    </row>
    <row r="23">
      <c r="A23" s="2" t="inlineStr"/>
      <c r="J23">
        <f>IF(A23="","",SUMIF(FoodLog!$A:$A,A23,FoodLog!$I:$I))</f>
        <v/>
      </c>
      <c r="K23">
        <f>IF(A23="","",SUMIF(FoodLog!$A:$A,A23,FoodLog!$F:$F))</f>
        <v/>
      </c>
      <c r="L23">
        <f>IF(A23="","",SUMIF(FoodLog!$A:$A,A23,FoodLog!$G:$G))</f>
        <v/>
      </c>
      <c r="M23">
        <f>IF(A23="","",SUMIF(FoodLog!$A:$A,A23,FoodLog!$H:$H))</f>
        <v/>
      </c>
      <c r="N23">
        <f>LET(train,B23,cardio,C23,steps,D23,sleep,E23,reg,F23,prod,I23,kcal,J23,p,K23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3">
        <f>TEXTJOIN(", ",TRUE,IF(B23="","тренировка",""),IF(D23="","шаги",""),IF(E23="","сон",""),IF(F23="","режим",""),IF(G23="","настроение",""),IF(H23="","энергия",""),IF(I23="","продуктивность",""),IF(J23="","еда (ккал)",""))</f>
        <v/>
      </c>
      <c r="U23">
        <f>IF($A23="","",IF(SUMIF(FoodLog!$A:$A,$A23,FoodLog!$I:$I)=0,"",SUMIF(FoodLog!$A:$A,$A23,FoodLog!$I:$I)))</f>
        <v/>
      </c>
      <c r="V23">
        <f>IF($A23="","",IF(SUMIF(FoodLog!$A:$A,$A23,FoodLog!$F:$F)=0,"",SUMIF(FoodLog!$A:$A,$A23,FoodLog!$F:$F)))</f>
        <v/>
      </c>
      <c r="W23">
        <f>IF($A23="","",IF(SUMIF(FoodLog!$A:$A,$A23,FoodLog!$G:$G)=0,"",SUMIF(FoodLog!$A:$A,$A23,FoodLog!$G:$G)))</f>
        <v/>
      </c>
      <c r="X23">
        <f>IF($A23="","",IF(SUMIF(FoodLog!$A:$A,$A23,FoodLog!$H:$H)=0,"",SUMIF(FoodLog!$A:$A,$A23,FoodLog!$H:$H)))</f>
        <v/>
      </c>
      <c r="Y23">
        <f>IF($A23="","",IFERROR(ROUND(100*AVERAGE(IF($B23="","",XLOOKUP($B23,FILTER(Dictionaries!$B:$B,Dictionaries!$A:$A="Тренировка"),FILTER(Dictionaries!$C:$C,Dictionaries!$A:$A="Тренировка"))),IF($C23="","",MIN($C23/40,1)),IF($D23="","",XLOOKUP($D23,FILTER(Dictionaries!$B:$B,Dictionaries!$A:$A="Шаги"),FILTER(Dictionaries!$C:$C,Dictionaries!$A:$A="Шаги"))),IF($E23="","",MIN($E23/120,1)),IF(OR($F23&lt;&gt;"",$G23&lt;&gt;""),1,""),IF($H23="","",MIN($H23/100,1)),IF($L23="","",XLOOKUP($L23,FILTER(Dictionaries!$B:$B,Dictionaries!$A:$A="Сон_часы"),FILTER(Dictionaries!$C:$C,Dictionaries!$A:$A="Сон_часы"))),IF($M23="","",XLOOKUP($M23,FILTER(Dictionaries!$B:$B,Dictionaries!$A:$A="Режим"),FILTER(Dictionaries!$C:$C,Dictionaries!$A:$A="Режим"))),IF($N23="","",MIN($N23/100,1)),IF($O23="","",XLOOKUP($O23,FILTER(Dictionaries!$B:$B,Dictionaries!$A:$A="Настроение"),FILTER(Dictionaries!$C:$C,Dictionaries!$A:$A="Настроение"))),IF($P23="","",XLOOKUP($P23,FILTER(Dictionaries!$B:$B,Dictionaries!$A:$A="Энергия"),FILTER(Dictionaries!$C:$C,Dictionaries!$A:$A="Энергия"))),IF($U23="","",AVERAGE(IF(OR($B23="Ноги",$B23="Верх"),IFS(AND($U23&gt;=1900,$U23&lt;=2050),1,AND($U23&gt;=1850,$U23&lt;1900),0.7,AND($U23&gt;2050,$U23&lt;=2100),0.7,TRUE,0.2),IFS(AND($U23&gt;=1700,$U23&lt;=1850),1,AND($U23&gt;=1650,$U23&lt;1700),0.7,AND($U23&gt;1850,$U23&lt;=1900),0.7,TRUE,0.2)),IF(OR($B23="Ноги",$B23="Верх"),IFS(AND($V23&gt;=125,$V23&lt;=135),1,AND($V23&gt;=115,$V23&lt;125),0.7,AND($V23&gt;135,$V23&lt;=145),0.7,AND($V23&gt;=105,$V23&lt;115),0.4,AND($V23&gt;145,$V23&lt;=155),0.4,TRUE,0.2),IFS(AND($V23&gt;=120,$V23&lt;=130),1,AND($V23&gt;=110,$V23&lt;120),0.7,AND($V23&gt;130,$V23&lt;=140),0.7,AND($V23&gt;=100,$V23&lt;110),0.4,AND($V23&gt;140,$V23&lt;=150),0.4,TRUE,0.2)),IFS(AND($W23&gt;=55,$W23&lt;=65),1,AND($W23&gt;=50,$W23&lt;55),0.7,AND($W23&gt;65,$W23&lt;=70),0.7,AND($W23&gt;=45,$W23&lt;50),0.4,AND($W23&gt;70,$W23&lt;=75),0.4,TRUE,0.2),IF(OR($B23="Ноги",$B23="Верх"),IFS(AND($X23&gt;=180,$X23&lt;=210),1,AND($X23&gt;=160,$X23&lt;180),0.7,AND($X23&gt;210,$X23&lt;=230),0.7,AND($X23&gt;=140,$X23&lt;160),0.4,AND($X23&gt;230,$X23&lt;=250),0.4,TRUE,0.2),IFS(AND($X23&gt;=140,$X23&lt;=170),1,AND($X23&gt;=120,$X23&lt;140),0.7,AND($X23&gt;170,$X23&lt;=190),0.7,AND($X23&gt;=100,$X23&lt;120),0.4,AND($X23&gt;190,$X23&lt;=210),0.4,TRUE,0.2))))),1),""))</f>
        <v/>
      </c>
      <c r="Z23">
        <f>IF($A23="","",TEXTJOIN(", ",TRUE,IF($B23="","Тренировка",""),IF($C23="","Кардио",""),IF($D23="","Шаги",""),IF($E23="","Английский",""),IF($F23="","Код-режим",""),IF($G23="","Код-тема",""),IF($H23="","Чтение",""),IF($L23="","Сон",""),IF($M23="","Режим",""),IF($N23="","Продуктивность",""),IF($O23="","Настроение",""),IF($P23="","Энергия",""),IF($U23="","Еда","")))</f>
        <v/>
      </c>
    </row>
    <row r="24">
      <c r="A24" s="2" t="inlineStr"/>
      <c r="J24">
        <f>IF(A24="","",SUMIF(FoodLog!$A:$A,A24,FoodLog!$I:$I))</f>
        <v/>
      </c>
      <c r="K24">
        <f>IF(A24="","",SUMIF(FoodLog!$A:$A,A24,FoodLog!$F:$F))</f>
        <v/>
      </c>
      <c r="L24">
        <f>IF(A24="","",SUMIF(FoodLog!$A:$A,A24,FoodLog!$G:$G))</f>
        <v/>
      </c>
      <c r="M24">
        <f>IF(A24="","",SUMIF(FoodLog!$A:$A,A24,FoodLog!$H:$H))</f>
        <v/>
      </c>
      <c r="N24">
        <f>LET(train,B24,cardio,C24,steps,D24,sleep,E24,reg,F24,prod,I24,kcal,J24,p,K24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4">
        <f>TEXTJOIN(", ",TRUE,IF(B24="","тренировка",""),IF(D24="","шаги",""),IF(E24="","сон",""),IF(F24="","режим",""),IF(G24="","настроение",""),IF(H24="","энергия",""),IF(I24="","продуктивность",""),IF(J24="","еда (ккал)",""))</f>
        <v/>
      </c>
      <c r="U24">
        <f>IF($A24="","",IF(SUMIF(FoodLog!$A:$A,$A24,FoodLog!$I:$I)=0,"",SUMIF(FoodLog!$A:$A,$A24,FoodLog!$I:$I)))</f>
        <v/>
      </c>
      <c r="V24">
        <f>IF($A24="","",IF(SUMIF(FoodLog!$A:$A,$A24,FoodLog!$F:$F)=0,"",SUMIF(FoodLog!$A:$A,$A24,FoodLog!$F:$F)))</f>
        <v/>
      </c>
      <c r="W24">
        <f>IF($A24="","",IF(SUMIF(FoodLog!$A:$A,$A24,FoodLog!$G:$G)=0,"",SUMIF(FoodLog!$A:$A,$A24,FoodLog!$G:$G)))</f>
        <v/>
      </c>
      <c r="X24">
        <f>IF($A24="","",IF(SUMIF(FoodLog!$A:$A,$A24,FoodLog!$H:$H)=0,"",SUMIF(FoodLog!$A:$A,$A24,FoodLog!$H:$H)))</f>
        <v/>
      </c>
      <c r="Y24">
        <f>IF($A24="","",IFERROR(ROUND(100*AVERAGE(IF($B24="","",XLOOKUP($B24,FILTER(Dictionaries!$B:$B,Dictionaries!$A:$A="Тренировка"),FILTER(Dictionaries!$C:$C,Dictionaries!$A:$A="Тренировка"))),IF($C24="","",MIN($C24/40,1)),IF($D24="","",XLOOKUP($D24,FILTER(Dictionaries!$B:$B,Dictionaries!$A:$A="Шаги"),FILTER(Dictionaries!$C:$C,Dictionaries!$A:$A="Шаги"))),IF($E24="","",MIN($E24/120,1)),IF(OR($F24&lt;&gt;"",$G24&lt;&gt;""),1,""),IF($H24="","",MIN($H24/100,1)),IF($L24="","",XLOOKUP($L24,FILTER(Dictionaries!$B:$B,Dictionaries!$A:$A="Сон_часы"),FILTER(Dictionaries!$C:$C,Dictionaries!$A:$A="Сон_часы"))),IF($M24="","",XLOOKUP($M24,FILTER(Dictionaries!$B:$B,Dictionaries!$A:$A="Режим"),FILTER(Dictionaries!$C:$C,Dictionaries!$A:$A="Режим"))),IF($N24="","",MIN($N24/100,1)),IF($O24="","",XLOOKUP($O24,FILTER(Dictionaries!$B:$B,Dictionaries!$A:$A="Настроение"),FILTER(Dictionaries!$C:$C,Dictionaries!$A:$A="Настроение"))),IF($P24="","",XLOOKUP($P24,FILTER(Dictionaries!$B:$B,Dictionaries!$A:$A="Энергия"),FILTER(Dictionaries!$C:$C,Dictionaries!$A:$A="Энергия"))),IF($U24="","",AVERAGE(IF(OR($B24="Ноги",$B24="Верх"),IFS(AND($U24&gt;=1900,$U24&lt;=2050),1,AND($U24&gt;=1850,$U24&lt;1900),0.7,AND($U24&gt;2050,$U24&lt;=2100),0.7,TRUE,0.2),IFS(AND($U24&gt;=1700,$U24&lt;=1850),1,AND($U24&gt;=1650,$U24&lt;1700),0.7,AND($U24&gt;1850,$U24&lt;=1900),0.7,TRUE,0.2)),IF(OR($B24="Ноги",$B24="Верх"),IFS(AND($V24&gt;=125,$V24&lt;=135),1,AND($V24&gt;=115,$V24&lt;125),0.7,AND($V24&gt;135,$V24&lt;=145),0.7,AND($V24&gt;=105,$V24&lt;115),0.4,AND($V24&gt;145,$V24&lt;=155),0.4,TRUE,0.2),IFS(AND($V24&gt;=120,$V24&lt;=130),1,AND($V24&gt;=110,$V24&lt;120),0.7,AND($V24&gt;130,$V24&lt;=140),0.7,AND($V24&gt;=100,$V24&lt;110),0.4,AND($V24&gt;140,$V24&lt;=150),0.4,TRUE,0.2)),IFS(AND($W24&gt;=55,$W24&lt;=65),1,AND($W24&gt;=50,$W24&lt;55),0.7,AND($W24&gt;65,$W24&lt;=70),0.7,AND($W24&gt;=45,$W24&lt;50),0.4,AND($W24&gt;70,$W24&lt;=75),0.4,TRUE,0.2),IF(OR($B24="Ноги",$B24="Верх"),IFS(AND($X24&gt;=180,$X24&lt;=210),1,AND($X24&gt;=160,$X24&lt;180),0.7,AND($X24&gt;210,$X24&lt;=230),0.7,AND($X24&gt;=140,$X24&lt;160),0.4,AND($X24&gt;230,$X24&lt;=250),0.4,TRUE,0.2),IFS(AND($X24&gt;=140,$X24&lt;=170),1,AND($X24&gt;=120,$X24&lt;140),0.7,AND($X24&gt;170,$X24&lt;=190),0.7,AND($X24&gt;=100,$X24&lt;120),0.4,AND($X24&gt;190,$X24&lt;=210),0.4,TRUE,0.2))))),1),""))</f>
        <v/>
      </c>
      <c r="Z24">
        <f>IF($A24="","",TEXTJOIN(", ",TRUE,IF($B24="","Тренировка",""),IF($C24="","Кардио",""),IF($D24="","Шаги",""),IF($E24="","Английский",""),IF($F24="","Код-режим",""),IF($G24="","Код-тема",""),IF($H24="","Чтение",""),IF($L24="","Сон",""),IF($M24="","Режим",""),IF($N24="","Продуктивность",""),IF($O24="","Настроение",""),IF($P24="","Энергия",""),IF($U24="","Еда","")))</f>
        <v/>
      </c>
    </row>
    <row r="25">
      <c r="A25" s="2" t="inlineStr"/>
      <c r="J25">
        <f>IF(A25="","",SUMIF(FoodLog!$A:$A,A25,FoodLog!$I:$I))</f>
        <v/>
      </c>
      <c r="K25">
        <f>IF(A25="","",SUMIF(FoodLog!$A:$A,A25,FoodLog!$F:$F))</f>
        <v/>
      </c>
      <c r="L25">
        <f>IF(A25="","",SUMIF(FoodLog!$A:$A,A25,FoodLog!$G:$G))</f>
        <v/>
      </c>
      <c r="M25">
        <f>IF(A25="","",SUMIF(FoodLog!$A:$A,A25,FoodLog!$H:$H))</f>
        <v/>
      </c>
      <c r="N25">
        <f>LET(train,B25,cardio,C25,steps,D25,sleep,E25,reg,F25,prod,I25,kcal,J25,p,K25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5">
        <f>TEXTJOIN(", ",TRUE,IF(B25="","тренировка",""),IF(D25="","шаги",""),IF(E25="","сон",""),IF(F25="","режим",""),IF(G25="","настроение",""),IF(H25="","энергия",""),IF(I25="","продуктивность",""),IF(J25="","еда (ккал)",""))</f>
        <v/>
      </c>
      <c r="U25">
        <f>IF($A25="","",IF(SUMIF(FoodLog!$A:$A,$A25,FoodLog!$I:$I)=0,"",SUMIF(FoodLog!$A:$A,$A25,FoodLog!$I:$I)))</f>
        <v/>
      </c>
      <c r="V25">
        <f>IF($A25="","",IF(SUMIF(FoodLog!$A:$A,$A25,FoodLog!$F:$F)=0,"",SUMIF(FoodLog!$A:$A,$A25,FoodLog!$F:$F)))</f>
        <v/>
      </c>
      <c r="W25">
        <f>IF($A25="","",IF(SUMIF(FoodLog!$A:$A,$A25,FoodLog!$G:$G)=0,"",SUMIF(FoodLog!$A:$A,$A25,FoodLog!$G:$G)))</f>
        <v/>
      </c>
      <c r="X25">
        <f>IF($A25="","",IF(SUMIF(FoodLog!$A:$A,$A25,FoodLog!$H:$H)=0,"",SUMIF(FoodLog!$A:$A,$A25,FoodLog!$H:$H)))</f>
        <v/>
      </c>
      <c r="Y25">
        <f>IF($A25="","",IFERROR(ROUND(100*AVERAGE(IF($B25="","",XLOOKUP($B25,FILTER(Dictionaries!$B:$B,Dictionaries!$A:$A="Тренировка"),FILTER(Dictionaries!$C:$C,Dictionaries!$A:$A="Тренировка"))),IF($C25="","",MIN($C25/40,1)),IF($D25="","",XLOOKUP($D25,FILTER(Dictionaries!$B:$B,Dictionaries!$A:$A="Шаги"),FILTER(Dictionaries!$C:$C,Dictionaries!$A:$A="Шаги"))),IF($E25="","",MIN($E25/120,1)),IF(OR($F25&lt;&gt;"",$G25&lt;&gt;""),1,""),IF($H25="","",MIN($H25/100,1)),IF($L25="","",XLOOKUP($L25,FILTER(Dictionaries!$B:$B,Dictionaries!$A:$A="Сон_часы"),FILTER(Dictionaries!$C:$C,Dictionaries!$A:$A="Сон_часы"))),IF($M25="","",XLOOKUP($M25,FILTER(Dictionaries!$B:$B,Dictionaries!$A:$A="Режим"),FILTER(Dictionaries!$C:$C,Dictionaries!$A:$A="Режим"))),IF($N25="","",MIN($N25/100,1)),IF($O25="","",XLOOKUP($O25,FILTER(Dictionaries!$B:$B,Dictionaries!$A:$A="Настроение"),FILTER(Dictionaries!$C:$C,Dictionaries!$A:$A="Настроение"))),IF($P25="","",XLOOKUP($P25,FILTER(Dictionaries!$B:$B,Dictionaries!$A:$A="Энергия"),FILTER(Dictionaries!$C:$C,Dictionaries!$A:$A="Энергия"))),IF($U25="","",AVERAGE(IF(OR($B25="Ноги",$B25="Верх"),IFS(AND($U25&gt;=1900,$U25&lt;=2050),1,AND($U25&gt;=1850,$U25&lt;1900),0.7,AND($U25&gt;2050,$U25&lt;=2100),0.7,TRUE,0.2),IFS(AND($U25&gt;=1700,$U25&lt;=1850),1,AND($U25&gt;=1650,$U25&lt;1700),0.7,AND($U25&gt;1850,$U25&lt;=1900),0.7,TRUE,0.2)),IF(OR($B25="Ноги",$B25="Верх"),IFS(AND($V25&gt;=125,$V25&lt;=135),1,AND($V25&gt;=115,$V25&lt;125),0.7,AND($V25&gt;135,$V25&lt;=145),0.7,AND($V25&gt;=105,$V25&lt;115),0.4,AND($V25&gt;145,$V25&lt;=155),0.4,TRUE,0.2),IFS(AND($V25&gt;=120,$V25&lt;=130),1,AND($V25&gt;=110,$V25&lt;120),0.7,AND($V25&gt;130,$V25&lt;=140),0.7,AND($V25&gt;=100,$V25&lt;110),0.4,AND($V25&gt;140,$V25&lt;=150),0.4,TRUE,0.2)),IFS(AND($W25&gt;=55,$W25&lt;=65),1,AND($W25&gt;=50,$W25&lt;55),0.7,AND($W25&gt;65,$W25&lt;=70),0.7,AND($W25&gt;=45,$W25&lt;50),0.4,AND($W25&gt;70,$W25&lt;=75),0.4,TRUE,0.2),IF(OR($B25="Ноги",$B25="Верх"),IFS(AND($X25&gt;=180,$X25&lt;=210),1,AND($X25&gt;=160,$X25&lt;180),0.7,AND($X25&gt;210,$X25&lt;=230),0.7,AND($X25&gt;=140,$X25&lt;160),0.4,AND($X25&gt;230,$X25&lt;=250),0.4,TRUE,0.2),IFS(AND($X25&gt;=140,$X25&lt;=170),1,AND($X25&gt;=120,$X25&lt;140),0.7,AND($X25&gt;170,$X25&lt;=190),0.7,AND($X25&gt;=100,$X25&lt;120),0.4,AND($X25&gt;190,$X25&lt;=210),0.4,TRUE,0.2))))),1),""))</f>
        <v/>
      </c>
      <c r="Z25">
        <f>IF($A25="","",TEXTJOIN(", ",TRUE,IF($B25="","Тренировка",""),IF($C25="","Кардио",""),IF($D25="","Шаги",""),IF($E25="","Английский",""),IF($F25="","Код-режим",""),IF($G25="","Код-тема",""),IF($H25="","Чтение",""),IF($L25="","Сон",""),IF($M25="","Режим",""),IF($N25="","Продуктивность",""),IF($O25="","Настроение",""),IF($P25="","Энергия",""),IF($U25="","Еда","")))</f>
        <v/>
      </c>
    </row>
    <row r="26">
      <c r="A26" s="2" t="inlineStr"/>
      <c r="J26">
        <f>IF(A26="","",SUMIF(FoodLog!$A:$A,A26,FoodLog!$I:$I))</f>
        <v/>
      </c>
      <c r="K26">
        <f>IF(A26="","",SUMIF(FoodLog!$A:$A,A26,FoodLog!$F:$F))</f>
        <v/>
      </c>
      <c r="L26">
        <f>IF(A26="","",SUMIF(FoodLog!$A:$A,A26,FoodLog!$G:$G))</f>
        <v/>
      </c>
      <c r="M26">
        <f>IF(A26="","",SUMIF(FoodLog!$A:$A,A26,FoodLog!$H:$H))</f>
        <v/>
      </c>
      <c r="N26">
        <f>LET(train,B26,cardio,C26,steps,D26,sleep,E26,reg,F26,prod,I26,kcal,J26,p,K26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6">
        <f>TEXTJOIN(", ",TRUE,IF(B26="","тренировка",""),IF(D26="","шаги",""),IF(E26="","сон",""),IF(F26="","режим",""),IF(G26="","настроение",""),IF(H26="","энергия",""),IF(I26="","продуктивность",""),IF(J26="","еда (ккал)",""))</f>
        <v/>
      </c>
      <c r="U26">
        <f>IF($A26="","",IF(SUMIF(FoodLog!$A:$A,$A26,FoodLog!$I:$I)=0,"",SUMIF(FoodLog!$A:$A,$A26,FoodLog!$I:$I)))</f>
        <v/>
      </c>
      <c r="V26">
        <f>IF($A26="","",IF(SUMIF(FoodLog!$A:$A,$A26,FoodLog!$F:$F)=0,"",SUMIF(FoodLog!$A:$A,$A26,FoodLog!$F:$F)))</f>
        <v/>
      </c>
      <c r="W26">
        <f>IF($A26="","",IF(SUMIF(FoodLog!$A:$A,$A26,FoodLog!$G:$G)=0,"",SUMIF(FoodLog!$A:$A,$A26,FoodLog!$G:$G)))</f>
        <v/>
      </c>
      <c r="X26">
        <f>IF($A26="","",IF(SUMIF(FoodLog!$A:$A,$A26,FoodLog!$H:$H)=0,"",SUMIF(FoodLog!$A:$A,$A26,FoodLog!$H:$H)))</f>
        <v/>
      </c>
      <c r="Y26">
        <f>IF($A26="","",IFERROR(ROUND(100*AVERAGE(IF($B26="","",XLOOKUP($B26,FILTER(Dictionaries!$B:$B,Dictionaries!$A:$A="Тренировка"),FILTER(Dictionaries!$C:$C,Dictionaries!$A:$A="Тренировка"))),IF($C26="","",MIN($C26/40,1)),IF($D26="","",XLOOKUP($D26,FILTER(Dictionaries!$B:$B,Dictionaries!$A:$A="Шаги"),FILTER(Dictionaries!$C:$C,Dictionaries!$A:$A="Шаги"))),IF($E26="","",MIN($E26/120,1)),IF(OR($F26&lt;&gt;"",$G26&lt;&gt;""),1,""),IF($H26="","",MIN($H26/100,1)),IF($L26="","",XLOOKUP($L26,FILTER(Dictionaries!$B:$B,Dictionaries!$A:$A="Сон_часы"),FILTER(Dictionaries!$C:$C,Dictionaries!$A:$A="Сон_часы"))),IF($M26="","",XLOOKUP($M26,FILTER(Dictionaries!$B:$B,Dictionaries!$A:$A="Режим"),FILTER(Dictionaries!$C:$C,Dictionaries!$A:$A="Режим"))),IF($N26="","",MIN($N26/100,1)),IF($O26="","",XLOOKUP($O26,FILTER(Dictionaries!$B:$B,Dictionaries!$A:$A="Настроение"),FILTER(Dictionaries!$C:$C,Dictionaries!$A:$A="Настроение"))),IF($P26="","",XLOOKUP($P26,FILTER(Dictionaries!$B:$B,Dictionaries!$A:$A="Энергия"),FILTER(Dictionaries!$C:$C,Dictionaries!$A:$A="Энергия"))),IF($U26="","",AVERAGE(IF(OR($B26="Ноги",$B26="Верх"),IFS(AND($U26&gt;=1900,$U26&lt;=2050),1,AND($U26&gt;=1850,$U26&lt;1900),0.7,AND($U26&gt;2050,$U26&lt;=2100),0.7,TRUE,0.2),IFS(AND($U26&gt;=1700,$U26&lt;=1850),1,AND($U26&gt;=1650,$U26&lt;1700),0.7,AND($U26&gt;1850,$U26&lt;=1900),0.7,TRUE,0.2)),IF(OR($B26="Ноги",$B26="Верх"),IFS(AND($V26&gt;=125,$V26&lt;=135),1,AND($V26&gt;=115,$V26&lt;125),0.7,AND($V26&gt;135,$V26&lt;=145),0.7,AND($V26&gt;=105,$V26&lt;115),0.4,AND($V26&gt;145,$V26&lt;=155),0.4,TRUE,0.2),IFS(AND($V26&gt;=120,$V26&lt;=130),1,AND($V26&gt;=110,$V26&lt;120),0.7,AND($V26&gt;130,$V26&lt;=140),0.7,AND($V26&gt;=100,$V26&lt;110),0.4,AND($V26&gt;140,$V26&lt;=150),0.4,TRUE,0.2)),IFS(AND($W26&gt;=55,$W26&lt;=65),1,AND($W26&gt;=50,$W26&lt;55),0.7,AND($W26&gt;65,$W26&lt;=70),0.7,AND($W26&gt;=45,$W26&lt;50),0.4,AND($W26&gt;70,$W26&lt;=75),0.4,TRUE,0.2),IF(OR($B26="Ноги",$B26="Верх"),IFS(AND($X26&gt;=180,$X26&lt;=210),1,AND($X26&gt;=160,$X26&lt;180),0.7,AND($X26&gt;210,$X26&lt;=230),0.7,AND($X26&gt;=140,$X26&lt;160),0.4,AND($X26&gt;230,$X26&lt;=250),0.4,TRUE,0.2),IFS(AND($X26&gt;=140,$X26&lt;=170),1,AND($X26&gt;=120,$X26&lt;140),0.7,AND($X26&gt;170,$X26&lt;=190),0.7,AND($X26&gt;=100,$X26&lt;120),0.4,AND($X26&gt;190,$X26&lt;=210),0.4,TRUE,0.2))))),1),""))</f>
        <v/>
      </c>
      <c r="Z26">
        <f>IF($A26="","",TEXTJOIN(", ",TRUE,IF($B26="","Тренировка",""),IF($C26="","Кардио",""),IF($D26="","Шаги",""),IF($E26="","Английский",""),IF($F26="","Код-режим",""),IF($G26="","Код-тема",""),IF($H26="","Чтение",""),IF($L26="","Сон",""),IF($M26="","Режим",""),IF($N26="","Продуктивность",""),IF($O26="","Настроение",""),IF($P26="","Энергия",""),IF($U26="","Еда","")))</f>
        <v/>
      </c>
    </row>
    <row r="27">
      <c r="A27" s="2" t="inlineStr"/>
      <c r="J27">
        <f>IF(A27="","",SUMIF(FoodLog!$A:$A,A27,FoodLog!$I:$I))</f>
        <v/>
      </c>
      <c r="K27">
        <f>IF(A27="","",SUMIF(FoodLog!$A:$A,A27,FoodLog!$F:$F))</f>
        <v/>
      </c>
      <c r="L27">
        <f>IF(A27="","",SUMIF(FoodLog!$A:$A,A27,FoodLog!$G:$G))</f>
        <v/>
      </c>
      <c r="M27">
        <f>IF(A27="","",SUMIF(FoodLog!$A:$A,A27,FoodLog!$H:$H))</f>
        <v/>
      </c>
      <c r="N27">
        <f>LET(train,B27,cardio,C27,steps,D27,sleep,E27,reg,F27,prod,I27,kcal,J27,p,K27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7">
        <f>TEXTJOIN(", ",TRUE,IF(B27="","тренировка",""),IF(D27="","шаги",""),IF(E27="","сон",""),IF(F27="","режим",""),IF(G27="","настроение",""),IF(H27="","энергия",""),IF(I27="","продуктивность",""),IF(J27="","еда (ккал)",""))</f>
        <v/>
      </c>
      <c r="U27">
        <f>IF($A27="","",IF(SUMIF(FoodLog!$A:$A,$A27,FoodLog!$I:$I)=0,"",SUMIF(FoodLog!$A:$A,$A27,FoodLog!$I:$I)))</f>
        <v/>
      </c>
      <c r="V27">
        <f>IF($A27="","",IF(SUMIF(FoodLog!$A:$A,$A27,FoodLog!$F:$F)=0,"",SUMIF(FoodLog!$A:$A,$A27,FoodLog!$F:$F)))</f>
        <v/>
      </c>
      <c r="W27">
        <f>IF($A27="","",IF(SUMIF(FoodLog!$A:$A,$A27,FoodLog!$G:$G)=0,"",SUMIF(FoodLog!$A:$A,$A27,FoodLog!$G:$G)))</f>
        <v/>
      </c>
      <c r="X27">
        <f>IF($A27="","",IF(SUMIF(FoodLog!$A:$A,$A27,FoodLog!$H:$H)=0,"",SUMIF(FoodLog!$A:$A,$A27,FoodLog!$H:$H)))</f>
        <v/>
      </c>
      <c r="Y27">
        <f>IF($A27="","",IFERROR(ROUND(100*AVERAGE(IF($B27="","",XLOOKUP($B27,FILTER(Dictionaries!$B:$B,Dictionaries!$A:$A="Тренировка"),FILTER(Dictionaries!$C:$C,Dictionaries!$A:$A="Тренировка"))),IF($C27="","",MIN($C27/40,1)),IF($D27="","",XLOOKUP($D27,FILTER(Dictionaries!$B:$B,Dictionaries!$A:$A="Шаги"),FILTER(Dictionaries!$C:$C,Dictionaries!$A:$A="Шаги"))),IF($E27="","",MIN($E27/120,1)),IF(OR($F27&lt;&gt;"",$G27&lt;&gt;""),1,""),IF($H27="","",MIN($H27/100,1)),IF($L27="","",XLOOKUP($L27,FILTER(Dictionaries!$B:$B,Dictionaries!$A:$A="Сон_часы"),FILTER(Dictionaries!$C:$C,Dictionaries!$A:$A="Сон_часы"))),IF($M27="","",XLOOKUP($M27,FILTER(Dictionaries!$B:$B,Dictionaries!$A:$A="Режим"),FILTER(Dictionaries!$C:$C,Dictionaries!$A:$A="Режим"))),IF($N27="","",MIN($N27/100,1)),IF($O27="","",XLOOKUP($O27,FILTER(Dictionaries!$B:$B,Dictionaries!$A:$A="Настроение"),FILTER(Dictionaries!$C:$C,Dictionaries!$A:$A="Настроение"))),IF($P27="","",XLOOKUP($P27,FILTER(Dictionaries!$B:$B,Dictionaries!$A:$A="Энергия"),FILTER(Dictionaries!$C:$C,Dictionaries!$A:$A="Энергия"))),IF($U27="","",AVERAGE(IF(OR($B27="Ноги",$B27="Верх"),IFS(AND($U27&gt;=1900,$U27&lt;=2050),1,AND($U27&gt;=1850,$U27&lt;1900),0.7,AND($U27&gt;2050,$U27&lt;=2100),0.7,TRUE,0.2),IFS(AND($U27&gt;=1700,$U27&lt;=1850),1,AND($U27&gt;=1650,$U27&lt;1700),0.7,AND($U27&gt;1850,$U27&lt;=1900),0.7,TRUE,0.2)),IF(OR($B27="Ноги",$B27="Верх"),IFS(AND($V27&gt;=125,$V27&lt;=135),1,AND($V27&gt;=115,$V27&lt;125),0.7,AND($V27&gt;135,$V27&lt;=145),0.7,AND($V27&gt;=105,$V27&lt;115),0.4,AND($V27&gt;145,$V27&lt;=155),0.4,TRUE,0.2),IFS(AND($V27&gt;=120,$V27&lt;=130),1,AND($V27&gt;=110,$V27&lt;120),0.7,AND($V27&gt;130,$V27&lt;=140),0.7,AND($V27&gt;=100,$V27&lt;110),0.4,AND($V27&gt;140,$V27&lt;=150),0.4,TRUE,0.2)),IFS(AND($W27&gt;=55,$W27&lt;=65),1,AND($W27&gt;=50,$W27&lt;55),0.7,AND($W27&gt;65,$W27&lt;=70),0.7,AND($W27&gt;=45,$W27&lt;50),0.4,AND($W27&gt;70,$W27&lt;=75),0.4,TRUE,0.2),IF(OR($B27="Ноги",$B27="Верх"),IFS(AND($X27&gt;=180,$X27&lt;=210),1,AND($X27&gt;=160,$X27&lt;180),0.7,AND($X27&gt;210,$X27&lt;=230),0.7,AND($X27&gt;=140,$X27&lt;160),0.4,AND($X27&gt;230,$X27&lt;=250),0.4,TRUE,0.2),IFS(AND($X27&gt;=140,$X27&lt;=170),1,AND($X27&gt;=120,$X27&lt;140),0.7,AND($X27&gt;170,$X27&lt;=190),0.7,AND($X27&gt;=100,$X27&lt;120),0.4,AND($X27&gt;190,$X27&lt;=210),0.4,TRUE,0.2))))),1),""))</f>
        <v/>
      </c>
      <c r="Z27">
        <f>IF($A27="","",TEXTJOIN(", ",TRUE,IF($B27="","Тренировка",""),IF($C27="","Кардио",""),IF($D27="","Шаги",""),IF($E27="","Английский",""),IF($F27="","Код-режим",""),IF($G27="","Код-тема",""),IF($H27="","Чтение",""),IF($L27="","Сон",""),IF($M27="","Режим",""),IF($N27="","Продуктивность",""),IF($O27="","Настроение",""),IF($P27="","Энергия",""),IF($U27="","Еда","")))</f>
        <v/>
      </c>
    </row>
    <row r="28">
      <c r="A28" s="2" t="inlineStr"/>
      <c r="J28">
        <f>IF(A28="","",SUMIF(FoodLog!$A:$A,A28,FoodLog!$I:$I))</f>
        <v/>
      </c>
      <c r="K28">
        <f>IF(A28="","",SUMIF(FoodLog!$A:$A,A28,FoodLog!$F:$F))</f>
        <v/>
      </c>
      <c r="L28">
        <f>IF(A28="","",SUMIF(FoodLog!$A:$A,A28,FoodLog!$G:$G))</f>
        <v/>
      </c>
      <c r="M28">
        <f>IF(A28="","",SUMIF(FoodLog!$A:$A,A28,FoodLog!$H:$H))</f>
        <v/>
      </c>
      <c r="N28">
        <f>LET(train,B28,cardio,C28,steps,D28,sleep,E28,reg,F28,prod,I28,kcal,J28,p,K28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8">
        <f>TEXTJOIN(", ",TRUE,IF(B28="","тренировка",""),IF(D28="","шаги",""),IF(E28="","сон",""),IF(F28="","режим",""),IF(G28="","настроение",""),IF(H28="","энергия",""),IF(I28="","продуктивность",""),IF(J28="","еда (ккал)",""))</f>
        <v/>
      </c>
      <c r="U28">
        <f>IF($A28="","",IF(SUMIF(FoodLog!$A:$A,$A28,FoodLog!$I:$I)=0,"",SUMIF(FoodLog!$A:$A,$A28,FoodLog!$I:$I)))</f>
        <v/>
      </c>
      <c r="V28">
        <f>IF($A28="","",IF(SUMIF(FoodLog!$A:$A,$A28,FoodLog!$F:$F)=0,"",SUMIF(FoodLog!$A:$A,$A28,FoodLog!$F:$F)))</f>
        <v/>
      </c>
      <c r="W28">
        <f>IF($A28="","",IF(SUMIF(FoodLog!$A:$A,$A28,FoodLog!$G:$G)=0,"",SUMIF(FoodLog!$A:$A,$A28,FoodLog!$G:$G)))</f>
        <v/>
      </c>
      <c r="X28">
        <f>IF($A28="","",IF(SUMIF(FoodLog!$A:$A,$A28,FoodLog!$H:$H)=0,"",SUMIF(FoodLog!$A:$A,$A28,FoodLog!$H:$H)))</f>
        <v/>
      </c>
      <c r="Y28">
        <f>IF($A28="","",IFERROR(ROUND(100*AVERAGE(IF($B28="","",XLOOKUP($B28,FILTER(Dictionaries!$B:$B,Dictionaries!$A:$A="Тренировка"),FILTER(Dictionaries!$C:$C,Dictionaries!$A:$A="Тренировка"))),IF($C28="","",MIN($C28/40,1)),IF($D28="","",XLOOKUP($D28,FILTER(Dictionaries!$B:$B,Dictionaries!$A:$A="Шаги"),FILTER(Dictionaries!$C:$C,Dictionaries!$A:$A="Шаги"))),IF($E28="","",MIN($E28/120,1)),IF(OR($F28&lt;&gt;"",$G28&lt;&gt;""),1,""),IF($H28="","",MIN($H28/100,1)),IF($L28="","",XLOOKUP($L28,FILTER(Dictionaries!$B:$B,Dictionaries!$A:$A="Сон_часы"),FILTER(Dictionaries!$C:$C,Dictionaries!$A:$A="Сон_часы"))),IF($M28="","",XLOOKUP($M28,FILTER(Dictionaries!$B:$B,Dictionaries!$A:$A="Режим"),FILTER(Dictionaries!$C:$C,Dictionaries!$A:$A="Режим"))),IF($N28="","",MIN($N28/100,1)),IF($O28="","",XLOOKUP($O28,FILTER(Dictionaries!$B:$B,Dictionaries!$A:$A="Настроение"),FILTER(Dictionaries!$C:$C,Dictionaries!$A:$A="Настроение"))),IF($P28="","",XLOOKUP($P28,FILTER(Dictionaries!$B:$B,Dictionaries!$A:$A="Энергия"),FILTER(Dictionaries!$C:$C,Dictionaries!$A:$A="Энергия"))),IF($U28="","",AVERAGE(IF(OR($B28="Ноги",$B28="Верх"),IFS(AND($U28&gt;=1900,$U28&lt;=2050),1,AND($U28&gt;=1850,$U28&lt;1900),0.7,AND($U28&gt;2050,$U28&lt;=2100),0.7,TRUE,0.2),IFS(AND($U28&gt;=1700,$U28&lt;=1850),1,AND($U28&gt;=1650,$U28&lt;1700),0.7,AND($U28&gt;1850,$U28&lt;=1900),0.7,TRUE,0.2)),IF(OR($B28="Ноги",$B28="Верх"),IFS(AND($V28&gt;=125,$V28&lt;=135),1,AND($V28&gt;=115,$V28&lt;125),0.7,AND($V28&gt;135,$V28&lt;=145),0.7,AND($V28&gt;=105,$V28&lt;115),0.4,AND($V28&gt;145,$V28&lt;=155),0.4,TRUE,0.2),IFS(AND($V28&gt;=120,$V28&lt;=130),1,AND($V28&gt;=110,$V28&lt;120),0.7,AND($V28&gt;130,$V28&lt;=140),0.7,AND($V28&gt;=100,$V28&lt;110),0.4,AND($V28&gt;140,$V28&lt;=150),0.4,TRUE,0.2)),IFS(AND($W28&gt;=55,$W28&lt;=65),1,AND($W28&gt;=50,$W28&lt;55),0.7,AND($W28&gt;65,$W28&lt;=70),0.7,AND($W28&gt;=45,$W28&lt;50),0.4,AND($W28&gt;70,$W28&lt;=75),0.4,TRUE,0.2),IF(OR($B28="Ноги",$B28="Верх"),IFS(AND($X28&gt;=180,$X28&lt;=210),1,AND($X28&gt;=160,$X28&lt;180),0.7,AND($X28&gt;210,$X28&lt;=230),0.7,AND($X28&gt;=140,$X28&lt;160),0.4,AND($X28&gt;230,$X28&lt;=250),0.4,TRUE,0.2),IFS(AND($X28&gt;=140,$X28&lt;=170),1,AND($X28&gt;=120,$X28&lt;140),0.7,AND($X28&gt;170,$X28&lt;=190),0.7,AND($X28&gt;=100,$X28&lt;120),0.4,AND($X28&gt;190,$X28&lt;=210),0.4,TRUE,0.2))))),1),""))</f>
        <v/>
      </c>
      <c r="Z28">
        <f>IF($A28="","",TEXTJOIN(", ",TRUE,IF($B28="","Тренировка",""),IF($C28="","Кардио",""),IF($D28="","Шаги",""),IF($E28="","Английский",""),IF($F28="","Код-режим",""),IF($G28="","Код-тема",""),IF($H28="","Чтение",""),IF($L28="","Сон",""),IF($M28="","Режим",""),IF($N28="","Продуктивность",""),IF($O28="","Настроение",""),IF($P28="","Энергия",""),IF($U28="","Еда","")))</f>
        <v/>
      </c>
    </row>
    <row r="29">
      <c r="A29" s="2" t="inlineStr"/>
      <c r="J29">
        <f>IF(A29="","",SUMIF(FoodLog!$A:$A,A29,FoodLog!$I:$I))</f>
        <v/>
      </c>
      <c r="K29">
        <f>IF(A29="","",SUMIF(FoodLog!$A:$A,A29,FoodLog!$F:$F))</f>
        <v/>
      </c>
      <c r="L29">
        <f>IF(A29="","",SUMIF(FoodLog!$A:$A,A29,FoodLog!$G:$G))</f>
        <v/>
      </c>
      <c r="M29">
        <f>IF(A29="","",SUMIF(FoodLog!$A:$A,A29,FoodLog!$H:$H))</f>
        <v/>
      </c>
      <c r="N29">
        <f>LET(train,B29,cardio,C29,steps,D29,sleep,E29,reg,F29,prod,I29,kcal,J29,p,K29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29">
        <f>TEXTJOIN(", ",TRUE,IF(B29="","тренировка",""),IF(D29="","шаги",""),IF(E29="","сон",""),IF(F29="","режим",""),IF(G29="","настроение",""),IF(H29="","энергия",""),IF(I29="","продуктивность",""),IF(J29="","еда (ккал)",""))</f>
        <v/>
      </c>
      <c r="U29">
        <f>IF($A29="","",IF(SUMIF(FoodLog!$A:$A,$A29,FoodLog!$I:$I)=0,"",SUMIF(FoodLog!$A:$A,$A29,FoodLog!$I:$I)))</f>
        <v/>
      </c>
      <c r="V29">
        <f>IF($A29="","",IF(SUMIF(FoodLog!$A:$A,$A29,FoodLog!$F:$F)=0,"",SUMIF(FoodLog!$A:$A,$A29,FoodLog!$F:$F)))</f>
        <v/>
      </c>
      <c r="W29">
        <f>IF($A29="","",IF(SUMIF(FoodLog!$A:$A,$A29,FoodLog!$G:$G)=0,"",SUMIF(FoodLog!$A:$A,$A29,FoodLog!$G:$G)))</f>
        <v/>
      </c>
      <c r="X29">
        <f>IF($A29="","",IF(SUMIF(FoodLog!$A:$A,$A29,FoodLog!$H:$H)=0,"",SUMIF(FoodLog!$A:$A,$A29,FoodLog!$H:$H)))</f>
        <v/>
      </c>
      <c r="Y29">
        <f>IF($A29="","",IFERROR(ROUND(100*AVERAGE(IF($B29="","",XLOOKUP($B29,FILTER(Dictionaries!$B:$B,Dictionaries!$A:$A="Тренировка"),FILTER(Dictionaries!$C:$C,Dictionaries!$A:$A="Тренировка"))),IF($C29="","",MIN($C29/40,1)),IF($D29="","",XLOOKUP($D29,FILTER(Dictionaries!$B:$B,Dictionaries!$A:$A="Шаги"),FILTER(Dictionaries!$C:$C,Dictionaries!$A:$A="Шаги"))),IF($E29="","",MIN($E29/120,1)),IF(OR($F29&lt;&gt;"",$G29&lt;&gt;""),1,""),IF($H29="","",MIN($H29/100,1)),IF($L29="","",XLOOKUP($L29,FILTER(Dictionaries!$B:$B,Dictionaries!$A:$A="Сон_часы"),FILTER(Dictionaries!$C:$C,Dictionaries!$A:$A="Сон_часы"))),IF($M29="","",XLOOKUP($M29,FILTER(Dictionaries!$B:$B,Dictionaries!$A:$A="Режим"),FILTER(Dictionaries!$C:$C,Dictionaries!$A:$A="Режим"))),IF($N29="","",MIN($N29/100,1)),IF($O29="","",XLOOKUP($O29,FILTER(Dictionaries!$B:$B,Dictionaries!$A:$A="Настроение"),FILTER(Dictionaries!$C:$C,Dictionaries!$A:$A="Настроение"))),IF($P29="","",XLOOKUP($P29,FILTER(Dictionaries!$B:$B,Dictionaries!$A:$A="Энергия"),FILTER(Dictionaries!$C:$C,Dictionaries!$A:$A="Энергия"))),IF($U29="","",AVERAGE(IF(OR($B29="Ноги",$B29="Верх"),IFS(AND($U29&gt;=1900,$U29&lt;=2050),1,AND($U29&gt;=1850,$U29&lt;1900),0.7,AND($U29&gt;2050,$U29&lt;=2100),0.7,TRUE,0.2),IFS(AND($U29&gt;=1700,$U29&lt;=1850),1,AND($U29&gt;=1650,$U29&lt;1700),0.7,AND($U29&gt;1850,$U29&lt;=1900),0.7,TRUE,0.2)),IF(OR($B29="Ноги",$B29="Верх"),IFS(AND($V29&gt;=125,$V29&lt;=135),1,AND($V29&gt;=115,$V29&lt;125),0.7,AND($V29&gt;135,$V29&lt;=145),0.7,AND($V29&gt;=105,$V29&lt;115),0.4,AND($V29&gt;145,$V29&lt;=155),0.4,TRUE,0.2),IFS(AND($V29&gt;=120,$V29&lt;=130),1,AND($V29&gt;=110,$V29&lt;120),0.7,AND($V29&gt;130,$V29&lt;=140),0.7,AND($V29&gt;=100,$V29&lt;110),0.4,AND($V29&gt;140,$V29&lt;=150),0.4,TRUE,0.2)),IFS(AND($W29&gt;=55,$W29&lt;=65),1,AND($W29&gt;=50,$W29&lt;55),0.7,AND($W29&gt;65,$W29&lt;=70),0.7,AND($W29&gt;=45,$W29&lt;50),0.4,AND($W29&gt;70,$W29&lt;=75),0.4,TRUE,0.2),IF(OR($B29="Ноги",$B29="Верх"),IFS(AND($X29&gt;=180,$X29&lt;=210),1,AND($X29&gt;=160,$X29&lt;180),0.7,AND($X29&gt;210,$X29&lt;=230),0.7,AND($X29&gt;=140,$X29&lt;160),0.4,AND($X29&gt;230,$X29&lt;=250),0.4,TRUE,0.2),IFS(AND($X29&gt;=140,$X29&lt;=170),1,AND($X29&gt;=120,$X29&lt;140),0.7,AND($X29&gt;170,$X29&lt;=190),0.7,AND($X29&gt;=100,$X29&lt;120),0.4,AND($X29&gt;190,$X29&lt;=210),0.4,TRUE,0.2))))),1),""))</f>
        <v/>
      </c>
      <c r="Z29">
        <f>IF($A29="","",TEXTJOIN(", ",TRUE,IF($B29="","Тренировка",""),IF($C29="","Кардио",""),IF($D29="","Шаги",""),IF($E29="","Английский",""),IF($F29="","Код-режим",""),IF($G29="","Код-тема",""),IF($H29="","Чтение",""),IF($L29="","Сон",""),IF($M29="","Режим",""),IF($N29="","Продуктивность",""),IF($O29="","Настроение",""),IF($P29="","Энергия",""),IF($U29="","Еда","")))</f>
        <v/>
      </c>
    </row>
    <row r="30">
      <c r="A30" s="2" t="inlineStr"/>
      <c r="J30">
        <f>IF(A30="","",SUMIF(FoodLog!$A:$A,A30,FoodLog!$I:$I))</f>
        <v/>
      </c>
      <c r="K30">
        <f>IF(A30="","",SUMIF(FoodLog!$A:$A,A30,FoodLog!$F:$F))</f>
        <v/>
      </c>
      <c r="L30">
        <f>IF(A30="","",SUMIF(FoodLog!$A:$A,A30,FoodLog!$G:$G))</f>
        <v/>
      </c>
      <c r="M30">
        <f>IF(A30="","",SUMIF(FoodLog!$A:$A,A30,FoodLog!$H:$H))</f>
        <v/>
      </c>
      <c r="N30">
        <f>LET(train,B30,cardio,C30,steps,D30,sleep,E30,reg,F30,prod,I30,kcal,J30,p,K30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0">
        <f>TEXTJOIN(", ",TRUE,IF(B30="","тренировка",""),IF(D30="","шаги",""),IF(E30="","сон",""),IF(F30="","режим",""),IF(G30="","настроение",""),IF(H30="","энергия",""),IF(I30="","продуктивность",""),IF(J30="","еда (ккал)",""))</f>
        <v/>
      </c>
      <c r="U30">
        <f>IF($A30="","",IF(SUMIF(FoodLog!$A:$A,$A30,FoodLog!$I:$I)=0,"",SUMIF(FoodLog!$A:$A,$A30,FoodLog!$I:$I)))</f>
        <v/>
      </c>
      <c r="V30">
        <f>IF($A30="","",IF(SUMIF(FoodLog!$A:$A,$A30,FoodLog!$F:$F)=0,"",SUMIF(FoodLog!$A:$A,$A30,FoodLog!$F:$F)))</f>
        <v/>
      </c>
      <c r="W30">
        <f>IF($A30="","",IF(SUMIF(FoodLog!$A:$A,$A30,FoodLog!$G:$G)=0,"",SUMIF(FoodLog!$A:$A,$A30,FoodLog!$G:$G)))</f>
        <v/>
      </c>
      <c r="X30">
        <f>IF($A30="","",IF(SUMIF(FoodLog!$A:$A,$A30,FoodLog!$H:$H)=0,"",SUMIF(FoodLog!$A:$A,$A30,FoodLog!$H:$H)))</f>
        <v/>
      </c>
      <c r="Y30">
        <f>IF($A30="","",IFERROR(ROUND(100*AVERAGE(IF($B30="","",XLOOKUP($B30,FILTER(Dictionaries!$B:$B,Dictionaries!$A:$A="Тренировка"),FILTER(Dictionaries!$C:$C,Dictionaries!$A:$A="Тренировка"))),IF($C30="","",MIN($C30/40,1)),IF($D30="","",XLOOKUP($D30,FILTER(Dictionaries!$B:$B,Dictionaries!$A:$A="Шаги"),FILTER(Dictionaries!$C:$C,Dictionaries!$A:$A="Шаги"))),IF($E30="","",MIN($E30/120,1)),IF(OR($F30&lt;&gt;"",$G30&lt;&gt;""),1,""),IF($H30="","",MIN($H30/100,1)),IF($L30="","",XLOOKUP($L30,FILTER(Dictionaries!$B:$B,Dictionaries!$A:$A="Сон_часы"),FILTER(Dictionaries!$C:$C,Dictionaries!$A:$A="Сон_часы"))),IF($M30="","",XLOOKUP($M30,FILTER(Dictionaries!$B:$B,Dictionaries!$A:$A="Режим"),FILTER(Dictionaries!$C:$C,Dictionaries!$A:$A="Режим"))),IF($N30="","",MIN($N30/100,1)),IF($O30="","",XLOOKUP($O30,FILTER(Dictionaries!$B:$B,Dictionaries!$A:$A="Настроение"),FILTER(Dictionaries!$C:$C,Dictionaries!$A:$A="Настроение"))),IF($P30="","",XLOOKUP($P30,FILTER(Dictionaries!$B:$B,Dictionaries!$A:$A="Энергия"),FILTER(Dictionaries!$C:$C,Dictionaries!$A:$A="Энергия"))),IF($U30="","",AVERAGE(IF(OR($B30="Ноги",$B30="Верх"),IFS(AND($U30&gt;=1900,$U30&lt;=2050),1,AND($U30&gt;=1850,$U30&lt;1900),0.7,AND($U30&gt;2050,$U30&lt;=2100),0.7,TRUE,0.2),IFS(AND($U30&gt;=1700,$U30&lt;=1850),1,AND($U30&gt;=1650,$U30&lt;1700),0.7,AND($U30&gt;1850,$U30&lt;=1900),0.7,TRUE,0.2)),IF(OR($B30="Ноги",$B30="Верх"),IFS(AND($V30&gt;=125,$V30&lt;=135),1,AND($V30&gt;=115,$V30&lt;125),0.7,AND($V30&gt;135,$V30&lt;=145),0.7,AND($V30&gt;=105,$V30&lt;115),0.4,AND($V30&gt;145,$V30&lt;=155),0.4,TRUE,0.2),IFS(AND($V30&gt;=120,$V30&lt;=130),1,AND($V30&gt;=110,$V30&lt;120),0.7,AND($V30&gt;130,$V30&lt;=140),0.7,AND($V30&gt;=100,$V30&lt;110),0.4,AND($V30&gt;140,$V30&lt;=150),0.4,TRUE,0.2)),IFS(AND($W30&gt;=55,$W30&lt;=65),1,AND($W30&gt;=50,$W30&lt;55),0.7,AND($W30&gt;65,$W30&lt;=70),0.7,AND($W30&gt;=45,$W30&lt;50),0.4,AND($W30&gt;70,$W30&lt;=75),0.4,TRUE,0.2),IF(OR($B30="Ноги",$B30="Верх"),IFS(AND($X30&gt;=180,$X30&lt;=210),1,AND($X30&gt;=160,$X30&lt;180),0.7,AND($X30&gt;210,$X30&lt;=230),0.7,AND($X30&gt;=140,$X30&lt;160),0.4,AND($X30&gt;230,$X30&lt;=250),0.4,TRUE,0.2),IFS(AND($X30&gt;=140,$X30&lt;=170),1,AND($X30&gt;=120,$X30&lt;140),0.7,AND($X30&gt;170,$X30&lt;=190),0.7,AND($X30&gt;=100,$X30&lt;120),0.4,AND($X30&gt;190,$X30&lt;=210),0.4,TRUE,0.2))))),1),""))</f>
        <v/>
      </c>
      <c r="Z30">
        <f>IF($A30="","",TEXTJOIN(", ",TRUE,IF($B30="","Тренировка",""),IF($C30="","Кардио",""),IF($D30="","Шаги",""),IF($E30="","Английский",""),IF($F30="","Код-режим",""),IF($G30="","Код-тема",""),IF($H30="","Чтение",""),IF($L30="","Сон",""),IF($M30="","Режим",""),IF($N30="","Продуктивность",""),IF($O30="","Настроение",""),IF($P30="","Энергия",""),IF($U30="","Еда","")))</f>
        <v/>
      </c>
    </row>
    <row r="31">
      <c r="A31" s="2" t="inlineStr"/>
      <c r="J31">
        <f>IF(A31="","",SUMIF(FoodLog!$A:$A,A31,FoodLog!$I:$I))</f>
        <v/>
      </c>
      <c r="K31">
        <f>IF(A31="","",SUMIF(FoodLog!$A:$A,A31,FoodLog!$F:$F))</f>
        <v/>
      </c>
      <c r="L31">
        <f>IF(A31="","",SUMIF(FoodLog!$A:$A,A31,FoodLog!$G:$G))</f>
        <v/>
      </c>
      <c r="M31">
        <f>IF(A31="","",SUMIF(FoodLog!$A:$A,A31,FoodLog!$H:$H))</f>
        <v/>
      </c>
      <c r="N31">
        <f>LET(train,B31,cardio,C31,steps,D31,sleep,E31,reg,F31,prod,I31,kcal,J31,p,K31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1">
        <f>TEXTJOIN(", ",TRUE,IF(B31="","тренировка",""),IF(D31="","шаги",""),IF(E31="","сон",""),IF(F31="","режим",""),IF(G31="","настроение",""),IF(H31="","энергия",""),IF(I31="","продуктивность",""),IF(J31="","еда (ккал)",""))</f>
        <v/>
      </c>
      <c r="U31">
        <f>IF($A31="","",IF(SUMIF(FoodLog!$A:$A,$A31,FoodLog!$I:$I)=0,"",SUMIF(FoodLog!$A:$A,$A31,FoodLog!$I:$I)))</f>
        <v/>
      </c>
      <c r="V31">
        <f>IF($A31="","",IF(SUMIF(FoodLog!$A:$A,$A31,FoodLog!$F:$F)=0,"",SUMIF(FoodLog!$A:$A,$A31,FoodLog!$F:$F)))</f>
        <v/>
      </c>
      <c r="W31">
        <f>IF($A31="","",IF(SUMIF(FoodLog!$A:$A,$A31,FoodLog!$G:$G)=0,"",SUMIF(FoodLog!$A:$A,$A31,FoodLog!$G:$G)))</f>
        <v/>
      </c>
      <c r="X31">
        <f>IF($A31="","",IF(SUMIF(FoodLog!$A:$A,$A31,FoodLog!$H:$H)=0,"",SUMIF(FoodLog!$A:$A,$A31,FoodLog!$H:$H)))</f>
        <v/>
      </c>
      <c r="Y31">
        <f>IF($A31="","",IFERROR(ROUND(100*AVERAGE(IF($B31="","",XLOOKUP($B31,FILTER(Dictionaries!$B:$B,Dictionaries!$A:$A="Тренировка"),FILTER(Dictionaries!$C:$C,Dictionaries!$A:$A="Тренировка"))),IF($C31="","",MIN($C31/40,1)),IF($D31="","",XLOOKUP($D31,FILTER(Dictionaries!$B:$B,Dictionaries!$A:$A="Шаги"),FILTER(Dictionaries!$C:$C,Dictionaries!$A:$A="Шаги"))),IF($E31="","",MIN($E31/120,1)),IF(OR($F31&lt;&gt;"",$G31&lt;&gt;""),1,""),IF($H31="","",MIN($H31/100,1)),IF($L31="","",XLOOKUP($L31,FILTER(Dictionaries!$B:$B,Dictionaries!$A:$A="Сон_часы"),FILTER(Dictionaries!$C:$C,Dictionaries!$A:$A="Сон_часы"))),IF($M31="","",XLOOKUP($M31,FILTER(Dictionaries!$B:$B,Dictionaries!$A:$A="Режим"),FILTER(Dictionaries!$C:$C,Dictionaries!$A:$A="Режим"))),IF($N31="","",MIN($N31/100,1)),IF($O31="","",XLOOKUP($O31,FILTER(Dictionaries!$B:$B,Dictionaries!$A:$A="Настроение"),FILTER(Dictionaries!$C:$C,Dictionaries!$A:$A="Настроение"))),IF($P31="","",XLOOKUP($P31,FILTER(Dictionaries!$B:$B,Dictionaries!$A:$A="Энергия"),FILTER(Dictionaries!$C:$C,Dictionaries!$A:$A="Энергия"))),IF($U31="","",AVERAGE(IF(OR($B31="Ноги",$B31="Верх"),IFS(AND($U31&gt;=1900,$U31&lt;=2050),1,AND($U31&gt;=1850,$U31&lt;1900),0.7,AND($U31&gt;2050,$U31&lt;=2100),0.7,TRUE,0.2),IFS(AND($U31&gt;=1700,$U31&lt;=1850),1,AND($U31&gt;=1650,$U31&lt;1700),0.7,AND($U31&gt;1850,$U31&lt;=1900),0.7,TRUE,0.2)),IF(OR($B31="Ноги",$B31="Верх"),IFS(AND($V31&gt;=125,$V31&lt;=135),1,AND($V31&gt;=115,$V31&lt;125),0.7,AND($V31&gt;135,$V31&lt;=145),0.7,AND($V31&gt;=105,$V31&lt;115),0.4,AND($V31&gt;145,$V31&lt;=155),0.4,TRUE,0.2),IFS(AND($V31&gt;=120,$V31&lt;=130),1,AND($V31&gt;=110,$V31&lt;120),0.7,AND($V31&gt;130,$V31&lt;=140),0.7,AND($V31&gt;=100,$V31&lt;110),0.4,AND($V31&gt;140,$V31&lt;=150),0.4,TRUE,0.2)),IFS(AND($W31&gt;=55,$W31&lt;=65),1,AND($W31&gt;=50,$W31&lt;55),0.7,AND($W31&gt;65,$W31&lt;=70),0.7,AND($W31&gt;=45,$W31&lt;50),0.4,AND($W31&gt;70,$W31&lt;=75),0.4,TRUE,0.2),IF(OR($B31="Ноги",$B31="Верх"),IFS(AND($X31&gt;=180,$X31&lt;=210),1,AND($X31&gt;=160,$X31&lt;180),0.7,AND($X31&gt;210,$X31&lt;=230),0.7,AND($X31&gt;=140,$X31&lt;160),0.4,AND($X31&gt;230,$X31&lt;=250),0.4,TRUE,0.2),IFS(AND($X31&gt;=140,$X31&lt;=170),1,AND($X31&gt;=120,$X31&lt;140),0.7,AND($X31&gt;170,$X31&lt;=190),0.7,AND($X31&gt;=100,$X31&lt;120),0.4,AND($X31&gt;190,$X31&lt;=210),0.4,TRUE,0.2))))),1),""))</f>
        <v/>
      </c>
      <c r="Z31">
        <f>IF($A31="","",TEXTJOIN(", ",TRUE,IF($B31="","Тренировка",""),IF($C31="","Кардио",""),IF($D31="","Шаги",""),IF($E31="","Английский",""),IF($F31="","Код-режим",""),IF($G31="","Код-тема",""),IF($H31="","Чтение",""),IF($L31="","Сон",""),IF($M31="","Режим",""),IF($N31="","Продуктивность",""),IF($O31="","Настроение",""),IF($P31="","Энергия",""),IF($U31="","Еда","")))</f>
        <v/>
      </c>
    </row>
    <row r="32">
      <c r="A32" s="2" t="inlineStr"/>
      <c r="J32">
        <f>IF(A32="","",SUMIF(FoodLog!$A:$A,A32,FoodLog!$I:$I))</f>
        <v/>
      </c>
      <c r="K32">
        <f>IF(A32="","",SUMIF(FoodLog!$A:$A,A32,FoodLog!$F:$F))</f>
        <v/>
      </c>
      <c r="L32">
        <f>IF(A32="","",SUMIF(FoodLog!$A:$A,A32,FoodLog!$G:$G))</f>
        <v/>
      </c>
      <c r="M32">
        <f>IF(A32="","",SUMIF(FoodLog!$A:$A,A32,FoodLog!$H:$H))</f>
        <v/>
      </c>
      <c r="N32">
        <f>LET(train,B32,cardio,C32,steps,D32,sleep,E32,reg,F32,prod,I32,kcal,J32,p,K32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2">
        <f>TEXTJOIN(", ",TRUE,IF(B32="","тренировка",""),IF(D32="","шаги",""),IF(E32="","сон",""),IF(F32="","режим",""),IF(G32="","настроение",""),IF(H32="","энергия",""),IF(I32="","продуктивность",""),IF(J32="","еда (ккал)",""))</f>
        <v/>
      </c>
      <c r="U32">
        <f>IF($A32="","",IF(SUMIF(FoodLog!$A:$A,$A32,FoodLog!$I:$I)=0,"",SUMIF(FoodLog!$A:$A,$A32,FoodLog!$I:$I)))</f>
        <v/>
      </c>
      <c r="V32">
        <f>IF($A32="","",IF(SUMIF(FoodLog!$A:$A,$A32,FoodLog!$F:$F)=0,"",SUMIF(FoodLog!$A:$A,$A32,FoodLog!$F:$F)))</f>
        <v/>
      </c>
      <c r="W32">
        <f>IF($A32="","",IF(SUMIF(FoodLog!$A:$A,$A32,FoodLog!$G:$G)=0,"",SUMIF(FoodLog!$A:$A,$A32,FoodLog!$G:$G)))</f>
        <v/>
      </c>
      <c r="X32">
        <f>IF($A32="","",IF(SUMIF(FoodLog!$A:$A,$A32,FoodLog!$H:$H)=0,"",SUMIF(FoodLog!$A:$A,$A32,FoodLog!$H:$H)))</f>
        <v/>
      </c>
      <c r="Y32">
        <f>IF($A32="","",IFERROR(ROUND(100*AVERAGE(IF($B32="","",XLOOKUP($B32,FILTER(Dictionaries!$B:$B,Dictionaries!$A:$A="Тренировка"),FILTER(Dictionaries!$C:$C,Dictionaries!$A:$A="Тренировка"))),IF($C32="","",MIN($C32/40,1)),IF($D32="","",XLOOKUP($D32,FILTER(Dictionaries!$B:$B,Dictionaries!$A:$A="Шаги"),FILTER(Dictionaries!$C:$C,Dictionaries!$A:$A="Шаги"))),IF($E32="","",MIN($E32/120,1)),IF(OR($F32&lt;&gt;"",$G32&lt;&gt;""),1,""),IF($H32="","",MIN($H32/100,1)),IF($L32="","",XLOOKUP($L32,FILTER(Dictionaries!$B:$B,Dictionaries!$A:$A="Сон_часы"),FILTER(Dictionaries!$C:$C,Dictionaries!$A:$A="Сон_часы"))),IF($M32="","",XLOOKUP($M32,FILTER(Dictionaries!$B:$B,Dictionaries!$A:$A="Режим"),FILTER(Dictionaries!$C:$C,Dictionaries!$A:$A="Режим"))),IF($N32="","",MIN($N32/100,1)),IF($O32="","",XLOOKUP($O32,FILTER(Dictionaries!$B:$B,Dictionaries!$A:$A="Настроение"),FILTER(Dictionaries!$C:$C,Dictionaries!$A:$A="Настроение"))),IF($P32="","",XLOOKUP($P32,FILTER(Dictionaries!$B:$B,Dictionaries!$A:$A="Энергия"),FILTER(Dictionaries!$C:$C,Dictionaries!$A:$A="Энергия"))),IF($U32="","",AVERAGE(IF(OR($B32="Ноги",$B32="Верх"),IFS(AND($U32&gt;=1900,$U32&lt;=2050),1,AND($U32&gt;=1850,$U32&lt;1900),0.7,AND($U32&gt;2050,$U32&lt;=2100),0.7,TRUE,0.2),IFS(AND($U32&gt;=1700,$U32&lt;=1850),1,AND($U32&gt;=1650,$U32&lt;1700),0.7,AND($U32&gt;1850,$U32&lt;=1900),0.7,TRUE,0.2)),IF(OR($B32="Ноги",$B32="Верх"),IFS(AND($V32&gt;=125,$V32&lt;=135),1,AND($V32&gt;=115,$V32&lt;125),0.7,AND($V32&gt;135,$V32&lt;=145),0.7,AND($V32&gt;=105,$V32&lt;115),0.4,AND($V32&gt;145,$V32&lt;=155),0.4,TRUE,0.2),IFS(AND($V32&gt;=120,$V32&lt;=130),1,AND($V32&gt;=110,$V32&lt;120),0.7,AND($V32&gt;130,$V32&lt;=140),0.7,AND($V32&gt;=100,$V32&lt;110),0.4,AND($V32&gt;140,$V32&lt;=150),0.4,TRUE,0.2)),IFS(AND($W32&gt;=55,$W32&lt;=65),1,AND($W32&gt;=50,$W32&lt;55),0.7,AND($W32&gt;65,$W32&lt;=70),0.7,AND($W32&gt;=45,$W32&lt;50),0.4,AND($W32&gt;70,$W32&lt;=75),0.4,TRUE,0.2),IF(OR($B32="Ноги",$B32="Верх"),IFS(AND($X32&gt;=180,$X32&lt;=210),1,AND($X32&gt;=160,$X32&lt;180),0.7,AND($X32&gt;210,$X32&lt;=230),0.7,AND($X32&gt;=140,$X32&lt;160),0.4,AND($X32&gt;230,$X32&lt;=250),0.4,TRUE,0.2),IFS(AND($X32&gt;=140,$X32&lt;=170),1,AND($X32&gt;=120,$X32&lt;140),0.7,AND($X32&gt;170,$X32&lt;=190),0.7,AND($X32&gt;=100,$X32&lt;120),0.4,AND($X32&gt;190,$X32&lt;=210),0.4,TRUE,0.2))))),1),""))</f>
        <v/>
      </c>
      <c r="Z32">
        <f>IF($A32="","",TEXTJOIN(", ",TRUE,IF($B32="","Тренировка",""),IF($C32="","Кардио",""),IF($D32="","Шаги",""),IF($E32="","Английский",""),IF($F32="","Код-режим",""),IF($G32="","Код-тема",""),IF($H32="","Чтение",""),IF($L32="","Сон",""),IF($M32="","Режим",""),IF($N32="","Продуктивность",""),IF($O32="","Настроение",""),IF($P32="","Энергия",""),IF($U32="","Еда","")))</f>
        <v/>
      </c>
    </row>
    <row r="33">
      <c r="A33" s="2" t="inlineStr"/>
      <c r="J33">
        <f>IF(A33="","",SUMIF(FoodLog!$A:$A,A33,FoodLog!$I:$I))</f>
        <v/>
      </c>
      <c r="K33">
        <f>IF(A33="","",SUMIF(FoodLog!$A:$A,A33,FoodLog!$F:$F))</f>
        <v/>
      </c>
      <c r="L33">
        <f>IF(A33="","",SUMIF(FoodLog!$A:$A,A33,FoodLog!$G:$G))</f>
        <v/>
      </c>
      <c r="M33">
        <f>IF(A33="","",SUMIF(FoodLog!$A:$A,A33,FoodLog!$H:$H))</f>
        <v/>
      </c>
      <c r="N33">
        <f>LET(train,B33,cardio,C33,steps,D33,sleep,E33,reg,F33,prod,I33,kcal,J33,p,K33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3">
        <f>TEXTJOIN(", ",TRUE,IF(B33="","тренировка",""),IF(D33="","шаги",""),IF(E33="","сон",""),IF(F33="","режим",""),IF(G33="","настроение",""),IF(H33="","энергия",""),IF(I33="","продуктивность",""),IF(J33="","еда (ккал)",""))</f>
        <v/>
      </c>
      <c r="U33">
        <f>IF($A33="","",IF(SUMIF(FoodLog!$A:$A,$A33,FoodLog!$I:$I)=0,"",SUMIF(FoodLog!$A:$A,$A33,FoodLog!$I:$I)))</f>
        <v/>
      </c>
      <c r="V33">
        <f>IF($A33="","",IF(SUMIF(FoodLog!$A:$A,$A33,FoodLog!$F:$F)=0,"",SUMIF(FoodLog!$A:$A,$A33,FoodLog!$F:$F)))</f>
        <v/>
      </c>
      <c r="W33">
        <f>IF($A33="","",IF(SUMIF(FoodLog!$A:$A,$A33,FoodLog!$G:$G)=0,"",SUMIF(FoodLog!$A:$A,$A33,FoodLog!$G:$G)))</f>
        <v/>
      </c>
      <c r="X33">
        <f>IF($A33="","",IF(SUMIF(FoodLog!$A:$A,$A33,FoodLog!$H:$H)=0,"",SUMIF(FoodLog!$A:$A,$A33,FoodLog!$H:$H)))</f>
        <v/>
      </c>
      <c r="Y33">
        <f>IF($A33="","",IFERROR(ROUND(100*AVERAGE(IF($B33="","",XLOOKUP($B33,FILTER(Dictionaries!$B:$B,Dictionaries!$A:$A="Тренировка"),FILTER(Dictionaries!$C:$C,Dictionaries!$A:$A="Тренировка"))),IF($C33="","",MIN($C33/40,1)),IF($D33="","",XLOOKUP($D33,FILTER(Dictionaries!$B:$B,Dictionaries!$A:$A="Шаги"),FILTER(Dictionaries!$C:$C,Dictionaries!$A:$A="Шаги"))),IF($E33="","",MIN($E33/120,1)),IF(OR($F33&lt;&gt;"",$G33&lt;&gt;""),1,""),IF($H33="","",MIN($H33/100,1)),IF($L33="","",XLOOKUP($L33,FILTER(Dictionaries!$B:$B,Dictionaries!$A:$A="Сон_часы"),FILTER(Dictionaries!$C:$C,Dictionaries!$A:$A="Сон_часы"))),IF($M33="","",XLOOKUP($M33,FILTER(Dictionaries!$B:$B,Dictionaries!$A:$A="Режим"),FILTER(Dictionaries!$C:$C,Dictionaries!$A:$A="Режим"))),IF($N33="","",MIN($N33/100,1)),IF($O33="","",XLOOKUP($O33,FILTER(Dictionaries!$B:$B,Dictionaries!$A:$A="Настроение"),FILTER(Dictionaries!$C:$C,Dictionaries!$A:$A="Настроение"))),IF($P33="","",XLOOKUP($P33,FILTER(Dictionaries!$B:$B,Dictionaries!$A:$A="Энергия"),FILTER(Dictionaries!$C:$C,Dictionaries!$A:$A="Энергия"))),IF($U33="","",AVERAGE(IF(OR($B33="Ноги",$B33="Верх"),IFS(AND($U33&gt;=1900,$U33&lt;=2050),1,AND($U33&gt;=1850,$U33&lt;1900),0.7,AND($U33&gt;2050,$U33&lt;=2100),0.7,TRUE,0.2),IFS(AND($U33&gt;=1700,$U33&lt;=1850),1,AND($U33&gt;=1650,$U33&lt;1700),0.7,AND($U33&gt;1850,$U33&lt;=1900),0.7,TRUE,0.2)),IF(OR($B33="Ноги",$B33="Верх"),IFS(AND($V33&gt;=125,$V33&lt;=135),1,AND($V33&gt;=115,$V33&lt;125),0.7,AND($V33&gt;135,$V33&lt;=145),0.7,AND($V33&gt;=105,$V33&lt;115),0.4,AND($V33&gt;145,$V33&lt;=155),0.4,TRUE,0.2),IFS(AND($V33&gt;=120,$V33&lt;=130),1,AND($V33&gt;=110,$V33&lt;120),0.7,AND($V33&gt;130,$V33&lt;=140),0.7,AND($V33&gt;=100,$V33&lt;110),0.4,AND($V33&gt;140,$V33&lt;=150),0.4,TRUE,0.2)),IFS(AND($W33&gt;=55,$W33&lt;=65),1,AND($W33&gt;=50,$W33&lt;55),0.7,AND($W33&gt;65,$W33&lt;=70),0.7,AND($W33&gt;=45,$W33&lt;50),0.4,AND($W33&gt;70,$W33&lt;=75),0.4,TRUE,0.2),IF(OR($B33="Ноги",$B33="Верх"),IFS(AND($X33&gt;=180,$X33&lt;=210),1,AND($X33&gt;=160,$X33&lt;180),0.7,AND($X33&gt;210,$X33&lt;=230),0.7,AND($X33&gt;=140,$X33&lt;160),0.4,AND($X33&gt;230,$X33&lt;=250),0.4,TRUE,0.2),IFS(AND($X33&gt;=140,$X33&lt;=170),1,AND($X33&gt;=120,$X33&lt;140),0.7,AND($X33&gt;170,$X33&lt;=190),0.7,AND($X33&gt;=100,$X33&lt;120),0.4,AND($X33&gt;190,$X33&lt;=210),0.4,TRUE,0.2))))),1),""))</f>
        <v/>
      </c>
      <c r="Z33">
        <f>IF($A33="","",TEXTJOIN(", ",TRUE,IF($B33="","Тренировка",""),IF($C33="","Кардио",""),IF($D33="","Шаги",""),IF($E33="","Английский",""),IF($F33="","Код-режим",""),IF($G33="","Код-тема",""),IF($H33="","Чтение",""),IF($L33="","Сон",""),IF($M33="","Режим",""),IF($N33="","Продуктивность",""),IF($O33="","Настроение",""),IF($P33="","Энергия",""),IF($U33="","Еда","")))</f>
        <v/>
      </c>
    </row>
    <row r="34">
      <c r="A34" s="2" t="inlineStr"/>
      <c r="J34">
        <f>IF(A34="","",SUMIF(FoodLog!$A:$A,A34,FoodLog!$I:$I))</f>
        <v/>
      </c>
      <c r="K34">
        <f>IF(A34="","",SUMIF(FoodLog!$A:$A,A34,FoodLog!$F:$F))</f>
        <v/>
      </c>
      <c r="L34">
        <f>IF(A34="","",SUMIF(FoodLog!$A:$A,A34,FoodLog!$G:$G))</f>
        <v/>
      </c>
      <c r="M34">
        <f>IF(A34="","",SUMIF(FoodLog!$A:$A,A34,FoodLog!$H:$H))</f>
        <v/>
      </c>
      <c r="N34">
        <f>LET(train,B34,cardio,C34,steps,D34,sleep,E34,reg,F34,prod,I34,kcal,J34,p,K34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4">
        <f>TEXTJOIN(", ",TRUE,IF(B34="","тренировка",""),IF(D34="","шаги",""),IF(E34="","сон",""),IF(F34="","режим",""),IF(G34="","настроение",""),IF(H34="","энергия",""),IF(I34="","продуктивность",""),IF(J34="","еда (ккал)",""))</f>
        <v/>
      </c>
      <c r="U34">
        <f>IF($A34="","",IF(SUMIF(FoodLog!$A:$A,$A34,FoodLog!$I:$I)=0,"",SUMIF(FoodLog!$A:$A,$A34,FoodLog!$I:$I)))</f>
        <v/>
      </c>
      <c r="V34">
        <f>IF($A34="","",IF(SUMIF(FoodLog!$A:$A,$A34,FoodLog!$F:$F)=0,"",SUMIF(FoodLog!$A:$A,$A34,FoodLog!$F:$F)))</f>
        <v/>
      </c>
      <c r="W34">
        <f>IF($A34="","",IF(SUMIF(FoodLog!$A:$A,$A34,FoodLog!$G:$G)=0,"",SUMIF(FoodLog!$A:$A,$A34,FoodLog!$G:$G)))</f>
        <v/>
      </c>
      <c r="X34">
        <f>IF($A34="","",IF(SUMIF(FoodLog!$A:$A,$A34,FoodLog!$H:$H)=0,"",SUMIF(FoodLog!$A:$A,$A34,FoodLog!$H:$H)))</f>
        <v/>
      </c>
      <c r="Y34">
        <f>IF($A34="","",IFERROR(ROUND(100*AVERAGE(IF($B34="","",XLOOKUP($B34,FILTER(Dictionaries!$B:$B,Dictionaries!$A:$A="Тренировка"),FILTER(Dictionaries!$C:$C,Dictionaries!$A:$A="Тренировка"))),IF($C34="","",MIN($C34/40,1)),IF($D34="","",XLOOKUP($D34,FILTER(Dictionaries!$B:$B,Dictionaries!$A:$A="Шаги"),FILTER(Dictionaries!$C:$C,Dictionaries!$A:$A="Шаги"))),IF($E34="","",MIN($E34/120,1)),IF(OR($F34&lt;&gt;"",$G34&lt;&gt;""),1,""),IF($H34="","",MIN($H34/100,1)),IF($L34="","",XLOOKUP($L34,FILTER(Dictionaries!$B:$B,Dictionaries!$A:$A="Сон_часы"),FILTER(Dictionaries!$C:$C,Dictionaries!$A:$A="Сон_часы"))),IF($M34="","",XLOOKUP($M34,FILTER(Dictionaries!$B:$B,Dictionaries!$A:$A="Режим"),FILTER(Dictionaries!$C:$C,Dictionaries!$A:$A="Режим"))),IF($N34="","",MIN($N34/100,1)),IF($O34="","",XLOOKUP($O34,FILTER(Dictionaries!$B:$B,Dictionaries!$A:$A="Настроение"),FILTER(Dictionaries!$C:$C,Dictionaries!$A:$A="Настроение"))),IF($P34="","",XLOOKUP($P34,FILTER(Dictionaries!$B:$B,Dictionaries!$A:$A="Энергия"),FILTER(Dictionaries!$C:$C,Dictionaries!$A:$A="Энергия"))),IF($U34="","",AVERAGE(IF(OR($B34="Ноги",$B34="Верх"),IFS(AND($U34&gt;=1900,$U34&lt;=2050),1,AND($U34&gt;=1850,$U34&lt;1900),0.7,AND($U34&gt;2050,$U34&lt;=2100),0.7,TRUE,0.2),IFS(AND($U34&gt;=1700,$U34&lt;=1850),1,AND($U34&gt;=1650,$U34&lt;1700),0.7,AND($U34&gt;1850,$U34&lt;=1900),0.7,TRUE,0.2)),IF(OR($B34="Ноги",$B34="Верх"),IFS(AND($V34&gt;=125,$V34&lt;=135),1,AND($V34&gt;=115,$V34&lt;125),0.7,AND($V34&gt;135,$V34&lt;=145),0.7,AND($V34&gt;=105,$V34&lt;115),0.4,AND($V34&gt;145,$V34&lt;=155),0.4,TRUE,0.2),IFS(AND($V34&gt;=120,$V34&lt;=130),1,AND($V34&gt;=110,$V34&lt;120),0.7,AND($V34&gt;130,$V34&lt;=140),0.7,AND($V34&gt;=100,$V34&lt;110),0.4,AND($V34&gt;140,$V34&lt;=150),0.4,TRUE,0.2)),IFS(AND($W34&gt;=55,$W34&lt;=65),1,AND($W34&gt;=50,$W34&lt;55),0.7,AND($W34&gt;65,$W34&lt;=70),0.7,AND($W34&gt;=45,$W34&lt;50),0.4,AND($W34&gt;70,$W34&lt;=75),0.4,TRUE,0.2),IF(OR($B34="Ноги",$B34="Верх"),IFS(AND($X34&gt;=180,$X34&lt;=210),1,AND($X34&gt;=160,$X34&lt;180),0.7,AND($X34&gt;210,$X34&lt;=230),0.7,AND($X34&gt;=140,$X34&lt;160),0.4,AND($X34&gt;230,$X34&lt;=250),0.4,TRUE,0.2),IFS(AND($X34&gt;=140,$X34&lt;=170),1,AND($X34&gt;=120,$X34&lt;140),0.7,AND($X34&gt;170,$X34&lt;=190),0.7,AND($X34&gt;=100,$X34&lt;120),0.4,AND($X34&gt;190,$X34&lt;=210),0.4,TRUE,0.2))))),1),""))</f>
        <v/>
      </c>
      <c r="Z34">
        <f>IF($A34="","",TEXTJOIN(", ",TRUE,IF($B34="","Тренировка",""),IF($C34="","Кардио",""),IF($D34="","Шаги",""),IF($E34="","Английский",""),IF($F34="","Код-режим",""),IF($G34="","Код-тема",""),IF($H34="","Чтение",""),IF($L34="","Сон",""),IF($M34="","Режим",""),IF($N34="","Продуктивность",""),IF($O34="","Настроение",""),IF($P34="","Энергия",""),IF($U34="","Еда","")))</f>
        <v/>
      </c>
    </row>
    <row r="35">
      <c r="A35" s="2" t="inlineStr"/>
      <c r="J35">
        <f>IF(A35="","",SUMIF(FoodLog!$A:$A,A35,FoodLog!$I:$I))</f>
        <v/>
      </c>
      <c r="K35">
        <f>IF(A35="","",SUMIF(FoodLog!$A:$A,A35,FoodLog!$F:$F))</f>
        <v/>
      </c>
      <c r="L35">
        <f>IF(A35="","",SUMIF(FoodLog!$A:$A,A35,FoodLog!$G:$G))</f>
        <v/>
      </c>
      <c r="M35">
        <f>IF(A35="","",SUMIF(FoodLog!$A:$A,A35,FoodLog!$H:$H))</f>
        <v/>
      </c>
      <c r="N35">
        <f>LET(train,B35,cardio,C35,steps,D35,sleep,E35,reg,F35,prod,I35,kcal,J35,p,K35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5">
        <f>TEXTJOIN(", ",TRUE,IF(B35="","тренировка",""),IF(D35="","шаги",""),IF(E35="","сон",""),IF(F35="","режим",""),IF(G35="","настроение",""),IF(H35="","энергия",""),IF(I35="","продуктивность",""),IF(J35="","еда (ккал)",""))</f>
        <v/>
      </c>
      <c r="U35">
        <f>IF($A35="","",IF(SUMIF(FoodLog!$A:$A,$A35,FoodLog!$I:$I)=0,"",SUMIF(FoodLog!$A:$A,$A35,FoodLog!$I:$I)))</f>
        <v/>
      </c>
      <c r="V35">
        <f>IF($A35="","",IF(SUMIF(FoodLog!$A:$A,$A35,FoodLog!$F:$F)=0,"",SUMIF(FoodLog!$A:$A,$A35,FoodLog!$F:$F)))</f>
        <v/>
      </c>
      <c r="W35">
        <f>IF($A35="","",IF(SUMIF(FoodLog!$A:$A,$A35,FoodLog!$G:$G)=0,"",SUMIF(FoodLog!$A:$A,$A35,FoodLog!$G:$G)))</f>
        <v/>
      </c>
      <c r="X35">
        <f>IF($A35="","",IF(SUMIF(FoodLog!$A:$A,$A35,FoodLog!$H:$H)=0,"",SUMIF(FoodLog!$A:$A,$A35,FoodLog!$H:$H)))</f>
        <v/>
      </c>
      <c r="Y35">
        <f>IF($A35="","",IFERROR(ROUND(100*AVERAGE(IF($B35="","",XLOOKUP($B35,FILTER(Dictionaries!$B:$B,Dictionaries!$A:$A="Тренировка"),FILTER(Dictionaries!$C:$C,Dictionaries!$A:$A="Тренировка"))),IF($C35="","",MIN($C35/40,1)),IF($D35="","",XLOOKUP($D35,FILTER(Dictionaries!$B:$B,Dictionaries!$A:$A="Шаги"),FILTER(Dictionaries!$C:$C,Dictionaries!$A:$A="Шаги"))),IF($E35="","",MIN($E35/120,1)),IF(OR($F35&lt;&gt;"",$G35&lt;&gt;""),1,""),IF($H35="","",MIN($H35/100,1)),IF($L35="","",XLOOKUP($L35,FILTER(Dictionaries!$B:$B,Dictionaries!$A:$A="Сон_часы"),FILTER(Dictionaries!$C:$C,Dictionaries!$A:$A="Сон_часы"))),IF($M35="","",XLOOKUP($M35,FILTER(Dictionaries!$B:$B,Dictionaries!$A:$A="Режим"),FILTER(Dictionaries!$C:$C,Dictionaries!$A:$A="Режим"))),IF($N35="","",MIN($N35/100,1)),IF($O35="","",XLOOKUP($O35,FILTER(Dictionaries!$B:$B,Dictionaries!$A:$A="Настроение"),FILTER(Dictionaries!$C:$C,Dictionaries!$A:$A="Настроение"))),IF($P35="","",XLOOKUP($P35,FILTER(Dictionaries!$B:$B,Dictionaries!$A:$A="Энергия"),FILTER(Dictionaries!$C:$C,Dictionaries!$A:$A="Энергия"))),IF($U35="","",AVERAGE(IF(OR($B35="Ноги",$B35="Верх"),IFS(AND($U35&gt;=1900,$U35&lt;=2050),1,AND($U35&gt;=1850,$U35&lt;1900),0.7,AND($U35&gt;2050,$U35&lt;=2100),0.7,TRUE,0.2),IFS(AND($U35&gt;=1700,$U35&lt;=1850),1,AND($U35&gt;=1650,$U35&lt;1700),0.7,AND($U35&gt;1850,$U35&lt;=1900),0.7,TRUE,0.2)),IF(OR($B35="Ноги",$B35="Верх"),IFS(AND($V35&gt;=125,$V35&lt;=135),1,AND($V35&gt;=115,$V35&lt;125),0.7,AND($V35&gt;135,$V35&lt;=145),0.7,AND($V35&gt;=105,$V35&lt;115),0.4,AND($V35&gt;145,$V35&lt;=155),0.4,TRUE,0.2),IFS(AND($V35&gt;=120,$V35&lt;=130),1,AND($V35&gt;=110,$V35&lt;120),0.7,AND($V35&gt;130,$V35&lt;=140),0.7,AND($V35&gt;=100,$V35&lt;110),0.4,AND($V35&gt;140,$V35&lt;=150),0.4,TRUE,0.2)),IFS(AND($W35&gt;=55,$W35&lt;=65),1,AND($W35&gt;=50,$W35&lt;55),0.7,AND($W35&gt;65,$W35&lt;=70),0.7,AND($W35&gt;=45,$W35&lt;50),0.4,AND($W35&gt;70,$W35&lt;=75),0.4,TRUE,0.2),IF(OR($B35="Ноги",$B35="Верх"),IFS(AND($X35&gt;=180,$X35&lt;=210),1,AND($X35&gt;=160,$X35&lt;180),0.7,AND($X35&gt;210,$X35&lt;=230),0.7,AND($X35&gt;=140,$X35&lt;160),0.4,AND($X35&gt;230,$X35&lt;=250),0.4,TRUE,0.2),IFS(AND($X35&gt;=140,$X35&lt;=170),1,AND($X35&gt;=120,$X35&lt;140),0.7,AND($X35&gt;170,$X35&lt;=190),0.7,AND($X35&gt;=100,$X35&lt;120),0.4,AND($X35&gt;190,$X35&lt;=210),0.4,TRUE,0.2))))),1),""))</f>
        <v/>
      </c>
      <c r="Z35">
        <f>IF($A35="","",TEXTJOIN(", ",TRUE,IF($B35="","Тренировка",""),IF($C35="","Кардио",""),IF($D35="","Шаги",""),IF($E35="","Английский",""),IF($F35="","Код-режим",""),IF($G35="","Код-тема",""),IF($H35="","Чтение",""),IF($L35="","Сон",""),IF($M35="","Режим",""),IF($N35="","Продуктивность",""),IF($O35="","Настроение",""),IF($P35="","Энергия",""),IF($U35="","Еда","")))</f>
        <v/>
      </c>
    </row>
    <row r="36">
      <c r="A36" s="2" t="inlineStr"/>
      <c r="J36">
        <f>IF(A36="","",SUMIF(FoodLog!$A:$A,A36,FoodLog!$I:$I))</f>
        <v/>
      </c>
      <c r="K36">
        <f>IF(A36="","",SUMIF(FoodLog!$A:$A,A36,FoodLog!$F:$F))</f>
        <v/>
      </c>
      <c r="L36">
        <f>IF(A36="","",SUMIF(FoodLog!$A:$A,A36,FoodLog!$G:$G))</f>
        <v/>
      </c>
      <c r="M36">
        <f>IF(A36="","",SUMIF(FoodLog!$A:$A,A36,FoodLog!$H:$H))</f>
        <v/>
      </c>
      <c r="N36">
        <f>LET(train,B36,cardio,C36,steps,D36,sleep,E36,reg,F36,prod,I36,kcal,J36,p,K36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6">
        <f>TEXTJOIN(", ",TRUE,IF(B36="","тренировка",""),IF(D36="","шаги",""),IF(E36="","сон",""),IF(F36="","режим",""),IF(G36="","настроение",""),IF(H36="","энергия",""),IF(I36="","продуктивность",""),IF(J36="","еда (ккал)",""))</f>
        <v/>
      </c>
      <c r="U36">
        <f>IF($A36="","",IF(SUMIF(FoodLog!$A:$A,$A36,FoodLog!$I:$I)=0,"",SUMIF(FoodLog!$A:$A,$A36,FoodLog!$I:$I)))</f>
        <v/>
      </c>
      <c r="V36">
        <f>IF($A36="","",IF(SUMIF(FoodLog!$A:$A,$A36,FoodLog!$F:$F)=0,"",SUMIF(FoodLog!$A:$A,$A36,FoodLog!$F:$F)))</f>
        <v/>
      </c>
      <c r="W36">
        <f>IF($A36="","",IF(SUMIF(FoodLog!$A:$A,$A36,FoodLog!$G:$G)=0,"",SUMIF(FoodLog!$A:$A,$A36,FoodLog!$G:$G)))</f>
        <v/>
      </c>
      <c r="X36">
        <f>IF($A36="","",IF(SUMIF(FoodLog!$A:$A,$A36,FoodLog!$H:$H)=0,"",SUMIF(FoodLog!$A:$A,$A36,FoodLog!$H:$H)))</f>
        <v/>
      </c>
      <c r="Y36">
        <f>IF($A36="","",IFERROR(ROUND(100*AVERAGE(IF($B36="","",XLOOKUP($B36,FILTER(Dictionaries!$B:$B,Dictionaries!$A:$A="Тренировка"),FILTER(Dictionaries!$C:$C,Dictionaries!$A:$A="Тренировка"))),IF($C36="","",MIN($C36/40,1)),IF($D36="","",XLOOKUP($D36,FILTER(Dictionaries!$B:$B,Dictionaries!$A:$A="Шаги"),FILTER(Dictionaries!$C:$C,Dictionaries!$A:$A="Шаги"))),IF($E36="","",MIN($E36/120,1)),IF(OR($F36&lt;&gt;"",$G36&lt;&gt;""),1,""),IF($H36="","",MIN($H36/100,1)),IF($L36="","",XLOOKUP($L36,FILTER(Dictionaries!$B:$B,Dictionaries!$A:$A="Сон_часы"),FILTER(Dictionaries!$C:$C,Dictionaries!$A:$A="Сон_часы"))),IF($M36="","",XLOOKUP($M36,FILTER(Dictionaries!$B:$B,Dictionaries!$A:$A="Режим"),FILTER(Dictionaries!$C:$C,Dictionaries!$A:$A="Режим"))),IF($N36="","",MIN($N36/100,1)),IF($O36="","",XLOOKUP($O36,FILTER(Dictionaries!$B:$B,Dictionaries!$A:$A="Настроение"),FILTER(Dictionaries!$C:$C,Dictionaries!$A:$A="Настроение"))),IF($P36="","",XLOOKUP($P36,FILTER(Dictionaries!$B:$B,Dictionaries!$A:$A="Энергия"),FILTER(Dictionaries!$C:$C,Dictionaries!$A:$A="Энергия"))),IF($U36="","",AVERAGE(IF(OR($B36="Ноги",$B36="Верх"),IFS(AND($U36&gt;=1900,$U36&lt;=2050),1,AND($U36&gt;=1850,$U36&lt;1900),0.7,AND($U36&gt;2050,$U36&lt;=2100),0.7,TRUE,0.2),IFS(AND($U36&gt;=1700,$U36&lt;=1850),1,AND($U36&gt;=1650,$U36&lt;1700),0.7,AND($U36&gt;1850,$U36&lt;=1900),0.7,TRUE,0.2)),IF(OR($B36="Ноги",$B36="Верх"),IFS(AND($V36&gt;=125,$V36&lt;=135),1,AND($V36&gt;=115,$V36&lt;125),0.7,AND($V36&gt;135,$V36&lt;=145),0.7,AND($V36&gt;=105,$V36&lt;115),0.4,AND($V36&gt;145,$V36&lt;=155),0.4,TRUE,0.2),IFS(AND($V36&gt;=120,$V36&lt;=130),1,AND($V36&gt;=110,$V36&lt;120),0.7,AND($V36&gt;130,$V36&lt;=140),0.7,AND($V36&gt;=100,$V36&lt;110),0.4,AND($V36&gt;140,$V36&lt;=150),0.4,TRUE,0.2)),IFS(AND($W36&gt;=55,$W36&lt;=65),1,AND($W36&gt;=50,$W36&lt;55),0.7,AND($W36&gt;65,$W36&lt;=70),0.7,AND($W36&gt;=45,$W36&lt;50),0.4,AND($W36&gt;70,$W36&lt;=75),0.4,TRUE,0.2),IF(OR($B36="Ноги",$B36="Верх"),IFS(AND($X36&gt;=180,$X36&lt;=210),1,AND($X36&gt;=160,$X36&lt;180),0.7,AND($X36&gt;210,$X36&lt;=230),0.7,AND($X36&gt;=140,$X36&lt;160),0.4,AND($X36&gt;230,$X36&lt;=250),0.4,TRUE,0.2),IFS(AND($X36&gt;=140,$X36&lt;=170),1,AND($X36&gt;=120,$X36&lt;140),0.7,AND($X36&gt;170,$X36&lt;=190),0.7,AND($X36&gt;=100,$X36&lt;120),0.4,AND($X36&gt;190,$X36&lt;=210),0.4,TRUE,0.2))))),1),""))</f>
        <v/>
      </c>
      <c r="Z36">
        <f>IF($A36="","",TEXTJOIN(", ",TRUE,IF($B36="","Тренировка",""),IF($C36="","Кардио",""),IF($D36="","Шаги",""),IF($E36="","Английский",""),IF($F36="","Код-режим",""),IF($G36="","Код-тема",""),IF($H36="","Чтение",""),IF($L36="","Сон",""),IF($M36="","Режим",""),IF($N36="","Продуктивность",""),IF($O36="","Настроение",""),IF($P36="","Энергия",""),IF($U36="","Еда","")))</f>
        <v/>
      </c>
    </row>
    <row r="37">
      <c r="A37" s="2" t="inlineStr"/>
      <c r="J37">
        <f>IF(A37="","",SUMIF(FoodLog!$A:$A,A37,FoodLog!$I:$I))</f>
        <v/>
      </c>
      <c r="K37">
        <f>IF(A37="","",SUMIF(FoodLog!$A:$A,A37,FoodLog!$F:$F))</f>
        <v/>
      </c>
      <c r="L37">
        <f>IF(A37="","",SUMIF(FoodLog!$A:$A,A37,FoodLog!$G:$G))</f>
        <v/>
      </c>
      <c r="M37">
        <f>IF(A37="","",SUMIF(FoodLog!$A:$A,A37,FoodLog!$H:$H))</f>
        <v/>
      </c>
      <c r="N37">
        <f>LET(train,B37,cardio,C37,steps,D37,sleep,E37,reg,F37,prod,I37,kcal,J37,p,K37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7">
        <f>TEXTJOIN(", ",TRUE,IF(B37="","тренировка",""),IF(D37="","шаги",""),IF(E37="","сон",""),IF(F37="","режим",""),IF(G37="","настроение",""),IF(H37="","энергия",""),IF(I37="","продуктивность",""),IF(J37="","еда (ккал)",""))</f>
        <v/>
      </c>
      <c r="U37">
        <f>IF($A37="","",IF(SUMIF(FoodLog!$A:$A,$A37,FoodLog!$I:$I)=0,"",SUMIF(FoodLog!$A:$A,$A37,FoodLog!$I:$I)))</f>
        <v/>
      </c>
      <c r="V37">
        <f>IF($A37="","",IF(SUMIF(FoodLog!$A:$A,$A37,FoodLog!$F:$F)=0,"",SUMIF(FoodLog!$A:$A,$A37,FoodLog!$F:$F)))</f>
        <v/>
      </c>
      <c r="W37">
        <f>IF($A37="","",IF(SUMIF(FoodLog!$A:$A,$A37,FoodLog!$G:$G)=0,"",SUMIF(FoodLog!$A:$A,$A37,FoodLog!$G:$G)))</f>
        <v/>
      </c>
      <c r="X37">
        <f>IF($A37="","",IF(SUMIF(FoodLog!$A:$A,$A37,FoodLog!$H:$H)=0,"",SUMIF(FoodLog!$A:$A,$A37,FoodLog!$H:$H)))</f>
        <v/>
      </c>
      <c r="Y37">
        <f>IF($A37="","",IFERROR(ROUND(100*AVERAGE(IF($B37="","",XLOOKUP($B37,FILTER(Dictionaries!$B:$B,Dictionaries!$A:$A="Тренировка"),FILTER(Dictionaries!$C:$C,Dictionaries!$A:$A="Тренировка"))),IF($C37="","",MIN($C37/40,1)),IF($D37="","",XLOOKUP($D37,FILTER(Dictionaries!$B:$B,Dictionaries!$A:$A="Шаги"),FILTER(Dictionaries!$C:$C,Dictionaries!$A:$A="Шаги"))),IF($E37="","",MIN($E37/120,1)),IF(OR($F37&lt;&gt;"",$G37&lt;&gt;""),1,""),IF($H37="","",MIN($H37/100,1)),IF($L37="","",XLOOKUP($L37,FILTER(Dictionaries!$B:$B,Dictionaries!$A:$A="Сон_часы"),FILTER(Dictionaries!$C:$C,Dictionaries!$A:$A="Сон_часы"))),IF($M37="","",XLOOKUP($M37,FILTER(Dictionaries!$B:$B,Dictionaries!$A:$A="Режим"),FILTER(Dictionaries!$C:$C,Dictionaries!$A:$A="Режим"))),IF($N37="","",MIN($N37/100,1)),IF($O37="","",XLOOKUP($O37,FILTER(Dictionaries!$B:$B,Dictionaries!$A:$A="Настроение"),FILTER(Dictionaries!$C:$C,Dictionaries!$A:$A="Настроение"))),IF($P37="","",XLOOKUP($P37,FILTER(Dictionaries!$B:$B,Dictionaries!$A:$A="Энергия"),FILTER(Dictionaries!$C:$C,Dictionaries!$A:$A="Энергия"))),IF($U37="","",AVERAGE(IF(OR($B37="Ноги",$B37="Верх"),IFS(AND($U37&gt;=1900,$U37&lt;=2050),1,AND($U37&gt;=1850,$U37&lt;1900),0.7,AND($U37&gt;2050,$U37&lt;=2100),0.7,TRUE,0.2),IFS(AND($U37&gt;=1700,$U37&lt;=1850),1,AND($U37&gt;=1650,$U37&lt;1700),0.7,AND($U37&gt;1850,$U37&lt;=1900),0.7,TRUE,0.2)),IF(OR($B37="Ноги",$B37="Верх"),IFS(AND($V37&gt;=125,$V37&lt;=135),1,AND($V37&gt;=115,$V37&lt;125),0.7,AND($V37&gt;135,$V37&lt;=145),0.7,AND($V37&gt;=105,$V37&lt;115),0.4,AND($V37&gt;145,$V37&lt;=155),0.4,TRUE,0.2),IFS(AND($V37&gt;=120,$V37&lt;=130),1,AND($V37&gt;=110,$V37&lt;120),0.7,AND($V37&gt;130,$V37&lt;=140),0.7,AND($V37&gt;=100,$V37&lt;110),0.4,AND($V37&gt;140,$V37&lt;=150),0.4,TRUE,0.2)),IFS(AND($W37&gt;=55,$W37&lt;=65),1,AND($W37&gt;=50,$W37&lt;55),0.7,AND($W37&gt;65,$W37&lt;=70),0.7,AND($W37&gt;=45,$W37&lt;50),0.4,AND($W37&gt;70,$W37&lt;=75),0.4,TRUE,0.2),IF(OR($B37="Ноги",$B37="Верх"),IFS(AND($X37&gt;=180,$X37&lt;=210),1,AND($X37&gt;=160,$X37&lt;180),0.7,AND($X37&gt;210,$X37&lt;=230),0.7,AND($X37&gt;=140,$X37&lt;160),0.4,AND($X37&gt;230,$X37&lt;=250),0.4,TRUE,0.2),IFS(AND($X37&gt;=140,$X37&lt;=170),1,AND($X37&gt;=120,$X37&lt;140),0.7,AND($X37&gt;170,$X37&lt;=190),0.7,AND($X37&gt;=100,$X37&lt;120),0.4,AND($X37&gt;190,$X37&lt;=210),0.4,TRUE,0.2))))),1),""))</f>
        <v/>
      </c>
      <c r="Z37">
        <f>IF($A37="","",TEXTJOIN(", ",TRUE,IF($B37="","Тренировка",""),IF($C37="","Кардио",""),IF($D37="","Шаги",""),IF($E37="","Английский",""),IF($F37="","Код-режим",""),IF($G37="","Код-тема",""),IF($H37="","Чтение",""),IF($L37="","Сон",""),IF($M37="","Режим",""),IF($N37="","Продуктивность",""),IF($O37="","Настроение",""),IF($P37="","Энергия",""),IF($U37="","Еда","")))</f>
        <v/>
      </c>
    </row>
    <row r="38">
      <c r="A38" s="2" t="inlineStr"/>
      <c r="J38">
        <f>IF(A38="","",SUMIF(FoodLog!$A:$A,A38,FoodLog!$I:$I))</f>
        <v/>
      </c>
      <c r="K38">
        <f>IF(A38="","",SUMIF(FoodLog!$A:$A,A38,FoodLog!$F:$F))</f>
        <v/>
      </c>
      <c r="L38">
        <f>IF(A38="","",SUMIF(FoodLog!$A:$A,A38,FoodLog!$G:$G))</f>
        <v/>
      </c>
      <c r="M38">
        <f>IF(A38="","",SUMIF(FoodLog!$A:$A,A38,FoodLog!$H:$H))</f>
        <v/>
      </c>
      <c r="N38">
        <f>LET(train,B38,cardio,C38,steps,D38,sleep,E38,reg,F38,prod,I38,kcal,J38,p,K38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8">
        <f>TEXTJOIN(", ",TRUE,IF(B38="","тренировка",""),IF(D38="","шаги",""),IF(E38="","сон",""),IF(F38="","режим",""),IF(G38="","настроение",""),IF(H38="","энергия",""),IF(I38="","продуктивность",""),IF(J38="","еда (ккал)",""))</f>
        <v/>
      </c>
      <c r="U38">
        <f>IF($A38="","",IF(SUMIF(FoodLog!$A:$A,$A38,FoodLog!$I:$I)=0,"",SUMIF(FoodLog!$A:$A,$A38,FoodLog!$I:$I)))</f>
        <v/>
      </c>
      <c r="V38">
        <f>IF($A38="","",IF(SUMIF(FoodLog!$A:$A,$A38,FoodLog!$F:$F)=0,"",SUMIF(FoodLog!$A:$A,$A38,FoodLog!$F:$F)))</f>
        <v/>
      </c>
      <c r="W38">
        <f>IF($A38="","",IF(SUMIF(FoodLog!$A:$A,$A38,FoodLog!$G:$G)=0,"",SUMIF(FoodLog!$A:$A,$A38,FoodLog!$G:$G)))</f>
        <v/>
      </c>
      <c r="X38">
        <f>IF($A38="","",IF(SUMIF(FoodLog!$A:$A,$A38,FoodLog!$H:$H)=0,"",SUMIF(FoodLog!$A:$A,$A38,FoodLog!$H:$H)))</f>
        <v/>
      </c>
      <c r="Y38">
        <f>IF($A38="","",IFERROR(ROUND(100*AVERAGE(IF($B38="","",XLOOKUP($B38,FILTER(Dictionaries!$B:$B,Dictionaries!$A:$A="Тренировка"),FILTER(Dictionaries!$C:$C,Dictionaries!$A:$A="Тренировка"))),IF($C38="","",MIN($C38/40,1)),IF($D38="","",XLOOKUP($D38,FILTER(Dictionaries!$B:$B,Dictionaries!$A:$A="Шаги"),FILTER(Dictionaries!$C:$C,Dictionaries!$A:$A="Шаги"))),IF($E38="","",MIN($E38/120,1)),IF(OR($F38&lt;&gt;"",$G38&lt;&gt;""),1,""),IF($H38="","",MIN($H38/100,1)),IF($L38="","",XLOOKUP($L38,FILTER(Dictionaries!$B:$B,Dictionaries!$A:$A="Сон_часы"),FILTER(Dictionaries!$C:$C,Dictionaries!$A:$A="Сон_часы"))),IF($M38="","",XLOOKUP($M38,FILTER(Dictionaries!$B:$B,Dictionaries!$A:$A="Режим"),FILTER(Dictionaries!$C:$C,Dictionaries!$A:$A="Режим"))),IF($N38="","",MIN($N38/100,1)),IF($O38="","",XLOOKUP($O38,FILTER(Dictionaries!$B:$B,Dictionaries!$A:$A="Настроение"),FILTER(Dictionaries!$C:$C,Dictionaries!$A:$A="Настроение"))),IF($P38="","",XLOOKUP($P38,FILTER(Dictionaries!$B:$B,Dictionaries!$A:$A="Энергия"),FILTER(Dictionaries!$C:$C,Dictionaries!$A:$A="Энергия"))),IF($U38="","",AVERAGE(IF(OR($B38="Ноги",$B38="Верх"),IFS(AND($U38&gt;=1900,$U38&lt;=2050),1,AND($U38&gt;=1850,$U38&lt;1900),0.7,AND($U38&gt;2050,$U38&lt;=2100),0.7,TRUE,0.2),IFS(AND($U38&gt;=1700,$U38&lt;=1850),1,AND($U38&gt;=1650,$U38&lt;1700),0.7,AND($U38&gt;1850,$U38&lt;=1900),0.7,TRUE,0.2)),IF(OR($B38="Ноги",$B38="Верх"),IFS(AND($V38&gt;=125,$V38&lt;=135),1,AND($V38&gt;=115,$V38&lt;125),0.7,AND($V38&gt;135,$V38&lt;=145),0.7,AND($V38&gt;=105,$V38&lt;115),0.4,AND($V38&gt;145,$V38&lt;=155),0.4,TRUE,0.2),IFS(AND($V38&gt;=120,$V38&lt;=130),1,AND($V38&gt;=110,$V38&lt;120),0.7,AND($V38&gt;130,$V38&lt;=140),0.7,AND($V38&gt;=100,$V38&lt;110),0.4,AND($V38&gt;140,$V38&lt;=150),0.4,TRUE,0.2)),IFS(AND($W38&gt;=55,$W38&lt;=65),1,AND($W38&gt;=50,$W38&lt;55),0.7,AND($W38&gt;65,$W38&lt;=70),0.7,AND($W38&gt;=45,$W38&lt;50),0.4,AND($W38&gt;70,$W38&lt;=75),0.4,TRUE,0.2),IF(OR($B38="Ноги",$B38="Верх"),IFS(AND($X38&gt;=180,$X38&lt;=210),1,AND($X38&gt;=160,$X38&lt;180),0.7,AND($X38&gt;210,$X38&lt;=230),0.7,AND($X38&gt;=140,$X38&lt;160),0.4,AND($X38&gt;230,$X38&lt;=250),0.4,TRUE,0.2),IFS(AND($X38&gt;=140,$X38&lt;=170),1,AND($X38&gt;=120,$X38&lt;140),0.7,AND($X38&gt;170,$X38&lt;=190),0.7,AND($X38&gt;=100,$X38&lt;120),0.4,AND($X38&gt;190,$X38&lt;=210),0.4,TRUE,0.2))))),1),""))</f>
        <v/>
      </c>
      <c r="Z38">
        <f>IF($A38="","",TEXTJOIN(", ",TRUE,IF($B38="","Тренировка",""),IF($C38="","Кардио",""),IF($D38="","Шаги",""),IF($E38="","Английский",""),IF($F38="","Код-режим",""),IF($G38="","Код-тема",""),IF($H38="","Чтение",""),IF($L38="","Сон",""),IF($M38="","Режим",""),IF($N38="","Продуктивность",""),IF($O38="","Настроение",""),IF($P38="","Энергия",""),IF($U38="","Еда","")))</f>
        <v/>
      </c>
    </row>
    <row r="39">
      <c r="A39" s="2" t="inlineStr"/>
      <c r="J39">
        <f>IF(A39="","",SUMIF(FoodLog!$A:$A,A39,FoodLog!$I:$I))</f>
        <v/>
      </c>
      <c r="K39">
        <f>IF(A39="","",SUMIF(FoodLog!$A:$A,A39,FoodLog!$F:$F))</f>
        <v/>
      </c>
      <c r="L39">
        <f>IF(A39="","",SUMIF(FoodLog!$A:$A,A39,FoodLog!$G:$G))</f>
        <v/>
      </c>
      <c r="M39">
        <f>IF(A39="","",SUMIF(FoodLog!$A:$A,A39,FoodLog!$H:$H))</f>
        <v/>
      </c>
      <c r="N39">
        <f>LET(train,B39,cardio,C39,steps,D39,sleep,E39,reg,F39,prod,I39,kcal,J39,p,K39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39">
        <f>TEXTJOIN(", ",TRUE,IF(B39="","тренировка",""),IF(D39="","шаги",""),IF(E39="","сон",""),IF(F39="","режим",""),IF(G39="","настроение",""),IF(H39="","энергия",""),IF(I39="","продуктивность",""),IF(J39="","еда (ккал)",""))</f>
        <v/>
      </c>
      <c r="U39">
        <f>IF($A39="","",IF(SUMIF(FoodLog!$A:$A,$A39,FoodLog!$I:$I)=0,"",SUMIF(FoodLog!$A:$A,$A39,FoodLog!$I:$I)))</f>
        <v/>
      </c>
      <c r="V39">
        <f>IF($A39="","",IF(SUMIF(FoodLog!$A:$A,$A39,FoodLog!$F:$F)=0,"",SUMIF(FoodLog!$A:$A,$A39,FoodLog!$F:$F)))</f>
        <v/>
      </c>
      <c r="W39">
        <f>IF($A39="","",IF(SUMIF(FoodLog!$A:$A,$A39,FoodLog!$G:$G)=0,"",SUMIF(FoodLog!$A:$A,$A39,FoodLog!$G:$G)))</f>
        <v/>
      </c>
      <c r="X39">
        <f>IF($A39="","",IF(SUMIF(FoodLog!$A:$A,$A39,FoodLog!$H:$H)=0,"",SUMIF(FoodLog!$A:$A,$A39,FoodLog!$H:$H)))</f>
        <v/>
      </c>
      <c r="Y39">
        <f>IF($A39="","",IFERROR(ROUND(100*AVERAGE(IF($B39="","",XLOOKUP($B39,FILTER(Dictionaries!$B:$B,Dictionaries!$A:$A="Тренировка"),FILTER(Dictionaries!$C:$C,Dictionaries!$A:$A="Тренировка"))),IF($C39="","",MIN($C39/40,1)),IF($D39="","",XLOOKUP($D39,FILTER(Dictionaries!$B:$B,Dictionaries!$A:$A="Шаги"),FILTER(Dictionaries!$C:$C,Dictionaries!$A:$A="Шаги"))),IF($E39="","",MIN($E39/120,1)),IF(OR($F39&lt;&gt;"",$G39&lt;&gt;""),1,""),IF($H39="","",MIN($H39/100,1)),IF($L39="","",XLOOKUP($L39,FILTER(Dictionaries!$B:$B,Dictionaries!$A:$A="Сон_часы"),FILTER(Dictionaries!$C:$C,Dictionaries!$A:$A="Сон_часы"))),IF($M39="","",XLOOKUP($M39,FILTER(Dictionaries!$B:$B,Dictionaries!$A:$A="Режим"),FILTER(Dictionaries!$C:$C,Dictionaries!$A:$A="Режим"))),IF($N39="","",MIN($N39/100,1)),IF($O39="","",XLOOKUP($O39,FILTER(Dictionaries!$B:$B,Dictionaries!$A:$A="Настроение"),FILTER(Dictionaries!$C:$C,Dictionaries!$A:$A="Настроение"))),IF($P39="","",XLOOKUP($P39,FILTER(Dictionaries!$B:$B,Dictionaries!$A:$A="Энергия"),FILTER(Dictionaries!$C:$C,Dictionaries!$A:$A="Энергия"))),IF($U39="","",AVERAGE(IF(OR($B39="Ноги",$B39="Верх"),IFS(AND($U39&gt;=1900,$U39&lt;=2050),1,AND($U39&gt;=1850,$U39&lt;1900),0.7,AND($U39&gt;2050,$U39&lt;=2100),0.7,TRUE,0.2),IFS(AND($U39&gt;=1700,$U39&lt;=1850),1,AND($U39&gt;=1650,$U39&lt;1700),0.7,AND($U39&gt;1850,$U39&lt;=1900),0.7,TRUE,0.2)),IF(OR($B39="Ноги",$B39="Верх"),IFS(AND($V39&gt;=125,$V39&lt;=135),1,AND($V39&gt;=115,$V39&lt;125),0.7,AND($V39&gt;135,$V39&lt;=145),0.7,AND($V39&gt;=105,$V39&lt;115),0.4,AND($V39&gt;145,$V39&lt;=155),0.4,TRUE,0.2),IFS(AND($V39&gt;=120,$V39&lt;=130),1,AND($V39&gt;=110,$V39&lt;120),0.7,AND($V39&gt;130,$V39&lt;=140),0.7,AND($V39&gt;=100,$V39&lt;110),0.4,AND($V39&gt;140,$V39&lt;=150),0.4,TRUE,0.2)),IFS(AND($W39&gt;=55,$W39&lt;=65),1,AND($W39&gt;=50,$W39&lt;55),0.7,AND($W39&gt;65,$W39&lt;=70),0.7,AND($W39&gt;=45,$W39&lt;50),0.4,AND($W39&gt;70,$W39&lt;=75),0.4,TRUE,0.2),IF(OR($B39="Ноги",$B39="Верх"),IFS(AND($X39&gt;=180,$X39&lt;=210),1,AND($X39&gt;=160,$X39&lt;180),0.7,AND($X39&gt;210,$X39&lt;=230),0.7,AND($X39&gt;=140,$X39&lt;160),0.4,AND($X39&gt;230,$X39&lt;=250),0.4,TRUE,0.2),IFS(AND($X39&gt;=140,$X39&lt;=170),1,AND($X39&gt;=120,$X39&lt;140),0.7,AND($X39&gt;170,$X39&lt;=190),0.7,AND($X39&gt;=100,$X39&lt;120),0.4,AND($X39&gt;190,$X39&lt;=210),0.4,TRUE,0.2))))),1),""))</f>
        <v/>
      </c>
      <c r="Z39">
        <f>IF($A39="","",TEXTJOIN(", ",TRUE,IF($B39="","Тренировка",""),IF($C39="","Кардио",""),IF($D39="","Шаги",""),IF($E39="","Английский",""),IF($F39="","Код-режим",""),IF($G39="","Код-тема",""),IF($H39="","Чтение",""),IF($L39="","Сон",""),IF($M39="","Режим",""),IF($N39="","Продуктивность",""),IF($O39="","Настроение",""),IF($P39="","Энергия",""),IF($U39="","Еда","")))</f>
        <v/>
      </c>
    </row>
    <row r="40">
      <c r="A40" s="2" t="inlineStr"/>
      <c r="J40">
        <f>IF(A40="","",SUMIF(FoodLog!$A:$A,A40,FoodLog!$I:$I))</f>
        <v/>
      </c>
      <c r="K40">
        <f>IF(A40="","",SUMIF(FoodLog!$A:$A,A40,FoodLog!$F:$F))</f>
        <v/>
      </c>
      <c r="L40">
        <f>IF(A40="","",SUMIF(FoodLog!$A:$A,A40,FoodLog!$G:$G))</f>
        <v/>
      </c>
      <c r="M40">
        <f>IF(A40="","",SUMIF(FoodLog!$A:$A,A40,FoodLog!$H:$H))</f>
        <v/>
      </c>
      <c r="N40">
        <f>LET(train,B40,cardio,C40,steps,D40,sleep,E40,reg,F40,prod,I40,kcal,J40,p,K40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0">
        <f>TEXTJOIN(", ",TRUE,IF(B40="","тренировка",""),IF(D40="","шаги",""),IF(E40="","сон",""),IF(F40="","режим",""),IF(G40="","настроение",""),IF(H40="","энергия",""),IF(I40="","продуктивность",""),IF(J40="","еда (ккал)",""))</f>
        <v/>
      </c>
      <c r="U40">
        <f>IF($A40="","",IF(SUMIF(FoodLog!$A:$A,$A40,FoodLog!$I:$I)=0,"",SUMIF(FoodLog!$A:$A,$A40,FoodLog!$I:$I)))</f>
        <v/>
      </c>
      <c r="V40">
        <f>IF($A40="","",IF(SUMIF(FoodLog!$A:$A,$A40,FoodLog!$F:$F)=0,"",SUMIF(FoodLog!$A:$A,$A40,FoodLog!$F:$F)))</f>
        <v/>
      </c>
      <c r="W40">
        <f>IF($A40="","",IF(SUMIF(FoodLog!$A:$A,$A40,FoodLog!$G:$G)=0,"",SUMIF(FoodLog!$A:$A,$A40,FoodLog!$G:$G)))</f>
        <v/>
      </c>
      <c r="X40">
        <f>IF($A40="","",IF(SUMIF(FoodLog!$A:$A,$A40,FoodLog!$H:$H)=0,"",SUMIF(FoodLog!$A:$A,$A40,FoodLog!$H:$H)))</f>
        <v/>
      </c>
      <c r="Y40">
        <f>IF($A40="","",IFERROR(ROUND(100*AVERAGE(IF($B40="","",XLOOKUP($B40,FILTER(Dictionaries!$B:$B,Dictionaries!$A:$A="Тренировка"),FILTER(Dictionaries!$C:$C,Dictionaries!$A:$A="Тренировка"))),IF($C40="","",MIN($C40/40,1)),IF($D40="","",XLOOKUP($D40,FILTER(Dictionaries!$B:$B,Dictionaries!$A:$A="Шаги"),FILTER(Dictionaries!$C:$C,Dictionaries!$A:$A="Шаги"))),IF($E40="","",MIN($E40/120,1)),IF(OR($F40&lt;&gt;"",$G40&lt;&gt;""),1,""),IF($H40="","",MIN($H40/100,1)),IF($L40="","",XLOOKUP($L40,FILTER(Dictionaries!$B:$B,Dictionaries!$A:$A="Сон_часы"),FILTER(Dictionaries!$C:$C,Dictionaries!$A:$A="Сон_часы"))),IF($M40="","",XLOOKUP($M40,FILTER(Dictionaries!$B:$B,Dictionaries!$A:$A="Режим"),FILTER(Dictionaries!$C:$C,Dictionaries!$A:$A="Режим"))),IF($N40="","",MIN($N40/100,1)),IF($O40="","",XLOOKUP($O40,FILTER(Dictionaries!$B:$B,Dictionaries!$A:$A="Настроение"),FILTER(Dictionaries!$C:$C,Dictionaries!$A:$A="Настроение"))),IF($P40="","",XLOOKUP($P40,FILTER(Dictionaries!$B:$B,Dictionaries!$A:$A="Энергия"),FILTER(Dictionaries!$C:$C,Dictionaries!$A:$A="Энергия"))),IF($U40="","",AVERAGE(IF(OR($B40="Ноги",$B40="Верх"),IFS(AND($U40&gt;=1900,$U40&lt;=2050),1,AND($U40&gt;=1850,$U40&lt;1900),0.7,AND($U40&gt;2050,$U40&lt;=2100),0.7,TRUE,0.2),IFS(AND($U40&gt;=1700,$U40&lt;=1850),1,AND($U40&gt;=1650,$U40&lt;1700),0.7,AND($U40&gt;1850,$U40&lt;=1900),0.7,TRUE,0.2)),IF(OR($B40="Ноги",$B40="Верх"),IFS(AND($V40&gt;=125,$V40&lt;=135),1,AND($V40&gt;=115,$V40&lt;125),0.7,AND($V40&gt;135,$V40&lt;=145),0.7,AND($V40&gt;=105,$V40&lt;115),0.4,AND($V40&gt;145,$V40&lt;=155),0.4,TRUE,0.2),IFS(AND($V40&gt;=120,$V40&lt;=130),1,AND($V40&gt;=110,$V40&lt;120),0.7,AND($V40&gt;130,$V40&lt;=140),0.7,AND($V40&gt;=100,$V40&lt;110),0.4,AND($V40&gt;140,$V40&lt;=150),0.4,TRUE,0.2)),IFS(AND($W40&gt;=55,$W40&lt;=65),1,AND($W40&gt;=50,$W40&lt;55),0.7,AND($W40&gt;65,$W40&lt;=70),0.7,AND($W40&gt;=45,$W40&lt;50),0.4,AND($W40&gt;70,$W40&lt;=75),0.4,TRUE,0.2),IF(OR($B40="Ноги",$B40="Верх"),IFS(AND($X40&gt;=180,$X40&lt;=210),1,AND($X40&gt;=160,$X40&lt;180),0.7,AND($X40&gt;210,$X40&lt;=230),0.7,AND($X40&gt;=140,$X40&lt;160),0.4,AND($X40&gt;230,$X40&lt;=250),0.4,TRUE,0.2),IFS(AND($X40&gt;=140,$X40&lt;=170),1,AND($X40&gt;=120,$X40&lt;140),0.7,AND($X40&gt;170,$X40&lt;=190),0.7,AND($X40&gt;=100,$X40&lt;120),0.4,AND($X40&gt;190,$X40&lt;=210),0.4,TRUE,0.2))))),1),""))</f>
        <v/>
      </c>
      <c r="Z40">
        <f>IF($A40="","",TEXTJOIN(", ",TRUE,IF($B40="","Тренировка",""),IF($C40="","Кардио",""),IF($D40="","Шаги",""),IF($E40="","Английский",""),IF($F40="","Код-режим",""),IF($G40="","Код-тема",""),IF($H40="","Чтение",""),IF($L40="","Сон",""),IF($M40="","Режим",""),IF($N40="","Продуктивность",""),IF($O40="","Настроение",""),IF($P40="","Энергия",""),IF($U40="","Еда","")))</f>
        <v/>
      </c>
    </row>
    <row r="41">
      <c r="A41" s="2" t="inlineStr"/>
      <c r="J41">
        <f>IF(A41="","",SUMIF(FoodLog!$A:$A,A41,FoodLog!$I:$I))</f>
        <v/>
      </c>
      <c r="K41">
        <f>IF(A41="","",SUMIF(FoodLog!$A:$A,A41,FoodLog!$F:$F))</f>
        <v/>
      </c>
      <c r="L41">
        <f>IF(A41="","",SUMIF(FoodLog!$A:$A,A41,FoodLog!$G:$G))</f>
        <v/>
      </c>
      <c r="M41">
        <f>IF(A41="","",SUMIF(FoodLog!$A:$A,A41,FoodLog!$H:$H))</f>
        <v/>
      </c>
      <c r="N41">
        <f>LET(train,B41,cardio,C41,steps,D41,sleep,E41,reg,F41,prod,I41,kcal,J41,p,K41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1">
        <f>TEXTJOIN(", ",TRUE,IF(B41="","тренировка",""),IF(D41="","шаги",""),IF(E41="","сон",""),IF(F41="","режим",""),IF(G41="","настроение",""),IF(H41="","энергия",""),IF(I41="","продуктивность",""),IF(J41="","еда (ккал)",""))</f>
        <v/>
      </c>
      <c r="U41">
        <f>IF($A41="","",IF(SUMIF(FoodLog!$A:$A,$A41,FoodLog!$I:$I)=0,"",SUMIF(FoodLog!$A:$A,$A41,FoodLog!$I:$I)))</f>
        <v/>
      </c>
      <c r="V41">
        <f>IF($A41="","",IF(SUMIF(FoodLog!$A:$A,$A41,FoodLog!$F:$F)=0,"",SUMIF(FoodLog!$A:$A,$A41,FoodLog!$F:$F)))</f>
        <v/>
      </c>
      <c r="W41">
        <f>IF($A41="","",IF(SUMIF(FoodLog!$A:$A,$A41,FoodLog!$G:$G)=0,"",SUMIF(FoodLog!$A:$A,$A41,FoodLog!$G:$G)))</f>
        <v/>
      </c>
      <c r="X41">
        <f>IF($A41="","",IF(SUMIF(FoodLog!$A:$A,$A41,FoodLog!$H:$H)=0,"",SUMIF(FoodLog!$A:$A,$A41,FoodLog!$H:$H)))</f>
        <v/>
      </c>
      <c r="Y41">
        <f>IF($A41="","",IFERROR(ROUND(100*AVERAGE(IF($B41="","",XLOOKUP($B41,FILTER(Dictionaries!$B:$B,Dictionaries!$A:$A="Тренировка"),FILTER(Dictionaries!$C:$C,Dictionaries!$A:$A="Тренировка"))),IF($C41="","",MIN($C41/40,1)),IF($D41="","",XLOOKUP($D41,FILTER(Dictionaries!$B:$B,Dictionaries!$A:$A="Шаги"),FILTER(Dictionaries!$C:$C,Dictionaries!$A:$A="Шаги"))),IF($E41="","",MIN($E41/120,1)),IF(OR($F41&lt;&gt;"",$G41&lt;&gt;""),1,""),IF($H41="","",MIN($H41/100,1)),IF($L41="","",XLOOKUP($L41,FILTER(Dictionaries!$B:$B,Dictionaries!$A:$A="Сон_часы"),FILTER(Dictionaries!$C:$C,Dictionaries!$A:$A="Сон_часы"))),IF($M41="","",XLOOKUP($M41,FILTER(Dictionaries!$B:$B,Dictionaries!$A:$A="Режим"),FILTER(Dictionaries!$C:$C,Dictionaries!$A:$A="Режим"))),IF($N41="","",MIN($N41/100,1)),IF($O41="","",XLOOKUP($O41,FILTER(Dictionaries!$B:$B,Dictionaries!$A:$A="Настроение"),FILTER(Dictionaries!$C:$C,Dictionaries!$A:$A="Настроение"))),IF($P41="","",XLOOKUP($P41,FILTER(Dictionaries!$B:$B,Dictionaries!$A:$A="Энергия"),FILTER(Dictionaries!$C:$C,Dictionaries!$A:$A="Энергия"))),IF($U41="","",AVERAGE(IF(OR($B41="Ноги",$B41="Верх"),IFS(AND($U41&gt;=1900,$U41&lt;=2050),1,AND($U41&gt;=1850,$U41&lt;1900),0.7,AND($U41&gt;2050,$U41&lt;=2100),0.7,TRUE,0.2),IFS(AND($U41&gt;=1700,$U41&lt;=1850),1,AND($U41&gt;=1650,$U41&lt;1700),0.7,AND($U41&gt;1850,$U41&lt;=1900),0.7,TRUE,0.2)),IF(OR($B41="Ноги",$B41="Верх"),IFS(AND($V41&gt;=125,$V41&lt;=135),1,AND($V41&gt;=115,$V41&lt;125),0.7,AND($V41&gt;135,$V41&lt;=145),0.7,AND($V41&gt;=105,$V41&lt;115),0.4,AND($V41&gt;145,$V41&lt;=155),0.4,TRUE,0.2),IFS(AND($V41&gt;=120,$V41&lt;=130),1,AND($V41&gt;=110,$V41&lt;120),0.7,AND($V41&gt;130,$V41&lt;=140),0.7,AND($V41&gt;=100,$V41&lt;110),0.4,AND($V41&gt;140,$V41&lt;=150),0.4,TRUE,0.2)),IFS(AND($W41&gt;=55,$W41&lt;=65),1,AND($W41&gt;=50,$W41&lt;55),0.7,AND($W41&gt;65,$W41&lt;=70),0.7,AND($W41&gt;=45,$W41&lt;50),0.4,AND($W41&gt;70,$W41&lt;=75),0.4,TRUE,0.2),IF(OR($B41="Ноги",$B41="Верх"),IFS(AND($X41&gt;=180,$X41&lt;=210),1,AND($X41&gt;=160,$X41&lt;180),0.7,AND($X41&gt;210,$X41&lt;=230),0.7,AND($X41&gt;=140,$X41&lt;160),0.4,AND($X41&gt;230,$X41&lt;=250),0.4,TRUE,0.2),IFS(AND($X41&gt;=140,$X41&lt;=170),1,AND($X41&gt;=120,$X41&lt;140),0.7,AND($X41&gt;170,$X41&lt;=190),0.7,AND($X41&gt;=100,$X41&lt;120),0.4,AND($X41&gt;190,$X41&lt;=210),0.4,TRUE,0.2))))),1),""))</f>
        <v/>
      </c>
      <c r="Z41">
        <f>IF($A41="","",TEXTJOIN(", ",TRUE,IF($B41="","Тренировка",""),IF($C41="","Кардио",""),IF($D41="","Шаги",""),IF($E41="","Английский",""),IF($F41="","Код-режим",""),IF($G41="","Код-тема",""),IF($H41="","Чтение",""),IF($L41="","Сон",""),IF($M41="","Режим",""),IF($N41="","Продуктивность",""),IF($O41="","Настроение",""),IF($P41="","Энергия",""),IF($U41="","Еда","")))</f>
        <v/>
      </c>
    </row>
    <row r="42">
      <c r="A42" s="2" t="inlineStr"/>
      <c r="J42">
        <f>IF(A42="","",SUMIF(FoodLog!$A:$A,A42,FoodLog!$I:$I))</f>
        <v/>
      </c>
      <c r="K42">
        <f>IF(A42="","",SUMIF(FoodLog!$A:$A,A42,FoodLog!$F:$F))</f>
        <v/>
      </c>
      <c r="L42">
        <f>IF(A42="","",SUMIF(FoodLog!$A:$A,A42,FoodLog!$G:$G))</f>
        <v/>
      </c>
      <c r="M42">
        <f>IF(A42="","",SUMIF(FoodLog!$A:$A,A42,FoodLog!$H:$H))</f>
        <v/>
      </c>
      <c r="N42">
        <f>LET(train,B42,cardio,C42,steps,D42,sleep,E42,reg,F42,prod,I42,kcal,J42,p,K42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2">
        <f>TEXTJOIN(", ",TRUE,IF(B42="","тренировка",""),IF(D42="","шаги",""),IF(E42="","сон",""),IF(F42="","режим",""),IF(G42="","настроение",""),IF(H42="","энергия",""),IF(I42="","продуктивность",""),IF(J42="","еда (ккал)",""))</f>
        <v/>
      </c>
      <c r="U42">
        <f>IF($A42="","",IF(SUMIF(FoodLog!$A:$A,$A42,FoodLog!$I:$I)=0,"",SUMIF(FoodLog!$A:$A,$A42,FoodLog!$I:$I)))</f>
        <v/>
      </c>
      <c r="V42">
        <f>IF($A42="","",IF(SUMIF(FoodLog!$A:$A,$A42,FoodLog!$F:$F)=0,"",SUMIF(FoodLog!$A:$A,$A42,FoodLog!$F:$F)))</f>
        <v/>
      </c>
      <c r="W42">
        <f>IF($A42="","",IF(SUMIF(FoodLog!$A:$A,$A42,FoodLog!$G:$G)=0,"",SUMIF(FoodLog!$A:$A,$A42,FoodLog!$G:$G)))</f>
        <v/>
      </c>
      <c r="X42">
        <f>IF($A42="","",IF(SUMIF(FoodLog!$A:$A,$A42,FoodLog!$H:$H)=0,"",SUMIF(FoodLog!$A:$A,$A42,FoodLog!$H:$H)))</f>
        <v/>
      </c>
      <c r="Y42">
        <f>IF($A42="","",IFERROR(ROUND(100*AVERAGE(IF($B42="","",XLOOKUP($B42,FILTER(Dictionaries!$B:$B,Dictionaries!$A:$A="Тренировка"),FILTER(Dictionaries!$C:$C,Dictionaries!$A:$A="Тренировка"))),IF($C42="","",MIN($C42/40,1)),IF($D42="","",XLOOKUP($D42,FILTER(Dictionaries!$B:$B,Dictionaries!$A:$A="Шаги"),FILTER(Dictionaries!$C:$C,Dictionaries!$A:$A="Шаги"))),IF($E42="","",MIN($E42/120,1)),IF(OR($F42&lt;&gt;"",$G42&lt;&gt;""),1,""),IF($H42="","",MIN($H42/100,1)),IF($L42="","",XLOOKUP($L42,FILTER(Dictionaries!$B:$B,Dictionaries!$A:$A="Сон_часы"),FILTER(Dictionaries!$C:$C,Dictionaries!$A:$A="Сон_часы"))),IF($M42="","",XLOOKUP($M42,FILTER(Dictionaries!$B:$B,Dictionaries!$A:$A="Режим"),FILTER(Dictionaries!$C:$C,Dictionaries!$A:$A="Режим"))),IF($N42="","",MIN($N42/100,1)),IF($O42="","",XLOOKUP($O42,FILTER(Dictionaries!$B:$B,Dictionaries!$A:$A="Настроение"),FILTER(Dictionaries!$C:$C,Dictionaries!$A:$A="Настроение"))),IF($P42="","",XLOOKUP($P42,FILTER(Dictionaries!$B:$B,Dictionaries!$A:$A="Энергия"),FILTER(Dictionaries!$C:$C,Dictionaries!$A:$A="Энергия"))),IF($U42="","",AVERAGE(IF(OR($B42="Ноги",$B42="Верх"),IFS(AND($U42&gt;=1900,$U42&lt;=2050),1,AND($U42&gt;=1850,$U42&lt;1900),0.7,AND($U42&gt;2050,$U42&lt;=2100),0.7,TRUE,0.2),IFS(AND($U42&gt;=1700,$U42&lt;=1850),1,AND($U42&gt;=1650,$U42&lt;1700),0.7,AND($U42&gt;1850,$U42&lt;=1900),0.7,TRUE,0.2)),IF(OR($B42="Ноги",$B42="Верх"),IFS(AND($V42&gt;=125,$V42&lt;=135),1,AND($V42&gt;=115,$V42&lt;125),0.7,AND($V42&gt;135,$V42&lt;=145),0.7,AND($V42&gt;=105,$V42&lt;115),0.4,AND($V42&gt;145,$V42&lt;=155),0.4,TRUE,0.2),IFS(AND($V42&gt;=120,$V42&lt;=130),1,AND($V42&gt;=110,$V42&lt;120),0.7,AND($V42&gt;130,$V42&lt;=140),0.7,AND($V42&gt;=100,$V42&lt;110),0.4,AND($V42&gt;140,$V42&lt;=150),0.4,TRUE,0.2)),IFS(AND($W42&gt;=55,$W42&lt;=65),1,AND($W42&gt;=50,$W42&lt;55),0.7,AND($W42&gt;65,$W42&lt;=70),0.7,AND($W42&gt;=45,$W42&lt;50),0.4,AND($W42&gt;70,$W42&lt;=75),0.4,TRUE,0.2),IF(OR($B42="Ноги",$B42="Верх"),IFS(AND($X42&gt;=180,$X42&lt;=210),1,AND($X42&gt;=160,$X42&lt;180),0.7,AND($X42&gt;210,$X42&lt;=230),0.7,AND($X42&gt;=140,$X42&lt;160),0.4,AND($X42&gt;230,$X42&lt;=250),0.4,TRUE,0.2),IFS(AND($X42&gt;=140,$X42&lt;=170),1,AND($X42&gt;=120,$X42&lt;140),0.7,AND($X42&gt;170,$X42&lt;=190),0.7,AND($X42&gt;=100,$X42&lt;120),0.4,AND($X42&gt;190,$X42&lt;=210),0.4,TRUE,0.2))))),1),""))</f>
        <v/>
      </c>
      <c r="Z42">
        <f>IF($A42="","",TEXTJOIN(", ",TRUE,IF($B42="","Тренировка",""),IF($C42="","Кардио",""),IF($D42="","Шаги",""),IF($E42="","Английский",""),IF($F42="","Код-режим",""),IF($G42="","Код-тема",""),IF($H42="","Чтение",""),IF($L42="","Сон",""),IF($M42="","Режим",""),IF($N42="","Продуктивность",""),IF($O42="","Настроение",""),IF($P42="","Энергия",""),IF($U42="","Еда","")))</f>
        <v/>
      </c>
    </row>
    <row r="43">
      <c r="A43" s="2" t="inlineStr"/>
      <c r="J43">
        <f>IF(A43="","",SUMIF(FoodLog!$A:$A,A43,FoodLog!$I:$I))</f>
        <v/>
      </c>
      <c r="K43">
        <f>IF(A43="","",SUMIF(FoodLog!$A:$A,A43,FoodLog!$F:$F))</f>
        <v/>
      </c>
      <c r="L43">
        <f>IF(A43="","",SUMIF(FoodLog!$A:$A,A43,FoodLog!$G:$G))</f>
        <v/>
      </c>
      <c r="M43">
        <f>IF(A43="","",SUMIF(FoodLog!$A:$A,A43,FoodLog!$H:$H))</f>
        <v/>
      </c>
      <c r="N43">
        <f>LET(train,B43,cardio,C43,steps,D43,sleep,E43,reg,F43,prod,I43,kcal,J43,p,K43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3">
        <f>TEXTJOIN(", ",TRUE,IF(B43="","тренировка",""),IF(D43="","шаги",""),IF(E43="","сон",""),IF(F43="","режим",""),IF(G43="","настроение",""),IF(H43="","энергия",""),IF(I43="","продуктивность",""),IF(J43="","еда (ккал)",""))</f>
        <v/>
      </c>
      <c r="U43">
        <f>IF($A43="","",IF(SUMIF(FoodLog!$A:$A,$A43,FoodLog!$I:$I)=0,"",SUMIF(FoodLog!$A:$A,$A43,FoodLog!$I:$I)))</f>
        <v/>
      </c>
      <c r="V43">
        <f>IF($A43="","",IF(SUMIF(FoodLog!$A:$A,$A43,FoodLog!$F:$F)=0,"",SUMIF(FoodLog!$A:$A,$A43,FoodLog!$F:$F)))</f>
        <v/>
      </c>
      <c r="W43">
        <f>IF($A43="","",IF(SUMIF(FoodLog!$A:$A,$A43,FoodLog!$G:$G)=0,"",SUMIF(FoodLog!$A:$A,$A43,FoodLog!$G:$G)))</f>
        <v/>
      </c>
      <c r="X43">
        <f>IF($A43="","",IF(SUMIF(FoodLog!$A:$A,$A43,FoodLog!$H:$H)=0,"",SUMIF(FoodLog!$A:$A,$A43,FoodLog!$H:$H)))</f>
        <v/>
      </c>
      <c r="Y43">
        <f>IF($A43="","",IFERROR(ROUND(100*AVERAGE(IF($B43="","",XLOOKUP($B43,FILTER(Dictionaries!$B:$B,Dictionaries!$A:$A="Тренировка"),FILTER(Dictionaries!$C:$C,Dictionaries!$A:$A="Тренировка"))),IF($C43="","",MIN($C43/40,1)),IF($D43="","",XLOOKUP($D43,FILTER(Dictionaries!$B:$B,Dictionaries!$A:$A="Шаги"),FILTER(Dictionaries!$C:$C,Dictionaries!$A:$A="Шаги"))),IF($E43="","",MIN($E43/120,1)),IF(OR($F43&lt;&gt;"",$G43&lt;&gt;""),1,""),IF($H43="","",MIN($H43/100,1)),IF($L43="","",XLOOKUP($L43,FILTER(Dictionaries!$B:$B,Dictionaries!$A:$A="Сон_часы"),FILTER(Dictionaries!$C:$C,Dictionaries!$A:$A="Сон_часы"))),IF($M43="","",XLOOKUP($M43,FILTER(Dictionaries!$B:$B,Dictionaries!$A:$A="Режим"),FILTER(Dictionaries!$C:$C,Dictionaries!$A:$A="Режим"))),IF($N43="","",MIN($N43/100,1)),IF($O43="","",XLOOKUP($O43,FILTER(Dictionaries!$B:$B,Dictionaries!$A:$A="Настроение"),FILTER(Dictionaries!$C:$C,Dictionaries!$A:$A="Настроение"))),IF($P43="","",XLOOKUP($P43,FILTER(Dictionaries!$B:$B,Dictionaries!$A:$A="Энергия"),FILTER(Dictionaries!$C:$C,Dictionaries!$A:$A="Энергия"))),IF($U43="","",AVERAGE(IF(OR($B43="Ноги",$B43="Верх"),IFS(AND($U43&gt;=1900,$U43&lt;=2050),1,AND($U43&gt;=1850,$U43&lt;1900),0.7,AND($U43&gt;2050,$U43&lt;=2100),0.7,TRUE,0.2),IFS(AND($U43&gt;=1700,$U43&lt;=1850),1,AND($U43&gt;=1650,$U43&lt;1700),0.7,AND($U43&gt;1850,$U43&lt;=1900),0.7,TRUE,0.2)),IF(OR($B43="Ноги",$B43="Верх"),IFS(AND($V43&gt;=125,$V43&lt;=135),1,AND($V43&gt;=115,$V43&lt;125),0.7,AND($V43&gt;135,$V43&lt;=145),0.7,AND($V43&gt;=105,$V43&lt;115),0.4,AND($V43&gt;145,$V43&lt;=155),0.4,TRUE,0.2),IFS(AND($V43&gt;=120,$V43&lt;=130),1,AND($V43&gt;=110,$V43&lt;120),0.7,AND($V43&gt;130,$V43&lt;=140),0.7,AND($V43&gt;=100,$V43&lt;110),0.4,AND($V43&gt;140,$V43&lt;=150),0.4,TRUE,0.2)),IFS(AND($W43&gt;=55,$W43&lt;=65),1,AND($W43&gt;=50,$W43&lt;55),0.7,AND($W43&gt;65,$W43&lt;=70),0.7,AND($W43&gt;=45,$W43&lt;50),0.4,AND($W43&gt;70,$W43&lt;=75),0.4,TRUE,0.2),IF(OR($B43="Ноги",$B43="Верх"),IFS(AND($X43&gt;=180,$X43&lt;=210),1,AND($X43&gt;=160,$X43&lt;180),0.7,AND($X43&gt;210,$X43&lt;=230),0.7,AND($X43&gt;=140,$X43&lt;160),0.4,AND($X43&gt;230,$X43&lt;=250),0.4,TRUE,0.2),IFS(AND($X43&gt;=140,$X43&lt;=170),1,AND($X43&gt;=120,$X43&lt;140),0.7,AND($X43&gt;170,$X43&lt;=190),0.7,AND($X43&gt;=100,$X43&lt;120),0.4,AND($X43&gt;190,$X43&lt;=210),0.4,TRUE,0.2))))),1),""))</f>
        <v/>
      </c>
      <c r="Z43">
        <f>IF($A43="","",TEXTJOIN(", ",TRUE,IF($B43="","Тренировка",""),IF($C43="","Кардио",""),IF($D43="","Шаги",""),IF($E43="","Английский",""),IF($F43="","Код-режим",""),IF($G43="","Код-тема",""),IF($H43="","Чтение",""),IF($L43="","Сон",""),IF($M43="","Режим",""),IF($N43="","Продуктивность",""),IF($O43="","Настроение",""),IF($P43="","Энергия",""),IF($U43="","Еда","")))</f>
        <v/>
      </c>
    </row>
    <row r="44">
      <c r="A44" s="2" t="inlineStr"/>
      <c r="J44">
        <f>IF(A44="","",SUMIF(FoodLog!$A:$A,A44,FoodLog!$I:$I))</f>
        <v/>
      </c>
      <c r="K44">
        <f>IF(A44="","",SUMIF(FoodLog!$A:$A,A44,FoodLog!$F:$F))</f>
        <v/>
      </c>
      <c r="L44">
        <f>IF(A44="","",SUMIF(FoodLog!$A:$A,A44,FoodLog!$G:$G))</f>
        <v/>
      </c>
      <c r="M44">
        <f>IF(A44="","",SUMIF(FoodLog!$A:$A,A44,FoodLog!$H:$H))</f>
        <v/>
      </c>
      <c r="N44">
        <f>LET(train,B44,cardio,C44,steps,D44,sleep,E44,reg,F44,prod,I44,kcal,J44,p,K44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4">
        <f>TEXTJOIN(", ",TRUE,IF(B44="","тренировка",""),IF(D44="","шаги",""),IF(E44="","сон",""),IF(F44="","режим",""),IF(G44="","настроение",""),IF(H44="","энергия",""),IF(I44="","продуктивность",""),IF(J44="","еда (ккал)",""))</f>
        <v/>
      </c>
      <c r="U44">
        <f>IF($A44="","",IF(SUMIF(FoodLog!$A:$A,$A44,FoodLog!$I:$I)=0,"",SUMIF(FoodLog!$A:$A,$A44,FoodLog!$I:$I)))</f>
        <v/>
      </c>
      <c r="V44">
        <f>IF($A44="","",IF(SUMIF(FoodLog!$A:$A,$A44,FoodLog!$F:$F)=0,"",SUMIF(FoodLog!$A:$A,$A44,FoodLog!$F:$F)))</f>
        <v/>
      </c>
      <c r="W44">
        <f>IF($A44="","",IF(SUMIF(FoodLog!$A:$A,$A44,FoodLog!$G:$G)=0,"",SUMIF(FoodLog!$A:$A,$A44,FoodLog!$G:$G)))</f>
        <v/>
      </c>
      <c r="X44">
        <f>IF($A44="","",IF(SUMIF(FoodLog!$A:$A,$A44,FoodLog!$H:$H)=0,"",SUMIF(FoodLog!$A:$A,$A44,FoodLog!$H:$H)))</f>
        <v/>
      </c>
      <c r="Y44">
        <f>IF($A44="","",IFERROR(ROUND(100*AVERAGE(IF($B44="","",XLOOKUP($B44,FILTER(Dictionaries!$B:$B,Dictionaries!$A:$A="Тренировка"),FILTER(Dictionaries!$C:$C,Dictionaries!$A:$A="Тренировка"))),IF($C44="","",MIN($C44/40,1)),IF($D44="","",XLOOKUP($D44,FILTER(Dictionaries!$B:$B,Dictionaries!$A:$A="Шаги"),FILTER(Dictionaries!$C:$C,Dictionaries!$A:$A="Шаги"))),IF($E44="","",MIN($E44/120,1)),IF(OR($F44&lt;&gt;"",$G44&lt;&gt;""),1,""),IF($H44="","",MIN($H44/100,1)),IF($L44="","",XLOOKUP($L44,FILTER(Dictionaries!$B:$B,Dictionaries!$A:$A="Сон_часы"),FILTER(Dictionaries!$C:$C,Dictionaries!$A:$A="Сон_часы"))),IF($M44="","",XLOOKUP($M44,FILTER(Dictionaries!$B:$B,Dictionaries!$A:$A="Режим"),FILTER(Dictionaries!$C:$C,Dictionaries!$A:$A="Режим"))),IF($N44="","",MIN($N44/100,1)),IF($O44="","",XLOOKUP($O44,FILTER(Dictionaries!$B:$B,Dictionaries!$A:$A="Настроение"),FILTER(Dictionaries!$C:$C,Dictionaries!$A:$A="Настроение"))),IF($P44="","",XLOOKUP($P44,FILTER(Dictionaries!$B:$B,Dictionaries!$A:$A="Энергия"),FILTER(Dictionaries!$C:$C,Dictionaries!$A:$A="Энергия"))),IF($U44="","",AVERAGE(IF(OR($B44="Ноги",$B44="Верх"),IFS(AND($U44&gt;=1900,$U44&lt;=2050),1,AND($U44&gt;=1850,$U44&lt;1900),0.7,AND($U44&gt;2050,$U44&lt;=2100),0.7,TRUE,0.2),IFS(AND($U44&gt;=1700,$U44&lt;=1850),1,AND($U44&gt;=1650,$U44&lt;1700),0.7,AND($U44&gt;1850,$U44&lt;=1900),0.7,TRUE,0.2)),IF(OR($B44="Ноги",$B44="Верх"),IFS(AND($V44&gt;=125,$V44&lt;=135),1,AND($V44&gt;=115,$V44&lt;125),0.7,AND($V44&gt;135,$V44&lt;=145),0.7,AND($V44&gt;=105,$V44&lt;115),0.4,AND($V44&gt;145,$V44&lt;=155),0.4,TRUE,0.2),IFS(AND($V44&gt;=120,$V44&lt;=130),1,AND($V44&gt;=110,$V44&lt;120),0.7,AND($V44&gt;130,$V44&lt;=140),0.7,AND($V44&gt;=100,$V44&lt;110),0.4,AND($V44&gt;140,$V44&lt;=150),0.4,TRUE,0.2)),IFS(AND($W44&gt;=55,$W44&lt;=65),1,AND($W44&gt;=50,$W44&lt;55),0.7,AND($W44&gt;65,$W44&lt;=70),0.7,AND($W44&gt;=45,$W44&lt;50),0.4,AND($W44&gt;70,$W44&lt;=75),0.4,TRUE,0.2),IF(OR($B44="Ноги",$B44="Верх"),IFS(AND($X44&gt;=180,$X44&lt;=210),1,AND($X44&gt;=160,$X44&lt;180),0.7,AND($X44&gt;210,$X44&lt;=230),0.7,AND($X44&gt;=140,$X44&lt;160),0.4,AND($X44&gt;230,$X44&lt;=250),0.4,TRUE,0.2),IFS(AND($X44&gt;=140,$X44&lt;=170),1,AND($X44&gt;=120,$X44&lt;140),0.7,AND($X44&gt;170,$X44&lt;=190),0.7,AND($X44&gt;=100,$X44&lt;120),0.4,AND($X44&gt;190,$X44&lt;=210),0.4,TRUE,0.2))))),1),""))</f>
        <v/>
      </c>
      <c r="Z44">
        <f>IF($A44="","",TEXTJOIN(", ",TRUE,IF($B44="","Тренировка",""),IF($C44="","Кардио",""),IF($D44="","Шаги",""),IF($E44="","Английский",""),IF($F44="","Код-режим",""),IF($G44="","Код-тема",""),IF($H44="","Чтение",""),IF($L44="","Сон",""),IF($M44="","Режим",""),IF($N44="","Продуктивность",""),IF($O44="","Настроение",""),IF($P44="","Энергия",""),IF($U44="","Еда","")))</f>
        <v/>
      </c>
    </row>
    <row r="45">
      <c r="A45" s="2" t="inlineStr"/>
      <c r="J45">
        <f>IF(A45="","",SUMIF(FoodLog!$A:$A,A45,FoodLog!$I:$I))</f>
        <v/>
      </c>
      <c r="K45">
        <f>IF(A45="","",SUMIF(FoodLog!$A:$A,A45,FoodLog!$F:$F))</f>
        <v/>
      </c>
      <c r="L45">
        <f>IF(A45="","",SUMIF(FoodLog!$A:$A,A45,FoodLog!$G:$G))</f>
        <v/>
      </c>
      <c r="M45">
        <f>IF(A45="","",SUMIF(FoodLog!$A:$A,A45,FoodLog!$H:$H))</f>
        <v/>
      </c>
      <c r="N45">
        <f>LET(train,B45,cardio,C45,steps,D45,sleep,E45,reg,F45,prod,I45,kcal,J45,p,K45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5">
        <f>TEXTJOIN(", ",TRUE,IF(B45="","тренировка",""),IF(D45="","шаги",""),IF(E45="","сон",""),IF(F45="","режим",""),IF(G45="","настроение",""),IF(H45="","энергия",""),IF(I45="","продуктивность",""),IF(J45="","еда (ккал)",""))</f>
        <v/>
      </c>
      <c r="U45">
        <f>IF($A45="","",IF(SUMIF(FoodLog!$A:$A,$A45,FoodLog!$I:$I)=0,"",SUMIF(FoodLog!$A:$A,$A45,FoodLog!$I:$I)))</f>
        <v/>
      </c>
      <c r="V45">
        <f>IF($A45="","",IF(SUMIF(FoodLog!$A:$A,$A45,FoodLog!$F:$F)=0,"",SUMIF(FoodLog!$A:$A,$A45,FoodLog!$F:$F)))</f>
        <v/>
      </c>
      <c r="W45">
        <f>IF($A45="","",IF(SUMIF(FoodLog!$A:$A,$A45,FoodLog!$G:$G)=0,"",SUMIF(FoodLog!$A:$A,$A45,FoodLog!$G:$G)))</f>
        <v/>
      </c>
      <c r="X45">
        <f>IF($A45="","",IF(SUMIF(FoodLog!$A:$A,$A45,FoodLog!$H:$H)=0,"",SUMIF(FoodLog!$A:$A,$A45,FoodLog!$H:$H)))</f>
        <v/>
      </c>
      <c r="Y45">
        <f>IF($A45="","",IFERROR(ROUND(100*AVERAGE(IF($B45="","",XLOOKUP($B45,FILTER(Dictionaries!$B:$B,Dictionaries!$A:$A="Тренировка"),FILTER(Dictionaries!$C:$C,Dictionaries!$A:$A="Тренировка"))),IF($C45="","",MIN($C45/40,1)),IF($D45="","",XLOOKUP($D45,FILTER(Dictionaries!$B:$B,Dictionaries!$A:$A="Шаги"),FILTER(Dictionaries!$C:$C,Dictionaries!$A:$A="Шаги"))),IF($E45="","",MIN($E45/120,1)),IF(OR($F45&lt;&gt;"",$G45&lt;&gt;""),1,""),IF($H45="","",MIN($H45/100,1)),IF($L45="","",XLOOKUP($L45,FILTER(Dictionaries!$B:$B,Dictionaries!$A:$A="Сон_часы"),FILTER(Dictionaries!$C:$C,Dictionaries!$A:$A="Сон_часы"))),IF($M45="","",XLOOKUP($M45,FILTER(Dictionaries!$B:$B,Dictionaries!$A:$A="Режим"),FILTER(Dictionaries!$C:$C,Dictionaries!$A:$A="Режим"))),IF($N45="","",MIN($N45/100,1)),IF($O45="","",XLOOKUP($O45,FILTER(Dictionaries!$B:$B,Dictionaries!$A:$A="Настроение"),FILTER(Dictionaries!$C:$C,Dictionaries!$A:$A="Настроение"))),IF($P45="","",XLOOKUP($P45,FILTER(Dictionaries!$B:$B,Dictionaries!$A:$A="Энергия"),FILTER(Dictionaries!$C:$C,Dictionaries!$A:$A="Энергия"))),IF($U45="","",AVERAGE(IF(OR($B45="Ноги",$B45="Верх"),IFS(AND($U45&gt;=1900,$U45&lt;=2050),1,AND($U45&gt;=1850,$U45&lt;1900),0.7,AND($U45&gt;2050,$U45&lt;=2100),0.7,TRUE,0.2),IFS(AND($U45&gt;=1700,$U45&lt;=1850),1,AND($U45&gt;=1650,$U45&lt;1700),0.7,AND($U45&gt;1850,$U45&lt;=1900),0.7,TRUE,0.2)),IF(OR($B45="Ноги",$B45="Верх"),IFS(AND($V45&gt;=125,$V45&lt;=135),1,AND($V45&gt;=115,$V45&lt;125),0.7,AND($V45&gt;135,$V45&lt;=145),0.7,AND($V45&gt;=105,$V45&lt;115),0.4,AND($V45&gt;145,$V45&lt;=155),0.4,TRUE,0.2),IFS(AND($V45&gt;=120,$V45&lt;=130),1,AND($V45&gt;=110,$V45&lt;120),0.7,AND($V45&gt;130,$V45&lt;=140),0.7,AND($V45&gt;=100,$V45&lt;110),0.4,AND($V45&gt;140,$V45&lt;=150),0.4,TRUE,0.2)),IFS(AND($W45&gt;=55,$W45&lt;=65),1,AND($W45&gt;=50,$W45&lt;55),0.7,AND($W45&gt;65,$W45&lt;=70),0.7,AND($W45&gt;=45,$W45&lt;50),0.4,AND($W45&gt;70,$W45&lt;=75),0.4,TRUE,0.2),IF(OR($B45="Ноги",$B45="Верх"),IFS(AND($X45&gt;=180,$X45&lt;=210),1,AND($X45&gt;=160,$X45&lt;180),0.7,AND($X45&gt;210,$X45&lt;=230),0.7,AND($X45&gt;=140,$X45&lt;160),0.4,AND($X45&gt;230,$X45&lt;=250),0.4,TRUE,0.2),IFS(AND($X45&gt;=140,$X45&lt;=170),1,AND($X45&gt;=120,$X45&lt;140),0.7,AND($X45&gt;170,$X45&lt;=190),0.7,AND($X45&gt;=100,$X45&lt;120),0.4,AND($X45&gt;190,$X45&lt;=210),0.4,TRUE,0.2))))),1),""))</f>
        <v/>
      </c>
      <c r="Z45">
        <f>IF($A45="","",TEXTJOIN(", ",TRUE,IF($B45="","Тренировка",""),IF($C45="","Кардио",""),IF($D45="","Шаги",""),IF($E45="","Английский",""),IF($F45="","Код-режим",""),IF($G45="","Код-тема",""),IF($H45="","Чтение",""),IF($L45="","Сон",""),IF($M45="","Режим",""),IF($N45="","Продуктивность",""),IF($O45="","Настроение",""),IF($P45="","Энергия",""),IF($U45="","Еда","")))</f>
        <v/>
      </c>
    </row>
    <row r="46">
      <c r="A46" s="2" t="inlineStr"/>
      <c r="J46">
        <f>IF(A46="","",SUMIF(FoodLog!$A:$A,A46,FoodLog!$I:$I))</f>
        <v/>
      </c>
      <c r="K46">
        <f>IF(A46="","",SUMIF(FoodLog!$A:$A,A46,FoodLog!$F:$F))</f>
        <v/>
      </c>
      <c r="L46">
        <f>IF(A46="","",SUMIF(FoodLog!$A:$A,A46,FoodLog!$G:$G))</f>
        <v/>
      </c>
      <c r="M46">
        <f>IF(A46="","",SUMIF(FoodLog!$A:$A,A46,FoodLog!$H:$H))</f>
        <v/>
      </c>
      <c r="N46">
        <f>LET(train,B46,cardio,C46,steps,D46,sleep,E46,reg,F46,prod,I46,kcal,J46,p,K46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6">
        <f>TEXTJOIN(", ",TRUE,IF(B46="","тренировка",""),IF(D46="","шаги",""),IF(E46="","сон",""),IF(F46="","режим",""),IF(G46="","настроение",""),IF(H46="","энергия",""),IF(I46="","продуктивность",""),IF(J46="","еда (ккал)",""))</f>
        <v/>
      </c>
      <c r="U46">
        <f>IF($A46="","",IF(SUMIF(FoodLog!$A:$A,$A46,FoodLog!$I:$I)=0,"",SUMIF(FoodLog!$A:$A,$A46,FoodLog!$I:$I)))</f>
        <v/>
      </c>
      <c r="V46">
        <f>IF($A46="","",IF(SUMIF(FoodLog!$A:$A,$A46,FoodLog!$F:$F)=0,"",SUMIF(FoodLog!$A:$A,$A46,FoodLog!$F:$F)))</f>
        <v/>
      </c>
      <c r="W46">
        <f>IF($A46="","",IF(SUMIF(FoodLog!$A:$A,$A46,FoodLog!$G:$G)=0,"",SUMIF(FoodLog!$A:$A,$A46,FoodLog!$G:$G)))</f>
        <v/>
      </c>
      <c r="X46">
        <f>IF($A46="","",IF(SUMIF(FoodLog!$A:$A,$A46,FoodLog!$H:$H)=0,"",SUMIF(FoodLog!$A:$A,$A46,FoodLog!$H:$H)))</f>
        <v/>
      </c>
      <c r="Y46">
        <f>IF($A46="","",IFERROR(ROUND(100*AVERAGE(IF($B46="","",XLOOKUP($B46,FILTER(Dictionaries!$B:$B,Dictionaries!$A:$A="Тренировка"),FILTER(Dictionaries!$C:$C,Dictionaries!$A:$A="Тренировка"))),IF($C46="","",MIN($C46/40,1)),IF($D46="","",XLOOKUP($D46,FILTER(Dictionaries!$B:$B,Dictionaries!$A:$A="Шаги"),FILTER(Dictionaries!$C:$C,Dictionaries!$A:$A="Шаги"))),IF($E46="","",MIN($E46/120,1)),IF(OR($F46&lt;&gt;"",$G46&lt;&gt;""),1,""),IF($H46="","",MIN($H46/100,1)),IF($L46="","",XLOOKUP($L46,FILTER(Dictionaries!$B:$B,Dictionaries!$A:$A="Сон_часы"),FILTER(Dictionaries!$C:$C,Dictionaries!$A:$A="Сон_часы"))),IF($M46="","",XLOOKUP($M46,FILTER(Dictionaries!$B:$B,Dictionaries!$A:$A="Режим"),FILTER(Dictionaries!$C:$C,Dictionaries!$A:$A="Режим"))),IF($N46="","",MIN($N46/100,1)),IF($O46="","",XLOOKUP($O46,FILTER(Dictionaries!$B:$B,Dictionaries!$A:$A="Настроение"),FILTER(Dictionaries!$C:$C,Dictionaries!$A:$A="Настроение"))),IF($P46="","",XLOOKUP($P46,FILTER(Dictionaries!$B:$B,Dictionaries!$A:$A="Энергия"),FILTER(Dictionaries!$C:$C,Dictionaries!$A:$A="Энергия"))),IF($U46="","",AVERAGE(IF(OR($B46="Ноги",$B46="Верх"),IFS(AND($U46&gt;=1900,$U46&lt;=2050),1,AND($U46&gt;=1850,$U46&lt;1900),0.7,AND($U46&gt;2050,$U46&lt;=2100),0.7,TRUE,0.2),IFS(AND($U46&gt;=1700,$U46&lt;=1850),1,AND($U46&gt;=1650,$U46&lt;1700),0.7,AND($U46&gt;1850,$U46&lt;=1900),0.7,TRUE,0.2)),IF(OR($B46="Ноги",$B46="Верх"),IFS(AND($V46&gt;=125,$V46&lt;=135),1,AND($V46&gt;=115,$V46&lt;125),0.7,AND($V46&gt;135,$V46&lt;=145),0.7,AND($V46&gt;=105,$V46&lt;115),0.4,AND($V46&gt;145,$V46&lt;=155),0.4,TRUE,0.2),IFS(AND($V46&gt;=120,$V46&lt;=130),1,AND($V46&gt;=110,$V46&lt;120),0.7,AND($V46&gt;130,$V46&lt;=140),0.7,AND($V46&gt;=100,$V46&lt;110),0.4,AND($V46&gt;140,$V46&lt;=150),0.4,TRUE,0.2)),IFS(AND($W46&gt;=55,$W46&lt;=65),1,AND($W46&gt;=50,$W46&lt;55),0.7,AND($W46&gt;65,$W46&lt;=70),0.7,AND($W46&gt;=45,$W46&lt;50),0.4,AND($W46&gt;70,$W46&lt;=75),0.4,TRUE,0.2),IF(OR($B46="Ноги",$B46="Верх"),IFS(AND($X46&gt;=180,$X46&lt;=210),1,AND($X46&gt;=160,$X46&lt;180),0.7,AND($X46&gt;210,$X46&lt;=230),0.7,AND($X46&gt;=140,$X46&lt;160),0.4,AND($X46&gt;230,$X46&lt;=250),0.4,TRUE,0.2),IFS(AND($X46&gt;=140,$X46&lt;=170),1,AND($X46&gt;=120,$X46&lt;140),0.7,AND($X46&gt;170,$X46&lt;=190),0.7,AND($X46&gt;=100,$X46&lt;120),0.4,AND($X46&gt;190,$X46&lt;=210),0.4,TRUE,0.2))))),1),""))</f>
        <v/>
      </c>
      <c r="Z46">
        <f>IF($A46="","",TEXTJOIN(", ",TRUE,IF($B46="","Тренировка",""),IF($C46="","Кардио",""),IF($D46="","Шаги",""),IF($E46="","Английский",""),IF($F46="","Код-режим",""),IF($G46="","Код-тема",""),IF($H46="","Чтение",""),IF($L46="","Сон",""),IF($M46="","Режим",""),IF($N46="","Продуктивность",""),IF($O46="","Настроение",""),IF($P46="","Энергия",""),IF($U46="","Еда","")))</f>
        <v/>
      </c>
    </row>
    <row r="47">
      <c r="A47" s="2" t="inlineStr"/>
      <c r="J47">
        <f>IF(A47="","",SUMIF(FoodLog!$A:$A,A47,FoodLog!$I:$I))</f>
        <v/>
      </c>
      <c r="K47">
        <f>IF(A47="","",SUMIF(FoodLog!$A:$A,A47,FoodLog!$F:$F))</f>
        <v/>
      </c>
      <c r="L47">
        <f>IF(A47="","",SUMIF(FoodLog!$A:$A,A47,FoodLog!$G:$G))</f>
        <v/>
      </c>
      <c r="M47">
        <f>IF(A47="","",SUMIF(FoodLog!$A:$A,A47,FoodLog!$H:$H))</f>
        <v/>
      </c>
      <c r="N47">
        <f>LET(train,B47,cardio,C47,steps,D47,sleep,E47,reg,F47,prod,I47,kcal,J47,p,K47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7">
        <f>TEXTJOIN(", ",TRUE,IF(B47="","тренировка",""),IF(D47="","шаги",""),IF(E47="","сон",""),IF(F47="","режим",""),IF(G47="","настроение",""),IF(H47="","энергия",""),IF(I47="","продуктивность",""),IF(J47="","еда (ккал)",""))</f>
        <v/>
      </c>
      <c r="U47">
        <f>IF($A47="","",IF(SUMIF(FoodLog!$A:$A,$A47,FoodLog!$I:$I)=0,"",SUMIF(FoodLog!$A:$A,$A47,FoodLog!$I:$I)))</f>
        <v/>
      </c>
      <c r="V47">
        <f>IF($A47="","",IF(SUMIF(FoodLog!$A:$A,$A47,FoodLog!$F:$F)=0,"",SUMIF(FoodLog!$A:$A,$A47,FoodLog!$F:$F)))</f>
        <v/>
      </c>
      <c r="W47">
        <f>IF($A47="","",IF(SUMIF(FoodLog!$A:$A,$A47,FoodLog!$G:$G)=0,"",SUMIF(FoodLog!$A:$A,$A47,FoodLog!$G:$G)))</f>
        <v/>
      </c>
      <c r="X47">
        <f>IF($A47="","",IF(SUMIF(FoodLog!$A:$A,$A47,FoodLog!$H:$H)=0,"",SUMIF(FoodLog!$A:$A,$A47,FoodLog!$H:$H)))</f>
        <v/>
      </c>
      <c r="Y47">
        <f>IF($A47="","",IFERROR(ROUND(100*AVERAGE(IF($B47="","",XLOOKUP($B47,FILTER(Dictionaries!$B:$B,Dictionaries!$A:$A="Тренировка"),FILTER(Dictionaries!$C:$C,Dictionaries!$A:$A="Тренировка"))),IF($C47="","",MIN($C47/40,1)),IF($D47="","",XLOOKUP($D47,FILTER(Dictionaries!$B:$B,Dictionaries!$A:$A="Шаги"),FILTER(Dictionaries!$C:$C,Dictionaries!$A:$A="Шаги"))),IF($E47="","",MIN($E47/120,1)),IF(OR($F47&lt;&gt;"",$G47&lt;&gt;""),1,""),IF($H47="","",MIN($H47/100,1)),IF($L47="","",XLOOKUP($L47,FILTER(Dictionaries!$B:$B,Dictionaries!$A:$A="Сон_часы"),FILTER(Dictionaries!$C:$C,Dictionaries!$A:$A="Сон_часы"))),IF($M47="","",XLOOKUP($M47,FILTER(Dictionaries!$B:$B,Dictionaries!$A:$A="Режим"),FILTER(Dictionaries!$C:$C,Dictionaries!$A:$A="Режим"))),IF($N47="","",MIN($N47/100,1)),IF($O47="","",XLOOKUP($O47,FILTER(Dictionaries!$B:$B,Dictionaries!$A:$A="Настроение"),FILTER(Dictionaries!$C:$C,Dictionaries!$A:$A="Настроение"))),IF($P47="","",XLOOKUP($P47,FILTER(Dictionaries!$B:$B,Dictionaries!$A:$A="Энергия"),FILTER(Dictionaries!$C:$C,Dictionaries!$A:$A="Энергия"))),IF($U47="","",AVERAGE(IF(OR($B47="Ноги",$B47="Верх"),IFS(AND($U47&gt;=1900,$U47&lt;=2050),1,AND($U47&gt;=1850,$U47&lt;1900),0.7,AND($U47&gt;2050,$U47&lt;=2100),0.7,TRUE,0.2),IFS(AND($U47&gt;=1700,$U47&lt;=1850),1,AND($U47&gt;=1650,$U47&lt;1700),0.7,AND($U47&gt;1850,$U47&lt;=1900),0.7,TRUE,0.2)),IF(OR($B47="Ноги",$B47="Верх"),IFS(AND($V47&gt;=125,$V47&lt;=135),1,AND($V47&gt;=115,$V47&lt;125),0.7,AND($V47&gt;135,$V47&lt;=145),0.7,AND($V47&gt;=105,$V47&lt;115),0.4,AND($V47&gt;145,$V47&lt;=155),0.4,TRUE,0.2),IFS(AND($V47&gt;=120,$V47&lt;=130),1,AND($V47&gt;=110,$V47&lt;120),0.7,AND($V47&gt;130,$V47&lt;=140),0.7,AND($V47&gt;=100,$V47&lt;110),0.4,AND($V47&gt;140,$V47&lt;=150),0.4,TRUE,0.2)),IFS(AND($W47&gt;=55,$W47&lt;=65),1,AND($W47&gt;=50,$W47&lt;55),0.7,AND($W47&gt;65,$W47&lt;=70),0.7,AND($W47&gt;=45,$W47&lt;50),0.4,AND($W47&gt;70,$W47&lt;=75),0.4,TRUE,0.2),IF(OR($B47="Ноги",$B47="Верх"),IFS(AND($X47&gt;=180,$X47&lt;=210),1,AND($X47&gt;=160,$X47&lt;180),0.7,AND($X47&gt;210,$X47&lt;=230),0.7,AND($X47&gt;=140,$X47&lt;160),0.4,AND($X47&gt;230,$X47&lt;=250),0.4,TRUE,0.2),IFS(AND($X47&gt;=140,$X47&lt;=170),1,AND($X47&gt;=120,$X47&lt;140),0.7,AND($X47&gt;170,$X47&lt;=190),0.7,AND($X47&gt;=100,$X47&lt;120),0.4,AND($X47&gt;190,$X47&lt;=210),0.4,TRUE,0.2))))),1),""))</f>
        <v/>
      </c>
      <c r="Z47">
        <f>IF($A47="","",TEXTJOIN(", ",TRUE,IF($B47="","Тренировка",""),IF($C47="","Кардио",""),IF($D47="","Шаги",""),IF($E47="","Английский",""),IF($F47="","Код-режим",""),IF($G47="","Код-тема",""),IF($H47="","Чтение",""),IF($L47="","Сон",""),IF($M47="","Режим",""),IF($N47="","Продуктивность",""),IF($O47="","Настроение",""),IF($P47="","Энергия",""),IF($U47="","Еда","")))</f>
        <v/>
      </c>
    </row>
    <row r="48">
      <c r="A48" s="2" t="inlineStr"/>
      <c r="J48">
        <f>IF(A48="","",SUMIF(FoodLog!$A:$A,A48,FoodLog!$I:$I))</f>
        <v/>
      </c>
      <c r="K48">
        <f>IF(A48="","",SUMIF(FoodLog!$A:$A,A48,FoodLog!$F:$F))</f>
        <v/>
      </c>
      <c r="L48">
        <f>IF(A48="","",SUMIF(FoodLog!$A:$A,A48,FoodLog!$G:$G))</f>
        <v/>
      </c>
      <c r="M48">
        <f>IF(A48="","",SUMIF(FoodLog!$A:$A,A48,FoodLog!$H:$H))</f>
        <v/>
      </c>
      <c r="N48">
        <f>LET(train,B48,cardio,C48,steps,D48,sleep,E48,reg,F48,prod,I48,kcal,J48,p,K48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8">
        <f>TEXTJOIN(", ",TRUE,IF(B48="","тренировка",""),IF(D48="","шаги",""),IF(E48="","сон",""),IF(F48="","режим",""),IF(G48="","настроение",""),IF(H48="","энергия",""),IF(I48="","продуктивность",""),IF(J48="","еда (ккал)",""))</f>
        <v/>
      </c>
      <c r="U48">
        <f>IF($A48="","",IF(SUMIF(FoodLog!$A:$A,$A48,FoodLog!$I:$I)=0,"",SUMIF(FoodLog!$A:$A,$A48,FoodLog!$I:$I)))</f>
        <v/>
      </c>
      <c r="V48">
        <f>IF($A48="","",IF(SUMIF(FoodLog!$A:$A,$A48,FoodLog!$F:$F)=0,"",SUMIF(FoodLog!$A:$A,$A48,FoodLog!$F:$F)))</f>
        <v/>
      </c>
      <c r="W48">
        <f>IF($A48="","",IF(SUMIF(FoodLog!$A:$A,$A48,FoodLog!$G:$G)=0,"",SUMIF(FoodLog!$A:$A,$A48,FoodLog!$G:$G)))</f>
        <v/>
      </c>
      <c r="X48">
        <f>IF($A48="","",IF(SUMIF(FoodLog!$A:$A,$A48,FoodLog!$H:$H)=0,"",SUMIF(FoodLog!$A:$A,$A48,FoodLog!$H:$H)))</f>
        <v/>
      </c>
      <c r="Y48">
        <f>IF($A48="","",IFERROR(ROUND(100*AVERAGE(IF($B48="","",XLOOKUP($B48,FILTER(Dictionaries!$B:$B,Dictionaries!$A:$A="Тренировка"),FILTER(Dictionaries!$C:$C,Dictionaries!$A:$A="Тренировка"))),IF($C48="","",MIN($C48/40,1)),IF($D48="","",XLOOKUP($D48,FILTER(Dictionaries!$B:$B,Dictionaries!$A:$A="Шаги"),FILTER(Dictionaries!$C:$C,Dictionaries!$A:$A="Шаги"))),IF($E48="","",MIN($E48/120,1)),IF(OR($F48&lt;&gt;"",$G48&lt;&gt;""),1,""),IF($H48="","",MIN($H48/100,1)),IF($L48="","",XLOOKUP($L48,FILTER(Dictionaries!$B:$B,Dictionaries!$A:$A="Сон_часы"),FILTER(Dictionaries!$C:$C,Dictionaries!$A:$A="Сон_часы"))),IF($M48="","",XLOOKUP($M48,FILTER(Dictionaries!$B:$B,Dictionaries!$A:$A="Режим"),FILTER(Dictionaries!$C:$C,Dictionaries!$A:$A="Режим"))),IF($N48="","",MIN($N48/100,1)),IF($O48="","",XLOOKUP($O48,FILTER(Dictionaries!$B:$B,Dictionaries!$A:$A="Настроение"),FILTER(Dictionaries!$C:$C,Dictionaries!$A:$A="Настроение"))),IF($P48="","",XLOOKUP($P48,FILTER(Dictionaries!$B:$B,Dictionaries!$A:$A="Энергия"),FILTER(Dictionaries!$C:$C,Dictionaries!$A:$A="Энергия"))),IF($U48="","",AVERAGE(IF(OR($B48="Ноги",$B48="Верх"),IFS(AND($U48&gt;=1900,$U48&lt;=2050),1,AND($U48&gt;=1850,$U48&lt;1900),0.7,AND($U48&gt;2050,$U48&lt;=2100),0.7,TRUE,0.2),IFS(AND($U48&gt;=1700,$U48&lt;=1850),1,AND($U48&gt;=1650,$U48&lt;1700),0.7,AND($U48&gt;1850,$U48&lt;=1900),0.7,TRUE,0.2)),IF(OR($B48="Ноги",$B48="Верх"),IFS(AND($V48&gt;=125,$V48&lt;=135),1,AND($V48&gt;=115,$V48&lt;125),0.7,AND($V48&gt;135,$V48&lt;=145),0.7,AND($V48&gt;=105,$V48&lt;115),0.4,AND($V48&gt;145,$V48&lt;=155),0.4,TRUE,0.2),IFS(AND($V48&gt;=120,$V48&lt;=130),1,AND($V48&gt;=110,$V48&lt;120),0.7,AND($V48&gt;130,$V48&lt;=140),0.7,AND($V48&gt;=100,$V48&lt;110),0.4,AND($V48&gt;140,$V48&lt;=150),0.4,TRUE,0.2)),IFS(AND($W48&gt;=55,$W48&lt;=65),1,AND($W48&gt;=50,$W48&lt;55),0.7,AND($W48&gt;65,$W48&lt;=70),0.7,AND($W48&gt;=45,$W48&lt;50),0.4,AND($W48&gt;70,$W48&lt;=75),0.4,TRUE,0.2),IF(OR($B48="Ноги",$B48="Верх"),IFS(AND($X48&gt;=180,$X48&lt;=210),1,AND($X48&gt;=160,$X48&lt;180),0.7,AND($X48&gt;210,$X48&lt;=230),0.7,AND($X48&gt;=140,$X48&lt;160),0.4,AND($X48&gt;230,$X48&lt;=250),0.4,TRUE,0.2),IFS(AND($X48&gt;=140,$X48&lt;=170),1,AND($X48&gt;=120,$X48&lt;140),0.7,AND($X48&gt;170,$X48&lt;=190),0.7,AND($X48&gt;=100,$X48&lt;120),0.4,AND($X48&gt;190,$X48&lt;=210),0.4,TRUE,0.2))))),1),""))</f>
        <v/>
      </c>
      <c r="Z48">
        <f>IF($A48="","",TEXTJOIN(", ",TRUE,IF($B48="","Тренировка",""),IF($C48="","Кардио",""),IF($D48="","Шаги",""),IF($E48="","Английский",""),IF($F48="","Код-режим",""),IF($G48="","Код-тема",""),IF($H48="","Чтение",""),IF($L48="","Сон",""),IF($M48="","Режим",""),IF($N48="","Продуктивность",""),IF($O48="","Настроение",""),IF($P48="","Энергия",""),IF($U48="","Еда","")))</f>
        <v/>
      </c>
    </row>
    <row r="49">
      <c r="A49" s="2" t="inlineStr"/>
      <c r="J49">
        <f>IF(A49="","",SUMIF(FoodLog!$A:$A,A49,FoodLog!$I:$I))</f>
        <v/>
      </c>
      <c r="K49">
        <f>IF(A49="","",SUMIF(FoodLog!$A:$A,A49,FoodLog!$F:$F))</f>
        <v/>
      </c>
      <c r="L49">
        <f>IF(A49="","",SUMIF(FoodLog!$A:$A,A49,FoodLog!$G:$G))</f>
        <v/>
      </c>
      <c r="M49">
        <f>IF(A49="","",SUMIF(FoodLog!$A:$A,A49,FoodLog!$H:$H))</f>
        <v/>
      </c>
      <c r="N49">
        <f>LET(train,B49,cardio,C49,steps,D49,sleep,E49,reg,F49,prod,I49,kcal,J49,p,K49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49">
        <f>TEXTJOIN(", ",TRUE,IF(B49="","тренировка",""),IF(D49="","шаги",""),IF(E49="","сон",""),IF(F49="","режим",""),IF(G49="","настроение",""),IF(H49="","энергия",""),IF(I49="","продуктивность",""),IF(J49="","еда (ккал)",""))</f>
        <v/>
      </c>
      <c r="U49">
        <f>IF($A49="","",IF(SUMIF(FoodLog!$A:$A,$A49,FoodLog!$I:$I)=0,"",SUMIF(FoodLog!$A:$A,$A49,FoodLog!$I:$I)))</f>
        <v/>
      </c>
      <c r="V49">
        <f>IF($A49="","",IF(SUMIF(FoodLog!$A:$A,$A49,FoodLog!$F:$F)=0,"",SUMIF(FoodLog!$A:$A,$A49,FoodLog!$F:$F)))</f>
        <v/>
      </c>
      <c r="W49">
        <f>IF($A49="","",IF(SUMIF(FoodLog!$A:$A,$A49,FoodLog!$G:$G)=0,"",SUMIF(FoodLog!$A:$A,$A49,FoodLog!$G:$G)))</f>
        <v/>
      </c>
      <c r="X49">
        <f>IF($A49="","",IF(SUMIF(FoodLog!$A:$A,$A49,FoodLog!$H:$H)=0,"",SUMIF(FoodLog!$A:$A,$A49,FoodLog!$H:$H)))</f>
        <v/>
      </c>
      <c r="Y49">
        <f>IF($A49="","",IFERROR(ROUND(100*AVERAGE(IF($B49="","",XLOOKUP($B49,FILTER(Dictionaries!$B:$B,Dictionaries!$A:$A="Тренировка"),FILTER(Dictionaries!$C:$C,Dictionaries!$A:$A="Тренировка"))),IF($C49="","",MIN($C49/40,1)),IF($D49="","",XLOOKUP($D49,FILTER(Dictionaries!$B:$B,Dictionaries!$A:$A="Шаги"),FILTER(Dictionaries!$C:$C,Dictionaries!$A:$A="Шаги"))),IF($E49="","",MIN($E49/120,1)),IF(OR($F49&lt;&gt;"",$G49&lt;&gt;""),1,""),IF($H49="","",MIN($H49/100,1)),IF($L49="","",XLOOKUP($L49,FILTER(Dictionaries!$B:$B,Dictionaries!$A:$A="Сон_часы"),FILTER(Dictionaries!$C:$C,Dictionaries!$A:$A="Сон_часы"))),IF($M49="","",XLOOKUP($M49,FILTER(Dictionaries!$B:$B,Dictionaries!$A:$A="Режим"),FILTER(Dictionaries!$C:$C,Dictionaries!$A:$A="Режим"))),IF($N49="","",MIN($N49/100,1)),IF($O49="","",XLOOKUP($O49,FILTER(Dictionaries!$B:$B,Dictionaries!$A:$A="Настроение"),FILTER(Dictionaries!$C:$C,Dictionaries!$A:$A="Настроение"))),IF($P49="","",XLOOKUP($P49,FILTER(Dictionaries!$B:$B,Dictionaries!$A:$A="Энергия"),FILTER(Dictionaries!$C:$C,Dictionaries!$A:$A="Энергия"))),IF($U49="","",AVERAGE(IF(OR($B49="Ноги",$B49="Верх"),IFS(AND($U49&gt;=1900,$U49&lt;=2050),1,AND($U49&gt;=1850,$U49&lt;1900),0.7,AND($U49&gt;2050,$U49&lt;=2100),0.7,TRUE,0.2),IFS(AND($U49&gt;=1700,$U49&lt;=1850),1,AND($U49&gt;=1650,$U49&lt;1700),0.7,AND($U49&gt;1850,$U49&lt;=1900),0.7,TRUE,0.2)),IF(OR($B49="Ноги",$B49="Верх"),IFS(AND($V49&gt;=125,$V49&lt;=135),1,AND($V49&gt;=115,$V49&lt;125),0.7,AND($V49&gt;135,$V49&lt;=145),0.7,AND($V49&gt;=105,$V49&lt;115),0.4,AND($V49&gt;145,$V49&lt;=155),0.4,TRUE,0.2),IFS(AND($V49&gt;=120,$V49&lt;=130),1,AND($V49&gt;=110,$V49&lt;120),0.7,AND($V49&gt;130,$V49&lt;=140),0.7,AND($V49&gt;=100,$V49&lt;110),0.4,AND($V49&gt;140,$V49&lt;=150),0.4,TRUE,0.2)),IFS(AND($W49&gt;=55,$W49&lt;=65),1,AND($W49&gt;=50,$W49&lt;55),0.7,AND($W49&gt;65,$W49&lt;=70),0.7,AND($W49&gt;=45,$W49&lt;50),0.4,AND($W49&gt;70,$W49&lt;=75),0.4,TRUE,0.2),IF(OR($B49="Ноги",$B49="Верх"),IFS(AND($X49&gt;=180,$X49&lt;=210),1,AND($X49&gt;=160,$X49&lt;180),0.7,AND($X49&gt;210,$X49&lt;=230),0.7,AND($X49&gt;=140,$X49&lt;160),0.4,AND($X49&gt;230,$X49&lt;=250),0.4,TRUE,0.2),IFS(AND($X49&gt;=140,$X49&lt;=170),1,AND($X49&gt;=120,$X49&lt;140),0.7,AND($X49&gt;170,$X49&lt;=190),0.7,AND($X49&gt;=100,$X49&lt;120),0.4,AND($X49&gt;190,$X49&lt;=210),0.4,TRUE,0.2))))),1),""))</f>
        <v/>
      </c>
      <c r="Z49">
        <f>IF($A49="","",TEXTJOIN(", ",TRUE,IF($B49="","Тренировка",""),IF($C49="","Кардио",""),IF($D49="","Шаги",""),IF($E49="","Английский",""),IF($F49="","Код-режим",""),IF($G49="","Код-тема",""),IF($H49="","Чтение",""),IF($L49="","Сон",""),IF($M49="","Режим",""),IF($N49="","Продуктивность",""),IF($O49="","Настроение",""),IF($P49="","Энергия",""),IF($U49="","Еда","")))</f>
        <v/>
      </c>
    </row>
    <row r="50">
      <c r="A50" s="2" t="inlineStr"/>
      <c r="J50">
        <f>IF(A50="","",SUMIF(FoodLog!$A:$A,A50,FoodLog!$I:$I))</f>
        <v/>
      </c>
      <c r="K50">
        <f>IF(A50="","",SUMIF(FoodLog!$A:$A,A50,FoodLog!$F:$F))</f>
        <v/>
      </c>
      <c r="L50">
        <f>IF(A50="","",SUMIF(FoodLog!$A:$A,A50,FoodLog!$G:$G))</f>
        <v/>
      </c>
      <c r="M50">
        <f>IF(A50="","",SUMIF(FoodLog!$A:$A,A50,FoodLog!$H:$H))</f>
        <v/>
      </c>
      <c r="N50">
        <f>LET(train,B50,cardio,C50,steps,D50,sleep,E50,reg,F50,prod,I50,kcal,J50,p,K50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0">
        <f>TEXTJOIN(", ",TRUE,IF(B50="","тренировка",""),IF(D50="","шаги",""),IF(E50="","сон",""),IF(F50="","режим",""),IF(G50="","настроение",""),IF(H50="","энергия",""),IF(I50="","продуктивность",""),IF(J50="","еда (ккал)",""))</f>
        <v/>
      </c>
      <c r="U50">
        <f>IF($A50="","",IF(SUMIF(FoodLog!$A:$A,$A50,FoodLog!$I:$I)=0,"",SUMIF(FoodLog!$A:$A,$A50,FoodLog!$I:$I)))</f>
        <v/>
      </c>
      <c r="V50">
        <f>IF($A50="","",IF(SUMIF(FoodLog!$A:$A,$A50,FoodLog!$F:$F)=0,"",SUMIF(FoodLog!$A:$A,$A50,FoodLog!$F:$F)))</f>
        <v/>
      </c>
      <c r="W50">
        <f>IF($A50="","",IF(SUMIF(FoodLog!$A:$A,$A50,FoodLog!$G:$G)=0,"",SUMIF(FoodLog!$A:$A,$A50,FoodLog!$G:$G)))</f>
        <v/>
      </c>
      <c r="X50">
        <f>IF($A50="","",IF(SUMIF(FoodLog!$A:$A,$A50,FoodLog!$H:$H)=0,"",SUMIF(FoodLog!$A:$A,$A50,FoodLog!$H:$H)))</f>
        <v/>
      </c>
      <c r="Y50">
        <f>IF($A50="","",IFERROR(ROUND(100*AVERAGE(IF($B50="","",XLOOKUP($B50,FILTER(Dictionaries!$B:$B,Dictionaries!$A:$A="Тренировка"),FILTER(Dictionaries!$C:$C,Dictionaries!$A:$A="Тренировка"))),IF($C50="","",MIN($C50/40,1)),IF($D50="","",XLOOKUP($D50,FILTER(Dictionaries!$B:$B,Dictionaries!$A:$A="Шаги"),FILTER(Dictionaries!$C:$C,Dictionaries!$A:$A="Шаги"))),IF($E50="","",MIN($E50/120,1)),IF(OR($F50&lt;&gt;"",$G50&lt;&gt;""),1,""),IF($H50="","",MIN($H50/100,1)),IF($L50="","",XLOOKUP($L50,FILTER(Dictionaries!$B:$B,Dictionaries!$A:$A="Сон_часы"),FILTER(Dictionaries!$C:$C,Dictionaries!$A:$A="Сон_часы"))),IF($M50="","",XLOOKUP($M50,FILTER(Dictionaries!$B:$B,Dictionaries!$A:$A="Режим"),FILTER(Dictionaries!$C:$C,Dictionaries!$A:$A="Режим"))),IF($N50="","",MIN($N50/100,1)),IF($O50="","",XLOOKUP($O50,FILTER(Dictionaries!$B:$B,Dictionaries!$A:$A="Настроение"),FILTER(Dictionaries!$C:$C,Dictionaries!$A:$A="Настроение"))),IF($P50="","",XLOOKUP($P50,FILTER(Dictionaries!$B:$B,Dictionaries!$A:$A="Энергия"),FILTER(Dictionaries!$C:$C,Dictionaries!$A:$A="Энергия"))),IF($U50="","",AVERAGE(IF(OR($B50="Ноги",$B50="Верх"),IFS(AND($U50&gt;=1900,$U50&lt;=2050),1,AND($U50&gt;=1850,$U50&lt;1900),0.7,AND($U50&gt;2050,$U50&lt;=2100),0.7,TRUE,0.2),IFS(AND($U50&gt;=1700,$U50&lt;=1850),1,AND($U50&gt;=1650,$U50&lt;1700),0.7,AND($U50&gt;1850,$U50&lt;=1900),0.7,TRUE,0.2)),IF(OR($B50="Ноги",$B50="Верх"),IFS(AND($V50&gt;=125,$V50&lt;=135),1,AND($V50&gt;=115,$V50&lt;125),0.7,AND($V50&gt;135,$V50&lt;=145),0.7,AND($V50&gt;=105,$V50&lt;115),0.4,AND($V50&gt;145,$V50&lt;=155),0.4,TRUE,0.2),IFS(AND($V50&gt;=120,$V50&lt;=130),1,AND($V50&gt;=110,$V50&lt;120),0.7,AND($V50&gt;130,$V50&lt;=140),0.7,AND($V50&gt;=100,$V50&lt;110),0.4,AND($V50&gt;140,$V50&lt;=150),0.4,TRUE,0.2)),IFS(AND($W50&gt;=55,$W50&lt;=65),1,AND($W50&gt;=50,$W50&lt;55),0.7,AND($W50&gt;65,$W50&lt;=70),0.7,AND($W50&gt;=45,$W50&lt;50),0.4,AND($W50&gt;70,$W50&lt;=75),0.4,TRUE,0.2),IF(OR($B50="Ноги",$B50="Верх"),IFS(AND($X50&gt;=180,$X50&lt;=210),1,AND($X50&gt;=160,$X50&lt;180),0.7,AND($X50&gt;210,$X50&lt;=230),0.7,AND($X50&gt;=140,$X50&lt;160),0.4,AND($X50&gt;230,$X50&lt;=250),0.4,TRUE,0.2),IFS(AND($X50&gt;=140,$X50&lt;=170),1,AND($X50&gt;=120,$X50&lt;140),0.7,AND($X50&gt;170,$X50&lt;=190),0.7,AND($X50&gt;=100,$X50&lt;120),0.4,AND($X50&gt;190,$X50&lt;=210),0.4,TRUE,0.2))))),1),""))</f>
        <v/>
      </c>
      <c r="Z50">
        <f>IF($A50="","",TEXTJOIN(", ",TRUE,IF($B50="","Тренировка",""),IF($C50="","Кардио",""),IF($D50="","Шаги",""),IF($E50="","Английский",""),IF($F50="","Код-режим",""),IF($G50="","Код-тема",""),IF($H50="","Чтение",""),IF($L50="","Сон",""),IF($M50="","Режим",""),IF($N50="","Продуктивность",""),IF($O50="","Настроение",""),IF($P50="","Энергия",""),IF($U50="","Еда","")))</f>
        <v/>
      </c>
    </row>
    <row r="51">
      <c r="A51" s="2" t="inlineStr"/>
      <c r="J51">
        <f>IF(A51="","",SUMIF(FoodLog!$A:$A,A51,FoodLog!$I:$I))</f>
        <v/>
      </c>
      <c r="K51">
        <f>IF(A51="","",SUMIF(FoodLog!$A:$A,A51,FoodLog!$F:$F))</f>
        <v/>
      </c>
      <c r="L51">
        <f>IF(A51="","",SUMIF(FoodLog!$A:$A,A51,FoodLog!$G:$G))</f>
        <v/>
      </c>
      <c r="M51">
        <f>IF(A51="","",SUMIF(FoodLog!$A:$A,A51,FoodLog!$H:$H))</f>
        <v/>
      </c>
      <c r="N51">
        <f>LET(train,B51,cardio,C51,steps,D51,sleep,E51,reg,F51,prod,I51,kcal,J51,p,K51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1">
        <f>TEXTJOIN(", ",TRUE,IF(B51="","тренировка",""),IF(D51="","шаги",""),IF(E51="","сон",""),IF(F51="","режим",""),IF(G51="","настроение",""),IF(H51="","энергия",""),IF(I51="","продуктивность",""),IF(J51="","еда (ккал)",""))</f>
        <v/>
      </c>
      <c r="U51">
        <f>IF($A51="","",IF(SUMIF(FoodLog!$A:$A,$A51,FoodLog!$I:$I)=0,"",SUMIF(FoodLog!$A:$A,$A51,FoodLog!$I:$I)))</f>
        <v/>
      </c>
      <c r="V51">
        <f>IF($A51="","",IF(SUMIF(FoodLog!$A:$A,$A51,FoodLog!$F:$F)=0,"",SUMIF(FoodLog!$A:$A,$A51,FoodLog!$F:$F)))</f>
        <v/>
      </c>
      <c r="W51">
        <f>IF($A51="","",IF(SUMIF(FoodLog!$A:$A,$A51,FoodLog!$G:$G)=0,"",SUMIF(FoodLog!$A:$A,$A51,FoodLog!$G:$G)))</f>
        <v/>
      </c>
      <c r="X51">
        <f>IF($A51="","",IF(SUMIF(FoodLog!$A:$A,$A51,FoodLog!$H:$H)=0,"",SUMIF(FoodLog!$A:$A,$A51,FoodLog!$H:$H)))</f>
        <v/>
      </c>
      <c r="Y51">
        <f>IF($A51="","",IFERROR(ROUND(100*AVERAGE(IF($B51="","",XLOOKUP($B51,FILTER(Dictionaries!$B:$B,Dictionaries!$A:$A="Тренировка"),FILTER(Dictionaries!$C:$C,Dictionaries!$A:$A="Тренировка"))),IF($C51="","",MIN($C51/40,1)),IF($D51="","",XLOOKUP($D51,FILTER(Dictionaries!$B:$B,Dictionaries!$A:$A="Шаги"),FILTER(Dictionaries!$C:$C,Dictionaries!$A:$A="Шаги"))),IF($E51="","",MIN($E51/120,1)),IF(OR($F51&lt;&gt;"",$G51&lt;&gt;""),1,""),IF($H51="","",MIN($H51/100,1)),IF($L51="","",XLOOKUP($L51,FILTER(Dictionaries!$B:$B,Dictionaries!$A:$A="Сон_часы"),FILTER(Dictionaries!$C:$C,Dictionaries!$A:$A="Сон_часы"))),IF($M51="","",XLOOKUP($M51,FILTER(Dictionaries!$B:$B,Dictionaries!$A:$A="Режим"),FILTER(Dictionaries!$C:$C,Dictionaries!$A:$A="Режим"))),IF($N51="","",MIN($N51/100,1)),IF($O51="","",XLOOKUP($O51,FILTER(Dictionaries!$B:$B,Dictionaries!$A:$A="Настроение"),FILTER(Dictionaries!$C:$C,Dictionaries!$A:$A="Настроение"))),IF($P51="","",XLOOKUP($P51,FILTER(Dictionaries!$B:$B,Dictionaries!$A:$A="Энергия"),FILTER(Dictionaries!$C:$C,Dictionaries!$A:$A="Энергия"))),IF($U51="","",AVERAGE(IF(OR($B51="Ноги",$B51="Верх"),IFS(AND($U51&gt;=1900,$U51&lt;=2050),1,AND($U51&gt;=1850,$U51&lt;1900),0.7,AND($U51&gt;2050,$U51&lt;=2100),0.7,TRUE,0.2),IFS(AND($U51&gt;=1700,$U51&lt;=1850),1,AND($U51&gt;=1650,$U51&lt;1700),0.7,AND($U51&gt;1850,$U51&lt;=1900),0.7,TRUE,0.2)),IF(OR($B51="Ноги",$B51="Верх"),IFS(AND($V51&gt;=125,$V51&lt;=135),1,AND($V51&gt;=115,$V51&lt;125),0.7,AND($V51&gt;135,$V51&lt;=145),0.7,AND($V51&gt;=105,$V51&lt;115),0.4,AND($V51&gt;145,$V51&lt;=155),0.4,TRUE,0.2),IFS(AND($V51&gt;=120,$V51&lt;=130),1,AND($V51&gt;=110,$V51&lt;120),0.7,AND($V51&gt;130,$V51&lt;=140),0.7,AND($V51&gt;=100,$V51&lt;110),0.4,AND($V51&gt;140,$V51&lt;=150),0.4,TRUE,0.2)),IFS(AND($W51&gt;=55,$W51&lt;=65),1,AND($W51&gt;=50,$W51&lt;55),0.7,AND($W51&gt;65,$W51&lt;=70),0.7,AND($W51&gt;=45,$W51&lt;50),0.4,AND($W51&gt;70,$W51&lt;=75),0.4,TRUE,0.2),IF(OR($B51="Ноги",$B51="Верх"),IFS(AND($X51&gt;=180,$X51&lt;=210),1,AND($X51&gt;=160,$X51&lt;180),0.7,AND($X51&gt;210,$X51&lt;=230),0.7,AND($X51&gt;=140,$X51&lt;160),0.4,AND($X51&gt;230,$X51&lt;=250),0.4,TRUE,0.2),IFS(AND($X51&gt;=140,$X51&lt;=170),1,AND($X51&gt;=120,$X51&lt;140),0.7,AND($X51&gt;170,$X51&lt;=190),0.7,AND($X51&gt;=100,$X51&lt;120),0.4,AND($X51&gt;190,$X51&lt;=210),0.4,TRUE,0.2))))),1),""))</f>
        <v/>
      </c>
      <c r="Z51">
        <f>IF($A51="","",TEXTJOIN(", ",TRUE,IF($B51="","Тренировка",""),IF($C51="","Кардио",""),IF($D51="","Шаги",""),IF($E51="","Английский",""),IF($F51="","Код-режим",""),IF($G51="","Код-тема",""),IF($H51="","Чтение",""),IF($L51="","Сон",""),IF($M51="","Режим",""),IF($N51="","Продуктивность",""),IF($O51="","Настроение",""),IF($P51="","Энергия",""),IF($U51="","Еда","")))</f>
        <v/>
      </c>
    </row>
    <row r="52">
      <c r="A52" s="2" t="inlineStr"/>
      <c r="J52">
        <f>IF(A52="","",SUMIF(FoodLog!$A:$A,A52,FoodLog!$I:$I))</f>
        <v/>
      </c>
      <c r="K52">
        <f>IF(A52="","",SUMIF(FoodLog!$A:$A,A52,FoodLog!$F:$F))</f>
        <v/>
      </c>
      <c r="L52">
        <f>IF(A52="","",SUMIF(FoodLog!$A:$A,A52,FoodLog!$G:$G))</f>
        <v/>
      </c>
      <c r="M52">
        <f>IF(A52="","",SUMIF(FoodLog!$A:$A,A52,FoodLog!$H:$H))</f>
        <v/>
      </c>
      <c r="N52">
        <f>LET(train,B52,cardio,C52,steps,D52,sleep,E52,reg,F52,prod,I52,kcal,J52,p,K52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2">
        <f>TEXTJOIN(", ",TRUE,IF(B52="","тренировка",""),IF(D52="","шаги",""),IF(E52="","сон",""),IF(F52="","режим",""),IF(G52="","настроение",""),IF(H52="","энергия",""),IF(I52="","продуктивность",""),IF(J52="","еда (ккал)",""))</f>
        <v/>
      </c>
      <c r="U52">
        <f>IF($A52="","",IF(SUMIF(FoodLog!$A:$A,$A52,FoodLog!$I:$I)=0,"",SUMIF(FoodLog!$A:$A,$A52,FoodLog!$I:$I)))</f>
        <v/>
      </c>
      <c r="V52">
        <f>IF($A52="","",IF(SUMIF(FoodLog!$A:$A,$A52,FoodLog!$F:$F)=0,"",SUMIF(FoodLog!$A:$A,$A52,FoodLog!$F:$F)))</f>
        <v/>
      </c>
      <c r="W52">
        <f>IF($A52="","",IF(SUMIF(FoodLog!$A:$A,$A52,FoodLog!$G:$G)=0,"",SUMIF(FoodLog!$A:$A,$A52,FoodLog!$G:$G)))</f>
        <v/>
      </c>
      <c r="X52">
        <f>IF($A52="","",IF(SUMIF(FoodLog!$A:$A,$A52,FoodLog!$H:$H)=0,"",SUMIF(FoodLog!$A:$A,$A52,FoodLog!$H:$H)))</f>
        <v/>
      </c>
      <c r="Y52">
        <f>IF($A52="","",IFERROR(ROUND(100*AVERAGE(IF($B52="","",XLOOKUP($B52,FILTER(Dictionaries!$B:$B,Dictionaries!$A:$A="Тренировка"),FILTER(Dictionaries!$C:$C,Dictionaries!$A:$A="Тренировка"))),IF($C52="","",MIN($C52/40,1)),IF($D52="","",XLOOKUP($D52,FILTER(Dictionaries!$B:$B,Dictionaries!$A:$A="Шаги"),FILTER(Dictionaries!$C:$C,Dictionaries!$A:$A="Шаги"))),IF($E52="","",MIN($E52/120,1)),IF(OR($F52&lt;&gt;"",$G52&lt;&gt;""),1,""),IF($H52="","",MIN($H52/100,1)),IF($L52="","",XLOOKUP($L52,FILTER(Dictionaries!$B:$B,Dictionaries!$A:$A="Сон_часы"),FILTER(Dictionaries!$C:$C,Dictionaries!$A:$A="Сон_часы"))),IF($M52="","",XLOOKUP($M52,FILTER(Dictionaries!$B:$B,Dictionaries!$A:$A="Режим"),FILTER(Dictionaries!$C:$C,Dictionaries!$A:$A="Режим"))),IF($N52="","",MIN($N52/100,1)),IF($O52="","",XLOOKUP($O52,FILTER(Dictionaries!$B:$B,Dictionaries!$A:$A="Настроение"),FILTER(Dictionaries!$C:$C,Dictionaries!$A:$A="Настроение"))),IF($P52="","",XLOOKUP($P52,FILTER(Dictionaries!$B:$B,Dictionaries!$A:$A="Энергия"),FILTER(Dictionaries!$C:$C,Dictionaries!$A:$A="Энергия"))),IF($U52="","",AVERAGE(IF(OR($B52="Ноги",$B52="Верх"),IFS(AND($U52&gt;=1900,$U52&lt;=2050),1,AND($U52&gt;=1850,$U52&lt;1900),0.7,AND($U52&gt;2050,$U52&lt;=2100),0.7,TRUE,0.2),IFS(AND($U52&gt;=1700,$U52&lt;=1850),1,AND($U52&gt;=1650,$U52&lt;1700),0.7,AND($U52&gt;1850,$U52&lt;=1900),0.7,TRUE,0.2)),IF(OR($B52="Ноги",$B52="Верх"),IFS(AND($V52&gt;=125,$V52&lt;=135),1,AND($V52&gt;=115,$V52&lt;125),0.7,AND($V52&gt;135,$V52&lt;=145),0.7,AND($V52&gt;=105,$V52&lt;115),0.4,AND($V52&gt;145,$V52&lt;=155),0.4,TRUE,0.2),IFS(AND($V52&gt;=120,$V52&lt;=130),1,AND($V52&gt;=110,$V52&lt;120),0.7,AND($V52&gt;130,$V52&lt;=140),0.7,AND($V52&gt;=100,$V52&lt;110),0.4,AND($V52&gt;140,$V52&lt;=150),0.4,TRUE,0.2)),IFS(AND($W52&gt;=55,$W52&lt;=65),1,AND($W52&gt;=50,$W52&lt;55),0.7,AND($W52&gt;65,$W52&lt;=70),0.7,AND($W52&gt;=45,$W52&lt;50),0.4,AND($W52&gt;70,$W52&lt;=75),0.4,TRUE,0.2),IF(OR($B52="Ноги",$B52="Верх"),IFS(AND($X52&gt;=180,$X52&lt;=210),1,AND($X52&gt;=160,$X52&lt;180),0.7,AND($X52&gt;210,$X52&lt;=230),0.7,AND($X52&gt;=140,$X52&lt;160),0.4,AND($X52&gt;230,$X52&lt;=250),0.4,TRUE,0.2),IFS(AND($X52&gt;=140,$X52&lt;=170),1,AND($X52&gt;=120,$X52&lt;140),0.7,AND($X52&gt;170,$X52&lt;=190),0.7,AND($X52&gt;=100,$X52&lt;120),0.4,AND($X52&gt;190,$X52&lt;=210),0.4,TRUE,0.2))))),1),""))</f>
        <v/>
      </c>
      <c r="Z52">
        <f>IF($A52="","",TEXTJOIN(", ",TRUE,IF($B52="","Тренировка",""),IF($C52="","Кардио",""),IF($D52="","Шаги",""),IF($E52="","Английский",""),IF($F52="","Код-режим",""),IF($G52="","Код-тема",""),IF($H52="","Чтение",""),IF($L52="","Сон",""),IF($M52="","Режим",""),IF($N52="","Продуктивность",""),IF($O52="","Настроение",""),IF($P52="","Энергия",""),IF($U52="","Еда","")))</f>
        <v/>
      </c>
    </row>
    <row r="53">
      <c r="A53" s="2" t="inlineStr"/>
      <c r="J53">
        <f>IF(A53="","",SUMIF(FoodLog!$A:$A,A53,FoodLog!$I:$I))</f>
        <v/>
      </c>
      <c r="K53">
        <f>IF(A53="","",SUMIF(FoodLog!$A:$A,A53,FoodLog!$F:$F))</f>
        <v/>
      </c>
      <c r="L53">
        <f>IF(A53="","",SUMIF(FoodLog!$A:$A,A53,FoodLog!$G:$G))</f>
        <v/>
      </c>
      <c r="M53">
        <f>IF(A53="","",SUMIF(FoodLog!$A:$A,A53,FoodLog!$H:$H))</f>
        <v/>
      </c>
      <c r="N53">
        <f>LET(train,B53,cardio,C53,steps,D53,sleep,E53,reg,F53,prod,I53,kcal,J53,p,K53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3">
        <f>TEXTJOIN(", ",TRUE,IF(B53="","тренировка",""),IF(D53="","шаги",""),IF(E53="","сон",""),IF(F53="","режим",""),IF(G53="","настроение",""),IF(H53="","энергия",""),IF(I53="","продуктивность",""),IF(J53="","еда (ккал)",""))</f>
        <v/>
      </c>
      <c r="U53">
        <f>IF($A53="","",IF(SUMIF(FoodLog!$A:$A,$A53,FoodLog!$I:$I)=0,"",SUMIF(FoodLog!$A:$A,$A53,FoodLog!$I:$I)))</f>
        <v/>
      </c>
      <c r="V53">
        <f>IF($A53="","",IF(SUMIF(FoodLog!$A:$A,$A53,FoodLog!$F:$F)=0,"",SUMIF(FoodLog!$A:$A,$A53,FoodLog!$F:$F)))</f>
        <v/>
      </c>
      <c r="W53">
        <f>IF($A53="","",IF(SUMIF(FoodLog!$A:$A,$A53,FoodLog!$G:$G)=0,"",SUMIF(FoodLog!$A:$A,$A53,FoodLog!$G:$G)))</f>
        <v/>
      </c>
      <c r="X53">
        <f>IF($A53="","",IF(SUMIF(FoodLog!$A:$A,$A53,FoodLog!$H:$H)=0,"",SUMIF(FoodLog!$A:$A,$A53,FoodLog!$H:$H)))</f>
        <v/>
      </c>
      <c r="Y53">
        <f>IF($A53="","",IFERROR(ROUND(100*AVERAGE(IF($B53="","",XLOOKUP($B53,FILTER(Dictionaries!$B:$B,Dictionaries!$A:$A="Тренировка"),FILTER(Dictionaries!$C:$C,Dictionaries!$A:$A="Тренировка"))),IF($C53="","",MIN($C53/40,1)),IF($D53="","",XLOOKUP($D53,FILTER(Dictionaries!$B:$B,Dictionaries!$A:$A="Шаги"),FILTER(Dictionaries!$C:$C,Dictionaries!$A:$A="Шаги"))),IF($E53="","",MIN($E53/120,1)),IF(OR($F53&lt;&gt;"",$G53&lt;&gt;""),1,""),IF($H53="","",MIN($H53/100,1)),IF($L53="","",XLOOKUP($L53,FILTER(Dictionaries!$B:$B,Dictionaries!$A:$A="Сон_часы"),FILTER(Dictionaries!$C:$C,Dictionaries!$A:$A="Сон_часы"))),IF($M53="","",XLOOKUP($M53,FILTER(Dictionaries!$B:$B,Dictionaries!$A:$A="Режим"),FILTER(Dictionaries!$C:$C,Dictionaries!$A:$A="Режим"))),IF($N53="","",MIN($N53/100,1)),IF($O53="","",XLOOKUP($O53,FILTER(Dictionaries!$B:$B,Dictionaries!$A:$A="Настроение"),FILTER(Dictionaries!$C:$C,Dictionaries!$A:$A="Настроение"))),IF($P53="","",XLOOKUP($P53,FILTER(Dictionaries!$B:$B,Dictionaries!$A:$A="Энергия"),FILTER(Dictionaries!$C:$C,Dictionaries!$A:$A="Энергия"))),IF($U53="","",AVERAGE(IF(OR($B53="Ноги",$B53="Верх"),IFS(AND($U53&gt;=1900,$U53&lt;=2050),1,AND($U53&gt;=1850,$U53&lt;1900),0.7,AND($U53&gt;2050,$U53&lt;=2100),0.7,TRUE,0.2),IFS(AND($U53&gt;=1700,$U53&lt;=1850),1,AND($U53&gt;=1650,$U53&lt;1700),0.7,AND($U53&gt;1850,$U53&lt;=1900),0.7,TRUE,0.2)),IF(OR($B53="Ноги",$B53="Верх"),IFS(AND($V53&gt;=125,$V53&lt;=135),1,AND($V53&gt;=115,$V53&lt;125),0.7,AND($V53&gt;135,$V53&lt;=145),0.7,AND($V53&gt;=105,$V53&lt;115),0.4,AND($V53&gt;145,$V53&lt;=155),0.4,TRUE,0.2),IFS(AND($V53&gt;=120,$V53&lt;=130),1,AND($V53&gt;=110,$V53&lt;120),0.7,AND($V53&gt;130,$V53&lt;=140),0.7,AND($V53&gt;=100,$V53&lt;110),0.4,AND($V53&gt;140,$V53&lt;=150),0.4,TRUE,0.2)),IFS(AND($W53&gt;=55,$W53&lt;=65),1,AND($W53&gt;=50,$W53&lt;55),0.7,AND($W53&gt;65,$W53&lt;=70),0.7,AND($W53&gt;=45,$W53&lt;50),0.4,AND($W53&gt;70,$W53&lt;=75),0.4,TRUE,0.2),IF(OR($B53="Ноги",$B53="Верх"),IFS(AND($X53&gt;=180,$X53&lt;=210),1,AND($X53&gt;=160,$X53&lt;180),0.7,AND($X53&gt;210,$X53&lt;=230),0.7,AND($X53&gt;=140,$X53&lt;160),0.4,AND($X53&gt;230,$X53&lt;=250),0.4,TRUE,0.2),IFS(AND($X53&gt;=140,$X53&lt;=170),1,AND($X53&gt;=120,$X53&lt;140),0.7,AND($X53&gt;170,$X53&lt;=190),0.7,AND($X53&gt;=100,$X53&lt;120),0.4,AND($X53&gt;190,$X53&lt;=210),0.4,TRUE,0.2))))),1),""))</f>
        <v/>
      </c>
      <c r="Z53">
        <f>IF($A53="","",TEXTJOIN(", ",TRUE,IF($B53="","Тренировка",""),IF($C53="","Кардио",""),IF($D53="","Шаги",""),IF($E53="","Английский",""),IF($F53="","Код-режим",""),IF($G53="","Код-тема",""),IF($H53="","Чтение",""),IF($L53="","Сон",""),IF($M53="","Режим",""),IF($N53="","Продуктивность",""),IF($O53="","Настроение",""),IF($P53="","Энергия",""),IF($U53="","Еда","")))</f>
        <v/>
      </c>
    </row>
    <row r="54">
      <c r="A54" s="2" t="inlineStr"/>
      <c r="J54">
        <f>IF(A54="","",SUMIF(FoodLog!$A:$A,A54,FoodLog!$I:$I))</f>
        <v/>
      </c>
      <c r="K54">
        <f>IF(A54="","",SUMIF(FoodLog!$A:$A,A54,FoodLog!$F:$F))</f>
        <v/>
      </c>
      <c r="L54">
        <f>IF(A54="","",SUMIF(FoodLog!$A:$A,A54,FoodLog!$G:$G))</f>
        <v/>
      </c>
      <c r="M54">
        <f>IF(A54="","",SUMIF(FoodLog!$A:$A,A54,FoodLog!$H:$H))</f>
        <v/>
      </c>
      <c r="N54">
        <f>LET(train,B54,cardio,C54,steps,D54,sleep,E54,reg,F54,prod,I54,kcal,J54,p,K54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4">
        <f>TEXTJOIN(", ",TRUE,IF(B54="","тренировка",""),IF(D54="","шаги",""),IF(E54="","сон",""),IF(F54="","режим",""),IF(G54="","настроение",""),IF(H54="","энергия",""),IF(I54="","продуктивность",""),IF(J54="","еда (ккал)",""))</f>
        <v/>
      </c>
      <c r="U54">
        <f>IF($A54="","",IF(SUMIF(FoodLog!$A:$A,$A54,FoodLog!$I:$I)=0,"",SUMIF(FoodLog!$A:$A,$A54,FoodLog!$I:$I)))</f>
        <v/>
      </c>
      <c r="V54">
        <f>IF($A54="","",IF(SUMIF(FoodLog!$A:$A,$A54,FoodLog!$F:$F)=0,"",SUMIF(FoodLog!$A:$A,$A54,FoodLog!$F:$F)))</f>
        <v/>
      </c>
      <c r="W54">
        <f>IF($A54="","",IF(SUMIF(FoodLog!$A:$A,$A54,FoodLog!$G:$G)=0,"",SUMIF(FoodLog!$A:$A,$A54,FoodLog!$G:$G)))</f>
        <v/>
      </c>
      <c r="X54">
        <f>IF($A54="","",IF(SUMIF(FoodLog!$A:$A,$A54,FoodLog!$H:$H)=0,"",SUMIF(FoodLog!$A:$A,$A54,FoodLog!$H:$H)))</f>
        <v/>
      </c>
      <c r="Y54">
        <f>IF($A54="","",IFERROR(ROUND(100*AVERAGE(IF($B54="","",XLOOKUP($B54,FILTER(Dictionaries!$B:$B,Dictionaries!$A:$A="Тренировка"),FILTER(Dictionaries!$C:$C,Dictionaries!$A:$A="Тренировка"))),IF($C54="","",MIN($C54/40,1)),IF($D54="","",XLOOKUP($D54,FILTER(Dictionaries!$B:$B,Dictionaries!$A:$A="Шаги"),FILTER(Dictionaries!$C:$C,Dictionaries!$A:$A="Шаги"))),IF($E54="","",MIN($E54/120,1)),IF(OR($F54&lt;&gt;"",$G54&lt;&gt;""),1,""),IF($H54="","",MIN($H54/100,1)),IF($L54="","",XLOOKUP($L54,FILTER(Dictionaries!$B:$B,Dictionaries!$A:$A="Сон_часы"),FILTER(Dictionaries!$C:$C,Dictionaries!$A:$A="Сон_часы"))),IF($M54="","",XLOOKUP($M54,FILTER(Dictionaries!$B:$B,Dictionaries!$A:$A="Режим"),FILTER(Dictionaries!$C:$C,Dictionaries!$A:$A="Режим"))),IF($N54="","",MIN($N54/100,1)),IF($O54="","",XLOOKUP($O54,FILTER(Dictionaries!$B:$B,Dictionaries!$A:$A="Настроение"),FILTER(Dictionaries!$C:$C,Dictionaries!$A:$A="Настроение"))),IF($P54="","",XLOOKUP($P54,FILTER(Dictionaries!$B:$B,Dictionaries!$A:$A="Энергия"),FILTER(Dictionaries!$C:$C,Dictionaries!$A:$A="Энергия"))),IF($U54="","",AVERAGE(IF(OR($B54="Ноги",$B54="Верх"),IFS(AND($U54&gt;=1900,$U54&lt;=2050),1,AND($U54&gt;=1850,$U54&lt;1900),0.7,AND($U54&gt;2050,$U54&lt;=2100),0.7,TRUE,0.2),IFS(AND($U54&gt;=1700,$U54&lt;=1850),1,AND($U54&gt;=1650,$U54&lt;1700),0.7,AND($U54&gt;1850,$U54&lt;=1900),0.7,TRUE,0.2)),IF(OR($B54="Ноги",$B54="Верх"),IFS(AND($V54&gt;=125,$V54&lt;=135),1,AND($V54&gt;=115,$V54&lt;125),0.7,AND($V54&gt;135,$V54&lt;=145),0.7,AND($V54&gt;=105,$V54&lt;115),0.4,AND($V54&gt;145,$V54&lt;=155),0.4,TRUE,0.2),IFS(AND($V54&gt;=120,$V54&lt;=130),1,AND($V54&gt;=110,$V54&lt;120),0.7,AND($V54&gt;130,$V54&lt;=140),0.7,AND($V54&gt;=100,$V54&lt;110),0.4,AND($V54&gt;140,$V54&lt;=150),0.4,TRUE,0.2)),IFS(AND($W54&gt;=55,$W54&lt;=65),1,AND($W54&gt;=50,$W54&lt;55),0.7,AND($W54&gt;65,$W54&lt;=70),0.7,AND($W54&gt;=45,$W54&lt;50),0.4,AND($W54&gt;70,$W54&lt;=75),0.4,TRUE,0.2),IF(OR($B54="Ноги",$B54="Верх"),IFS(AND($X54&gt;=180,$X54&lt;=210),1,AND($X54&gt;=160,$X54&lt;180),0.7,AND($X54&gt;210,$X54&lt;=230),0.7,AND($X54&gt;=140,$X54&lt;160),0.4,AND($X54&gt;230,$X54&lt;=250),0.4,TRUE,0.2),IFS(AND($X54&gt;=140,$X54&lt;=170),1,AND($X54&gt;=120,$X54&lt;140),0.7,AND($X54&gt;170,$X54&lt;=190),0.7,AND($X54&gt;=100,$X54&lt;120),0.4,AND($X54&gt;190,$X54&lt;=210),0.4,TRUE,0.2))))),1),""))</f>
        <v/>
      </c>
      <c r="Z54">
        <f>IF($A54="","",TEXTJOIN(", ",TRUE,IF($B54="","Тренировка",""),IF($C54="","Кардио",""),IF($D54="","Шаги",""),IF($E54="","Английский",""),IF($F54="","Код-режим",""),IF($G54="","Код-тема",""),IF($H54="","Чтение",""),IF($L54="","Сон",""),IF($M54="","Режим",""),IF($N54="","Продуктивность",""),IF($O54="","Настроение",""),IF($P54="","Энергия",""),IF($U54="","Еда","")))</f>
        <v/>
      </c>
    </row>
    <row r="55">
      <c r="A55" s="2" t="inlineStr"/>
      <c r="J55">
        <f>IF(A55="","",SUMIF(FoodLog!$A:$A,A55,FoodLog!$I:$I))</f>
        <v/>
      </c>
      <c r="K55">
        <f>IF(A55="","",SUMIF(FoodLog!$A:$A,A55,FoodLog!$F:$F))</f>
        <v/>
      </c>
      <c r="L55">
        <f>IF(A55="","",SUMIF(FoodLog!$A:$A,A55,FoodLog!$G:$G))</f>
        <v/>
      </c>
      <c r="M55">
        <f>IF(A55="","",SUMIF(FoodLog!$A:$A,A55,FoodLog!$H:$H))</f>
        <v/>
      </c>
      <c r="N55">
        <f>LET(train,B55,cardio,C55,steps,D55,sleep,E55,reg,F55,prod,I55,kcal,J55,p,K55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5">
        <f>TEXTJOIN(", ",TRUE,IF(B55="","тренировка",""),IF(D55="","шаги",""),IF(E55="","сон",""),IF(F55="","режим",""),IF(G55="","настроение",""),IF(H55="","энергия",""),IF(I55="","продуктивность",""),IF(J55="","еда (ккал)",""))</f>
        <v/>
      </c>
      <c r="U55">
        <f>IF($A55="","",IF(SUMIF(FoodLog!$A:$A,$A55,FoodLog!$I:$I)=0,"",SUMIF(FoodLog!$A:$A,$A55,FoodLog!$I:$I)))</f>
        <v/>
      </c>
      <c r="V55">
        <f>IF($A55="","",IF(SUMIF(FoodLog!$A:$A,$A55,FoodLog!$F:$F)=0,"",SUMIF(FoodLog!$A:$A,$A55,FoodLog!$F:$F)))</f>
        <v/>
      </c>
      <c r="W55">
        <f>IF($A55="","",IF(SUMIF(FoodLog!$A:$A,$A55,FoodLog!$G:$G)=0,"",SUMIF(FoodLog!$A:$A,$A55,FoodLog!$G:$G)))</f>
        <v/>
      </c>
      <c r="X55">
        <f>IF($A55="","",IF(SUMIF(FoodLog!$A:$A,$A55,FoodLog!$H:$H)=0,"",SUMIF(FoodLog!$A:$A,$A55,FoodLog!$H:$H)))</f>
        <v/>
      </c>
      <c r="Y55">
        <f>IF($A55="","",IFERROR(ROUND(100*AVERAGE(IF($B55="","",XLOOKUP($B55,FILTER(Dictionaries!$B:$B,Dictionaries!$A:$A="Тренировка"),FILTER(Dictionaries!$C:$C,Dictionaries!$A:$A="Тренировка"))),IF($C55="","",MIN($C55/40,1)),IF($D55="","",XLOOKUP($D55,FILTER(Dictionaries!$B:$B,Dictionaries!$A:$A="Шаги"),FILTER(Dictionaries!$C:$C,Dictionaries!$A:$A="Шаги"))),IF($E55="","",MIN($E55/120,1)),IF(OR($F55&lt;&gt;"",$G55&lt;&gt;""),1,""),IF($H55="","",MIN($H55/100,1)),IF($L55="","",XLOOKUP($L55,FILTER(Dictionaries!$B:$B,Dictionaries!$A:$A="Сон_часы"),FILTER(Dictionaries!$C:$C,Dictionaries!$A:$A="Сон_часы"))),IF($M55="","",XLOOKUP($M55,FILTER(Dictionaries!$B:$B,Dictionaries!$A:$A="Режим"),FILTER(Dictionaries!$C:$C,Dictionaries!$A:$A="Режим"))),IF($N55="","",MIN($N55/100,1)),IF($O55="","",XLOOKUP($O55,FILTER(Dictionaries!$B:$B,Dictionaries!$A:$A="Настроение"),FILTER(Dictionaries!$C:$C,Dictionaries!$A:$A="Настроение"))),IF($P55="","",XLOOKUP($P55,FILTER(Dictionaries!$B:$B,Dictionaries!$A:$A="Энергия"),FILTER(Dictionaries!$C:$C,Dictionaries!$A:$A="Энергия"))),IF($U55="","",AVERAGE(IF(OR($B55="Ноги",$B55="Верх"),IFS(AND($U55&gt;=1900,$U55&lt;=2050),1,AND($U55&gt;=1850,$U55&lt;1900),0.7,AND($U55&gt;2050,$U55&lt;=2100),0.7,TRUE,0.2),IFS(AND($U55&gt;=1700,$U55&lt;=1850),1,AND($U55&gt;=1650,$U55&lt;1700),0.7,AND($U55&gt;1850,$U55&lt;=1900),0.7,TRUE,0.2)),IF(OR($B55="Ноги",$B55="Верх"),IFS(AND($V55&gt;=125,$V55&lt;=135),1,AND($V55&gt;=115,$V55&lt;125),0.7,AND($V55&gt;135,$V55&lt;=145),0.7,AND($V55&gt;=105,$V55&lt;115),0.4,AND($V55&gt;145,$V55&lt;=155),0.4,TRUE,0.2),IFS(AND($V55&gt;=120,$V55&lt;=130),1,AND($V55&gt;=110,$V55&lt;120),0.7,AND($V55&gt;130,$V55&lt;=140),0.7,AND($V55&gt;=100,$V55&lt;110),0.4,AND($V55&gt;140,$V55&lt;=150),0.4,TRUE,0.2)),IFS(AND($W55&gt;=55,$W55&lt;=65),1,AND($W55&gt;=50,$W55&lt;55),0.7,AND($W55&gt;65,$W55&lt;=70),0.7,AND($W55&gt;=45,$W55&lt;50),0.4,AND($W55&gt;70,$W55&lt;=75),0.4,TRUE,0.2),IF(OR($B55="Ноги",$B55="Верх"),IFS(AND($X55&gt;=180,$X55&lt;=210),1,AND($X55&gt;=160,$X55&lt;180),0.7,AND($X55&gt;210,$X55&lt;=230),0.7,AND($X55&gt;=140,$X55&lt;160),0.4,AND($X55&gt;230,$X55&lt;=250),0.4,TRUE,0.2),IFS(AND($X55&gt;=140,$X55&lt;=170),1,AND($X55&gt;=120,$X55&lt;140),0.7,AND($X55&gt;170,$X55&lt;=190),0.7,AND($X55&gt;=100,$X55&lt;120),0.4,AND($X55&gt;190,$X55&lt;=210),0.4,TRUE,0.2))))),1),""))</f>
        <v/>
      </c>
      <c r="Z55">
        <f>IF($A55="","",TEXTJOIN(", ",TRUE,IF($B55="","Тренировка",""),IF($C55="","Кардио",""),IF($D55="","Шаги",""),IF($E55="","Английский",""),IF($F55="","Код-режим",""),IF($G55="","Код-тема",""),IF($H55="","Чтение",""),IF($L55="","Сон",""),IF($M55="","Режим",""),IF($N55="","Продуктивность",""),IF($O55="","Настроение",""),IF($P55="","Энергия",""),IF($U55="","Еда","")))</f>
        <v/>
      </c>
    </row>
    <row r="56">
      <c r="A56" s="2" t="inlineStr"/>
      <c r="J56">
        <f>IF(A56="","",SUMIF(FoodLog!$A:$A,A56,FoodLog!$I:$I))</f>
        <v/>
      </c>
      <c r="K56">
        <f>IF(A56="","",SUMIF(FoodLog!$A:$A,A56,FoodLog!$F:$F))</f>
        <v/>
      </c>
      <c r="L56">
        <f>IF(A56="","",SUMIF(FoodLog!$A:$A,A56,FoodLog!$G:$G))</f>
        <v/>
      </c>
      <c r="M56">
        <f>IF(A56="","",SUMIF(FoodLog!$A:$A,A56,FoodLog!$H:$H))</f>
        <v/>
      </c>
      <c r="N56">
        <f>LET(train,B56,cardio,C56,steps,D56,sleep,E56,reg,F56,prod,I56,kcal,J56,p,K56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6">
        <f>TEXTJOIN(", ",TRUE,IF(B56="","тренировка",""),IF(D56="","шаги",""),IF(E56="","сон",""),IF(F56="","режим",""),IF(G56="","настроение",""),IF(H56="","энергия",""),IF(I56="","продуктивность",""),IF(J56="","еда (ккал)",""))</f>
        <v/>
      </c>
      <c r="U56">
        <f>IF($A56="","",IF(SUMIF(FoodLog!$A:$A,$A56,FoodLog!$I:$I)=0,"",SUMIF(FoodLog!$A:$A,$A56,FoodLog!$I:$I)))</f>
        <v/>
      </c>
      <c r="V56">
        <f>IF($A56="","",IF(SUMIF(FoodLog!$A:$A,$A56,FoodLog!$F:$F)=0,"",SUMIF(FoodLog!$A:$A,$A56,FoodLog!$F:$F)))</f>
        <v/>
      </c>
      <c r="W56">
        <f>IF($A56="","",IF(SUMIF(FoodLog!$A:$A,$A56,FoodLog!$G:$G)=0,"",SUMIF(FoodLog!$A:$A,$A56,FoodLog!$G:$G)))</f>
        <v/>
      </c>
      <c r="X56">
        <f>IF($A56="","",IF(SUMIF(FoodLog!$A:$A,$A56,FoodLog!$H:$H)=0,"",SUMIF(FoodLog!$A:$A,$A56,FoodLog!$H:$H)))</f>
        <v/>
      </c>
      <c r="Y56">
        <f>IF($A56="","",IFERROR(ROUND(100*AVERAGE(IF($B56="","",XLOOKUP($B56,FILTER(Dictionaries!$B:$B,Dictionaries!$A:$A="Тренировка"),FILTER(Dictionaries!$C:$C,Dictionaries!$A:$A="Тренировка"))),IF($C56="","",MIN($C56/40,1)),IF($D56="","",XLOOKUP($D56,FILTER(Dictionaries!$B:$B,Dictionaries!$A:$A="Шаги"),FILTER(Dictionaries!$C:$C,Dictionaries!$A:$A="Шаги"))),IF($E56="","",MIN($E56/120,1)),IF(OR($F56&lt;&gt;"",$G56&lt;&gt;""),1,""),IF($H56="","",MIN($H56/100,1)),IF($L56="","",XLOOKUP($L56,FILTER(Dictionaries!$B:$B,Dictionaries!$A:$A="Сон_часы"),FILTER(Dictionaries!$C:$C,Dictionaries!$A:$A="Сон_часы"))),IF($M56="","",XLOOKUP($M56,FILTER(Dictionaries!$B:$B,Dictionaries!$A:$A="Режим"),FILTER(Dictionaries!$C:$C,Dictionaries!$A:$A="Режим"))),IF($N56="","",MIN($N56/100,1)),IF($O56="","",XLOOKUP($O56,FILTER(Dictionaries!$B:$B,Dictionaries!$A:$A="Настроение"),FILTER(Dictionaries!$C:$C,Dictionaries!$A:$A="Настроение"))),IF($P56="","",XLOOKUP($P56,FILTER(Dictionaries!$B:$B,Dictionaries!$A:$A="Энергия"),FILTER(Dictionaries!$C:$C,Dictionaries!$A:$A="Энергия"))),IF($U56="","",AVERAGE(IF(OR($B56="Ноги",$B56="Верх"),IFS(AND($U56&gt;=1900,$U56&lt;=2050),1,AND($U56&gt;=1850,$U56&lt;1900),0.7,AND($U56&gt;2050,$U56&lt;=2100),0.7,TRUE,0.2),IFS(AND($U56&gt;=1700,$U56&lt;=1850),1,AND($U56&gt;=1650,$U56&lt;1700),0.7,AND($U56&gt;1850,$U56&lt;=1900),0.7,TRUE,0.2)),IF(OR($B56="Ноги",$B56="Верх"),IFS(AND($V56&gt;=125,$V56&lt;=135),1,AND($V56&gt;=115,$V56&lt;125),0.7,AND($V56&gt;135,$V56&lt;=145),0.7,AND($V56&gt;=105,$V56&lt;115),0.4,AND($V56&gt;145,$V56&lt;=155),0.4,TRUE,0.2),IFS(AND($V56&gt;=120,$V56&lt;=130),1,AND($V56&gt;=110,$V56&lt;120),0.7,AND($V56&gt;130,$V56&lt;=140),0.7,AND($V56&gt;=100,$V56&lt;110),0.4,AND($V56&gt;140,$V56&lt;=150),0.4,TRUE,0.2)),IFS(AND($W56&gt;=55,$W56&lt;=65),1,AND($W56&gt;=50,$W56&lt;55),0.7,AND($W56&gt;65,$W56&lt;=70),0.7,AND($W56&gt;=45,$W56&lt;50),0.4,AND($W56&gt;70,$W56&lt;=75),0.4,TRUE,0.2),IF(OR($B56="Ноги",$B56="Верх"),IFS(AND($X56&gt;=180,$X56&lt;=210),1,AND($X56&gt;=160,$X56&lt;180),0.7,AND($X56&gt;210,$X56&lt;=230),0.7,AND($X56&gt;=140,$X56&lt;160),0.4,AND($X56&gt;230,$X56&lt;=250),0.4,TRUE,0.2),IFS(AND($X56&gt;=140,$X56&lt;=170),1,AND($X56&gt;=120,$X56&lt;140),0.7,AND($X56&gt;170,$X56&lt;=190),0.7,AND($X56&gt;=100,$X56&lt;120),0.4,AND($X56&gt;190,$X56&lt;=210),0.4,TRUE,0.2))))),1),""))</f>
        <v/>
      </c>
      <c r="Z56">
        <f>IF($A56="","",TEXTJOIN(", ",TRUE,IF($B56="","Тренировка",""),IF($C56="","Кардио",""),IF($D56="","Шаги",""),IF($E56="","Английский",""),IF($F56="","Код-режим",""),IF($G56="","Код-тема",""),IF($H56="","Чтение",""),IF($L56="","Сон",""),IF($M56="","Режим",""),IF($N56="","Продуктивность",""),IF($O56="","Настроение",""),IF($P56="","Энергия",""),IF($U56="","Еда","")))</f>
        <v/>
      </c>
    </row>
    <row r="57">
      <c r="A57" s="2" t="inlineStr"/>
      <c r="J57">
        <f>IF(A57="","",SUMIF(FoodLog!$A:$A,A57,FoodLog!$I:$I))</f>
        <v/>
      </c>
      <c r="K57">
        <f>IF(A57="","",SUMIF(FoodLog!$A:$A,A57,FoodLog!$F:$F))</f>
        <v/>
      </c>
      <c r="L57">
        <f>IF(A57="","",SUMIF(FoodLog!$A:$A,A57,FoodLog!$G:$G))</f>
        <v/>
      </c>
      <c r="M57">
        <f>IF(A57="","",SUMIF(FoodLog!$A:$A,A57,FoodLog!$H:$H))</f>
        <v/>
      </c>
      <c r="N57">
        <f>LET(train,B57,cardio,C57,steps,D57,sleep,E57,reg,F57,prod,I57,kcal,J57,p,K57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7">
        <f>TEXTJOIN(", ",TRUE,IF(B57="","тренировка",""),IF(D57="","шаги",""),IF(E57="","сон",""),IF(F57="","режим",""),IF(G57="","настроение",""),IF(H57="","энергия",""),IF(I57="","продуктивность",""),IF(J57="","еда (ккал)",""))</f>
        <v/>
      </c>
      <c r="U57">
        <f>IF($A57="","",IF(SUMIF(FoodLog!$A:$A,$A57,FoodLog!$I:$I)=0,"",SUMIF(FoodLog!$A:$A,$A57,FoodLog!$I:$I)))</f>
        <v/>
      </c>
      <c r="V57">
        <f>IF($A57="","",IF(SUMIF(FoodLog!$A:$A,$A57,FoodLog!$F:$F)=0,"",SUMIF(FoodLog!$A:$A,$A57,FoodLog!$F:$F)))</f>
        <v/>
      </c>
      <c r="W57">
        <f>IF($A57="","",IF(SUMIF(FoodLog!$A:$A,$A57,FoodLog!$G:$G)=0,"",SUMIF(FoodLog!$A:$A,$A57,FoodLog!$G:$G)))</f>
        <v/>
      </c>
      <c r="X57">
        <f>IF($A57="","",IF(SUMIF(FoodLog!$A:$A,$A57,FoodLog!$H:$H)=0,"",SUMIF(FoodLog!$A:$A,$A57,FoodLog!$H:$H)))</f>
        <v/>
      </c>
      <c r="Y57">
        <f>IF($A57="","",IFERROR(ROUND(100*AVERAGE(IF($B57="","",XLOOKUP($B57,FILTER(Dictionaries!$B:$B,Dictionaries!$A:$A="Тренировка"),FILTER(Dictionaries!$C:$C,Dictionaries!$A:$A="Тренировка"))),IF($C57="","",MIN($C57/40,1)),IF($D57="","",XLOOKUP($D57,FILTER(Dictionaries!$B:$B,Dictionaries!$A:$A="Шаги"),FILTER(Dictionaries!$C:$C,Dictionaries!$A:$A="Шаги"))),IF($E57="","",MIN($E57/120,1)),IF(OR($F57&lt;&gt;"",$G57&lt;&gt;""),1,""),IF($H57="","",MIN($H57/100,1)),IF($L57="","",XLOOKUP($L57,FILTER(Dictionaries!$B:$B,Dictionaries!$A:$A="Сон_часы"),FILTER(Dictionaries!$C:$C,Dictionaries!$A:$A="Сон_часы"))),IF($M57="","",XLOOKUP($M57,FILTER(Dictionaries!$B:$B,Dictionaries!$A:$A="Режим"),FILTER(Dictionaries!$C:$C,Dictionaries!$A:$A="Режим"))),IF($N57="","",MIN($N57/100,1)),IF($O57="","",XLOOKUP($O57,FILTER(Dictionaries!$B:$B,Dictionaries!$A:$A="Настроение"),FILTER(Dictionaries!$C:$C,Dictionaries!$A:$A="Настроение"))),IF($P57="","",XLOOKUP($P57,FILTER(Dictionaries!$B:$B,Dictionaries!$A:$A="Энергия"),FILTER(Dictionaries!$C:$C,Dictionaries!$A:$A="Энергия"))),IF($U57="","",AVERAGE(IF(OR($B57="Ноги",$B57="Верх"),IFS(AND($U57&gt;=1900,$U57&lt;=2050),1,AND($U57&gt;=1850,$U57&lt;1900),0.7,AND($U57&gt;2050,$U57&lt;=2100),0.7,TRUE,0.2),IFS(AND($U57&gt;=1700,$U57&lt;=1850),1,AND($U57&gt;=1650,$U57&lt;1700),0.7,AND($U57&gt;1850,$U57&lt;=1900),0.7,TRUE,0.2)),IF(OR($B57="Ноги",$B57="Верх"),IFS(AND($V57&gt;=125,$V57&lt;=135),1,AND($V57&gt;=115,$V57&lt;125),0.7,AND($V57&gt;135,$V57&lt;=145),0.7,AND($V57&gt;=105,$V57&lt;115),0.4,AND($V57&gt;145,$V57&lt;=155),0.4,TRUE,0.2),IFS(AND($V57&gt;=120,$V57&lt;=130),1,AND($V57&gt;=110,$V57&lt;120),0.7,AND($V57&gt;130,$V57&lt;=140),0.7,AND($V57&gt;=100,$V57&lt;110),0.4,AND($V57&gt;140,$V57&lt;=150),0.4,TRUE,0.2)),IFS(AND($W57&gt;=55,$W57&lt;=65),1,AND($W57&gt;=50,$W57&lt;55),0.7,AND($W57&gt;65,$W57&lt;=70),0.7,AND($W57&gt;=45,$W57&lt;50),0.4,AND($W57&gt;70,$W57&lt;=75),0.4,TRUE,0.2),IF(OR($B57="Ноги",$B57="Верх"),IFS(AND($X57&gt;=180,$X57&lt;=210),1,AND($X57&gt;=160,$X57&lt;180),0.7,AND($X57&gt;210,$X57&lt;=230),0.7,AND($X57&gt;=140,$X57&lt;160),0.4,AND($X57&gt;230,$X57&lt;=250),0.4,TRUE,0.2),IFS(AND($X57&gt;=140,$X57&lt;=170),1,AND($X57&gt;=120,$X57&lt;140),0.7,AND($X57&gt;170,$X57&lt;=190),0.7,AND($X57&gt;=100,$X57&lt;120),0.4,AND($X57&gt;190,$X57&lt;=210),0.4,TRUE,0.2))))),1),""))</f>
        <v/>
      </c>
      <c r="Z57">
        <f>IF($A57="","",TEXTJOIN(", ",TRUE,IF($B57="","Тренировка",""),IF($C57="","Кардио",""),IF($D57="","Шаги",""),IF($E57="","Английский",""),IF($F57="","Код-режим",""),IF($G57="","Код-тема",""),IF($H57="","Чтение",""),IF($L57="","Сон",""),IF($M57="","Режим",""),IF($N57="","Продуктивность",""),IF($O57="","Настроение",""),IF($P57="","Энергия",""),IF($U57="","Еда","")))</f>
        <v/>
      </c>
    </row>
    <row r="58">
      <c r="A58" s="2" t="inlineStr"/>
      <c r="J58">
        <f>IF(A58="","",SUMIF(FoodLog!$A:$A,A58,FoodLog!$I:$I))</f>
        <v/>
      </c>
      <c r="K58">
        <f>IF(A58="","",SUMIF(FoodLog!$A:$A,A58,FoodLog!$F:$F))</f>
        <v/>
      </c>
      <c r="L58">
        <f>IF(A58="","",SUMIF(FoodLog!$A:$A,A58,FoodLog!$G:$G))</f>
        <v/>
      </c>
      <c r="M58">
        <f>IF(A58="","",SUMIF(FoodLog!$A:$A,A58,FoodLog!$H:$H))</f>
        <v/>
      </c>
      <c r="N58">
        <f>LET(train,B58,cardio,C58,steps,D58,sleep,E58,reg,F58,prod,I58,kcal,J58,p,K58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8">
        <f>TEXTJOIN(", ",TRUE,IF(B58="","тренировка",""),IF(D58="","шаги",""),IF(E58="","сон",""),IF(F58="","режим",""),IF(G58="","настроение",""),IF(H58="","энергия",""),IF(I58="","продуктивность",""),IF(J58="","еда (ккал)",""))</f>
        <v/>
      </c>
      <c r="U58">
        <f>IF($A58="","",IF(SUMIF(FoodLog!$A:$A,$A58,FoodLog!$I:$I)=0,"",SUMIF(FoodLog!$A:$A,$A58,FoodLog!$I:$I)))</f>
        <v/>
      </c>
      <c r="V58">
        <f>IF($A58="","",IF(SUMIF(FoodLog!$A:$A,$A58,FoodLog!$F:$F)=0,"",SUMIF(FoodLog!$A:$A,$A58,FoodLog!$F:$F)))</f>
        <v/>
      </c>
      <c r="W58">
        <f>IF($A58="","",IF(SUMIF(FoodLog!$A:$A,$A58,FoodLog!$G:$G)=0,"",SUMIF(FoodLog!$A:$A,$A58,FoodLog!$G:$G)))</f>
        <v/>
      </c>
      <c r="X58">
        <f>IF($A58="","",IF(SUMIF(FoodLog!$A:$A,$A58,FoodLog!$H:$H)=0,"",SUMIF(FoodLog!$A:$A,$A58,FoodLog!$H:$H)))</f>
        <v/>
      </c>
      <c r="Y58">
        <f>IF($A58="","",IFERROR(ROUND(100*AVERAGE(IF($B58="","",XLOOKUP($B58,FILTER(Dictionaries!$B:$B,Dictionaries!$A:$A="Тренировка"),FILTER(Dictionaries!$C:$C,Dictionaries!$A:$A="Тренировка"))),IF($C58="","",MIN($C58/40,1)),IF($D58="","",XLOOKUP($D58,FILTER(Dictionaries!$B:$B,Dictionaries!$A:$A="Шаги"),FILTER(Dictionaries!$C:$C,Dictionaries!$A:$A="Шаги"))),IF($E58="","",MIN($E58/120,1)),IF(OR($F58&lt;&gt;"",$G58&lt;&gt;""),1,""),IF($H58="","",MIN($H58/100,1)),IF($L58="","",XLOOKUP($L58,FILTER(Dictionaries!$B:$B,Dictionaries!$A:$A="Сон_часы"),FILTER(Dictionaries!$C:$C,Dictionaries!$A:$A="Сон_часы"))),IF($M58="","",XLOOKUP($M58,FILTER(Dictionaries!$B:$B,Dictionaries!$A:$A="Режим"),FILTER(Dictionaries!$C:$C,Dictionaries!$A:$A="Режим"))),IF($N58="","",MIN($N58/100,1)),IF($O58="","",XLOOKUP($O58,FILTER(Dictionaries!$B:$B,Dictionaries!$A:$A="Настроение"),FILTER(Dictionaries!$C:$C,Dictionaries!$A:$A="Настроение"))),IF($P58="","",XLOOKUP($P58,FILTER(Dictionaries!$B:$B,Dictionaries!$A:$A="Энергия"),FILTER(Dictionaries!$C:$C,Dictionaries!$A:$A="Энергия"))),IF($U58="","",AVERAGE(IF(OR($B58="Ноги",$B58="Верх"),IFS(AND($U58&gt;=1900,$U58&lt;=2050),1,AND($U58&gt;=1850,$U58&lt;1900),0.7,AND($U58&gt;2050,$U58&lt;=2100),0.7,TRUE,0.2),IFS(AND($U58&gt;=1700,$U58&lt;=1850),1,AND($U58&gt;=1650,$U58&lt;1700),0.7,AND($U58&gt;1850,$U58&lt;=1900),0.7,TRUE,0.2)),IF(OR($B58="Ноги",$B58="Верх"),IFS(AND($V58&gt;=125,$V58&lt;=135),1,AND($V58&gt;=115,$V58&lt;125),0.7,AND($V58&gt;135,$V58&lt;=145),0.7,AND($V58&gt;=105,$V58&lt;115),0.4,AND($V58&gt;145,$V58&lt;=155),0.4,TRUE,0.2),IFS(AND($V58&gt;=120,$V58&lt;=130),1,AND($V58&gt;=110,$V58&lt;120),0.7,AND($V58&gt;130,$V58&lt;=140),0.7,AND($V58&gt;=100,$V58&lt;110),0.4,AND($V58&gt;140,$V58&lt;=150),0.4,TRUE,0.2)),IFS(AND($W58&gt;=55,$W58&lt;=65),1,AND($W58&gt;=50,$W58&lt;55),0.7,AND($W58&gt;65,$W58&lt;=70),0.7,AND($W58&gt;=45,$W58&lt;50),0.4,AND($W58&gt;70,$W58&lt;=75),0.4,TRUE,0.2),IF(OR($B58="Ноги",$B58="Верх"),IFS(AND($X58&gt;=180,$X58&lt;=210),1,AND($X58&gt;=160,$X58&lt;180),0.7,AND($X58&gt;210,$X58&lt;=230),0.7,AND($X58&gt;=140,$X58&lt;160),0.4,AND($X58&gt;230,$X58&lt;=250),0.4,TRUE,0.2),IFS(AND($X58&gt;=140,$X58&lt;=170),1,AND($X58&gt;=120,$X58&lt;140),0.7,AND($X58&gt;170,$X58&lt;=190),0.7,AND($X58&gt;=100,$X58&lt;120),0.4,AND($X58&gt;190,$X58&lt;=210),0.4,TRUE,0.2))))),1),""))</f>
        <v/>
      </c>
      <c r="Z58">
        <f>IF($A58="","",TEXTJOIN(", ",TRUE,IF($B58="","Тренировка",""),IF($C58="","Кардио",""),IF($D58="","Шаги",""),IF($E58="","Английский",""),IF($F58="","Код-режим",""),IF($G58="","Код-тема",""),IF($H58="","Чтение",""),IF($L58="","Сон",""),IF($M58="","Режим",""),IF($N58="","Продуктивность",""),IF($O58="","Настроение",""),IF($P58="","Энергия",""),IF($U58="","Еда","")))</f>
        <v/>
      </c>
    </row>
    <row r="59">
      <c r="A59" s="2" t="inlineStr"/>
      <c r="J59">
        <f>IF(A59="","",SUMIF(FoodLog!$A:$A,A59,FoodLog!$I:$I))</f>
        <v/>
      </c>
      <c r="K59">
        <f>IF(A59="","",SUMIF(FoodLog!$A:$A,A59,FoodLog!$F:$F))</f>
        <v/>
      </c>
      <c r="L59">
        <f>IF(A59="","",SUMIF(FoodLog!$A:$A,A59,FoodLog!$G:$G))</f>
        <v/>
      </c>
      <c r="M59">
        <f>IF(A59="","",SUMIF(FoodLog!$A:$A,A59,FoodLog!$H:$H))</f>
        <v/>
      </c>
      <c r="N59">
        <f>LET(train,B59,cardio,C59,steps,D59,sleep,E59,reg,F59,prod,I59,kcal,J59,p,K59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59">
        <f>TEXTJOIN(", ",TRUE,IF(B59="","тренировка",""),IF(D59="","шаги",""),IF(E59="","сон",""),IF(F59="","режим",""),IF(G59="","настроение",""),IF(H59="","энергия",""),IF(I59="","продуктивность",""),IF(J59="","еда (ккал)",""))</f>
        <v/>
      </c>
      <c r="U59">
        <f>IF($A59="","",IF(SUMIF(FoodLog!$A:$A,$A59,FoodLog!$I:$I)=0,"",SUMIF(FoodLog!$A:$A,$A59,FoodLog!$I:$I)))</f>
        <v/>
      </c>
      <c r="V59">
        <f>IF($A59="","",IF(SUMIF(FoodLog!$A:$A,$A59,FoodLog!$F:$F)=0,"",SUMIF(FoodLog!$A:$A,$A59,FoodLog!$F:$F)))</f>
        <v/>
      </c>
      <c r="W59">
        <f>IF($A59="","",IF(SUMIF(FoodLog!$A:$A,$A59,FoodLog!$G:$G)=0,"",SUMIF(FoodLog!$A:$A,$A59,FoodLog!$G:$G)))</f>
        <v/>
      </c>
      <c r="X59">
        <f>IF($A59="","",IF(SUMIF(FoodLog!$A:$A,$A59,FoodLog!$H:$H)=0,"",SUMIF(FoodLog!$A:$A,$A59,FoodLog!$H:$H)))</f>
        <v/>
      </c>
      <c r="Y59">
        <f>IF($A59="","",IFERROR(ROUND(100*AVERAGE(IF($B59="","",XLOOKUP($B59,FILTER(Dictionaries!$B:$B,Dictionaries!$A:$A="Тренировка"),FILTER(Dictionaries!$C:$C,Dictionaries!$A:$A="Тренировка"))),IF($C59="","",MIN($C59/40,1)),IF($D59="","",XLOOKUP($D59,FILTER(Dictionaries!$B:$B,Dictionaries!$A:$A="Шаги"),FILTER(Dictionaries!$C:$C,Dictionaries!$A:$A="Шаги"))),IF($E59="","",MIN($E59/120,1)),IF(OR($F59&lt;&gt;"",$G59&lt;&gt;""),1,""),IF($H59="","",MIN($H59/100,1)),IF($L59="","",XLOOKUP($L59,FILTER(Dictionaries!$B:$B,Dictionaries!$A:$A="Сон_часы"),FILTER(Dictionaries!$C:$C,Dictionaries!$A:$A="Сон_часы"))),IF($M59="","",XLOOKUP($M59,FILTER(Dictionaries!$B:$B,Dictionaries!$A:$A="Режим"),FILTER(Dictionaries!$C:$C,Dictionaries!$A:$A="Режим"))),IF($N59="","",MIN($N59/100,1)),IF($O59="","",XLOOKUP($O59,FILTER(Dictionaries!$B:$B,Dictionaries!$A:$A="Настроение"),FILTER(Dictionaries!$C:$C,Dictionaries!$A:$A="Настроение"))),IF($P59="","",XLOOKUP($P59,FILTER(Dictionaries!$B:$B,Dictionaries!$A:$A="Энергия"),FILTER(Dictionaries!$C:$C,Dictionaries!$A:$A="Энергия"))),IF($U59="","",AVERAGE(IF(OR($B59="Ноги",$B59="Верх"),IFS(AND($U59&gt;=1900,$U59&lt;=2050),1,AND($U59&gt;=1850,$U59&lt;1900),0.7,AND($U59&gt;2050,$U59&lt;=2100),0.7,TRUE,0.2),IFS(AND($U59&gt;=1700,$U59&lt;=1850),1,AND($U59&gt;=1650,$U59&lt;1700),0.7,AND($U59&gt;1850,$U59&lt;=1900),0.7,TRUE,0.2)),IF(OR($B59="Ноги",$B59="Верх"),IFS(AND($V59&gt;=125,$V59&lt;=135),1,AND($V59&gt;=115,$V59&lt;125),0.7,AND($V59&gt;135,$V59&lt;=145),0.7,AND($V59&gt;=105,$V59&lt;115),0.4,AND($V59&gt;145,$V59&lt;=155),0.4,TRUE,0.2),IFS(AND($V59&gt;=120,$V59&lt;=130),1,AND($V59&gt;=110,$V59&lt;120),0.7,AND($V59&gt;130,$V59&lt;=140),0.7,AND($V59&gt;=100,$V59&lt;110),0.4,AND($V59&gt;140,$V59&lt;=150),0.4,TRUE,0.2)),IFS(AND($W59&gt;=55,$W59&lt;=65),1,AND($W59&gt;=50,$W59&lt;55),0.7,AND($W59&gt;65,$W59&lt;=70),0.7,AND($W59&gt;=45,$W59&lt;50),0.4,AND($W59&gt;70,$W59&lt;=75),0.4,TRUE,0.2),IF(OR($B59="Ноги",$B59="Верх"),IFS(AND($X59&gt;=180,$X59&lt;=210),1,AND($X59&gt;=160,$X59&lt;180),0.7,AND($X59&gt;210,$X59&lt;=230),0.7,AND($X59&gt;=140,$X59&lt;160),0.4,AND($X59&gt;230,$X59&lt;=250),0.4,TRUE,0.2),IFS(AND($X59&gt;=140,$X59&lt;=170),1,AND($X59&gt;=120,$X59&lt;140),0.7,AND($X59&gt;170,$X59&lt;=190),0.7,AND($X59&gt;=100,$X59&lt;120),0.4,AND($X59&gt;190,$X59&lt;=210),0.4,TRUE,0.2))))),1),""))</f>
        <v/>
      </c>
      <c r="Z59">
        <f>IF($A59="","",TEXTJOIN(", ",TRUE,IF($B59="","Тренировка",""),IF($C59="","Кардио",""),IF($D59="","Шаги",""),IF($E59="","Английский",""),IF($F59="","Код-режим",""),IF($G59="","Код-тема",""),IF($H59="","Чтение",""),IF($L59="","Сон",""),IF($M59="","Режим",""),IF($N59="","Продуктивность",""),IF($O59="","Настроение",""),IF($P59="","Энергия",""),IF($U59="","Еда","")))</f>
        <v/>
      </c>
    </row>
    <row r="60">
      <c r="A60" s="2" t="inlineStr"/>
      <c r="J60">
        <f>IF(A60="","",SUMIF(FoodLog!$A:$A,A60,FoodLog!$I:$I))</f>
        <v/>
      </c>
      <c r="K60">
        <f>IF(A60="","",SUMIF(FoodLog!$A:$A,A60,FoodLog!$F:$F))</f>
        <v/>
      </c>
      <c r="L60">
        <f>IF(A60="","",SUMIF(FoodLog!$A:$A,A60,FoodLog!$G:$G))</f>
        <v/>
      </c>
      <c r="M60">
        <f>IF(A60="","",SUMIF(FoodLog!$A:$A,A60,FoodLog!$H:$H))</f>
        <v/>
      </c>
      <c r="N60">
        <f>LET(train,B60,cardio,C60,steps,D60,sleep,E60,reg,F60,prod,I60,kcal,J60,p,K60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0">
        <f>TEXTJOIN(", ",TRUE,IF(B60="","тренировка",""),IF(D60="","шаги",""),IF(E60="","сон",""),IF(F60="","режим",""),IF(G60="","настроение",""),IF(H60="","энергия",""),IF(I60="","продуктивность",""),IF(J60="","еда (ккал)",""))</f>
        <v/>
      </c>
      <c r="U60">
        <f>IF($A60="","",IF(SUMIF(FoodLog!$A:$A,$A60,FoodLog!$I:$I)=0,"",SUMIF(FoodLog!$A:$A,$A60,FoodLog!$I:$I)))</f>
        <v/>
      </c>
      <c r="V60">
        <f>IF($A60="","",IF(SUMIF(FoodLog!$A:$A,$A60,FoodLog!$F:$F)=0,"",SUMIF(FoodLog!$A:$A,$A60,FoodLog!$F:$F)))</f>
        <v/>
      </c>
      <c r="W60">
        <f>IF($A60="","",IF(SUMIF(FoodLog!$A:$A,$A60,FoodLog!$G:$G)=0,"",SUMIF(FoodLog!$A:$A,$A60,FoodLog!$G:$G)))</f>
        <v/>
      </c>
      <c r="X60">
        <f>IF($A60="","",IF(SUMIF(FoodLog!$A:$A,$A60,FoodLog!$H:$H)=0,"",SUMIF(FoodLog!$A:$A,$A60,FoodLog!$H:$H)))</f>
        <v/>
      </c>
      <c r="Y60">
        <f>IF($A60="","",IFERROR(ROUND(100*AVERAGE(IF($B60="","",XLOOKUP($B60,FILTER(Dictionaries!$B:$B,Dictionaries!$A:$A="Тренировка"),FILTER(Dictionaries!$C:$C,Dictionaries!$A:$A="Тренировка"))),IF($C60="","",MIN($C60/40,1)),IF($D60="","",XLOOKUP($D60,FILTER(Dictionaries!$B:$B,Dictionaries!$A:$A="Шаги"),FILTER(Dictionaries!$C:$C,Dictionaries!$A:$A="Шаги"))),IF($E60="","",MIN($E60/120,1)),IF(OR($F60&lt;&gt;"",$G60&lt;&gt;""),1,""),IF($H60="","",MIN($H60/100,1)),IF($L60="","",XLOOKUP($L60,FILTER(Dictionaries!$B:$B,Dictionaries!$A:$A="Сон_часы"),FILTER(Dictionaries!$C:$C,Dictionaries!$A:$A="Сон_часы"))),IF($M60="","",XLOOKUP($M60,FILTER(Dictionaries!$B:$B,Dictionaries!$A:$A="Режим"),FILTER(Dictionaries!$C:$C,Dictionaries!$A:$A="Режим"))),IF($N60="","",MIN($N60/100,1)),IF($O60="","",XLOOKUP($O60,FILTER(Dictionaries!$B:$B,Dictionaries!$A:$A="Настроение"),FILTER(Dictionaries!$C:$C,Dictionaries!$A:$A="Настроение"))),IF($P60="","",XLOOKUP($P60,FILTER(Dictionaries!$B:$B,Dictionaries!$A:$A="Энергия"),FILTER(Dictionaries!$C:$C,Dictionaries!$A:$A="Энергия"))),IF($U60="","",AVERAGE(IF(OR($B60="Ноги",$B60="Верх"),IFS(AND($U60&gt;=1900,$U60&lt;=2050),1,AND($U60&gt;=1850,$U60&lt;1900),0.7,AND($U60&gt;2050,$U60&lt;=2100),0.7,TRUE,0.2),IFS(AND($U60&gt;=1700,$U60&lt;=1850),1,AND($U60&gt;=1650,$U60&lt;1700),0.7,AND($U60&gt;1850,$U60&lt;=1900),0.7,TRUE,0.2)),IF(OR($B60="Ноги",$B60="Верх"),IFS(AND($V60&gt;=125,$V60&lt;=135),1,AND($V60&gt;=115,$V60&lt;125),0.7,AND($V60&gt;135,$V60&lt;=145),0.7,AND($V60&gt;=105,$V60&lt;115),0.4,AND($V60&gt;145,$V60&lt;=155),0.4,TRUE,0.2),IFS(AND($V60&gt;=120,$V60&lt;=130),1,AND($V60&gt;=110,$V60&lt;120),0.7,AND($V60&gt;130,$V60&lt;=140),0.7,AND($V60&gt;=100,$V60&lt;110),0.4,AND($V60&gt;140,$V60&lt;=150),0.4,TRUE,0.2)),IFS(AND($W60&gt;=55,$W60&lt;=65),1,AND($W60&gt;=50,$W60&lt;55),0.7,AND($W60&gt;65,$W60&lt;=70),0.7,AND($W60&gt;=45,$W60&lt;50),0.4,AND($W60&gt;70,$W60&lt;=75),0.4,TRUE,0.2),IF(OR($B60="Ноги",$B60="Верх"),IFS(AND($X60&gt;=180,$X60&lt;=210),1,AND($X60&gt;=160,$X60&lt;180),0.7,AND($X60&gt;210,$X60&lt;=230),0.7,AND($X60&gt;=140,$X60&lt;160),0.4,AND($X60&gt;230,$X60&lt;=250),0.4,TRUE,0.2),IFS(AND($X60&gt;=140,$X60&lt;=170),1,AND($X60&gt;=120,$X60&lt;140),0.7,AND($X60&gt;170,$X60&lt;=190),0.7,AND($X60&gt;=100,$X60&lt;120),0.4,AND($X60&gt;190,$X60&lt;=210),0.4,TRUE,0.2))))),1),""))</f>
        <v/>
      </c>
      <c r="Z60">
        <f>IF($A60="","",TEXTJOIN(", ",TRUE,IF($B60="","Тренировка",""),IF($C60="","Кардио",""),IF($D60="","Шаги",""),IF($E60="","Английский",""),IF($F60="","Код-режим",""),IF($G60="","Код-тема",""),IF($H60="","Чтение",""),IF($L60="","Сон",""),IF($M60="","Режим",""),IF($N60="","Продуктивность",""),IF($O60="","Настроение",""),IF($P60="","Энергия",""),IF($U60="","Еда","")))</f>
        <v/>
      </c>
    </row>
    <row r="61">
      <c r="A61" s="2" t="inlineStr"/>
      <c r="J61">
        <f>IF(A61="","",SUMIF(FoodLog!$A:$A,A61,FoodLog!$I:$I))</f>
        <v/>
      </c>
      <c r="K61">
        <f>IF(A61="","",SUMIF(FoodLog!$A:$A,A61,FoodLog!$F:$F))</f>
        <v/>
      </c>
      <c r="L61">
        <f>IF(A61="","",SUMIF(FoodLog!$A:$A,A61,FoodLog!$G:$G))</f>
        <v/>
      </c>
      <c r="M61">
        <f>IF(A61="","",SUMIF(FoodLog!$A:$A,A61,FoodLog!$H:$H))</f>
        <v/>
      </c>
      <c r="N61">
        <f>LET(train,B61,cardio,C61,steps,D61,sleep,E61,reg,F61,prod,I61,kcal,J61,p,K61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1">
        <f>TEXTJOIN(", ",TRUE,IF(B61="","тренировка",""),IF(D61="","шаги",""),IF(E61="","сон",""),IF(F61="","режим",""),IF(G61="","настроение",""),IF(H61="","энергия",""),IF(I61="","продуктивность",""),IF(J61="","еда (ккал)",""))</f>
        <v/>
      </c>
      <c r="U61">
        <f>IF($A61="","",IF(SUMIF(FoodLog!$A:$A,$A61,FoodLog!$I:$I)=0,"",SUMIF(FoodLog!$A:$A,$A61,FoodLog!$I:$I)))</f>
        <v/>
      </c>
      <c r="V61">
        <f>IF($A61="","",IF(SUMIF(FoodLog!$A:$A,$A61,FoodLog!$F:$F)=0,"",SUMIF(FoodLog!$A:$A,$A61,FoodLog!$F:$F)))</f>
        <v/>
      </c>
      <c r="W61">
        <f>IF($A61="","",IF(SUMIF(FoodLog!$A:$A,$A61,FoodLog!$G:$G)=0,"",SUMIF(FoodLog!$A:$A,$A61,FoodLog!$G:$G)))</f>
        <v/>
      </c>
      <c r="X61">
        <f>IF($A61="","",IF(SUMIF(FoodLog!$A:$A,$A61,FoodLog!$H:$H)=0,"",SUMIF(FoodLog!$A:$A,$A61,FoodLog!$H:$H)))</f>
        <v/>
      </c>
      <c r="Y61">
        <f>IF($A61="","",IFERROR(ROUND(100*AVERAGE(IF($B61="","",XLOOKUP($B61,FILTER(Dictionaries!$B:$B,Dictionaries!$A:$A="Тренировка"),FILTER(Dictionaries!$C:$C,Dictionaries!$A:$A="Тренировка"))),IF($C61="","",MIN($C61/40,1)),IF($D61="","",XLOOKUP($D61,FILTER(Dictionaries!$B:$B,Dictionaries!$A:$A="Шаги"),FILTER(Dictionaries!$C:$C,Dictionaries!$A:$A="Шаги"))),IF($E61="","",MIN($E61/120,1)),IF(OR($F61&lt;&gt;"",$G61&lt;&gt;""),1,""),IF($H61="","",MIN($H61/100,1)),IF($L61="","",XLOOKUP($L61,FILTER(Dictionaries!$B:$B,Dictionaries!$A:$A="Сон_часы"),FILTER(Dictionaries!$C:$C,Dictionaries!$A:$A="Сон_часы"))),IF($M61="","",XLOOKUP($M61,FILTER(Dictionaries!$B:$B,Dictionaries!$A:$A="Режим"),FILTER(Dictionaries!$C:$C,Dictionaries!$A:$A="Режим"))),IF($N61="","",MIN($N61/100,1)),IF($O61="","",XLOOKUP($O61,FILTER(Dictionaries!$B:$B,Dictionaries!$A:$A="Настроение"),FILTER(Dictionaries!$C:$C,Dictionaries!$A:$A="Настроение"))),IF($P61="","",XLOOKUP($P61,FILTER(Dictionaries!$B:$B,Dictionaries!$A:$A="Энергия"),FILTER(Dictionaries!$C:$C,Dictionaries!$A:$A="Энергия"))),IF($U61="","",AVERAGE(IF(OR($B61="Ноги",$B61="Верх"),IFS(AND($U61&gt;=1900,$U61&lt;=2050),1,AND($U61&gt;=1850,$U61&lt;1900),0.7,AND($U61&gt;2050,$U61&lt;=2100),0.7,TRUE,0.2),IFS(AND($U61&gt;=1700,$U61&lt;=1850),1,AND($U61&gt;=1650,$U61&lt;1700),0.7,AND($U61&gt;1850,$U61&lt;=1900),0.7,TRUE,0.2)),IF(OR($B61="Ноги",$B61="Верх"),IFS(AND($V61&gt;=125,$V61&lt;=135),1,AND($V61&gt;=115,$V61&lt;125),0.7,AND($V61&gt;135,$V61&lt;=145),0.7,AND($V61&gt;=105,$V61&lt;115),0.4,AND($V61&gt;145,$V61&lt;=155),0.4,TRUE,0.2),IFS(AND($V61&gt;=120,$V61&lt;=130),1,AND($V61&gt;=110,$V61&lt;120),0.7,AND($V61&gt;130,$V61&lt;=140),0.7,AND($V61&gt;=100,$V61&lt;110),0.4,AND($V61&gt;140,$V61&lt;=150),0.4,TRUE,0.2)),IFS(AND($W61&gt;=55,$W61&lt;=65),1,AND($W61&gt;=50,$W61&lt;55),0.7,AND($W61&gt;65,$W61&lt;=70),0.7,AND($W61&gt;=45,$W61&lt;50),0.4,AND($W61&gt;70,$W61&lt;=75),0.4,TRUE,0.2),IF(OR($B61="Ноги",$B61="Верх"),IFS(AND($X61&gt;=180,$X61&lt;=210),1,AND($X61&gt;=160,$X61&lt;180),0.7,AND($X61&gt;210,$X61&lt;=230),0.7,AND($X61&gt;=140,$X61&lt;160),0.4,AND($X61&gt;230,$X61&lt;=250),0.4,TRUE,0.2),IFS(AND($X61&gt;=140,$X61&lt;=170),1,AND($X61&gt;=120,$X61&lt;140),0.7,AND($X61&gt;170,$X61&lt;=190),0.7,AND($X61&gt;=100,$X61&lt;120),0.4,AND($X61&gt;190,$X61&lt;=210),0.4,TRUE,0.2))))),1),""))</f>
        <v/>
      </c>
      <c r="Z61">
        <f>IF($A61="","",TEXTJOIN(", ",TRUE,IF($B61="","Тренировка",""),IF($C61="","Кардио",""),IF($D61="","Шаги",""),IF($E61="","Английский",""),IF($F61="","Код-режим",""),IF($G61="","Код-тема",""),IF($H61="","Чтение",""),IF($L61="","Сон",""),IF($M61="","Режим",""),IF($N61="","Продуктивность",""),IF($O61="","Настроение",""),IF($P61="","Энергия",""),IF($U61="","Еда","")))</f>
        <v/>
      </c>
    </row>
    <row r="62">
      <c r="A62" s="2" t="inlineStr"/>
      <c r="J62">
        <f>IF(A62="","",SUMIF(FoodLog!$A:$A,A62,FoodLog!$I:$I))</f>
        <v/>
      </c>
      <c r="K62">
        <f>IF(A62="","",SUMIF(FoodLog!$A:$A,A62,FoodLog!$F:$F))</f>
        <v/>
      </c>
      <c r="L62">
        <f>IF(A62="","",SUMIF(FoodLog!$A:$A,A62,FoodLog!$G:$G))</f>
        <v/>
      </c>
      <c r="M62">
        <f>IF(A62="","",SUMIF(FoodLog!$A:$A,A62,FoodLog!$H:$H))</f>
        <v/>
      </c>
      <c r="N62">
        <f>LET(train,B62,cardio,C62,steps,D62,sleep,E62,reg,F62,prod,I62,kcal,J62,p,K62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2">
        <f>TEXTJOIN(", ",TRUE,IF(B62="","тренировка",""),IF(D62="","шаги",""),IF(E62="","сон",""),IF(F62="","режим",""),IF(G62="","настроение",""),IF(H62="","энергия",""),IF(I62="","продуктивность",""),IF(J62="","еда (ккал)",""))</f>
        <v/>
      </c>
      <c r="U62">
        <f>IF($A62="","",IF(SUMIF(FoodLog!$A:$A,$A62,FoodLog!$I:$I)=0,"",SUMIF(FoodLog!$A:$A,$A62,FoodLog!$I:$I)))</f>
        <v/>
      </c>
      <c r="V62">
        <f>IF($A62="","",IF(SUMIF(FoodLog!$A:$A,$A62,FoodLog!$F:$F)=0,"",SUMIF(FoodLog!$A:$A,$A62,FoodLog!$F:$F)))</f>
        <v/>
      </c>
      <c r="W62">
        <f>IF($A62="","",IF(SUMIF(FoodLog!$A:$A,$A62,FoodLog!$G:$G)=0,"",SUMIF(FoodLog!$A:$A,$A62,FoodLog!$G:$G)))</f>
        <v/>
      </c>
      <c r="X62">
        <f>IF($A62="","",IF(SUMIF(FoodLog!$A:$A,$A62,FoodLog!$H:$H)=0,"",SUMIF(FoodLog!$A:$A,$A62,FoodLog!$H:$H)))</f>
        <v/>
      </c>
      <c r="Y62">
        <f>IF($A62="","",IFERROR(ROUND(100*AVERAGE(IF($B62="","",XLOOKUP($B62,FILTER(Dictionaries!$B:$B,Dictionaries!$A:$A="Тренировка"),FILTER(Dictionaries!$C:$C,Dictionaries!$A:$A="Тренировка"))),IF($C62="","",MIN($C62/40,1)),IF($D62="","",XLOOKUP($D62,FILTER(Dictionaries!$B:$B,Dictionaries!$A:$A="Шаги"),FILTER(Dictionaries!$C:$C,Dictionaries!$A:$A="Шаги"))),IF($E62="","",MIN($E62/120,1)),IF(OR($F62&lt;&gt;"",$G62&lt;&gt;""),1,""),IF($H62="","",MIN($H62/100,1)),IF($L62="","",XLOOKUP($L62,FILTER(Dictionaries!$B:$B,Dictionaries!$A:$A="Сон_часы"),FILTER(Dictionaries!$C:$C,Dictionaries!$A:$A="Сон_часы"))),IF($M62="","",XLOOKUP($M62,FILTER(Dictionaries!$B:$B,Dictionaries!$A:$A="Режим"),FILTER(Dictionaries!$C:$C,Dictionaries!$A:$A="Режим"))),IF($N62="","",MIN($N62/100,1)),IF($O62="","",XLOOKUP($O62,FILTER(Dictionaries!$B:$B,Dictionaries!$A:$A="Настроение"),FILTER(Dictionaries!$C:$C,Dictionaries!$A:$A="Настроение"))),IF($P62="","",XLOOKUP($P62,FILTER(Dictionaries!$B:$B,Dictionaries!$A:$A="Энергия"),FILTER(Dictionaries!$C:$C,Dictionaries!$A:$A="Энергия"))),IF($U62="","",AVERAGE(IF(OR($B62="Ноги",$B62="Верх"),IFS(AND($U62&gt;=1900,$U62&lt;=2050),1,AND($U62&gt;=1850,$U62&lt;1900),0.7,AND($U62&gt;2050,$U62&lt;=2100),0.7,TRUE,0.2),IFS(AND($U62&gt;=1700,$U62&lt;=1850),1,AND($U62&gt;=1650,$U62&lt;1700),0.7,AND($U62&gt;1850,$U62&lt;=1900),0.7,TRUE,0.2)),IF(OR($B62="Ноги",$B62="Верх"),IFS(AND($V62&gt;=125,$V62&lt;=135),1,AND($V62&gt;=115,$V62&lt;125),0.7,AND($V62&gt;135,$V62&lt;=145),0.7,AND($V62&gt;=105,$V62&lt;115),0.4,AND($V62&gt;145,$V62&lt;=155),0.4,TRUE,0.2),IFS(AND($V62&gt;=120,$V62&lt;=130),1,AND($V62&gt;=110,$V62&lt;120),0.7,AND($V62&gt;130,$V62&lt;=140),0.7,AND($V62&gt;=100,$V62&lt;110),0.4,AND($V62&gt;140,$V62&lt;=150),0.4,TRUE,0.2)),IFS(AND($W62&gt;=55,$W62&lt;=65),1,AND($W62&gt;=50,$W62&lt;55),0.7,AND($W62&gt;65,$W62&lt;=70),0.7,AND($W62&gt;=45,$W62&lt;50),0.4,AND($W62&gt;70,$W62&lt;=75),0.4,TRUE,0.2),IF(OR($B62="Ноги",$B62="Верх"),IFS(AND($X62&gt;=180,$X62&lt;=210),1,AND($X62&gt;=160,$X62&lt;180),0.7,AND($X62&gt;210,$X62&lt;=230),0.7,AND($X62&gt;=140,$X62&lt;160),0.4,AND($X62&gt;230,$X62&lt;=250),0.4,TRUE,0.2),IFS(AND($X62&gt;=140,$X62&lt;=170),1,AND($X62&gt;=120,$X62&lt;140),0.7,AND($X62&gt;170,$X62&lt;=190),0.7,AND($X62&gt;=100,$X62&lt;120),0.4,AND($X62&gt;190,$X62&lt;=210),0.4,TRUE,0.2))))),1),""))</f>
        <v/>
      </c>
      <c r="Z62">
        <f>IF($A62="","",TEXTJOIN(", ",TRUE,IF($B62="","Тренировка",""),IF($C62="","Кардио",""),IF($D62="","Шаги",""),IF($E62="","Английский",""),IF($F62="","Код-режим",""),IF($G62="","Код-тема",""),IF($H62="","Чтение",""),IF($L62="","Сон",""),IF($M62="","Режим",""),IF($N62="","Продуктивность",""),IF($O62="","Настроение",""),IF($P62="","Энергия",""),IF($U62="","Еда","")))</f>
        <v/>
      </c>
    </row>
    <row r="63">
      <c r="A63" s="2" t="inlineStr"/>
      <c r="J63">
        <f>IF(A63="","",SUMIF(FoodLog!$A:$A,A63,FoodLog!$I:$I))</f>
        <v/>
      </c>
      <c r="K63">
        <f>IF(A63="","",SUMIF(FoodLog!$A:$A,A63,FoodLog!$F:$F))</f>
        <v/>
      </c>
      <c r="L63">
        <f>IF(A63="","",SUMIF(FoodLog!$A:$A,A63,FoodLog!$G:$G))</f>
        <v/>
      </c>
      <c r="M63">
        <f>IF(A63="","",SUMIF(FoodLog!$A:$A,A63,FoodLog!$H:$H))</f>
        <v/>
      </c>
      <c r="N63">
        <f>LET(train,B63,cardio,C63,steps,D63,sleep,E63,reg,F63,prod,I63,kcal,J63,p,K63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3">
        <f>TEXTJOIN(", ",TRUE,IF(B63="","тренировка",""),IF(D63="","шаги",""),IF(E63="","сон",""),IF(F63="","режим",""),IF(G63="","настроение",""),IF(H63="","энергия",""),IF(I63="","продуктивность",""),IF(J63="","еда (ккал)",""))</f>
        <v/>
      </c>
      <c r="U63">
        <f>IF($A63="","",IF(SUMIF(FoodLog!$A:$A,$A63,FoodLog!$I:$I)=0,"",SUMIF(FoodLog!$A:$A,$A63,FoodLog!$I:$I)))</f>
        <v/>
      </c>
      <c r="V63">
        <f>IF($A63="","",IF(SUMIF(FoodLog!$A:$A,$A63,FoodLog!$F:$F)=0,"",SUMIF(FoodLog!$A:$A,$A63,FoodLog!$F:$F)))</f>
        <v/>
      </c>
      <c r="W63">
        <f>IF($A63="","",IF(SUMIF(FoodLog!$A:$A,$A63,FoodLog!$G:$G)=0,"",SUMIF(FoodLog!$A:$A,$A63,FoodLog!$G:$G)))</f>
        <v/>
      </c>
      <c r="X63">
        <f>IF($A63="","",IF(SUMIF(FoodLog!$A:$A,$A63,FoodLog!$H:$H)=0,"",SUMIF(FoodLog!$A:$A,$A63,FoodLog!$H:$H)))</f>
        <v/>
      </c>
      <c r="Y63">
        <f>IF($A63="","",IFERROR(ROUND(100*AVERAGE(IF($B63="","",XLOOKUP($B63,FILTER(Dictionaries!$B:$B,Dictionaries!$A:$A="Тренировка"),FILTER(Dictionaries!$C:$C,Dictionaries!$A:$A="Тренировка"))),IF($C63="","",MIN($C63/40,1)),IF($D63="","",XLOOKUP($D63,FILTER(Dictionaries!$B:$B,Dictionaries!$A:$A="Шаги"),FILTER(Dictionaries!$C:$C,Dictionaries!$A:$A="Шаги"))),IF($E63="","",MIN($E63/120,1)),IF(OR($F63&lt;&gt;"",$G63&lt;&gt;""),1,""),IF($H63="","",MIN($H63/100,1)),IF($L63="","",XLOOKUP($L63,FILTER(Dictionaries!$B:$B,Dictionaries!$A:$A="Сон_часы"),FILTER(Dictionaries!$C:$C,Dictionaries!$A:$A="Сон_часы"))),IF($M63="","",XLOOKUP($M63,FILTER(Dictionaries!$B:$B,Dictionaries!$A:$A="Режим"),FILTER(Dictionaries!$C:$C,Dictionaries!$A:$A="Режим"))),IF($N63="","",MIN($N63/100,1)),IF($O63="","",XLOOKUP($O63,FILTER(Dictionaries!$B:$B,Dictionaries!$A:$A="Настроение"),FILTER(Dictionaries!$C:$C,Dictionaries!$A:$A="Настроение"))),IF($P63="","",XLOOKUP($P63,FILTER(Dictionaries!$B:$B,Dictionaries!$A:$A="Энергия"),FILTER(Dictionaries!$C:$C,Dictionaries!$A:$A="Энергия"))),IF($U63="","",AVERAGE(IF(OR($B63="Ноги",$B63="Верх"),IFS(AND($U63&gt;=1900,$U63&lt;=2050),1,AND($U63&gt;=1850,$U63&lt;1900),0.7,AND($U63&gt;2050,$U63&lt;=2100),0.7,TRUE,0.2),IFS(AND($U63&gt;=1700,$U63&lt;=1850),1,AND($U63&gt;=1650,$U63&lt;1700),0.7,AND($U63&gt;1850,$U63&lt;=1900),0.7,TRUE,0.2)),IF(OR($B63="Ноги",$B63="Верх"),IFS(AND($V63&gt;=125,$V63&lt;=135),1,AND($V63&gt;=115,$V63&lt;125),0.7,AND($V63&gt;135,$V63&lt;=145),0.7,AND($V63&gt;=105,$V63&lt;115),0.4,AND($V63&gt;145,$V63&lt;=155),0.4,TRUE,0.2),IFS(AND($V63&gt;=120,$V63&lt;=130),1,AND($V63&gt;=110,$V63&lt;120),0.7,AND($V63&gt;130,$V63&lt;=140),0.7,AND($V63&gt;=100,$V63&lt;110),0.4,AND($V63&gt;140,$V63&lt;=150),0.4,TRUE,0.2)),IFS(AND($W63&gt;=55,$W63&lt;=65),1,AND($W63&gt;=50,$W63&lt;55),0.7,AND($W63&gt;65,$W63&lt;=70),0.7,AND($W63&gt;=45,$W63&lt;50),0.4,AND($W63&gt;70,$W63&lt;=75),0.4,TRUE,0.2),IF(OR($B63="Ноги",$B63="Верх"),IFS(AND($X63&gt;=180,$X63&lt;=210),1,AND($X63&gt;=160,$X63&lt;180),0.7,AND($X63&gt;210,$X63&lt;=230),0.7,AND($X63&gt;=140,$X63&lt;160),0.4,AND($X63&gt;230,$X63&lt;=250),0.4,TRUE,0.2),IFS(AND($X63&gt;=140,$X63&lt;=170),1,AND($X63&gt;=120,$X63&lt;140),0.7,AND($X63&gt;170,$X63&lt;=190),0.7,AND($X63&gt;=100,$X63&lt;120),0.4,AND($X63&gt;190,$X63&lt;=210),0.4,TRUE,0.2))))),1),""))</f>
        <v/>
      </c>
      <c r="Z63">
        <f>IF($A63="","",TEXTJOIN(", ",TRUE,IF($B63="","Тренировка",""),IF($C63="","Кардио",""),IF($D63="","Шаги",""),IF($E63="","Английский",""),IF($F63="","Код-режим",""),IF($G63="","Код-тема",""),IF($H63="","Чтение",""),IF($L63="","Сон",""),IF($M63="","Режим",""),IF($N63="","Продуктивность",""),IF($O63="","Настроение",""),IF($P63="","Энергия",""),IF($U63="","Еда","")))</f>
        <v/>
      </c>
    </row>
    <row r="64">
      <c r="A64" s="2" t="inlineStr"/>
      <c r="J64">
        <f>IF(A64="","",SUMIF(FoodLog!$A:$A,A64,FoodLog!$I:$I))</f>
        <v/>
      </c>
      <c r="K64">
        <f>IF(A64="","",SUMIF(FoodLog!$A:$A,A64,FoodLog!$F:$F))</f>
        <v/>
      </c>
      <c r="L64">
        <f>IF(A64="","",SUMIF(FoodLog!$A:$A,A64,FoodLog!$G:$G))</f>
        <v/>
      </c>
      <c r="M64">
        <f>IF(A64="","",SUMIF(FoodLog!$A:$A,A64,FoodLog!$H:$H))</f>
        <v/>
      </c>
      <c r="N64">
        <f>LET(train,B64,cardio,C64,steps,D64,sleep,E64,reg,F64,prod,I64,kcal,J64,p,K64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4">
        <f>TEXTJOIN(", ",TRUE,IF(B64="","тренировка",""),IF(D64="","шаги",""),IF(E64="","сон",""),IF(F64="","режим",""),IF(G64="","настроение",""),IF(H64="","энергия",""),IF(I64="","продуктивность",""),IF(J64="","еда (ккал)",""))</f>
        <v/>
      </c>
      <c r="U64">
        <f>IF($A64="","",IF(SUMIF(FoodLog!$A:$A,$A64,FoodLog!$I:$I)=0,"",SUMIF(FoodLog!$A:$A,$A64,FoodLog!$I:$I)))</f>
        <v/>
      </c>
      <c r="V64">
        <f>IF($A64="","",IF(SUMIF(FoodLog!$A:$A,$A64,FoodLog!$F:$F)=0,"",SUMIF(FoodLog!$A:$A,$A64,FoodLog!$F:$F)))</f>
        <v/>
      </c>
      <c r="W64">
        <f>IF($A64="","",IF(SUMIF(FoodLog!$A:$A,$A64,FoodLog!$G:$G)=0,"",SUMIF(FoodLog!$A:$A,$A64,FoodLog!$G:$G)))</f>
        <v/>
      </c>
      <c r="X64">
        <f>IF($A64="","",IF(SUMIF(FoodLog!$A:$A,$A64,FoodLog!$H:$H)=0,"",SUMIF(FoodLog!$A:$A,$A64,FoodLog!$H:$H)))</f>
        <v/>
      </c>
      <c r="Y64">
        <f>IF($A64="","",IFERROR(ROUND(100*AVERAGE(IF($B64="","",XLOOKUP($B64,FILTER(Dictionaries!$B:$B,Dictionaries!$A:$A="Тренировка"),FILTER(Dictionaries!$C:$C,Dictionaries!$A:$A="Тренировка"))),IF($C64="","",MIN($C64/40,1)),IF($D64="","",XLOOKUP($D64,FILTER(Dictionaries!$B:$B,Dictionaries!$A:$A="Шаги"),FILTER(Dictionaries!$C:$C,Dictionaries!$A:$A="Шаги"))),IF($E64="","",MIN($E64/120,1)),IF(OR($F64&lt;&gt;"",$G64&lt;&gt;""),1,""),IF($H64="","",MIN($H64/100,1)),IF($L64="","",XLOOKUP($L64,FILTER(Dictionaries!$B:$B,Dictionaries!$A:$A="Сон_часы"),FILTER(Dictionaries!$C:$C,Dictionaries!$A:$A="Сон_часы"))),IF($M64="","",XLOOKUP($M64,FILTER(Dictionaries!$B:$B,Dictionaries!$A:$A="Режим"),FILTER(Dictionaries!$C:$C,Dictionaries!$A:$A="Режим"))),IF($N64="","",MIN($N64/100,1)),IF($O64="","",XLOOKUP($O64,FILTER(Dictionaries!$B:$B,Dictionaries!$A:$A="Настроение"),FILTER(Dictionaries!$C:$C,Dictionaries!$A:$A="Настроение"))),IF($P64="","",XLOOKUP($P64,FILTER(Dictionaries!$B:$B,Dictionaries!$A:$A="Энергия"),FILTER(Dictionaries!$C:$C,Dictionaries!$A:$A="Энергия"))),IF($U64="","",AVERAGE(IF(OR($B64="Ноги",$B64="Верх"),IFS(AND($U64&gt;=1900,$U64&lt;=2050),1,AND($U64&gt;=1850,$U64&lt;1900),0.7,AND($U64&gt;2050,$U64&lt;=2100),0.7,TRUE,0.2),IFS(AND($U64&gt;=1700,$U64&lt;=1850),1,AND($U64&gt;=1650,$U64&lt;1700),0.7,AND($U64&gt;1850,$U64&lt;=1900),0.7,TRUE,0.2)),IF(OR($B64="Ноги",$B64="Верх"),IFS(AND($V64&gt;=125,$V64&lt;=135),1,AND($V64&gt;=115,$V64&lt;125),0.7,AND($V64&gt;135,$V64&lt;=145),0.7,AND($V64&gt;=105,$V64&lt;115),0.4,AND($V64&gt;145,$V64&lt;=155),0.4,TRUE,0.2),IFS(AND($V64&gt;=120,$V64&lt;=130),1,AND($V64&gt;=110,$V64&lt;120),0.7,AND($V64&gt;130,$V64&lt;=140),0.7,AND($V64&gt;=100,$V64&lt;110),0.4,AND($V64&gt;140,$V64&lt;=150),0.4,TRUE,0.2)),IFS(AND($W64&gt;=55,$W64&lt;=65),1,AND($W64&gt;=50,$W64&lt;55),0.7,AND($W64&gt;65,$W64&lt;=70),0.7,AND($W64&gt;=45,$W64&lt;50),0.4,AND($W64&gt;70,$W64&lt;=75),0.4,TRUE,0.2),IF(OR($B64="Ноги",$B64="Верх"),IFS(AND($X64&gt;=180,$X64&lt;=210),1,AND($X64&gt;=160,$X64&lt;180),0.7,AND($X64&gt;210,$X64&lt;=230),0.7,AND($X64&gt;=140,$X64&lt;160),0.4,AND($X64&gt;230,$X64&lt;=250),0.4,TRUE,0.2),IFS(AND($X64&gt;=140,$X64&lt;=170),1,AND($X64&gt;=120,$X64&lt;140),0.7,AND($X64&gt;170,$X64&lt;=190),0.7,AND($X64&gt;=100,$X64&lt;120),0.4,AND($X64&gt;190,$X64&lt;=210),0.4,TRUE,0.2))))),1),""))</f>
        <v/>
      </c>
      <c r="Z64">
        <f>IF($A64="","",TEXTJOIN(", ",TRUE,IF($B64="","Тренировка",""),IF($C64="","Кардио",""),IF($D64="","Шаги",""),IF($E64="","Английский",""),IF($F64="","Код-режим",""),IF($G64="","Код-тема",""),IF($H64="","Чтение",""),IF($L64="","Сон",""),IF($M64="","Режим",""),IF($N64="","Продуктивность",""),IF($O64="","Настроение",""),IF($P64="","Энергия",""),IF($U64="","Еда","")))</f>
        <v/>
      </c>
    </row>
    <row r="65">
      <c r="A65" s="2" t="inlineStr"/>
      <c r="J65">
        <f>IF(A65="","",SUMIF(FoodLog!$A:$A,A65,FoodLog!$I:$I))</f>
        <v/>
      </c>
      <c r="K65">
        <f>IF(A65="","",SUMIF(FoodLog!$A:$A,A65,FoodLog!$F:$F))</f>
        <v/>
      </c>
      <c r="L65">
        <f>IF(A65="","",SUMIF(FoodLog!$A:$A,A65,FoodLog!$G:$G))</f>
        <v/>
      </c>
      <c r="M65">
        <f>IF(A65="","",SUMIF(FoodLog!$A:$A,A65,FoodLog!$H:$H))</f>
        <v/>
      </c>
      <c r="N65">
        <f>LET(train,B65,cardio,C65,steps,D65,sleep,E65,reg,F65,prod,I65,kcal,J65,p,K65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5">
        <f>TEXTJOIN(", ",TRUE,IF(B65="","тренировка",""),IF(D65="","шаги",""),IF(E65="","сон",""),IF(F65="","режим",""),IF(G65="","настроение",""),IF(H65="","энергия",""),IF(I65="","продуктивность",""),IF(J65="","еда (ккал)",""))</f>
        <v/>
      </c>
      <c r="U65">
        <f>IF($A65="","",IF(SUMIF(FoodLog!$A:$A,$A65,FoodLog!$I:$I)=0,"",SUMIF(FoodLog!$A:$A,$A65,FoodLog!$I:$I)))</f>
        <v/>
      </c>
      <c r="V65">
        <f>IF($A65="","",IF(SUMIF(FoodLog!$A:$A,$A65,FoodLog!$F:$F)=0,"",SUMIF(FoodLog!$A:$A,$A65,FoodLog!$F:$F)))</f>
        <v/>
      </c>
      <c r="W65">
        <f>IF($A65="","",IF(SUMIF(FoodLog!$A:$A,$A65,FoodLog!$G:$G)=0,"",SUMIF(FoodLog!$A:$A,$A65,FoodLog!$G:$G)))</f>
        <v/>
      </c>
      <c r="X65">
        <f>IF($A65="","",IF(SUMIF(FoodLog!$A:$A,$A65,FoodLog!$H:$H)=0,"",SUMIF(FoodLog!$A:$A,$A65,FoodLog!$H:$H)))</f>
        <v/>
      </c>
      <c r="Y65">
        <f>IF($A65="","",IFERROR(ROUND(100*AVERAGE(IF($B65="","",XLOOKUP($B65,FILTER(Dictionaries!$B:$B,Dictionaries!$A:$A="Тренировка"),FILTER(Dictionaries!$C:$C,Dictionaries!$A:$A="Тренировка"))),IF($C65="","",MIN($C65/40,1)),IF($D65="","",XLOOKUP($D65,FILTER(Dictionaries!$B:$B,Dictionaries!$A:$A="Шаги"),FILTER(Dictionaries!$C:$C,Dictionaries!$A:$A="Шаги"))),IF($E65="","",MIN($E65/120,1)),IF(OR($F65&lt;&gt;"",$G65&lt;&gt;""),1,""),IF($H65="","",MIN($H65/100,1)),IF($L65="","",XLOOKUP($L65,FILTER(Dictionaries!$B:$B,Dictionaries!$A:$A="Сон_часы"),FILTER(Dictionaries!$C:$C,Dictionaries!$A:$A="Сон_часы"))),IF($M65="","",XLOOKUP($M65,FILTER(Dictionaries!$B:$B,Dictionaries!$A:$A="Режим"),FILTER(Dictionaries!$C:$C,Dictionaries!$A:$A="Режим"))),IF($N65="","",MIN($N65/100,1)),IF($O65="","",XLOOKUP($O65,FILTER(Dictionaries!$B:$B,Dictionaries!$A:$A="Настроение"),FILTER(Dictionaries!$C:$C,Dictionaries!$A:$A="Настроение"))),IF($P65="","",XLOOKUP($P65,FILTER(Dictionaries!$B:$B,Dictionaries!$A:$A="Энергия"),FILTER(Dictionaries!$C:$C,Dictionaries!$A:$A="Энергия"))),IF($U65="","",AVERAGE(IF(OR($B65="Ноги",$B65="Верх"),IFS(AND($U65&gt;=1900,$U65&lt;=2050),1,AND($U65&gt;=1850,$U65&lt;1900),0.7,AND($U65&gt;2050,$U65&lt;=2100),0.7,TRUE,0.2),IFS(AND($U65&gt;=1700,$U65&lt;=1850),1,AND($U65&gt;=1650,$U65&lt;1700),0.7,AND($U65&gt;1850,$U65&lt;=1900),0.7,TRUE,0.2)),IF(OR($B65="Ноги",$B65="Верх"),IFS(AND($V65&gt;=125,$V65&lt;=135),1,AND($V65&gt;=115,$V65&lt;125),0.7,AND($V65&gt;135,$V65&lt;=145),0.7,AND($V65&gt;=105,$V65&lt;115),0.4,AND($V65&gt;145,$V65&lt;=155),0.4,TRUE,0.2),IFS(AND($V65&gt;=120,$V65&lt;=130),1,AND($V65&gt;=110,$V65&lt;120),0.7,AND($V65&gt;130,$V65&lt;=140),0.7,AND($V65&gt;=100,$V65&lt;110),0.4,AND($V65&gt;140,$V65&lt;=150),0.4,TRUE,0.2)),IFS(AND($W65&gt;=55,$W65&lt;=65),1,AND($W65&gt;=50,$W65&lt;55),0.7,AND($W65&gt;65,$W65&lt;=70),0.7,AND($W65&gt;=45,$W65&lt;50),0.4,AND($W65&gt;70,$W65&lt;=75),0.4,TRUE,0.2),IF(OR($B65="Ноги",$B65="Верх"),IFS(AND($X65&gt;=180,$X65&lt;=210),1,AND($X65&gt;=160,$X65&lt;180),0.7,AND($X65&gt;210,$X65&lt;=230),0.7,AND($X65&gt;=140,$X65&lt;160),0.4,AND($X65&gt;230,$X65&lt;=250),0.4,TRUE,0.2),IFS(AND($X65&gt;=140,$X65&lt;=170),1,AND($X65&gt;=120,$X65&lt;140),0.7,AND($X65&gt;170,$X65&lt;=190),0.7,AND($X65&gt;=100,$X65&lt;120),0.4,AND($X65&gt;190,$X65&lt;=210),0.4,TRUE,0.2))))),1),""))</f>
        <v/>
      </c>
      <c r="Z65">
        <f>IF($A65="","",TEXTJOIN(", ",TRUE,IF($B65="","Тренировка",""),IF($C65="","Кардио",""),IF($D65="","Шаги",""),IF($E65="","Английский",""),IF($F65="","Код-режим",""),IF($G65="","Код-тема",""),IF($H65="","Чтение",""),IF($L65="","Сон",""),IF($M65="","Режим",""),IF($N65="","Продуктивность",""),IF($O65="","Настроение",""),IF($P65="","Энергия",""),IF($U65="","Еда","")))</f>
        <v/>
      </c>
    </row>
    <row r="66">
      <c r="A66" s="2" t="inlineStr"/>
      <c r="J66">
        <f>IF(A66="","",SUMIF(FoodLog!$A:$A,A66,FoodLog!$I:$I))</f>
        <v/>
      </c>
      <c r="K66">
        <f>IF(A66="","",SUMIF(FoodLog!$A:$A,A66,FoodLog!$F:$F))</f>
        <v/>
      </c>
      <c r="L66">
        <f>IF(A66="","",SUMIF(FoodLog!$A:$A,A66,FoodLog!$G:$G))</f>
        <v/>
      </c>
      <c r="M66">
        <f>IF(A66="","",SUMIF(FoodLog!$A:$A,A66,FoodLog!$H:$H))</f>
        <v/>
      </c>
      <c r="N66">
        <f>LET(train,B66,cardio,C66,steps,D66,sleep,E66,reg,F66,prod,I66,kcal,J66,p,K66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6">
        <f>TEXTJOIN(", ",TRUE,IF(B66="","тренировка",""),IF(D66="","шаги",""),IF(E66="","сон",""),IF(F66="","режим",""),IF(G66="","настроение",""),IF(H66="","энергия",""),IF(I66="","продуктивность",""),IF(J66="","еда (ккал)",""))</f>
        <v/>
      </c>
      <c r="U66">
        <f>IF($A66="","",IF(SUMIF(FoodLog!$A:$A,$A66,FoodLog!$I:$I)=0,"",SUMIF(FoodLog!$A:$A,$A66,FoodLog!$I:$I)))</f>
        <v/>
      </c>
      <c r="V66">
        <f>IF($A66="","",IF(SUMIF(FoodLog!$A:$A,$A66,FoodLog!$F:$F)=0,"",SUMIF(FoodLog!$A:$A,$A66,FoodLog!$F:$F)))</f>
        <v/>
      </c>
      <c r="W66">
        <f>IF($A66="","",IF(SUMIF(FoodLog!$A:$A,$A66,FoodLog!$G:$G)=0,"",SUMIF(FoodLog!$A:$A,$A66,FoodLog!$G:$G)))</f>
        <v/>
      </c>
      <c r="X66">
        <f>IF($A66="","",IF(SUMIF(FoodLog!$A:$A,$A66,FoodLog!$H:$H)=0,"",SUMIF(FoodLog!$A:$A,$A66,FoodLog!$H:$H)))</f>
        <v/>
      </c>
      <c r="Y66">
        <f>IF($A66="","",IFERROR(ROUND(100*AVERAGE(IF($B66="","",XLOOKUP($B66,FILTER(Dictionaries!$B:$B,Dictionaries!$A:$A="Тренировка"),FILTER(Dictionaries!$C:$C,Dictionaries!$A:$A="Тренировка"))),IF($C66="","",MIN($C66/40,1)),IF($D66="","",XLOOKUP($D66,FILTER(Dictionaries!$B:$B,Dictionaries!$A:$A="Шаги"),FILTER(Dictionaries!$C:$C,Dictionaries!$A:$A="Шаги"))),IF($E66="","",MIN($E66/120,1)),IF(OR($F66&lt;&gt;"",$G66&lt;&gt;""),1,""),IF($H66="","",MIN($H66/100,1)),IF($L66="","",XLOOKUP($L66,FILTER(Dictionaries!$B:$B,Dictionaries!$A:$A="Сон_часы"),FILTER(Dictionaries!$C:$C,Dictionaries!$A:$A="Сон_часы"))),IF($M66="","",XLOOKUP($M66,FILTER(Dictionaries!$B:$B,Dictionaries!$A:$A="Режим"),FILTER(Dictionaries!$C:$C,Dictionaries!$A:$A="Режим"))),IF($N66="","",MIN($N66/100,1)),IF($O66="","",XLOOKUP($O66,FILTER(Dictionaries!$B:$B,Dictionaries!$A:$A="Настроение"),FILTER(Dictionaries!$C:$C,Dictionaries!$A:$A="Настроение"))),IF($P66="","",XLOOKUP($P66,FILTER(Dictionaries!$B:$B,Dictionaries!$A:$A="Энергия"),FILTER(Dictionaries!$C:$C,Dictionaries!$A:$A="Энергия"))),IF($U66="","",AVERAGE(IF(OR($B66="Ноги",$B66="Верх"),IFS(AND($U66&gt;=1900,$U66&lt;=2050),1,AND($U66&gt;=1850,$U66&lt;1900),0.7,AND($U66&gt;2050,$U66&lt;=2100),0.7,TRUE,0.2),IFS(AND($U66&gt;=1700,$U66&lt;=1850),1,AND($U66&gt;=1650,$U66&lt;1700),0.7,AND($U66&gt;1850,$U66&lt;=1900),0.7,TRUE,0.2)),IF(OR($B66="Ноги",$B66="Верх"),IFS(AND($V66&gt;=125,$V66&lt;=135),1,AND($V66&gt;=115,$V66&lt;125),0.7,AND($V66&gt;135,$V66&lt;=145),0.7,AND($V66&gt;=105,$V66&lt;115),0.4,AND($V66&gt;145,$V66&lt;=155),0.4,TRUE,0.2),IFS(AND($V66&gt;=120,$V66&lt;=130),1,AND($V66&gt;=110,$V66&lt;120),0.7,AND($V66&gt;130,$V66&lt;=140),0.7,AND($V66&gt;=100,$V66&lt;110),0.4,AND($V66&gt;140,$V66&lt;=150),0.4,TRUE,0.2)),IFS(AND($W66&gt;=55,$W66&lt;=65),1,AND($W66&gt;=50,$W66&lt;55),0.7,AND($W66&gt;65,$W66&lt;=70),0.7,AND($W66&gt;=45,$W66&lt;50),0.4,AND($W66&gt;70,$W66&lt;=75),0.4,TRUE,0.2),IF(OR($B66="Ноги",$B66="Верх"),IFS(AND($X66&gt;=180,$X66&lt;=210),1,AND($X66&gt;=160,$X66&lt;180),0.7,AND($X66&gt;210,$X66&lt;=230),0.7,AND($X66&gt;=140,$X66&lt;160),0.4,AND($X66&gt;230,$X66&lt;=250),0.4,TRUE,0.2),IFS(AND($X66&gt;=140,$X66&lt;=170),1,AND($X66&gt;=120,$X66&lt;140),0.7,AND($X66&gt;170,$X66&lt;=190),0.7,AND($X66&gt;=100,$X66&lt;120),0.4,AND($X66&gt;190,$X66&lt;=210),0.4,TRUE,0.2))))),1),""))</f>
        <v/>
      </c>
      <c r="Z66">
        <f>IF($A66="","",TEXTJOIN(", ",TRUE,IF($B66="","Тренировка",""),IF($C66="","Кардио",""),IF($D66="","Шаги",""),IF($E66="","Английский",""),IF($F66="","Код-режим",""),IF($G66="","Код-тема",""),IF($H66="","Чтение",""),IF($L66="","Сон",""),IF($M66="","Режим",""),IF($N66="","Продуктивность",""),IF($O66="","Настроение",""),IF($P66="","Энергия",""),IF($U66="","Еда","")))</f>
        <v/>
      </c>
    </row>
    <row r="67">
      <c r="A67" s="2" t="inlineStr"/>
      <c r="J67">
        <f>IF(A67="","",SUMIF(FoodLog!$A:$A,A67,FoodLog!$I:$I))</f>
        <v/>
      </c>
      <c r="K67">
        <f>IF(A67="","",SUMIF(FoodLog!$A:$A,A67,FoodLog!$F:$F))</f>
        <v/>
      </c>
      <c r="L67">
        <f>IF(A67="","",SUMIF(FoodLog!$A:$A,A67,FoodLog!$G:$G))</f>
        <v/>
      </c>
      <c r="M67">
        <f>IF(A67="","",SUMIF(FoodLog!$A:$A,A67,FoodLog!$H:$H))</f>
        <v/>
      </c>
      <c r="N67">
        <f>LET(train,B67,cardio,C67,steps,D67,sleep,E67,reg,F67,prod,I67,kcal,J67,p,K67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7">
        <f>TEXTJOIN(", ",TRUE,IF(B67="","тренировка",""),IF(D67="","шаги",""),IF(E67="","сон",""),IF(F67="","режим",""),IF(G67="","настроение",""),IF(H67="","энергия",""),IF(I67="","продуктивность",""),IF(J67="","еда (ккал)",""))</f>
        <v/>
      </c>
      <c r="U67">
        <f>IF($A67="","",IF(SUMIF(FoodLog!$A:$A,$A67,FoodLog!$I:$I)=0,"",SUMIF(FoodLog!$A:$A,$A67,FoodLog!$I:$I)))</f>
        <v/>
      </c>
      <c r="V67">
        <f>IF($A67="","",IF(SUMIF(FoodLog!$A:$A,$A67,FoodLog!$F:$F)=0,"",SUMIF(FoodLog!$A:$A,$A67,FoodLog!$F:$F)))</f>
        <v/>
      </c>
      <c r="W67">
        <f>IF($A67="","",IF(SUMIF(FoodLog!$A:$A,$A67,FoodLog!$G:$G)=0,"",SUMIF(FoodLog!$A:$A,$A67,FoodLog!$G:$G)))</f>
        <v/>
      </c>
      <c r="X67">
        <f>IF($A67="","",IF(SUMIF(FoodLog!$A:$A,$A67,FoodLog!$H:$H)=0,"",SUMIF(FoodLog!$A:$A,$A67,FoodLog!$H:$H)))</f>
        <v/>
      </c>
      <c r="Y67">
        <f>IF($A67="","",IFERROR(ROUND(100*AVERAGE(IF($B67="","",XLOOKUP($B67,FILTER(Dictionaries!$B:$B,Dictionaries!$A:$A="Тренировка"),FILTER(Dictionaries!$C:$C,Dictionaries!$A:$A="Тренировка"))),IF($C67="","",MIN($C67/40,1)),IF($D67="","",XLOOKUP($D67,FILTER(Dictionaries!$B:$B,Dictionaries!$A:$A="Шаги"),FILTER(Dictionaries!$C:$C,Dictionaries!$A:$A="Шаги"))),IF($E67="","",MIN($E67/120,1)),IF(OR($F67&lt;&gt;"",$G67&lt;&gt;""),1,""),IF($H67="","",MIN($H67/100,1)),IF($L67="","",XLOOKUP($L67,FILTER(Dictionaries!$B:$B,Dictionaries!$A:$A="Сон_часы"),FILTER(Dictionaries!$C:$C,Dictionaries!$A:$A="Сон_часы"))),IF($M67="","",XLOOKUP($M67,FILTER(Dictionaries!$B:$B,Dictionaries!$A:$A="Режим"),FILTER(Dictionaries!$C:$C,Dictionaries!$A:$A="Режим"))),IF($N67="","",MIN($N67/100,1)),IF($O67="","",XLOOKUP($O67,FILTER(Dictionaries!$B:$B,Dictionaries!$A:$A="Настроение"),FILTER(Dictionaries!$C:$C,Dictionaries!$A:$A="Настроение"))),IF($P67="","",XLOOKUP($P67,FILTER(Dictionaries!$B:$B,Dictionaries!$A:$A="Энергия"),FILTER(Dictionaries!$C:$C,Dictionaries!$A:$A="Энергия"))),IF($U67="","",AVERAGE(IF(OR($B67="Ноги",$B67="Верх"),IFS(AND($U67&gt;=1900,$U67&lt;=2050),1,AND($U67&gt;=1850,$U67&lt;1900),0.7,AND($U67&gt;2050,$U67&lt;=2100),0.7,TRUE,0.2),IFS(AND($U67&gt;=1700,$U67&lt;=1850),1,AND($U67&gt;=1650,$U67&lt;1700),0.7,AND($U67&gt;1850,$U67&lt;=1900),0.7,TRUE,0.2)),IF(OR($B67="Ноги",$B67="Верх"),IFS(AND($V67&gt;=125,$V67&lt;=135),1,AND($V67&gt;=115,$V67&lt;125),0.7,AND($V67&gt;135,$V67&lt;=145),0.7,AND($V67&gt;=105,$V67&lt;115),0.4,AND($V67&gt;145,$V67&lt;=155),0.4,TRUE,0.2),IFS(AND($V67&gt;=120,$V67&lt;=130),1,AND($V67&gt;=110,$V67&lt;120),0.7,AND($V67&gt;130,$V67&lt;=140),0.7,AND($V67&gt;=100,$V67&lt;110),0.4,AND($V67&gt;140,$V67&lt;=150),0.4,TRUE,0.2)),IFS(AND($W67&gt;=55,$W67&lt;=65),1,AND($W67&gt;=50,$W67&lt;55),0.7,AND($W67&gt;65,$W67&lt;=70),0.7,AND($W67&gt;=45,$W67&lt;50),0.4,AND($W67&gt;70,$W67&lt;=75),0.4,TRUE,0.2),IF(OR($B67="Ноги",$B67="Верх"),IFS(AND($X67&gt;=180,$X67&lt;=210),1,AND($X67&gt;=160,$X67&lt;180),0.7,AND($X67&gt;210,$X67&lt;=230),0.7,AND($X67&gt;=140,$X67&lt;160),0.4,AND($X67&gt;230,$X67&lt;=250),0.4,TRUE,0.2),IFS(AND($X67&gt;=140,$X67&lt;=170),1,AND($X67&gt;=120,$X67&lt;140),0.7,AND($X67&gt;170,$X67&lt;=190),0.7,AND($X67&gt;=100,$X67&lt;120),0.4,AND($X67&gt;190,$X67&lt;=210),0.4,TRUE,0.2))))),1),""))</f>
        <v/>
      </c>
      <c r="Z67">
        <f>IF($A67="","",TEXTJOIN(", ",TRUE,IF($B67="","Тренировка",""),IF($C67="","Кардио",""),IF($D67="","Шаги",""),IF($E67="","Английский",""),IF($F67="","Код-режим",""),IF($G67="","Код-тема",""),IF($H67="","Чтение",""),IF($L67="","Сон",""),IF($M67="","Режим",""),IF($N67="","Продуктивность",""),IF($O67="","Настроение",""),IF($P67="","Энергия",""),IF($U67="","Еда","")))</f>
        <v/>
      </c>
    </row>
    <row r="68">
      <c r="A68" s="2" t="inlineStr"/>
      <c r="J68">
        <f>IF(A68="","",SUMIF(FoodLog!$A:$A,A68,FoodLog!$I:$I))</f>
        <v/>
      </c>
      <c r="K68">
        <f>IF(A68="","",SUMIF(FoodLog!$A:$A,A68,FoodLog!$F:$F))</f>
        <v/>
      </c>
      <c r="L68">
        <f>IF(A68="","",SUMIF(FoodLog!$A:$A,A68,FoodLog!$G:$G))</f>
        <v/>
      </c>
      <c r="M68">
        <f>IF(A68="","",SUMIF(FoodLog!$A:$A,A68,FoodLog!$H:$H))</f>
        <v/>
      </c>
      <c r="N68">
        <f>LET(train,B68,cardio,C68,steps,D68,sleep,E68,reg,F68,prod,I68,kcal,J68,p,K68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8">
        <f>TEXTJOIN(", ",TRUE,IF(B68="","тренировка",""),IF(D68="","шаги",""),IF(E68="","сон",""),IF(F68="","режим",""),IF(G68="","настроение",""),IF(H68="","энергия",""),IF(I68="","продуктивность",""),IF(J68="","еда (ккал)",""))</f>
        <v/>
      </c>
      <c r="U68">
        <f>IF($A68="","",IF(SUMIF(FoodLog!$A:$A,$A68,FoodLog!$I:$I)=0,"",SUMIF(FoodLog!$A:$A,$A68,FoodLog!$I:$I)))</f>
        <v/>
      </c>
      <c r="V68">
        <f>IF($A68="","",IF(SUMIF(FoodLog!$A:$A,$A68,FoodLog!$F:$F)=0,"",SUMIF(FoodLog!$A:$A,$A68,FoodLog!$F:$F)))</f>
        <v/>
      </c>
      <c r="W68">
        <f>IF($A68="","",IF(SUMIF(FoodLog!$A:$A,$A68,FoodLog!$G:$G)=0,"",SUMIF(FoodLog!$A:$A,$A68,FoodLog!$G:$G)))</f>
        <v/>
      </c>
      <c r="X68">
        <f>IF($A68="","",IF(SUMIF(FoodLog!$A:$A,$A68,FoodLog!$H:$H)=0,"",SUMIF(FoodLog!$A:$A,$A68,FoodLog!$H:$H)))</f>
        <v/>
      </c>
      <c r="Y68">
        <f>IF($A68="","",IFERROR(ROUND(100*AVERAGE(IF($B68="","",XLOOKUP($B68,FILTER(Dictionaries!$B:$B,Dictionaries!$A:$A="Тренировка"),FILTER(Dictionaries!$C:$C,Dictionaries!$A:$A="Тренировка"))),IF($C68="","",MIN($C68/40,1)),IF($D68="","",XLOOKUP($D68,FILTER(Dictionaries!$B:$B,Dictionaries!$A:$A="Шаги"),FILTER(Dictionaries!$C:$C,Dictionaries!$A:$A="Шаги"))),IF($E68="","",MIN($E68/120,1)),IF(OR($F68&lt;&gt;"",$G68&lt;&gt;""),1,""),IF($H68="","",MIN($H68/100,1)),IF($L68="","",XLOOKUP($L68,FILTER(Dictionaries!$B:$B,Dictionaries!$A:$A="Сон_часы"),FILTER(Dictionaries!$C:$C,Dictionaries!$A:$A="Сон_часы"))),IF($M68="","",XLOOKUP($M68,FILTER(Dictionaries!$B:$B,Dictionaries!$A:$A="Режим"),FILTER(Dictionaries!$C:$C,Dictionaries!$A:$A="Режим"))),IF($N68="","",MIN($N68/100,1)),IF($O68="","",XLOOKUP($O68,FILTER(Dictionaries!$B:$B,Dictionaries!$A:$A="Настроение"),FILTER(Dictionaries!$C:$C,Dictionaries!$A:$A="Настроение"))),IF($P68="","",XLOOKUP($P68,FILTER(Dictionaries!$B:$B,Dictionaries!$A:$A="Энергия"),FILTER(Dictionaries!$C:$C,Dictionaries!$A:$A="Энергия"))),IF($U68="","",AVERAGE(IF(OR($B68="Ноги",$B68="Верх"),IFS(AND($U68&gt;=1900,$U68&lt;=2050),1,AND($U68&gt;=1850,$U68&lt;1900),0.7,AND($U68&gt;2050,$U68&lt;=2100),0.7,TRUE,0.2),IFS(AND($U68&gt;=1700,$U68&lt;=1850),1,AND($U68&gt;=1650,$U68&lt;1700),0.7,AND($U68&gt;1850,$U68&lt;=1900),0.7,TRUE,0.2)),IF(OR($B68="Ноги",$B68="Верх"),IFS(AND($V68&gt;=125,$V68&lt;=135),1,AND($V68&gt;=115,$V68&lt;125),0.7,AND($V68&gt;135,$V68&lt;=145),0.7,AND($V68&gt;=105,$V68&lt;115),0.4,AND($V68&gt;145,$V68&lt;=155),0.4,TRUE,0.2),IFS(AND($V68&gt;=120,$V68&lt;=130),1,AND($V68&gt;=110,$V68&lt;120),0.7,AND($V68&gt;130,$V68&lt;=140),0.7,AND($V68&gt;=100,$V68&lt;110),0.4,AND($V68&gt;140,$V68&lt;=150),0.4,TRUE,0.2)),IFS(AND($W68&gt;=55,$W68&lt;=65),1,AND($W68&gt;=50,$W68&lt;55),0.7,AND($W68&gt;65,$W68&lt;=70),0.7,AND($W68&gt;=45,$W68&lt;50),0.4,AND($W68&gt;70,$W68&lt;=75),0.4,TRUE,0.2),IF(OR($B68="Ноги",$B68="Верх"),IFS(AND($X68&gt;=180,$X68&lt;=210),1,AND($X68&gt;=160,$X68&lt;180),0.7,AND($X68&gt;210,$X68&lt;=230),0.7,AND($X68&gt;=140,$X68&lt;160),0.4,AND($X68&gt;230,$X68&lt;=250),0.4,TRUE,0.2),IFS(AND($X68&gt;=140,$X68&lt;=170),1,AND($X68&gt;=120,$X68&lt;140),0.7,AND($X68&gt;170,$X68&lt;=190),0.7,AND($X68&gt;=100,$X68&lt;120),0.4,AND($X68&gt;190,$X68&lt;=210),0.4,TRUE,0.2))))),1),""))</f>
        <v/>
      </c>
      <c r="Z68">
        <f>IF($A68="","",TEXTJOIN(", ",TRUE,IF($B68="","Тренировка",""),IF($C68="","Кардио",""),IF($D68="","Шаги",""),IF($E68="","Английский",""),IF($F68="","Код-режим",""),IF($G68="","Код-тема",""),IF($H68="","Чтение",""),IF($L68="","Сон",""),IF($M68="","Режим",""),IF($N68="","Продуктивность",""),IF($O68="","Настроение",""),IF($P68="","Энергия",""),IF($U68="","Еда","")))</f>
        <v/>
      </c>
    </row>
    <row r="69">
      <c r="A69" s="2" t="inlineStr"/>
      <c r="J69">
        <f>IF(A69="","",SUMIF(FoodLog!$A:$A,A69,FoodLog!$I:$I))</f>
        <v/>
      </c>
      <c r="K69">
        <f>IF(A69="","",SUMIF(FoodLog!$A:$A,A69,FoodLog!$F:$F))</f>
        <v/>
      </c>
      <c r="L69">
        <f>IF(A69="","",SUMIF(FoodLog!$A:$A,A69,FoodLog!$G:$G))</f>
        <v/>
      </c>
      <c r="M69">
        <f>IF(A69="","",SUMIF(FoodLog!$A:$A,A69,FoodLog!$H:$H))</f>
        <v/>
      </c>
      <c r="N69">
        <f>LET(train,B69,cardio,C69,steps,D69,sleep,E69,reg,F69,prod,I69,kcal,J69,p,K69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69">
        <f>TEXTJOIN(", ",TRUE,IF(B69="","тренировка",""),IF(D69="","шаги",""),IF(E69="","сон",""),IF(F69="","режим",""),IF(G69="","настроение",""),IF(H69="","энергия",""),IF(I69="","продуктивность",""),IF(J69="","еда (ккал)",""))</f>
        <v/>
      </c>
      <c r="U69">
        <f>IF($A69="","",IF(SUMIF(FoodLog!$A:$A,$A69,FoodLog!$I:$I)=0,"",SUMIF(FoodLog!$A:$A,$A69,FoodLog!$I:$I)))</f>
        <v/>
      </c>
      <c r="V69">
        <f>IF($A69="","",IF(SUMIF(FoodLog!$A:$A,$A69,FoodLog!$F:$F)=0,"",SUMIF(FoodLog!$A:$A,$A69,FoodLog!$F:$F)))</f>
        <v/>
      </c>
      <c r="W69">
        <f>IF($A69="","",IF(SUMIF(FoodLog!$A:$A,$A69,FoodLog!$G:$G)=0,"",SUMIF(FoodLog!$A:$A,$A69,FoodLog!$G:$G)))</f>
        <v/>
      </c>
      <c r="X69">
        <f>IF($A69="","",IF(SUMIF(FoodLog!$A:$A,$A69,FoodLog!$H:$H)=0,"",SUMIF(FoodLog!$A:$A,$A69,FoodLog!$H:$H)))</f>
        <v/>
      </c>
      <c r="Y69">
        <f>IF($A69="","",IFERROR(ROUND(100*AVERAGE(IF($B69="","",XLOOKUP($B69,FILTER(Dictionaries!$B:$B,Dictionaries!$A:$A="Тренировка"),FILTER(Dictionaries!$C:$C,Dictionaries!$A:$A="Тренировка"))),IF($C69="","",MIN($C69/40,1)),IF($D69="","",XLOOKUP($D69,FILTER(Dictionaries!$B:$B,Dictionaries!$A:$A="Шаги"),FILTER(Dictionaries!$C:$C,Dictionaries!$A:$A="Шаги"))),IF($E69="","",MIN($E69/120,1)),IF(OR($F69&lt;&gt;"",$G69&lt;&gt;""),1,""),IF($H69="","",MIN($H69/100,1)),IF($L69="","",XLOOKUP($L69,FILTER(Dictionaries!$B:$B,Dictionaries!$A:$A="Сон_часы"),FILTER(Dictionaries!$C:$C,Dictionaries!$A:$A="Сон_часы"))),IF($M69="","",XLOOKUP($M69,FILTER(Dictionaries!$B:$B,Dictionaries!$A:$A="Режим"),FILTER(Dictionaries!$C:$C,Dictionaries!$A:$A="Режим"))),IF($N69="","",MIN($N69/100,1)),IF($O69="","",XLOOKUP($O69,FILTER(Dictionaries!$B:$B,Dictionaries!$A:$A="Настроение"),FILTER(Dictionaries!$C:$C,Dictionaries!$A:$A="Настроение"))),IF($P69="","",XLOOKUP($P69,FILTER(Dictionaries!$B:$B,Dictionaries!$A:$A="Энергия"),FILTER(Dictionaries!$C:$C,Dictionaries!$A:$A="Энергия"))),IF($U69="","",AVERAGE(IF(OR($B69="Ноги",$B69="Верх"),IFS(AND($U69&gt;=1900,$U69&lt;=2050),1,AND($U69&gt;=1850,$U69&lt;1900),0.7,AND($U69&gt;2050,$U69&lt;=2100),0.7,TRUE,0.2),IFS(AND($U69&gt;=1700,$U69&lt;=1850),1,AND($U69&gt;=1650,$U69&lt;1700),0.7,AND($U69&gt;1850,$U69&lt;=1900),0.7,TRUE,0.2)),IF(OR($B69="Ноги",$B69="Верх"),IFS(AND($V69&gt;=125,$V69&lt;=135),1,AND($V69&gt;=115,$V69&lt;125),0.7,AND($V69&gt;135,$V69&lt;=145),0.7,AND($V69&gt;=105,$V69&lt;115),0.4,AND($V69&gt;145,$V69&lt;=155),0.4,TRUE,0.2),IFS(AND($V69&gt;=120,$V69&lt;=130),1,AND($V69&gt;=110,$V69&lt;120),0.7,AND($V69&gt;130,$V69&lt;=140),0.7,AND($V69&gt;=100,$V69&lt;110),0.4,AND($V69&gt;140,$V69&lt;=150),0.4,TRUE,0.2)),IFS(AND($W69&gt;=55,$W69&lt;=65),1,AND($W69&gt;=50,$W69&lt;55),0.7,AND($W69&gt;65,$W69&lt;=70),0.7,AND($W69&gt;=45,$W69&lt;50),0.4,AND($W69&gt;70,$W69&lt;=75),0.4,TRUE,0.2),IF(OR($B69="Ноги",$B69="Верх"),IFS(AND($X69&gt;=180,$X69&lt;=210),1,AND($X69&gt;=160,$X69&lt;180),0.7,AND($X69&gt;210,$X69&lt;=230),0.7,AND($X69&gt;=140,$X69&lt;160),0.4,AND($X69&gt;230,$X69&lt;=250),0.4,TRUE,0.2),IFS(AND($X69&gt;=140,$X69&lt;=170),1,AND($X69&gt;=120,$X69&lt;140),0.7,AND($X69&gt;170,$X69&lt;=190),0.7,AND($X69&gt;=100,$X69&lt;120),0.4,AND($X69&gt;190,$X69&lt;=210),0.4,TRUE,0.2))))),1),""))</f>
        <v/>
      </c>
      <c r="Z69">
        <f>IF($A69="","",TEXTJOIN(", ",TRUE,IF($B69="","Тренировка",""),IF($C69="","Кардио",""),IF($D69="","Шаги",""),IF($E69="","Английский",""),IF($F69="","Код-режим",""),IF($G69="","Код-тема",""),IF($H69="","Чтение",""),IF($L69="","Сон",""),IF($M69="","Режим",""),IF($N69="","Продуктивность",""),IF($O69="","Настроение",""),IF($P69="","Энергия",""),IF($U69="","Еда","")))</f>
        <v/>
      </c>
    </row>
    <row r="70">
      <c r="A70" s="2" t="inlineStr"/>
      <c r="J70">
        <f>IF(A70="","",SUMIF(FoodLog!$A:$A,A70,FoodLog!$I:$I))</f>
        <v/>
      </c>
      <c r="K70">
        <f>IF(A70="","",SUMIF(FoodLog!$A:$A,A70,FoodLog!$F:$F))</f>
        <v/>
      </c>
      <c r="L70">
        <f>IF(A70="","",SUMIF(FoodLog!$A:$A,A70,FoodLog!$G:$G))</f>
        <v/>
      </c>
      <c r="M70">
        <f>IF(A70="","",SUMIF(FoodLog!$A:$A,A70,FoodLog!$H:$H))</f>
        <v/>
      </c>
      <c r="N70">
        <f>LET(train,B70,cardio,C70,steps,D70,sleep,E70,reg,F70,prod,I70,kcal,J70,p,K70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0">
        <f>TEXTJOIN(", ",TRUE,IF(B70="","тренировка",""),IF(D70="","шаги",""),IF(E70="","сон",""),IF(F70="","режим",""),IF(G70="","настроение",""),IF(H70="","энергия",""),IF(I70="","продуктивность",""),IF(J70="","еда (ккал)",""))</f>
        <v/>
      </c>
      <c r="U70">
        <f>IF($A70="","",IF(SUMIF(FoodLog!$A:$A,$A70,FoodLog!$I:$I)=0,"",SUMIF(FoodLog!$A:$A,$A70,FoodLog!$I:$I)))</f>
        <v/>
      </c>
      <c r="V70">
        <f>IF($A70="","",IF(SUMIF(FoodLog!$A:$A,$A70,FoodLog!$F:$F)=0,"",SUMIF(FoodLog!$A:$A,$A70,FoodLog!$F:$F)))</f>
        <v/>
      </c>
      <c r="W70">
        <f>IF($A70="","",IF(SUMIF(FoodLog!$A:$A,$A70,FoodLog!$G:$G)=0,"",SUMIF(FoodLog!$A:$A,$A70,FoodLog!$G:$G)))</f>
        <v/>
      </c>
      <c r="X70">
        <f>IF($A70="","",IF(SUMIF(FoodLog!$A:$A,$A70,FoodLog!$H:$H)=0,"",SUMIF(FoodLog!$A:$A,$A70,FoodLog!$H:$H)))</f>
        <v/>
      </c>
      <c r="Y70">
        <f>IF($A70="","",IFERROR(ROUND(100*AVERAGE(IF($B70="","",XLOOKUP($B70,FILTER(Dictionaries!$B:$B,Dictionaries!$A:$A="Тренировка"),FILTER(Dictionaries!$C:$C,Dictionaries!$A:$A="Тренировка"))),IF($C70="","",MIN($C70/40,1)),IF($D70="","",XLOOKUP($D70,FILTER(Dictionaries!$B:$B,Dictionaries!$A:$A="Шаги"),FILTER(Dictionaries!$C:$C,Dictionaries!$A:$A="Шаги"))),IF($E70="","",MIN($E70/120,1)),IF(OR($F70&lt;&gt;"",$G70&lt;&gt;""),1,""),IF($H70="","",MIN($H70/100,1)),IF($L70="","",XLOOKUP($L70,FILTER(Dictionaries!$B:$B,Dictionaries!$A:$A="Сон_часы"),FILTER(Dictionaries!$C:$C,Dictionaries!$A:$A="Сон_часы"))),IF($M70="","",XLOOKUP($M70,FILTER(Dictionaries!$B:$B,Dictionaries!$A:$A="Режим"),FILTER(Dictionaries!$C:$C,Dictionaries!$A:$A="Режим"))),IF($N70="","",MIN($N70/100,1)),IF($O70="","",XLOOKUP($O70,FILTER(Dictionaries!$B:$B,Dictionaries!$A:$A="Настроение"),FILTER(Dictionaries!$C:$C,Dictionaries!$A:$A="Настроение"))),IF($P70="","",XLOOKUP($P70,FILTER(Dictionaries!$B:$B,Dictionaries!$A:$A="Энергия"),FILTER(Dictionaries!$C:$C,Dictionaries!$A:$A="Энергия"))),IF($U70="","",AVERAGE(IF(OR($B70="Ноги",$B70="Верх"),IFS(AND($U70&gt;=1900,$U70&lt;=2050),1,AND($U70&gt;=1850,$U70&lt;1900),0.7,AND($U70&gt;2050,$U70&lt;=2100),0.7,TRUE,0.2),IFS(AND($U70&gt;=1700,$U70&lt;=1850),1,AND($U70&gt;=1650,$U70&lt;1700),0.7,AND($U70&gt;1850,$U70&lt;=1900),0.7,TRUE,0.2)),IF(OR($B70="Ноги",$B70="Верх"),IFS(AND($V70&gt;=125,$V70&lt;=135),1,AND($V70&gt;=115,$V70&lt;125),0.7,AND($V70&gt;135,$V70&lt;=145),0.7,AND($V70&gt;=105,$V70&lt;115),0.4,AND($V70&gt;145,$V70&lt;=155),0.4,TRUE,0.2),IFS(AND($V70&gt;=120,$V70&lt;=130),1,AND($V70&gt;=110,$V70&lt;120),0.7,AND($V70&gt;130,$V70&lt;=140),0.7,AND($V70&gt;=100,$V70&lt;110),0.4,AND($V70&gt;140,$V70&lt;=150),0.4,TRUE,0.2)),IFS(AND($W70&gt;=55,$W70&lt;=65),1,AND($W70&gt;=50,$W70&lt;55),0.7,AND($W70&gt;65,$W70&lt;=70),0.7,AND($W70&gt;=45,$W70&lt;50),0.4,AND($W70&gt;70,$W70&lt;=75),0.4,TRUE,0.2),IF(OR($B70="Ноги",$B70="Верх"),IFS(AND($X70&gt;=180,$X70&lt;=210),1,AND($X70&gt;=160,$X70&lt;180),0.7,AND($X70&gt;210,$X70&lt;=230),0.7,AND($X70&gt;=140,$X70&lt;160),0.4,AND($X70&gt;230,$X70&lt;=250),0.4,TRUE,0.2),IFS(AND($X70&gt;=140,$X70&lt;=170),1,AND($X70&gt;=120,$X70&lt;140),0.7,AND($X70&gt;170,$X70&lt;=190),0.7,AND($X70&gt;=100,$X70&lt;120),0.4,AND($X70&gt;190,$X70&lt;=210),0.4,TRUE,0.2))))),1),""))</f>
        <v/>
      </c>
      <c r="Z70">
        <f>IF($A70="","",TEXTJOIN(", ",TRUE,IF($B70="","Тренировка",""),IF($C70="","Кардио",""),IF($D70="","Шаги",""),IF($E70="","Английский",""),IF($F70="","Код-режим",""),IF($G70="","Код-тема",""),IF($H70="","Чтение",""),IF($L70="","Сон",""),IF($M70="","Режим",""),IF($N70="","Продуктивность",""),IF($O70="","Настроение",""),IF($P70="","Энергия",""),IF($U70="","Еда","")))</f>
        <v/>
      </c>
    </row>
    <row r="71">
      <c r="A71" s="2" t="inlineStr"/>
      <c r="J71">
        <f>IF(A71="","",SUMIF(FoodLog!$A:$A,A71,FoodLog!$I:$I))</f>
        <v/>
      </c>
      <c r="K71">
        <f>IF(A71="","",SUMIF(FoodLog!$A:$A,A71,FoodLog!$F:$F))</f>
        <v/>
      </c>
      <c r="L71">
        <f>IF(A71="","",SUMIF(FoodLog!$A:$A,A71,FoodLog!$G:$G))</f>
        <v/>
      </c>
      <c r="M71">
        <f>IF(A71="","",SUMIF(FoodLog!$A:$A,A71,FoodLog!$H:$H))</f>
        <v/>
      </c>
      <c r="N71">
        <f>LET(train,B71,cardio,C71,steps,D71,sleep,E71,reg,F71,prod,I71,kcal,J71,p,K71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1">
        <f>TEXTJOIN(", ",TRUE,IF(B71="","тренировка",""),IF(D71="","шаги",""),IF(E71="","сон",""),IF(F71="","режим",""),IF(G71="","настроение",""),IF(H71="","энергия",""),IF(I71="","продуктивность",""),IF(J71="","еда (ккал)",""))</f>
        <v/>
      </c>
      <c r="U71">
        <f>IF($A71="","",IF(SUMIF(FoodLog!$A:$A,$A71,FoodLog!$I:$I)=0,"",SUMIF(FoodLog!$A:$A,$A71,FoodLog!$I:$I)))</f>
        <v/>
      </c>
      <c r="V71">
        <f>IF($A71="","",IF(SUMIF(FoodLog!$A:$A,$A71,FoodLog!$F:$F)=0,"",SUMIF(FoodLog!$A:$A,$A71,FoodLog!$F:$F)))</f>
        <v/>
      </c>
      <c r="W71">
        <f>IF($A71="","",IF(SUMIF(FoodLog!$A:$A,$A71,FoodLog!$G:$G)=0,"",SUMIF(FoodLog!$A:$A,$A71,FoodLog!$G:$G)))</f>
        <v/>
      </c>
      <c r="X71">
        <f>IF($A71="","",IF(SUMIF(FoodLog!$A:$A,$A71,FoodLog!$H:$H)=0,"",SUMIF(FoodLog!$A:$A,$A71,FoodLog!$H:$H)))</f>
        <v/>
      </c>
      <c r="Y71">
        <f>IF($A71="","",IFERROR(ROUND(100*AVERAGE(IF($B71="","",XLOOKUP($B71,FILTER(Dictionaries!$B:$B,Dictionaries!$A:$A="Тренировка"),FILTER(Dictionaries!$C:$C,Dictionaries!$A:$A="Тренировка"))),IF($C71="","",MIN($C71/40,1)),IF($D71="","",XLOOKUP($D71,FILTER(Dictionaries!$B:$B,Dictionaries!$A:$A="Шаги"),FILTER(Dictionaries!$C:$C,Dictionaries!$A:$A="Шаги"))),IF($E71="","",MIN($E71/120,1)),IF(OR($F71&lt;&gt;"",$G71&lt;&gt;""),1,""),IF($H71="","",MIN($H71/100,1)),IF($L71="","",XLOOKUP($L71,FILTER(Dictionaries!$B:$B,Dictionaries!$A:$A="Сон_часы"),FILTER(Dictionaries!$C:$C,Dictionaries!$A:$A="Сон_часы"))),IF($M71="","",XLOOKUP($M71,FILTER(Dictionaries!$B:$B,Dictionaries!$A:$A="Режим"),FILTER(Dictionaries!$C:$C,Dictionaries!$A:$A="Режим"))),IF($N71="","",MIN($N71/100,1)),IF($O71="","",XLOOKUP($O71,FILTER(Dictionaries!$B:$B,Dictionaries!$A:$A="Настроение"),FILTER(Dictionaries!$C:$C,Dictionaries!$A:$A="Настроение"))),IF($P71="","",XLOOKUP($P71,FILTER(Dictionaries!$B:$B,Dictionaries!$A:$A="Энергия"),FILTER(Dictionaries!$C:$C,Dictionaries!$A:$A="Энергия"))),IF($U71="","",AVERAGE(IF(OR($B71="Ноги",$B71="Верх"),IFS(AND($U71&gt;=1900,$U71&lt;=2050),1,AND($U71&gt;=1850,$U71&lt;1900),0.7,AND($U71&gt;2050,$U71&lt;=2100),0.7,TRUE,0.2),IFS(AND($U71&gt;=1700,$U71&lt;=1850),1,AND($U71&gt;=1650,$U71&lt;1700),0.7,AND($U71&gt;1850,$U71&lt;=1900),0.7,TRUE,0.2)),IF(OR($B71="Ноги",$B71="Верх"),IFS(AND($V71&gt;=125,$V71&lt;=135),1,AND($V71&gt;=115,$V71&lt;125),0.7,AND($V71&gt;135,$V71&lt;=145),0.7,AND($V71&gt;=105,$V71&lt;115),0.4,AND($V71&gt;145,$V71&lt;=155),0.4,TRUE,0.2),IFS(AND($V71&gt;=120,$V71&lt;=130),1,AND($V71&gt;=110,$V71&lt;120),0.7,AND($V71&gt;130,$V71&lt;=140),0.7,AND($V71&gt;=100,$V71&lt;110),0.4,AND($V71&gt;140,$V71&lt;=150),0.4,TRUE,0.2)),IFS(AND($W71&gt;=55,$W71&lt;=65),1,AND($W71&gt;=50,$W71&lt;55),0.7,AND($W71&gt;65,$W71&lt;=70),0.7,AND($W71&gt;=45,$W71&lt;50),0.4,AND($W71&gt;70,$W71&lt;=75),0.4,TRUE,0.2),IF(OR($B71="Ноги",$B71="Верх"),IFS(AND($X71&gt;=180,$X71&lt;=210),1,AND($X71&gt;=160,$X71&lt;180),0.7,AND($X71&gt;210,$X71&lt;=230),0.7,AND($X71&gt;=140,$X71&lt;160),0.4,AND($X71&gt;230,$X71&lt;=250),0.4,TRUE,0.2),IFS(AND($X71&gt;=140,$X71&lt;=170),1,AND($X71&gt;=120,$X71&lt;140),0.7,AND($X71&gt;170,$X71&lt;=190),0.7,AND($X71&gt;=100,$X71&lt;120),0.4,AND($X71&gt;190,$X71&lt;=210),0.4,TRUE,0.2))))),1),""))</f>
        <v/>
      </c>
      <c r="Z71">
        <f>IF($A71="","",TEXTJOIN(", ",TRUE,IF($B71="","Тренировка",""),IF($C71="","Кардио",""),IF($D71="","Шаги",""),IF($E71="","Английский",""),IF($F71="","Код-режим",""),IF($G71="","Код-тема",""),IF($H71="","Чтение",""),IF($L71="","Сон",""),IF($M71="","Режим",""),IF($N71="","Продуктивность",""),IF($O71="","Настроение",""),IF($P71="","Энергия",""),IF($U71="","Еда","")))</f>
        <v/>
      </c>
    </row>
    <row r="72">
      <c r="A72" s="2" t="inlineStr"/>
      <c r="J72">
        <f>IF(A72="","",SUMIF(FoodLog!$A:$A,A72,FoodLog!$I:$I))</f>
        <v/>
      </c>
      <c r="K72">
        <f>IF(A72="","",SUMIF(FoodLog!$A:$A,A72,FoodLog!$F:$F))</f>
        <v/>
      </c>
      <c r="L72">
        <f>IF(A72="","",SUMIF(FoodLog!$A:$A,A72,FoodLog!$G:$G))</f>
        <v/>
      </c>
      <c r="M72">
        <f>IF(A72="","",SUMIF(FoodLog!$A:$A,A72,FoodLog!$H:$H))</f>
        <v/>
      </c>
      <c r="N72">
        <f>LET(train,B72,cardio,C72,steps,D72,sleep,E72,reg,F72,prod,I72,kcal,J72,p,K72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2">
        <f>TEXTJOIN(", ",TRUE,IF(B72="","тренировка",""),IF(D72="","шаги",""),IF(E72="","сон",""),IF(F72="","режим",""),IF(G72="","настроение",""),IF(H72="","энергия",""),IF(I72="","продуктивность",""),IF(J72="","еда (ккал)",""))</f>
        <v/>
      </c>
      <c r="U72">
        <f>IF($A72="","",IF(SUMIF(FoodLog!$A:$A,$A72,FoodLog!$I:$I)=0,"",SUMIF(FoodLog!$A:$A,$A72,FoodLog!$I:$I)))</f>
        <v/>
      </c>
      <c r="V72">
        <f>IF($A72="","",IF(SUMIF(FoodLog!$A:$A,$A72,FoodLog!$F:$F)=0,"",SUMIF(FoodLog!$A:$A,$A72,FoodLog!$F:$F)))</f>
        <v/>
      </c>
      <c r="W72">
        <f>IF($A72="","",IF(SUMIF(FoodLog!$A:$A,$A72,FoodLog!$G:$G)=0,"",SUMIF(FoodLog!$A:$A,$A72,FoodLog!$G:$G)))</f>
        <v/>
      </c>
      <c r="X72">
        <f>IF($A72="","",IF(SUMIF(FoodLog!$A:$A,$A72,FoodLog!$H:$H)=0,"",SUMIF(FoodLog!$A:$A,$A72,FoodLog!$H:$H)))</f>
        <v/>
      </c>
      <c r="Y72">
        <f>IF($A72="","",IFERROR(ROUND(100*AVERAGE(IF($B72="","",XLOOKUP($B72,FILTER(Dictionaries!$B:$B,Dictionaries!$A:$A="Тренировка"),FILTER(Dictionaries!$C:$C,Dictionaries!$A:$A="Тренировка"))),IF($C72="","",MIN($C72/40,1)),IF($D72="","",XLOOKUP($D72,FILTER(Dictionaries!$B:$B,Dictionaries!$A:$A="Шаги"),FILTER(Dictionaries!$C:$C,Dictionaries!$A:$A="Шаги"))),IF($E72="","",MIN($E72/120,1)),IF(OR($F72&lt;&gt;"",$G72&lt;&gt;""),1,""),IF($H72="","",MIN($H72/100,1)),IF($L72="","",XLOOKUP($L72,FILTER(Dictionaries!$B:$B,Dictionaries!$A:$A="Сон_часы"),FILTER(Dictionaries!$C:$C,Dictionaries!$A:$A="Сон_часы"))),IF($M72="","",XLOOKUP($M72,FILTER(Dictionaries!$B:$B,Dictionaries!$A:$A="Режим"),FILTER(Dictionaries!$C:$C,Dictionaries!$A:$A="Режим"))),IF($N72="","",MIN($N72/100,1)),IF($O72="","",XLOOKUP($O72,FILTER(Dictionaries!$B:$B,Dictionaries!$A:$A="Настроение"),FILTER(Dictionaries!$C:$C,Dictionaries!$A:$A="Настроение"))),IF($P72="","",XLOOKUP($P72,FILTER(Dictionaries!$B:$B,Dictionaries!$A:$A="Энергия"),FILTER(Dictionaries!$C:$C,Dictionaries!$A:$A="Энергия"))),IF($U72="","",AVERAGE(IF(OR($B72="Ноги",$B72="Верх"),IFS(AND($U72&gt;=1900,$U72&lt;=2050),1,AND($U72&gt;=1850,$U72&lt;1900),0.7,AND($U72&gt;2050,$U72&lt;=2100),0.7,TRUE,0.2),IFS(AND($U72&gt;=1700,$U72&lt;=1850),1,AND($U72&gt;=1650,$U72&lt;1700),0.7,AND($U72&gt;1850,$U72&lt;=1900),0.7,TRUE,0.2)),IF(OR($B72="Ноги",$B72="Верх"),IFS(AND($V72&gt;=125,$V72&lt;=135),1,AND($V72&gt;=115,$V72&lt;125),0.7,AND($V72&gt;135,$V72&lt;=145),0.7,AND($V72&gt;=105,$V72&lt;115),0.4,AND($V72&gt;145,$V72&lt;=155),0.4,TRUE,0.2),IFS(AND($V72&gt;=120,$V72&lt;=130),1,AND($V72&gt;=110,$V72&lt;120),0.7,AND($V72&gt;130,$V72&lt;=140),0.7,AND($V72&gt;=100,$V72&lt;110),0.4,AND($V72&gt;140,$V72&lt;=150),0.4,TRUE,0.2)),IFS(AND($W72&gt;=55,$W72&lt;=65),1,AND($W72&gt;=50,$W72&lt;55),0.7,AND($W72&gt;65,$W72&lt;=70),0.7,AND($W72&gt;=45,$W72&lt;50),0.4,AND($W72&gt;70,$W72&lt;=75),0.4,TRUE,0.2),IF(OR($B72="Ноги",$B72="Верх"),IFS(AND($X72&gt;=180,$X72&lt;=210),1,AND($X72&gt;=160,$X72&lt;180),0.7,AND($X72&gt;210,$X72&lt;=230),0.7,AND($X72&gt;=140,$X72&lt;160),0.4,AND($X72&gt;230,$X72&lt;=250),0.4,TRUE,0.2),IFS(AND($X72&gt;=140,$X72&lt;=170),1,AND($X72&gt;=120,$X72&lt;140),0.7,AND($X72&gt;170,$X72&lt;=190),0.7,AND($X72&gt;=100,$X72&lt;120),0.4,AND($X72&gt;190,$X72&lt;=210),0.4,TRUE,0.2))))),1),""))</f>
        <v/>
      </c>
      <c r="Z72">
        <f>IF($A72="","",TEXTJOIN(", ",TRUE,IF($B72="","Тренировка",""),IF($C72="","Кардио",""),IF($D72="","Шаги",""),IF($E72="","Английский",""),IF($F72="","Код-режим",""),IF($G72="","Код-тема",""),IF($H72="","Чтение",""),IF($L72="","Сон",""),IF($M72="","Режим",""),IF($N72="","Продуктивность",""),IF($O72="","Настроение",""),IF($P72="","Энергия",""),IF($U72="","Еда","")))</f>
        <v/>
      </c>
    </row>
    <row r="73">
      <c r="A73" s="2" t="inlineStr"/>
      <c r="J73">
        <f>IF(A73="","",SUMIF(FoodLog!$A:$A,A73,FoodLog!$I:$I))</f>
        <v/>
      </c>
      <c r="K73">
        <f>IF(A73="","",SUMIF(FoodLog!$A:$A,A73,FoodLog!$F:$F))</f>
        <v/>
      </c>
      <c r="L73">
        <f>IF(A73="","",SUMIF(FoodLog!$A:$A,A73,FoodLog!$G:$G))</f>
        <v/>
      </c>
      <c r="M73">
        <f>IF(A73="","",SUMIF(FoodLog!$A:$A,A73,FoodLog!$H:$H))</f>
        <v/>
      </c>
      <c r="N73">
        <f>LET(train,B73,cardio,C73,steps,D73,sleep,E73,reg,F73,prod,I73,kcal,J73,p,K73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3">
        <f>TEXTJOIN(", ",TRUE,IF(B73="","тренировка",""),IF(D73="","шаги",""),IF(E73="","сон",""),IF(F73="","режим",""),IF(G73="","настроение",""),IF(H73="","энергия",""),IF(I73="","продуктивность",""),IF(J73="","еда (ккал)",""))</f>
        <v/>
      </c>
      <c r="U73">
        <f>IF($A73="","",IF(SUMIF(FoodLog!$A:$A,$A73,FoodLog!$I:$I)=0,"",SUMIF(FoodLog!$A:$A,$A73,FoodLog!$I:$I)))</f>
        <v/>
      </c>
      <c r="V73">
        <f>IF($A73="","",IF(SUMIF(FoodLog!$A:$A,$A73,FoodLog!$F:$F)=0,"",SUMIF(FoodLog!$A:$A,$A73,FoodLog!$F:$F)))</f>
        <v/>
      </c>
      <c r="W73">
        <f>IF($A73="","",IF(SUMIF(FoodLog!$A:$A,$A73,FoodLog!$G:$G)=0,"",SUMIF(FoodLog!$A:$A,$A73,FoodLog!$G:$G)))</f>
        <v/>
      </c>
      <c r="X73">
        <f>IF($A73="","",IF(SUMIF(FoodLog!$A:$A,$A73,FoodLog!$H:$H)=0,"",SUMIF(FoodLog!$A:$A,$A73,FoodLog!$H:$H)))</f>
        <v/>
      </c>
      <c r="Y73">
        <f>IF($A73="","",IFERROR(ROUND(100*AVERAGE(IF($B73="","",XLOOKUP($B73,FILTER(Dictionaries!$B:$B,Dictionaries!$A:$A="Тренировка"),FILTER(Dictionaries!$C:$C,Dictionaries!$A:$A="Тренировка"))),IF($C73="","",MIN($C73/40,1)),IF($D73="","",XLOOKUP($D73,FILTER(Dictionaries!$B:$B,Dictionaries!$A:$A="Шаги"),FILTER(Dictionaries!$C:$C,Dictionaries!$A:$A="Шаги"))),IF($E73="","",MIN($E73/120,1)),IF(OR($F73&lt;&gt;"",$G73&lt;&gt;""),1,""),IF($H73="","",MIN($H73/100,1)),IF($L73="","",XLOOKUP($L73,FILTER(Dictionaries!$B:$B,Dictionaries!$A:$A="Сон_часы"),FILTER(Dictionaries!$C:$C,Dictionaries!$A:$A="Сон_часы"))),IF($M73="","",XLOOKUP($M73,FILTER(Dictionaries!$B:$B,Dictionaries!$A:$A="Режим"),FILTER(Dictionaries!$C:$C,Dictionaries!$A:$A="Режим"))),IF($N73="","",MIN($N73/100,1)),IF($O73="","",XLOOKUP($O73,FILTER(Dictionaries!$B:$B,Dictionaries!$A:$A="Настроение"),FILTER(Dictionaries!$C:$C,Dictionaries!$A:$A="Настроение"))),IF($P73="","",XLOOKUP($P73,FILTER(Dictionaries!$B:$B,Dictionaries!$A:$A="Энергия"),FILTER(Dictionaries!$C:$C,Dictionaries!$A:$A="Энергия"))),IF($U73="","",AVERAGE(IF(OR($B73="Ноги",$B73="Верх"),IFS(AND($U73&gt;=1900,$U73&lt;=2050),1,AND($U73&gt;=1850,$U73&lt;1900),0.7,AND($U73&gt;2050,$U73&lt;=2100),0.7,TRUE,0.2),IFS(AND($U73&gt;=1700,$U73&lt;=1850),1,AND($U73&gt;=1650,$U73&lt;1700),0.7,AND($U73&gt;1850,$U73&lt;=1900),0.7,TRUE,0.2)),IF(OR($B73="Ноги",$B73="Верх"),IFS(AND($V73&gt;=125,$V73&lt;=135),1,AND($V73&gt;=115,$V73&lt;125),0.7,AND($V73&gt;135,$V73&lt;=145),0.7,AND($V73&gt;=105,$V73&lt;115),0.4,AND($V73&gt;145,$V73&lt;=155),0.4,TRUE,0.2),IFS(AND($V73&gt;=120,$V73&lt;=130),1,AND($V73&gt;=110,$V73&lt;120),0.7,AND($V73&gt;130,$V73&lt;=140),0.7,AND($V73&gt;=100,$V73&lt;110),0.4,AND($V73&gt;140,$V73&lt;=150),0.4,TRUE,0.2)),IFS(AND($W73&gt;=55,$W73&lt;=65),1,AND($W73&gt;=50,$W73&lt;55),0.7,AND($W73&gt;65,$W73&lt;=70),0.7,AND($W73&gt;=45,$W73&lt;50),0.4,AND($W73&gt;70,$W73&lt;=75),0.4,TRUE,0.2),IF(OR($B73="Ноги",$B73="Верх"),IFS(AND($X73&gt;=180,$X73&lt;=210),1,AND($X73&gt;=160,$X73&lt;180),0.7,AND($X73&gt;210,$X73&lt;=230),0.7,AND($X73&gt;=140,$X73&lt;160),0.4,AND($X73&gt;230,$X73&lt;=250),0.4,TRUE,0.2),IFS(AND($X73&gt;=140,$X73&lt;=170),1,AND($X73&gt;=120,$X73&lt;140),0.7,AND($X73&gt;170,$X73&lt;=190),0.7,AND($X73&gt;=100,$X73&lt;120),0.4,AND($X73&gt;190,$X73&lt;=210),0.4,TRUE,0.2))))),1),""))</f>
        <v/>
      </c>
      <c r="Z73">
        <f>IF($A73="","",TEXTJOIN(", ",TRUE,IF($B73="","Тренировка",""),IF($C73="","Кардио",""),IF($D73="","Шаги",""),IF($E73="","Английский",""),IF($F73="","Код-режим",""),IF($G73="","Код-тема",""),IF($H73="","Чтение",""),IF($L73="","Сон",""),IF($M73="","Режим",""),IF($N73="","Продуктивность",""),IF($O73="","Настроение",""),IF($P73="","Энергия",""),IF($U73="","Еда","")))</f>
        <v/>
      </c>
    </row>
    <row r="74">
      <c r="A74" s="2" t="inlineStr"/>
      <c r="J74">
        <f>IF(A74="","",SUMIF(FoodLog!$A:$A,A74,FoodLog!$I:$I))</f>
        <v/>
      </c>
      <c r="K74">
        <f>IF(A74="","",SUMIF(FoodLog!$A:$A,A74,FoodLog!$F:$F))</f>
        <v/>
      </c>
      <c r="L74">
        <f>IF(A74="","",SUMIF(FoodLog!$A:$A,A74,FoodLog!$G:$G))</f>
        <v/>
      </c>
      <c r="M74">
        <f>IF(A74="","",SUMIF(FoodLog!$A:$A,A74,FoodLog!$H:$H))</f>
        <v/>
      </c>
      <c r="N74">
        <f>LET(train,B74,cardio,C74,steps,D74,sleep,E74,reg,F74,prod,I74,kcal,J74,p,K74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4">
        <f>TEXTJOIN(", ",TRUE,IF(B74="","тренировка",""),IF(D74="","шаги",""),IF(E74="","сон",""),IF(F74="","режим",""),IF(G74="","настроение",""),IF(H74="","энергия",""),IF(I74="","продуктивность",""),IF(J74="","еда (ккал)",""))</f>
        <v/>
      </c>
      <c r="U74">
        <f>IF($A74="","",IF(SUMIF(FoodLog!$A:$A,$A74,FoodLog!$I:$I)=0,"",SUMIF(FoodLog!$A:$A,$A74,FoodLog!$I:$I)))</f>
        <v/>
      </c>
      <c r="V74">
        <f>IF($A74="","",IF(SUMIF(FoodLog!$A:$A,$A74,FoodLog!$F:$F)=0,"",SUMIF(FoodLog!$A:$A,$A74,FoodLog!$F:$F)))</f>
        <v/>
      </c>
      <c r="W74">
        <f>IF($A74="","",IF(SUMIF(FoodLog!$A:$A,$A74,FoodLog!$G:$G)=0,"",SUMIF(FoodLog!$A:$A,$A74,FoodLog!$G:$G)))</f>
        <v/>
      </c>
      <c r="X74">
        <f>IF($A74="","",IF(SUMIF(FoodLog!$A:$A,$A74,FoodLog!$H:$H)=0,"",SUMIF(FoodLog!$A:$A,$A74,FoodLog!$H:$H)))</f>
        <v/>
      </c>
      <c r="Y74">
        <f>IF($A74="","",IFERROR(ROUND(100*AVERAGE(IF($B74="","",XLOOKUP($B74,FILTER(Dictionaries!$B:$B,Dictionaries!$A:$A="Тренировка"),FILTER(Dictionaries!$C:$C,Dictionaries!$A:$A="Тренировка"))),IF($C74="","",MIN($C74/40,1)),IF($D74="","",XLOOKUP($D74,FILTER(Dictionaries!$B:$B,Dictionaries!$A:$A="Шаги"),FILTER(Dictionaries!$C:$C,Dictionaries!$A:$A="Шаги"))),IF($E74="","",MIN($E74/120,1)),IF(OR($F74&lt;&gt;"",$G74&lt;&gt;""),1,""),IF($H74="","",MIN($H74/100,1)),IF($L74="","",XLOOKUP($L74,FILTER(Dictionaries!$B:$B,Dictionaries!$A:$A="Сон_часы"),FILTER(Dictionaries!$C:$C,Dictionaries!$A:$A="Сон_часы"))),IF($M74="","",XLOOKUP($M74,FILTER(Dictionaries!$B:$B,Dictionaries!$A:$A="Режим"),FILTER(Dictionaries!$C:$C,Dictionaries!$A:$A="Режим"))),IF($N74="","",MIN($N74/100,1)),IF($O74="","",XLOOKUP($O74,FILTER(Dictionaries!$B:$B,Dictionaries!$A:$A="Настроение"),FILTER(Dictionaries!$C:$C,Dictionaries!$A:$A="Настроение"))),IF($P74="","",XLOOKUP($P74,FILTER(Dictionaries!$B:$B,Dictionaries!$A:$A="Энергия"),FILTER(Dictionaries!$C:$C,Dictionaries!$A:$A="Энергия"))),IF($U74="","",AVERAGE(IF(OR($B74="Ноги",$B74="Верх"),IFS(AND($U74&gt;=1900,$U74&lt;=2050),1,AND($U74&gt;=1850,$U74&lt;1900),0.7,AND($U74&gt;2050,$U74&lt;=2100),0.7,TRUE,0.2),IFS(AND($U74&gt;=1700,$U74&lt;=1850),1,AND($U74&gt;=1650,$U74&lt;1700),0.7,AND($U74&gt;1850,$U74&lt;=1900),0.7,TRUE,0.2)),IF(OR($B74="Ноги",$B74="Верх"),IFS(AND($V74&gt;=125,$V74&lt;=135),1,AND($V74&gt;=115,$V74&lt;125),0.7,AND($V74&gt;135,$V74&lt;=145),0.7,AND($V74&gt;=105,$V74&lt;115),0.4,AND($V74&gt;145,$V74&lt;=155),0.4,TRUE,0.2),IFS(AND($V74&gt;=120,$V74&lt;=130),1,AND($V74&gt;=110,$V74&lt;120),0.7,AND($V74&gt;130,$V74&lt;=140),0.7,AND($V74&gt;=100,$V74&lt;110),0.4,AND($V74&gt;140,$V74&lt;=150),0.4,TRUE,0.2)),IFS(AND($W74&gt;=55,$W74&lt;=65),1,AND($W74&gt;=50,$W74&lt;55),0.7,AND($W74&gt;65,$W74&lt;=70),0.7,AND($W74&gt;=45,$W74&lt;50),0.4,AND($W74&gt;70,$W74&lt;=75),0.4,TRUE,0.2),IF(OR($B74="Ноги",$B74="Верх"),IFS(AND($X74&gt;=180,$X74&lt;=210),1,AND($X74&gt;=160,$X74&lt;180),0.7,AND($X74&gt;210,$X74&lt;=230),0.7,AND($X74&gt;=140,$X74&lt;160),0.4,AND($X74&gt;230,$X74&lt;=250),0.4,TRUE,0.2),IFS(AND($X74&gt;=140,$X74&lt;=170),1,AND($X74&gt;=120,$X74&lt;140),0.7,AND($X74&gt;170,$X74&lt;=190),0.7,AND($X74&gt;=100,$X74&lt;120),0.4,AND($X74&gt;190,$X74&lt;=210),0.4,TRUE,0.2))))),1),""))</f>
        <v/>
      </c>
      <c r="Z74">
        <f>IF($A74="","",TEXTJOIN(", ",TRUE,IF($B74="","Тренировка",""),IF($C74="","Кардио",""),IF($D74="","Шаги",""),IF($E74="","Английский",""),IF($F74="","Код-режим",""),IF($G74="","Код-тема",""),IF($H74="","Чтение",""),IF($L74="","Сон",""),IF($M74="","Режим",""),IF($N74="","Продуктивность",""),IF($O74="","Настроение",""),IF($P74="","Энергия",""),IF($U74="","Еда","")))</f>
        <v/>
      </c>
    </row>
    <row r="75">
      <c r="A75" s="2" t="inlineStr"/>
      <c r="J75">
        <f>IF(A75="","",SUMIF(FoodLog!$A:$A,A75,FoodLog!$I:$I))</f>
        <v/>
      </c>
      <c r="K75">
        <f>IF(A75="","",SUMIF(FoodLog!$A:$A,A75,FoodLog!$F:$F))</f>
        <v/>
      </c>
      <c r="L75">
        <f>IF(A75="","",SUMIF(FoodLog!$A:$A,A75,FoodLog!$G:$G))</f>
        <v/>
      </c>
      <c r="M75">
        <f>IF(A75="","",SUMIF(FoodLog!$A:$A,A75,FoodLog!$H:$H))</f>
        <v/>
      </c>
      <c r="N75">
        <f>LET(train,B75,cardio,C75,steps,D75,sleep,E75,reg,F75,prod,I75,kcal,J75,p,K75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5">
        <f>TEXTJOIN(", ",TRUE,IF(B75="","тренировка",""),IF(D75="","шаги",""),IF(E75="","сон",""),IF(F75="","режим",""),IF(G75="","настроение",""),IF(H75="","энергия",""),IF(I75="","продуктивность",""),IF(J75="","еда (ккал)",""))</f>
        <v/>
      </c>
      <c r="U75">
        <f>IF($A75="","",IF(SUMIF(FoodLog!$A:$A,$A75,FoodLog!$I:$I)=0,"",SUMIF(FoodLog!$A:$A,$A75,FoodLog!$I:$I)))</f>
        <v/>
      </c>
      <c r="V75">
        <f>IF($A75="","",IF(SUMIF(FoodLog!$A:$A,$A75,FoodLog!$F:$F)=0,"",SUMIF(FoodLog!$A:$A,$A75,FoodLog!$F:$F)))</f>
        <v/>
      </c>
      <c r="W75">
        <f>IF($A75="","",IF(SUMIF(FoodLog!$A:$A,$A75,FoodLog!$G:$G)=0,"",SUMIF(FoodLog!$A:$A,$A75,FoodLog!$G:$G)))</f>
        <v/>
      </c>
      <c r="X75">
        <f>IF($A75="","",IF(SUMIF(FoodLog!$A:$A,$A75,FoodLog!$H:$H)=0,"",SUMIF(FoodLog!$A:$A,$A75,FoodLog!$H:$H)))</f>
        <v/>
      </c>
      <c r="Y75">
        <f>IF($A75="","",IFERROR(ROUND(100*AVERAGE(IF($B75="","",XLOOKUP($B75,FILTER(Dictionaries!$B:$B,Dictionaries!$A:$A="Тренировка"),FILTER(Dictionaries!$C:$C,Dictionaries!$A:$A="Тренировка"))),IF($C75="","",MIN($C75/40,1)),IF($D75="","",XLOOKUP($D75,FILTER(Dictionaries!$B:$B,Dictionaries!$A:$A="Шаги"),FILTER(Dictionaries!$C:$C,Dictionaries!$A:$A="Шаги"))),IF($E75="","",MIN($E75/120,1)),IF(OR($F75&lt;&gt;"",$G75&lt;&gt;""),1,""),IF($H75="","",MIN($H75/100,1)),IF($L75="","",XLOOKUP($L75,FILTER(Dictionaries!$B:$B,Dictionaries!$A:$A="Сон_часы"),FILTER(Dictionaries!$C:$C,Dictionaries!$A:$A="Сон_часы"))),IF($M75="","",XLOOKUP($M75,FILTER(Dictionaries!$B:$B,Dictionaries!$A:$A="Режим"),FILTER(Dictionaries!$C:$C,Dictionaries!$A:$A="Режим"))),IF($N75="","",MIN($N75/100,1)),IF($O75="","",XLOOKUP($O75,FILTER(Dictionaries!$B:$B,Dictionaries!$A:$A="Настроение"),FILTER(Dictionaries!$C:$C,Dictionaries!$A:$A="Настроение"))),IF($P75="","",XLOOKUP($P75,FILTER(Dictionaries!$B:$B,Dictionaries!$A:$A="Энергия"),FILTER(Dictionaries!$C:$C,Dictionaries!$A:$A="Энергия"))),IF($U75="","",AVERAGE(IF(OR($B75="Ноги",$B75="Верх"),IFS(AND($U75&gt;=1900,$U75&lt;=2050),1,AND($U75&gt;=1850,$U75&lt;1900),0.7,AND($U75&gt;2050,$U75&lt;=2100),0.7,TRUE,0.2),IFS(AND($U75&gt;=1700,$U75&lt;=1850),1,AND($U75&gt;=1650,$U75&lt;1700),0.7,AND($U75&gt;1850,$U75&lt;=1900),0.7,TRUE,0.2)),IF(OR($B75="Ноги",$B75="Верх"),IFS(AND($V75&gt;=125,$V75&lt;=135),1,AND($V75&gt;=115,$V75&lt;125),0.7,AND($V75&gt;135,$V75&lt;=145),0.7,AND($V75&gt;=105,$V75&lt;115),0.4,AND($V75&gt;145,$V75&lt;=155),0.4,TRUE,0.2),IFS(AND($V75&gt;=120,$V75&lt;=130),1,AND($V75&gt;=110,$V75&lt;120),0.7,AND($V75&gt;130,$V75&lt;=140),0.7,AND($V75&gt;=100,$V75&lt;110),0.4,AND($V75&gt;140,$V75&lt;=150),0.4,TRUE,0.2)),IFS(AND($W75&gt;=55,$W75&lt;=65),1,AND($W75&gt;=50,$W75&lt;55),0.7,AND($W75&gt;65,$W75&lt;=70),0.7,AND($W75&gt;=45,$W75&lt;50),0.4,AND($W75&gt;70,$W75&lt;=75),0.4,TRUE,0.2),IF(OR($B75="Ноги",$B75="Верх"),IFS(AND($X75&gt;=180,$X75&lt;=210),1,AND($X75&gt;=160,$X75&lt;180),0.7,AND($X75&gt;210,$X75&lt;=230),0.7,AND($X75&gt;=140,$X75&lt;160),0.4,AND($X75&gt;230,$X75&lt;=250),0.4,TRUE,0.2),IFS(AND($X75&gt;=140,$X75&lt;=170),1,AND($X75&gt;=120,$X75&lt;140),0.7,AND($X75&gt;170,$X75&lt;=190),0.7,AND($X75&gt;=100,$X75&lt;120),0.4,AND($X75&gt;190,$X75&lt;=210),0.4,TRUE,0.2))))),1),""))</f>
        <v/>
      </c>
      <c r="Z75">
        <f>IF($A75="","",TEXTJOIN(", ",TRUE,IF($B75="","Тренировка",""),IF($C75="","Кардио",""),IF($D75="","Шаги",""),IF($E75="","Английский",""),IF($F75="","Код-режим",""),IF($G75="","Код-тема",""),IF($H75="","Чтение",""),IF($L75="","Сон",""),IF($M75="","Режим",""),IF($N75="","Продуктивность",""),IF($O75="","Настроение",""),IF($P75="","Энергия",""),IF($U75="","Еда","")))</f>
        <v/>
      </c>
    </row>
    <row r="76">
      <c r="A76" s="2" t="inlineStr"/>
      <c r="J76">
        <f>IF(A76="","",SUMIF(FoodLog!$A:$A,A76,FoodLog!$I:$I))</f>
        <v/>
      </c>
      <c r="K76">
        <f>IF(A76="","",SUMIF(FoodLog!$A:$A,A76,FoodLog!$F:$F))</f>
        <v/>
      </c>
      <c r="L76">
        <f>IF(A76="","",SUMIF(FoodLog!$A:$A,A76,FoodLog!$G:$G))</f>
        <v/>
      </c>
      <c r="M76">
        <f>IF(A76="","",SUMIF(FoodLog!$A:$A,A76,FoodLog!$H:$H))</f>
        <v/>
      </c>
      <c r="N76">
        <f>LET(train,B76,cardio,C76,steps,D76,sleep,E76,reg,F76,prod,I76,kcal,J76,p,K76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6">
        <f>TEXTJOIN(", ",TRUE,IF(B76="","тренировка",""),IF(D76="","шаги",""),IF(E76="","сон",""),IF(F76="","режим",""),IF(G76="","настроение",""),IF(H76="","энергия",""),IF(I76="","продуктивность",""),IF(J76="","еда (ккал)",""))</f>
        <v/>
      </c>
      <c r="U76">
        <f>IF($A76="","",IF(SUMIF(FoodLog!$A:$A,$A76,FoodLog!$I:$I)=0,"",SUMIF(FoodLog!$A:$A,$A76,FoodLog!$I:$I)))</f>
        <v/>
      </c>
      <c r="V76">
        <f>IF($A76="","",IF(SUMIF(FoodLog!$A:$A,$A76,FoodLog!$F:$F)=0,"",SUMIF(FoodLog!$A:$A,$A76,FoodLog!$F:$F)))</f>
        <v/>
      </c>
      <c r="W76">
        <f>IF($A76="","",IF(SUMIF(FoodLog!$A:$A,$A76,FoodLog!$G:$G)=0,"",SUMIF(FoodLog!$A:$A,$A76,FoodLog!$G:$G)))</f>
        <v/>
      </c>
      <c r="X76">
        <f>IF($A76="","",IF(SUMIF(FoodLog!$A:$A,$A76,FoodLog!$H:$H)=0,"",SUMIF(FoodLog!$A:$A,$A76,FoodLog!$H:$H)))</f>
        <v/>
      </c>
      <c r="Y76">
        <f>IF($A76="","",IFERROR(ROUND(100*AVERAGE(IF($B76="","",XLOOKUP($B76,FILTER(Dictionaries!$B:$B,Dictionaries!$A:$A="Тренировка"),FILTER(Dictionaries!$C:$C,Dictionaries!$A:$A="Тренировка"))),IF($C76="","",MIN($C76/40,1)),IF($D76="","",XLOOKUP($D76,FILTER(Dictionaries!$B:$B,Dictionaries!$A:$A="Шаги"),FILTER(Dictionaries!$C:$C,Dictionaries!$A:$A="Шаги"))),IF($E76="","",MIN($E76/120,1)),IF(OR($F76&lt;&gt;"",$G76&lt;&gt;""),1,""),IF($H76="","",MIN($H76/100,1)),IF($L76="","",XLOOKUP($L76,FILTER(Dictionaries!$B:$B,Dictionaries!$A:$A="Сон_часы"),FILTER(Dictionaries!$C:$C,Dictionaries!$A:$A="Сон_часы"))),IF($M76="","",XLOOKUP($M76,FILTER(Dictionaries!$B:$B,Dictionaries!$A:$A="Режим"),FILTER(Dictionaries!$C:$C,Dictionaries!$A:$A="Режим"))),IF($N76="","",MIN($N76/100,1)),IF($O76="","",XLOOKUP($O76,FILTER(Dictionaries!$B:$B,Dictionaries!$A:$A="Настроение"),FILTER(Dictionaries!$C:$C,Dictionaries!$A:$A="Настроение"))),IF($P76="","",XLOOKUP($P76,FILTER(Dictionaries!$B:$B,Dictionaries!$A:$A="Энергия"),FILTER(Dictionaries!$C:$C,Dictionaries!$A:$A="Энергия"))),IF($U76="","",AVERAGE(IF(OR($B76="Ноги",$B76="Верх"),IFS(AND($U76&gt;=1900,$U76&lt;=2050),1,AND($U76&gt;=1850,$U76&lt;1900),0.7,AND($U76&gt;2050,$U76&lt;=2100),0.7,TRUE,0.2),IFS(AND($U76&gt;=1700,$U76&lt;=1850),1,AND($U76&gt;=1650,$U76&lt;1700),0.7,AND($U76&gt;1850,$U76&lt;=1900),0.7,TRUE,0.2)),IF(OR($B76="Ноги",$B76="Верх"),IFS(AND($V76&gt;=125,$V76&lt;=135),1,AND($V76&gt;=115,$V76&lt;125),0.7,AND($V76&gt;135,$V76&lt;=145),0.7,AND($V76&gt;=105,$V76&lt;115),0.4,AND($V76&gt;145,$V76&lt;=155),0.4,TRUE,0.2),IFS(AND($V76&gt;=120,$V76&lt;=130),1,AND($V76&gt;=110,$V76&lt;120),0.7,AND($V76&gt;130,$V76&lt;=140),0.7,AND($V76&gt;=100,$V76&lt;110),0.4,AND($V76&gt;140,$V76&lt;=150),0.4,TRUE,0.2)),IFS(AND($W76&gt;=55,$W76&lt;=65),1,AND($W76&gt;=50,$W76&lt;55),0.7,AND($W76&gt;65,$W76&lt;=70),0.7,AND($W76&gt;=45,$W76&lt;50),0.4,AND($W76&gt;70,$W76&lt;=75),0.4,TRUE,0.2),IF(OR($B76="Ноги",$B76="Верх"),IFS(AND($X76&gt;=180,$X76&lt;=210),1,AND($X76&gt;=160,$X76&lt;180),0.7,AND($X76&gt;210,$X76&lt;=230),0.7,AND($X76&gt;=140,$X76&lt;160),0.4,AND($X76&gt;230,$X76&lt;=250),0.4,TRUE,0.2),IFS(AND($X76&gt;=140,$X76&lt;=170),1,AND($X76&gt;=120,$X76&lt;140),0.7,AND($X76&gt;170,$X76&lt;=190),0.7,AND($X76&gt;=100,$X76&lt;120),0.4,AND($X76&gt;190,$X76&lt;=210),0.4,TRUE,0.2))))),1),""))</f>
        <v/>
      </c>
      <c r="Z76">
        <f>IF($A76="","",TEXTJOIN(", ",TRUE,IF($B76="","Тренировка",""),IF($C76="","Кардио",""),IF($D76="","Шаги",""),IF($E76="","Английский",""),IF($F76="","Код-режим",""),IF($G76="","Код-тема",""),IF($H76="","Чтение",""),IF($L76="","Сон",""),IF($M76="","Режим",""),IF($N76="","Продуктивность",""),IF($O76="","Настроение",""),IF($P76="","Энергия",""),IF($U76="","Еда","")))</f>
        <v/>
      </c>
    </row>
    <row r="77">
      <c r="A77" s="2" t="inlineStr"/>
      <c r="J77">
        <f>IF(A77="","",SUMIF(FoodLog!$A:$A,A77,FoodLog!$I:$I))</f>
        <v/>
      </c>
      <c r="K77">
        <f>IF(A77="","",SUMIF(FoodLog!$A:$A,A77,FoodLog!$F:$F))</f>
        <v/>
      </c>
      <c r="L77">
        <f>IF(A77="","",SUMIF(FoodLog!$A:$A,A77,FoodLog!$G:$G))</f>
        <v/>
      </c>
      <c r="M77">
        <f>IF(A77="","",SUMIF(FoodLog!$A:$A,A77,FoodLog!$H:$H))</f>
        <v/>
      </c>
      <c r="N77">
        <f>LET(train,B77,cardio,C77,steps,D77,sleep,E77,reg,F77,prod,I77,kcal,J77,p,K77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7">
        <f>TEXTJOIN(", ",TRUE,IF(B77="","тренировка",""),IF(D77="","шаги",""),IF(E77="","сон",""),IF(F77="","режим",""),IF(G77="","настроение",""),IF(H77="","энергия",""),IF(I77="","продуктивность",""),IF(J77="","еда (ккал)",""))</f>
        <v/>
      </c>
      <c r="U77">
        <f>IF($A77="","",IF(SUMIF(FoodLog!$A:$A,$A77,FoodLog!$I:$I)=0,"",SUMIF(FoodLog!$A:$A,$A77,FoodLog!$I:$I)))</f>
        <v/>
      </c>
      <c r="V77">
        <f>IF($A77="","",IF(SUMIF(FoodLog!$A:$A,$A77,FoodLog!$F:$F)=0,"",SUMIF(FoodLog!$A:$A,$A77,FoodLog!$F:$F)))</f>
        <v/>
      </c>
      <c r="W77">
        <f>IF($A77="","",IF(SUMIF(FoodLog!$A:$A,$A77,FoodLog!$G:$G)=0,"",SUMIF(FoodLog!$A:$A,$A77,FoodLog!$G:$G)))</f>
        <v/>
      </c>
      <c r="X77">
        <f>IF($A77="","",IF(SUMIF(FoodLog!$A:$A,$A77,FoodLog!$H:$H)=0,"",SUMIF(FoodLog!$A:$A,$A77,FoodLog!$H:$H)))</f>
        <v/>
      </c>
      <c r="Y77">
        <f>IF($A77="","",IFERROR(ROUND(100*AVERAGE(IF($B77="","",XLOOKUP($B77,FILTER(Dictionaries!$B:$B,Dictionaries!$A:$A="Тренировка"),FILTER(Dictionaries!$C:$C,Dictionaries!$A:$A="Тренировка"))),IF($C77="","",MIN($C77/40,1)),IF($D77="","",XLOOKUP($D77,FILTER(Dictionaries!$B:$B,Dictionaries!$A:$A="Шаги"),FILTER(Dictionaries!$C:$C,Dictionaries!$A:$A="Шаги"))),IF($E77="","",MIN($E77/120,1)),IF(OR($F77&lt;&gt;"",$G77&lt;&gt;""),1,""),IF($H77="","",MIN($H77/100,1)),IF($L77="","",XLOOKUP($L77,FILTER(Dictionaries!$B:$B,Dictionaries!$A:$A="Сон_часы"),FILTER(Dictionaries!$C:$C,Dictionaries!$A:$A="Сон_часы"))),IF($M77="","",XLOOKUP($M77,FILTER(Dictionaries!$B:$B,Dictionaries!$A:$A="Режим"),FILTER(Dictionaries!$C:$C,Dictionaries!$A:$A="Режим"))),IF($N77="","",MIN($N77/100,1)),IF($O77="","",XLOOKUP($O77,FILTER(Dictionaries!$B:$B,Dictionaries!$A:$A="Настроение"),FILTER(Dictionaries!$C:$C,Dictionaries!$A:$A="Настроение"))),IF($P77="","",XLOOKUP($P77,FILTER(Dictionaries!$B:$B,Dictionaries!$A:$A="Энергия"),FILTER(Dictionaries!$C:$C,Dictionaries!$A:$A="Энергия"))),IF($U77="","",AVERAGE(IF(OR($B77="Ноги",$B77="Верх"),IFS(AND($U77&gt;=1900,$U77&lt;=2050),1,AND($U77&gt;=1850,$U77&lt;1900),0.7,AND($U77&gt;2050,$U77&lt;=2100),0.7,TRUE,0.2),IFS(AND($U77&gt;=1700,$U77&lt;=1850),1,AND($U77&gt;=1650,$U77&lt;1700),0.7,AND($U77&gt;1850,$U77&lt;=1900),0.7,TRUE,0.2)),IF(OR($B77="Ноги",$B77="Верх"),IFS(AND($V77&gt;=125,$V77&lt;=135),1,AND($V77&gt;=115,$V77&lt;125),0.7,AND($V77&gt;135,$V77&lt;=145),0.7,AND($V77&gt;=105,$V77&lt;115),0.4,AND($V77&gt;145,$V77&lt;=155),0.4,TRUE,0.2),IFS(AND($V77&gt;=120,$V77&lt;=130),1,AND($V77&gt;=110,$V77&lt;120),0.7,AND($V77&gt;130,$V77&lt;=140),0.7,AND($V77&gt;=100,$V77&lt;110),0.4,AND($V77&gt;140,$V77&lt;=150),0.4,TRUE,0.2)),IFS(AND($W77&gt;=55,$W77&lt;=65),1,AND($W77&gt;=50,$W77&lt;55),0.7,AND($W77&gt;65,$W77&lt;=70),0.7,AND($W77&gt;=45,$W77&lt;50),0.4,AND($W77&gt;70,$W77&lt;=75),0.4,TRUE,0.2),IF(OR($B77="Ноги",$B77="Верх"),IFS(AND($X77&gt;=180,$X77&lt;=210),1,AND($X77&gt;=160,$X77&lt;180),0.7,AND($X77&gt;210,$X77&lt;=230),0.7,AND($X77&gt;=140,$X77&lt;160),0.4,AND($X77&gt;230,$X77&lt;=250),0.4,TRUE,0.2),IFS(AND($X77&gt;=140,$X77&lt;=170),1,AND($X77&gt;=120,$X77&lt;140),0.7,AND($X77&gt;170,$X77&lt;=190),0.7,AND($X77&gt;=100,$X77&lt;120),0.4,AND($X77&gt;190,$X77&lt;=210),0.4,TRUE,0.2))))),1),""))</f>
        <v/>
      </c>
      <c r="Z77">
        <f>IF($A77="","",TEXTJOIN(", ",TRUE,IF($B77="","Тренировка",""),IF($C77="","Кардио",""),IF($D77="","Шаги",""),IF($E77="","Английский",""),IF($F77="","Код-режим",""),IF($G77="","Код-тема",""),IF($H77="","Чтение",""),IF($L77="","Сон",""),IF($M77="","Режим",""),IF($N77="","Продуктивность",""),IF($O77="","Настроение",""),IF($P77="","Энергия",""),IF($U77="","Еда","")))</f>
        <v/>
      </c>
    </row>
    <row r="78">
      <c r="A78" s="2" t="inlineStr"/>
      <c r="J78">
        <f>IF(A78="","",SUMIF(FoodLog!$A:$A,A78,FoodLog!$I:$I))</f>
        <v/>
      </c>
      <c r="K78">
        <f>IF(A78="","",SUMIF(FoodLog!$A:$A,A78,FoodLog!$F:$F))</f>
        <v/>
      </c>
      <c r="L78">
        <f>IF(A78="","",SUMIF(FoodLog!$A:$A,A78,FoodLog!$G:$G))</f>
        <v/>
      </c>
      <c r="M78">
        <f>IF(A78="","",SUMIF(FoodLog!$A:$A,A78,FoodLog!$H:$H))</f>
        <v/>
      </c>
      <c r="N78">
        <f>LET(train,B78,cardio,C78,steps,D78,sleep,E78,reg,F78,prod,I78,kcal,J78,p,K78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8">
        <f>TEXTJOIN(", ",TRUE,IF(B78="","тренировка",""),IF(D78="","шаги",""),IF(E78="","сон",""),IF(F78="","режим",""),IF(G78="","настроение",""),IF(H78="","энергия",""),IF(I78="","продуктивность",""),IF(J78="","еда (ккал)",""))</f>
        <v/>
      </c>
      <c r="U78">
        <f>IF($A78="","",IF(SUMIF(FoodLog!$A:$A,$A78,FoodLog!$I:$I)=0,"",SUMIF(FoodLog!$A:$A,$A78,FoodLog!$I:$I)))</f>
        <v/>
      </c>
      <c r="V78">
        <f>IF($A78="","",IF(SUMIF(FoodLog!$A:$A,$A78,FoodLog!$F:$F)=0,"",SUMIF(FoodLog!$A:$A,$A78,FoodLog!$F:$F)))</f>
        <v/>
      </c>
      <c r="W78">
        <f>IF($A78="","",IF(SUMIF(FoodLog!$A:$A,$A78,FoodLog!$G:$G)=0,"",SUMIF(FoodLog!$A:$A,$A78,FoodLog!$G:$G)))</f>
        <v/>
      </c>
      <c r="X78">
        <f>IF($A78="","",IF(SUMIF(FoodLog!$A:$A,$A78,FoodLog!$H:$H)=0,"",SUMIF(FoodLog!$A:$A,$A78,FoodLog!$H:$H)))</f>
        <v/>
      </c>
      <c r="Y78">
        <f>IF($A78="","",IFERROR(ROUND(100*AVERAGE(IF($B78="","",XLOOKUP($B78,FILTER(Dictionaries!$B:$B,Dictionaries!$A:$A="Тренировка"),FILTER(Dictionaries!$C:$C,Dictionaries!$A:$A="Тренировка"))),IF($C78="","",MIN($C78/40,1)),IF($D78="","",XLOOKUP($D78,FILTER(Dictionaries!$B:$B,Dictionaries!$A:$A="Шаги"),FILTER(Dictionaries!$C:$C,Dictionaries!$A:$A="Шаги"))),IF($E78="","",MIN($E78/120,1)),IF(OR($F78&lt;&gt;"",$G78&lt;&gt;""),1,""),IF($H78="","",MIN($H78/100,1)),IF($L78="","",XLOOKUP($L78,FILTER(Dictionaries!$B:$B,Dictionaries!$A:$A="Сон_часы"),FILTER(Dictionaries!$C:$C,Dictionaries!$A:$A="Сон_часы"))),IF($M78="","",XLOOKUP($M78,FILTER(Dictionaries!$B:$B,Dictionaries!$A:$A="Режим"),FILTER(Dictionaries!$C:$C,Dictionaries!$A:$A="Режим"))),IF($N78="","",MIN($N78/100,1)),IF($O78="","",XLOOKUP($O78,FILTER(Dictionaries!$B:$B,Dictionaries!$A:$A="Настроение"),FILTER(Dictionaries!$C:$C,Dictionaries!$A:$A="Настроение"))),IF($P78="","",XLOOKUP($P78,FILTER(Dictionaries!$B:$B,Dictionaries!$A:$A="Энергия"),FILTER(Dictionaries!$C:$C,Dictionaries!$A:$A="Энергия"))),IF($U78="","",AVERAGE(IF(OR($B78="Ноги",$B78="Верх"),IFS(AND($U78&gt;=1900,$U78&lt;=2050),1,AND($U78&gt;=1850,$U78&lt;1900),0.7,AND($U78&gt;2050,$U78&lt;=2100),0.7,TRUE,0.2),IFS(AND($U78&gt;=1700,$U78&lt;=1850),1,AND($U78&gt;=1650,$U78&lt;1700),0.7,AND($U78&gt;1850,$U78&lt;=1900),0.7,TRUE,0.2)),IF(OR($B78="Ноги",$B78="Верх"),IFS(AND($V78&gt;=125,$V78&lt;=135),1,AND($V78&gt;=115,$V78&lt;125),0.7,AND($V78&gt;135,$V78&lt;=145),0.7,AND($V78&gt;=105,$V78&lt;115),0.4,AND($V78&gt;145,$V78&lt;=155),0.4,TRUE,0.2),IFS(AND($V78&gt;=120,$V78&lt;=130),1,AND($V78&gt;=110,$V78&lt;120),0.7,AND($V78&gt;130,$V78&lt;=140),0.7,AND($V78&gt;=100,$V78&lt;110),0.4,AND($V78&gt;140,$V78&lt;=150),0.4,TRUE,0.2)),IFS(AND($W78&gt;=55,$W78&lt;=65),1,AND($W78&gt;=50,$W78&lt;55),0.7,AND($W78&gt;65,$W78&lt;=70),0.7,AND($W78&gt;=45,$W78&lt;50),0.4,AND($W78&gt;70,$W78&lt;=75),0.4,TRUE,0.2),IF(OR($B78="Ноги",$B78="Верх"),IFS(AND($X78&gt;=180,$X78&lt;=210),1,AND($X78&gt;=160,$X78&lt;180),0.7,AND($X78&gt;210,$X78&lt;=230),0.7,AND($X78&gt;=140,$X78&lt;160),0.4,AND($X78&gt;230,$X78&lt;=250),0.4,TRUE,0.2),IFS(AND($X78&gt;=140,$X78&lt;=170),1,AND($X78&gt;=120,$X78&lt;140),0.7,AND($X78&gt;170,$X78&lt;=190),0.7,AND($X78&gt;=100,$X78&lt;120),0.4,AND($X78&gt;190,$X78&lt;=210),0.4,TRUE,0.2))))),1),""))</f>
        <v/>
      </c>
      <c r="Z78">
        <f>IF($A78="","",TEXTJOIN(", ",TRUE,IF($B78="","Тренировка",""),IF($C78="","Кардио",""),IF($D78="","Шаги",""),IF($E78="","Английский",""),IF($F78="","Код-режим",""),IF($G78="","Код-тема",""),IF($H78="","Чтение",""),IF($L78="","Сон",""),IF($M78="","Режим",""),IF($N78="","Продуктивность",""),IF($O78="","Настроение",""),IF($P78="","Энергия",""),IF($U78="","Еда","")))</f>
        <v/>
      </c>
    </row>
    <row r="79">
      <c r="A79" s="2" t="inlineStr"/>
      <c r="J79">
        <f>IF(A79="","",SUMIF(FoodLog!$A:$A,A79,FoodLog!$I:$I))</f>
        <v/>
      </c>
      <c r="K79">
        <f>IF(A79="","",SUMIF(FoodLog!$A:$A,A79,FoodLog!$F:$F))</f>
        <v/>
      </c>
      <c r="L79">
        <f>IF(A79="","",SUMIF(FoodLog!$A:$A,A79,FoodLog!$G:$G))</f>
        <v/>
      </c>
      <c r="M79">
        <f>IF(A79="","",SUMIF(FoodLog!$A:$A,A79,FoodLog!$H:$H))</f>
        <v/>
      </c>
      <c r="N79">
        <f>LET(train,B79,cardio,C79,steps,D79,sleep,E79,reg,F79,prod,I79,kcal,J79,p,K79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79">
        <f>TEXTJOIN(", ",TRUE,IF(B79="","тренировка",""),IF(D79="","шаги",""),IF(E79="","сон",""),IF(F79="","режим",""),IF(G79="","настроение",""),IF(H79="","энергия",""),IF(I79="","продуктивность",""),IF(J79="","еда (ккал)",""))</f>
        <v/>
      </c>
      <c r="U79">
        <f>IF($A79="","",IF(SUMIF(FoodLog!$A:$A,$A79,FoodLog!$I:$I)=0,"",SUMIF(FoodLog!$A:$A,$A79,FoodLog!$I:$I)))</f>
        <v/>
      </c>
      <c r="V79">
        <f>IF($A79="","",IF(SUMIF(FoodLog!$A:$A,$A79,FoodLog!$F:$F)=0,"",SUMIF(FoodLog!$A:$A,$A79,FoodLog!$F:$F)))</f>
        <v/>
      </c>
      <c r="W79">
        <f>IF($A79="","",IF(SUMIF(FoodLog!$A:$A,$A79,FoodLog!$G:$G)=0,"",SUMIF(FoodLog!$A:$A,$A79,FoodLog!$G:$G)))</f>
        <v/>
      </c>
      <c r="X79">
        <f>IF($A79="","",IF(SUMIF(FoodLog!$A:$A,$A79,FoodLog!$H:$H)=0,"",SUMIF(FoodLog!$A:$A,$A79,FoodLog!$H:$H)))</f>
        <v/>
      </c>
      <c r="Y79">
        <f>IF($A79="","",IFERROR(ROUND(100*AVERAGE(IF($B79="","",XLOOKUP($B79,FILTER(Dictionaries!$B:$B,Dictionaries!$A:$A="Тренировка"),FILTER(Dictionaries!$C:$C,Dictionaries!$A:$A="Тренировка"))),IF($C79="","",MIN($C79/40,1)),IF($D79="","",XLOOKUP($D79,FILTER(Dictionaries!$B:$B,Dictionaries!$A:$A="Шаги"),FILTER(Dictionaries!$C:$C,Dictionaries!$A:$A="Шаги"))),IF($E79="","",MIN($E79/120,1)),IF(OR($F79&lt;&gt;"",$G79&lt;&gt;""),1,""),IF($H79="","",MIN($H79/100,1)),IF($L79="","",XLOOKUP($L79,FILTER(Dictionaries!$B:$B,Dictionaries!$A:$A="Сон_часы"),FILTER(Dictionaries!$C:$C,Dictionaries!$A:$A="Сон_часы"))),IF($M79="","",XLOOKUP($M79,FILTER(Dictionaries!$B:$B,Dictionaries!$A:$A="Режим"),FILTER(Dictionaries!$C:$C,Dictionaries!$A:$A="Режим"))),IF($N79="","",MIN($N79/100,1)),IF($O79="","",XLOOKUP($O79,FILTER(Dictionaries!$B:$B,Dictionaries!$A:$A="Настроение"),FILTER(Dictionaries!$C:$C,Dictionaries!$A:$A="Настроение"))),IF($P79="","",XLOOKUP($P79,FILTER(Dictionaries!$B:$B,Dictionaries!$A:$A="Энергия"),FILTER(Dictionaries!$C:$C,Dictionaries!$A:$A="Энергия"))),IF($U79="","",AVERAGE(IF(OR($B79="Ноги",$B79="Верх"),IFS(AND($U79&gt;=1900,$U79&lt;=2050),1,AND($U79&gt;=1850,$U79&lt;1900),0.7,AND($U79&gt;2050,$U79&lt;=2100),0.7,TRUE,0.2),IFS(AND($U79&gt;=1700,$U79&lt;=1850),1,AND($U79&gt;=1650,$U79&lt;1700),0.7,AND($U79&gt;1850,$U79&lt;=1900),0.7,TRUE,0.2)),IF(OR($B79="Ноги",$B79="Верх"),IFS(AND($V79&gt;=125,$V79&lt;=135),1,AND($V79&gt;=115,$V79&lt;125),0.7,AND($V79&gt;135,$V79&lt;=145),0.7,AND($V79&gt;=105,$V79&lt;115),0.4,AND($V79&gt;145,$V79&lt;=155),0.4,TRUE,0.2),IFS(AND($V79&gt;=120,$V79&lt;=130),1,AND($V79&gt;=110,$V79&lt;120),0.7,AND($V79&gt;130,$V79&lt;=140),0.7,AND($V79&gt;=100,$V79&lt;110),0.4,AND($V79&gt;140,$V79&lt;=150),0.4,TRUE,0.2)),IFS(AND($W79&gt;=55,$W79&lt;=65),1,AND($W79&gt;=50,$W79&lt;55),0.7,AND($W79&gt;65,$W79&lt;=70),0.7,AND($W79&gt;=45,$W79&lt;50),0.4,AND($W79&gt;70,$W79&lt;=75),0.4,TRUE,0.2),IF(OR($B79="Ноги",$B79="Верх"),IFS(AND($X79&gt;=180,$X79&lt;=210),1,AND($X79&gt;=160,$X79&lt;180),0.7,AND($X79&gt;210,$X79&lt;=230),0.7,AND($X79&gt;=140,$X79&lt;160),0.4,AND($X79&gt;230,$X79&lt;=250),0.4,TRUE,0.2),IFS(AND($X79&gt;=140,$X79&lt;=170),1,AND($X79&gt;=120,$X79&lt;140),0.7,AND($X79&gt;170,$X79&lt;=190),0.7,AND($X79&gt;=100,$X79&lt;120),0.4,AND($X79&gt;190,$X79&lt;=210),0.4,TRUE,0.2))))),1),""))</f>
        <v/>
      </c>
      <c r="Z79">
        <f>IF($A79="","",TEXTJOIN(", ",TRUE,IF($B79="","Тренировка",""),IF($C79="","Кардио",""),IF($D79="","Шаги",""),IF($E79="","Английский",""),IF($F79="","Код-режим",""),IF($G79="","Код-тема",""),IF($H79="","Чтение",""),IF($L79="","Сон",""),IF($M79="","Режим",""),IF($N79="","Продуктивность",""),IF($O79="","Настроение",""),IF($P79="","Энергия",""),IF($U79="","Еда","")))</f>
        <v/>
      </c>
    </row>
    <row r="80">
      <c r="A80" s="2" t="inlineStr"/>
      <c r="J80">
        <f>IF(A80="","",SUMIF(FoodLog!$A:$A,A80,FoodLog!$I:$I))</f>
        <v/>
      </c>
      <c r="K80">
        <f>IF(A80="","",SUMIF(FoodLog!$A:$A,A80,FoodLog!$F:$F))</f>
        <v/>
      </c>
      <c r="L80">
        <f>IF(A80="","",SUMIF(FoodLog!$A:$A,A80,FoodLog!$G:$G))</f>
        <v/>
      </c>
      <c r="M80">
        <f>IF(A80="","",SUMIF(FoodLog!$A:$A,A80,FoodLog!$H:$H))</f>
        <v/>
      </c>
      <c r="N80">
        <f>LET(train,B80,cardio,C80,steps,D80,sleep,E80,reg,F80,prod,I80,kcal,J80,p,K80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0">
        <f>TEXTJOIN(", ",TRUE,IF(B80="","тренировка",""),IF(D80="","шаги",""),IF(E80="","сон",""),IF(F80="","режим",""),IF(G80="","настроение",""),IF(H80="","энергия",""),IF(I80="","продуктивность",""),IF(J80="","еда (ккал)",""))</f>
        <v/>
      </c>
      <c r="U80">
        <f>IF($A80="","",IF(SUMIF(FoodLog!$A:$A,$A80,FoodLog!$I:$I)=0,"",SUMIF(FoodLog!$A:$A,$A80,FoodLog!$I:$I)))</f>
        <v/>
      </c>
      <c r="V80">
        <f>IF($A80="","",IF(SUMIF(FoodLog!$A:$A,$A80,FoodLog!$F:$F)=0,"",SUMIF(FoodLog!$A:$A,$A80,FoodLog!$F:$F)))</f>
        <v/>
      </c>
      <c r="W80">
        <f>IF($A80="","",IF(SUMIF(FoodLog!$A:$A,$A80,FoodLog!$G:$G)=0,"",SUMIF(FoodLog!$A:$A,$A80,FoodLog!$G:$G)))</f>
        <v/>
      </c>
      <c r="X80">
        <f>IF($A80="","",IF(SUMIF(FoodLog!$A:$A,$A80,FoodLog!$H:$H)=0,"",SUMIF(FoodLog!$A:$A,$A80,FoodLog!$H:$H)))</f>
        <v/>
      </c>
      <c r="Y80">
        <f>IF($A80="","",IFERROR(ROUND(100*AVERAGE(IF($B80="","",XLOOKUP($B80,FILTER(Dictionaries!$B:$B,Dictionaries!$A:$A="Тренировка"),FILTER(Dictionaries!$C:$C,Dictionaries!$A:$A="Тренировка"))),IF($C80="","",MIN($C80/40,1)),IF($D80="","",XLOOKUP($D80,FILTER(Dictionaries!$B:$B,Dictionaries!$A:$A="Шаги"),FILTER(Dictionaries!$C:$C,Dictionaries!$A:$A="Шаги"))),IF($E80="","",MIN($E80/120,1)),IF(OR($F80&lt;&gt;"",$G80&lt;&gt;""),1,""),IF($H80="","",MIN($H80/100,1)),IF($L80="","",XLOOKUP($L80,FILTER(Dictionaries!$B:$B,Dictionaries!$A:$A="Сон_часы"),FILTER(Dictionaries!$C:$C,Dictionaries!$A:$A="Сон_часы"))),IF($M80="","",XLOOKUP($M80,FILTER(Dictionaries!$B:$B,Dictionaries!$A:$A="Режим"),FILTER(Dictionaries!$C:$C,Dictionaries!$A:$A="Режим"))),IF($N80="","",MIN($N80/100,1)),IF($O80="","",XLOOKUP($O80,FILTER(Dictionaries!$B:$B,Dictionaries!$A:$A="Настроение"),FILTER(Dictionaries!$C:$C,Dictionaries!$A:$A="Настроение"))),IF($P80="","",XLOOKUP($P80,FILTER(Dictionaries!$B:$B,Dictionaries!$A:$A="Энергия"),FILTER(Dictionaries!$C:$C,Dictionaries!$A:$A="Энергия"))),IF($U80="","",AVERAGE(IF(OR($B80="Ноги",$B80="Верх"),IFS(AND($U80&gt;=1900,$U80&lt;=2050),1,AND($U80&gt;=1850,$U80&lt;1900),0.7,AND($U80&gt;2050,$U80&lt;=2100),0.7,TRUE,0.2),IFS(AND($U80&gt;=1700,$U80&lt;=1850),1,AND($U80&gt;=1650,$U80&lt;1700),0.7,AND($U80&gt;1850,$U80&lt;=1900),0.7,TRUE,0.2)),IF(OR($B80="Ноги",$B80="Верх"),IFS(AND($V80&gt;=125,$V80&lt;=135),1,AND($V80&gt;=115,$V80&lt;125),0.7,AND($V80&gt;135,$V80&lt;=145),0.7,AND($V80&gt;=105,$V80&lt;115),0.4,AND($V80&gt;145,$V80&lt;=155),0.4,TRUE,0.2),IFS(AND($V80&gt;=120,$V80&lt;=130),1,AND($V80&gt;=110,$V80&lt;120),0.7,AND($V80&gt;130,$V80&lt;=140),0.7,AND($V80&gt;=100,$V80&lt;110),0.4,AND($V80&gt;140,$V80&lt;=150),0.4,TRUE,0.2)),IFS(AND($W80&gt;=55,$W80&lt;=65),1,AND($W80&gt;=50,$W80&lt;55),0.7,AND($W80&gt;65,$W80&lt;=70),0.7,AND($W80&gt;=45,$W80&lt;50),0.4,AND($W80&gt;70,$W80&lt;=75),0.4,TRUE,0.2),IF(OR($B80="Ноги",$B80="Верх"),IFS(AND($X80&gt;=180,$X80&lt;=210),1,AND($X80&gt;=160,$X80&lt;180),0.7,AND($X80&gt;210,$X80&lt;=230),0.7,AND($X80&gt;=140,$X80&lt;160),0.4,AND($X80&gt;230,$X80&lt;=250),0.4,TRUE,0.2),IFS(AND($X80&gt;=140,$X80&lt;=170),1,AND($X80&gt;=120,$X80&lt;140),0.7,AND($X80&gt;170,$X80&lt;=190),0.7,AND($X80&gt;=100,$X80&lt;120),0.4,AND($X80&gt;190,$X80&lt;=210),0.4,TRUE,0.2))))),1),""))</f>
        <v/>
      </c>
      <c r="Z80">
        <f>IF($A80="","",TEXTJOIN(", ",TRUE,IF($B80="","Тренировка",""),IF($C80="","Кардио",""),IF($D80="","Шаги",""),IF($E80="","Английский",""),IF($F80="","Код-режим",""),IF($G80="","Код-тема",""),IF($H80="","Чтение",""),IF($L80="","Сон",""),IF($M80="","Режим",""),IF($N80="","Продуктивность",""),IF($O80="","Настроение",""),IF($P80="","Энергия",""),IF($U80="","Еда","")))</f>
        <v/>
      </c>
    </row>
    <row r="81">
      <c r="A81" s="2" t="inlineStr"/>
      <c r="J81">
        <f>IF(A81="","",SUMIF(FoodLog!$A:$A,A81,FoodLog!$I:$I))</f>
        <v/>
      </c>
      <c r="K81">
        <f>IF(A81="","",SUMIF(FoodLog!$A:$A,A81,FoodLog!$F:$F))</f>
        <v/>
      </c>
      <c r="L81">
        <f>IF(A81="","",SUMIF(FoodLog!$A:$A,A81,FoodLog!$G:$G))</f>
        <v/>
      </c>
      <c r="M81">
        <f>IF(A81="","",SUMIF(FoodLog!$A:$A,A81,FoodLog!$H:$H))</f>
        <v/>
      </c>
      <c r="N81">
        <f>LET(train,B81,cardio,C81,steps,D81,sleep,E81,reg,F81,prod,I81,kcal,J81,p,K81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1">
        <f>TEXTJOIN(", ",TRUE,IF(B81="","тренировка",""),IF(D81="","шаги",""),IF(E81="","сон",""),IF(F81="","режим",""),IF(G81="","настроение",""),IF(H81="","энергия",""),IF(I81="","продуктивность",""),IF(J81="","еда (ккал)",""))</f>
        <v/>
      </c>
      <c r="U81">
        <f>IF($A81="","",IF(SUMIF(FoodLog!$A:$A,$A81,FoodLog!$I:$I)=0,"",SUMIF(FoodLog!$A:$A,$A81,FoodLog!$I:$I)))</f>
        <v/>
      </c>
      <c r="V81">
        <f>IF($A81="","",IF(SUMIF(FoodLog!$A:$A,$A81,FoodLog!$F:$F)=0,"",SUMIF(FoodLog!$A:$A,$A81,FoodLog!$F:$F)))</f>
        <v/>
      </c>
      <c r="W81">
        <f>IF($A81="","",IF(SUMIF(FoodLog!$A:$A,$A81,FoodLog!$G:$G)=0,"",SUMIF(FoodLog!$A:$A,$A81,FoodLog!$G:$G)))</f>
        <v/>
      </c>
      <c r="X81">
        <f>IF($A81="","",IF(SUMIF(FoodLog!$A:$A,$A81,FoodLog!$H:$H)=0,"",SUMIF(FoodLog!$A:$A,$A81,FoodLog!$H:$H)))</f>
        <v/>
      </c>
      <c r="Y81">
        <f>IF($A81="","",IFERROR(ROUND(100*AVERAGE(IF($B81="","",XLOOKUP($B81,FILTER(Dictionaries!$B:$B,Dictionaries!$A:$A="Тренировка"),FILTER(Dictionaries!$C:$C,Dictionaries!$A:$A="Тренировка"))),IF($C81="","",MIN($C81/40,1)),IF($D81="","",XLOOKUP($D81,FILTER(Dictionaries!$B:$B,Dictionaries!$A:$A="Шаги"),FILTER(Dictionaries!$C:$C,Dictionaries!$A:$A="Шаги"))),IF($E81="","",MIN($E81/120,1)),IF(OR($F81&lt;&gt;"",$G81&lt;&gt;""),1,""),IF($H81="","",MIN($H81/100,1)),IF($L81="","",XLOOKUP($L81,FILTER(Dictionaries!$B:$B,Dictionaries!$A:$A="Сон_часы"),FILTER(Dictionaries!$C:$C,Dictionaries!$A:$A="Сон_часы"))),IF($M81="","",XLOOKUP($M81,FILTER(Dictionaries!$B:$B,Dictionaries!$A:$A="Режим"),FILTER(Dictionaries!$C:$C,Dictionaries!$A:$A="Режим"))),IF($N81="","",MIN($N81/100,1)),IF($O81="","",XLOOKUP($O81,FILTER(Dictionaries!$B:$B,Dictionaries!$A:$A="Настроение"),FILTER(Dictionaries!$C:$C,Dictionaries!$A:$A="Настроение"))),IF($P81="","",XLOOKUP($P81,FILTER(Dictionaries!$B:$B,Dictionaries!$A:$A="Энергия"),FILTER(Dictionaries!$C:$C,Dictionaries!$A:$A="Энергия"))),IF($U81="","",AVERAGE(IF(OR($B81="Ноги",$B81="Верх"),IFS(AND($U81&gt;=1900,$U81&lt;=2050),1,AND($U81&gt;=1850,$U81&lt;1900),0.7,AND($U81&gt;2050,$U81&lt;=2100),0.7,TRUE,0.2),IFS(AND($U81&gt;=1700,$U81&lt;=1850),1,AND($U81&gt;=1650,$U81&lt;1700),0.7,AND($U81&gt;1850,$U81&lt;=1900),0.7,TRUE,0.2)),IF(OR($B81="Ноги",$B81="Верх"),IFS(AND($V81&gt;=125,$V81&lt;=135),1,AND($V81&gt;=115,$V81&lt;125),0.7,AND($V81&gt;135,$V81&lt;=145),0.7,AND($V81&gt;=105,$V81&lt;115),0.4,AND($V81&gt;145,$V81&lt;=155),0.4,TRUE,0.2),IFS(AND($V81&gt;=120,$V81&lt;=130),1,AND($V81&gt;=110,$V81&lt;120),0.7,AND($V81&gt;130,$V81&lt;=140),0.7,AND($V81&gt;=100,$V81&lt;110),0.4,AND($V81&gt;140,$V81&lt;=150),0.4,TRUE,0.2)),IFS(AND($W81&gt;=55,$W81&lt;=65),1,AND($W81&gt;=50,$W81&lt;55),0.7,AND($W81&gt;65,$W81&lt;=70),0.7,AND($W81&gt;=45,$W81&lt;50),0.4,AND($W81&gt;70,$W81&lt;=75),0.4,TRUE,0.2),IF(OR($B81="Ноги",$B81="Верх"),IFS(AND($X81&gt;=180,$X81&lt;=210),1,AND($X81&gt;=160,$X81&lt;180),0.7,AND($X81&gt;210,$X81&lt;=230),0.7,AND($X81&gt;=140,$X81&lt;160),0.4,AND($X81&gt;230,$X81&lt;=250),0.4,TRUE,0.2),IFS(AND($X81&gt;=140,$X81&lt;=170),1,AND($X81&gt;=120,$X81&lt;140),0.7,AND($X81&gt;170,$X81&lt;=190),0.7,AND($X81&gt;=100,$X81&lt;120),0.4,AND($X81&gt;190,$X81&lt;=210),0.4,TRUE,0.2))))),1),""))</f>
        <v/>
      </c>
      <c r="Z81">
        <f>IF($A81="","",TEXTJOIN(", ",TRUE,IF($B81="","Тренировка",""),IF($C81="","Кардио",""),IF($D81="","Шаги",""),IF($E81="","Английский",""),IF($F81="","Код-режим",""),IF($G81="","Код-тема",""),IF($H81="","Чтение",""),IF($L81="","Сон",""),IF($M81="","Режим",""),IF($N81="","Продуктивность",""),IF($O81="","Настроение",""),IF($P81="","Энергия",""),IF($U81="","Еда","")))</f>
        <v/>
      </c>
    </row>
    <row r="82">
      <c r="A82" s="2" t="inlineStr"/>
      <c r="J82">
        <f>IF(A82="","",SUMIF(FoodLog!$A:$A,A82,FoodLog!$I:$I))</f>
        <v/>
      </c>
      <c r="K82">
        <f>IF(A82="","",SUMIF(FoodLog!$A:$A,A82,FoodLog!$F:$F))</f>
        <v/>
      </c>
      <c r="L82">
        <f>IF(A82="","",SUMIF(FoodLog!$A:$A,A82,FoodLog!$G:$G))</f>
        <v/>
      </c>
      <c r="M82">
        <f>IF(A82="","",SUMIF(FoodLog!$A:$A,A82,FoodLog!$H:$H))</f>
        <v/>
      </c>
      <c r="N82">
        <f>LET(train,B82,cardio,C82,steps,D82,sleep,E82,reg,F82,prod,I82,kcal,J82,p,K82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2">
        <f>TEXTJOIN(", ",TRUE,IF(B82="","тренировка",""),IF(D82="","шаги",""),IF(E82="","сон",""),IF(F82="","режим",""),IF(G82="","настроение",""),IF(H82="","энергия",""),IF(I82="","продуктивность",""),IF(J82="","еда (ккал)",""))</f>
        <v/>
      </c>
      <c r="U82">
        <f>IF($A82="","",IF(SUMIF(FoodLog!$A:$A,$A82,FoodLog!$I:$I)=0,"",SUMIF(FoodLog!$A:$A,$A82,FoodLog!$I:$I)))</f>
        <v/>
      </c>
      <c r="V82">
        <f>IF($A82="","",IF(SUMIF(FoodLog!$A:$A,$A82,FoodLog!$F:$F)=0,"",SUMIF(FoodLog!$A:$A,$A82,FoodLog!$F:$F)))</f>
        <v/>
      </c>
      <c r="W82">
        <f>IF($A82="","",IF(SUMIF(FoodLog!$A:$A,$A82,FoodLog!$G:$G)=0,"",SUMIF(FoodLog!$A:$A,$A82,FoodLog!$G:$G)))</f>
        <v/>
      </c>
      <c r="X82">
        <f>IF($A82="","",IF(SUMIF(FoodLog!$A:$A,$A82,FoodLog!$H:$H)=0,"",SUMIF(FoodLog!$A:$A,$A82,FoodLog!$H:$H)))</f>
        <v/>
      </c>
      <c r="Y82">
        <f>IF($A82="","",IFERROR(ROUND(100*AVERAGE(IF($B82="","",XLOOKUP($B82,FILTER(Dictionaries!$B:$B,Dictionaries!$A:$A="Тренировка"),FILTER(Dictionaries!$C:$C,Dictionaries!$A:$A="Тренировка"))),IF($C82="","",MIN($C82/40,1)),IF($D82="","",XLOOKUP($D82,FILTER(Dictionaries!$B:$B,Dictionaries!$A:$A="Шаги"),FILTER(Dictionaries!$C:$C,Dictionaries!$A:$A="Шаги"))),IF($E82="","",MIN($E82/120,1)),IF(OR($F82&lt;&gt;"",$G82&lt;&gt;""),1,""),IF($H82="","",MIN($H82/100,1)),IF($L82="","",XLOOKUP($L82,FILTER(Dictionaries!$B:$B,Dictionaries!$A:$A="Сон_часы"),FILTER(Dictionaries!$C:$C,Dictionaries!$A:$A="Сон_часы"))),IF($M82="","",XLOOKUP($M82,FILTER(Dictionaries!$B:$B,Dictionaries!$A:$A="Режим"),FILTER(Dictionaries!$C:$C,Dictionaries!$A:$A="Режим"))),IF($N82="","",MIN($N82/100,1)),IF($O82="","",XLOOKUP($O82,FILTER(Dictionaries!$B:$B,Dictionaries!$A:$A="Настроение"),FILTER(Dictionaries!$C:$C,Dictionaries!$A:$A="Настроение"))),IF($P82="","",XLOOKUP($P82,FILTER(Dictionaries!$B:$B,Dictionaries!$A:$A="Энергия"),FILTER(Dictionaries!$C:$C,Dictionaries!$A:$A="Энергия"))),IF($U82="","",AVERAGE(IF(OR($B82="Ноги",$B82="Верх"),IFS(AND($U82&gt;=1900,$U82&lt;=2050),1,AND($U82&gt;=1850,$U82&lt;1900),0.7,AND($U82&gt;2050,$U82&lt;=2100),0.7,TRUE,0.2),IFS(AND($U82&gt;=1700,$U82&lt;=1850),1,AND($U82&gt;=1650,$U82&lt;1700),0.7,AND($U82&gt;1850,$U82&lt;=1900),0.7,TRUE,0.2)),IF(OR($B82="Ноги",$B82="Верх"),IFS(AND($V82&gt;=125,$V82&lt;=135),1,AND($V82&gt;=115,$V82&lt;125),0.7,AND($V82&gt;135,$V82&lt;=145),0.7,AND($V82&gt;=105,$V82&lt;115),0.4,AND($V82&gt;145,$V82&lt;=155),0.4,TRUE,0.2),IFS(AND($V82&gt;=120,$V82&lt;=130),1,AND($V82&gt;=110,$V82&lt;120),0.7,AND($V82&gt;130,$V82&lt;=140),0.7,AND($V82&gt;=100,$V82&lt;110),0.4,AND($V82&gt;140,$V82&lt;=150),0.4,TRUE,0.2)),IFS(AND($W82&gt;=55,$W82&lt;=65),1,AND($W82&gt;=50,$W82&lt;55),0.7,AND($W82&gt;65,$W82&lt;=70),0.7,AND($W82&gt;=45,$W82&lt;50),0.4,AND($W82&gt;70,$W82&lt;=75),0.4,TRUE,0.2),IF(OR($B82="Ноги",$B82="Верх"),IFS(AND($X82&gt;=180,$X82&lt;=210),1,AND($X82&gt;=160,$X82&lt;180),0.7,AND($X82&gt;210,$X82&lt;=230),0.7,AND($X82&gt;=140,$X82&lt;160),0.4,AND($X82&gt;230,$X82&lt;=250),0.4,TRUE,0.2),IFS(AND($X82&gt;=140,$X82&lt;=170),1,AND($X82&gt;=120,$X82&lt;140),0.7,AND($X82&gt;170,$X82&lt;=190),0.7,AND($X82&gt;=100,$X82&lt;120),0.4,AND($X82&gt;190,$X82&lt;=210),0.4,TRUE,0.2))))),1),""))</f>
        <v/>
      </c>
      <c r="Z82">
        <f>IF($A82="","",TEXTJOIN(", ",TRUE,IF($B82="","Тренировка",""),IF($C82="","Кардио",""),IF($D82="","Шаги",""),IF($E82="","Английский",""),IF($F82="","Код-режим",""),IF($G82="","Код-тема",""),IF($H82="","Чтение",""),IF($L82="","Сон",""),IF($M82="","Режим",""),IF($N82="","Продуктивность",""),IF($O82="","Настроение",""),IF($P82="","Энергия",""),IF($U82="","Еда","")))</f>
        <v/>
      </c>
    </row>
    <row r="83">
      <c r="A83" s="2" t="inlineStr"/>
      <c r="J83">
        <f>IF(A83="","",SUMIF(FoodLog!$A:$A,A83,FoodLog!$I:$I))</f>
        <v/>
      </c>
      <c r="K83">
        <f>IF(A83="","",SUMIF(FoodLog!$A:$A,A83,FoodLog!$F:$F))</f>
        <v/>
      </c>
      <c r="L83">
        <f>IF(A83="","",SUMIF(FoodLog!$A:$A,A83,FoodLog!$G:$G))</f>
        <v/>
      </c>
      <c r="M83">
        <f>IF(A83="","",SUMIF(FoodLog!$A:$A,A83,FoodLog!$H:$H))</f>
        <v/>
      </c>
      <c r="N83">
        <f>LET(train,B83,cardio,C83,steps,D83,sleep,E83,reg,F83,prod,I83,kcal,J83,p,K83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3">
        <f>TEXTJOIN(", ",TRUE,IF(B83="","тренировка",""),IF(D83="","шаги",""),IF(E83="","сон",""),IF(F83="","режим",""),IF(G83="","настроение",""),IF(H83="","энергия",""),IF(I83="","продуктивность",""),IF(J83="","еда (ккал)",""))</f>
        <v/>
      </c>
      <c r="U83">
        <f>IF($A83="","",IF(SUMIF(FoodLog!$A:$A,$A83,FoodLog!$I:$I)=0,"",SUMIF(FoodLog!$A:$A,$A83,FoodLog!$I:$I)))</f>
        <v/>
      </c>
      <c r="V83">
        <f>IF($A83="","",IF(SUMIF(FoodLog!$A:$A,$A83,FoodLog!$F:$F)=0,"",SUMIF(FoodLog!$A:$A,$A83,FoodLog!$F:$F)))</f>
        <v/>
      </c>
      <c r="W83">
        <f>IF($A83="","",IF(SUMIF(FoodLog!$A:$A,$A83,FoodLog!$G:$G)=0,"",SUMIF(FoodLog!$A:$A,$A83,FoodLog!$G:$G)))</f>
        <v/>
      </c>
      <c r="X83">
        <f>IF($A83="","",IF(SUMIF(FoodLog!$A:$A,$A83,FoodLog!$H:$H)=0,"",SUMIF(FoodLog!$A:$A,$A83,FoodLog!$H:$H)))</f>
        <v/>
      </c>
      <c r="Y83">
        <f>IF($A83="","",IFERROR(ROUND(100*AVERAGE(IF($B83="","",XLOOKUP($B83,FILTER(Dictionaries!$B:$B,Dictionaries!$A:$A="Тренировка"),FILTER(Dictionaries!$C:$C,Dictionaries!$A:$A="Тренировка"))),IF($C83="","",MIN($C83/40,1)),IF($D83="","",XLOOKUP($D83,FILTER(Dictionaries!$B:$B,Dictionaries!$A:$A="Шаги"),FILTER(Dictionaries!$C:$C,Dictionaries!$A:$A="Шаги"))),IF($E83="","",MIN($E83/120,1)),IF(OR($F83&lt;&gt;"",$G83&lt;&gt;""),1,""),IF($H83="","",MIN($H83/100,1)),IF($L83="","",XLOOKUP($L83,FILTER(Dictionaries!$B:$B,Dictionaries!$A:$A="Сон_часы"),FILTER(Dictionaries!$C:$C,Dictionaries!$A:$A="Сон_часы"))),IF($M83="","",XLOOKUP($M83,FILTER(Dictionaries!$B:$B,Dictionaries!$A:$A="Режим"),FILTER(Dictionaries!$C:$C,Dictionaries!$A:$A="Режим"))),IF($N83="","",MIN($N83/100,1)),IF($O83="","",XLOOKUP($O83,FILTER(Dictionaries!$B:$B,Dictionaries!$A:$A="Настроение"),FILTER(Dictionaries!$C:$C,Dictionaries!$A:$A="Настроение"))),IF($P83="","",XLOOKUP($P83,FILTER(Dictionaries!$B:$B,Dictionaries!$A:$A="Энергия"),FILTER(Dictionaries!$C:$C,Dictionaries!$A:$A="Энергия"))),IF($U83="","",AVERAGE(IF(OR($B83="Ноги",$B83="Верх"),IFS(AND($U83&gt;=1900,$U83&lt;=2050),1,AND($U83&gt;=1850,$U83&lt;1900),0.7,AND($U83&gt;2050,$U83&lt;=2100),0.7,TRUE,0.2),IFS(AND($U83&gt;=1700,$U83&lt;=1850),1,AND($U83&gt;=1650,$U83&lt;1700),0.7,AND($U83&gt;1850,$U83&lt;=1900),0.7,TRUE,0.2)),IF(OR($B83="Ноги",$B83="Верх"),IFS(AND($V83&gt;=125,$V83&lt;=135),1,AND($V83&gt;=115,$V83&lt;125),0.7,AND($V83&gt;135,$V83&lt;=145),0.7,AND($V83&gt;=105,$V83&lt;115),0.4,AND($V83&gt;145,$V83&lt;=155),0.4,TRUE,0.2),IFS(AND($V83&gt;=120,$V83&lt;=130),1,AND($V83&gt;=110,$V83&lt;120),0.7,AND($V83&gt;130,$V83&lt;=140),0.7,AND($V83&gt;=100,$V83&lt;110),0.4,AND($V83&gt;140,$V83&lt;=150),0.4,TRUE,0.2)),IFS(AND($W83&gt;=55,$W83&lt;=65),1,AND($W83&gt;=50,$W83&lt;55),0.7,AND($W83&gt;65,$W83&lt;=70),0.7,AND($W83&gt;=45,$W83&lt;50),0.4,AND($W83&gt;70,$W83&lt;=75),0.4,TRUE,0.2),IF(OR($B83="Ноги",$B83="Верх"),IFS(AND($X83&gt;=180,$X83&lt;=210),1,AND($X83&gt;=160,$X83&lt;180),0.7,AND($X83&gt;210,$X83&lt;=230),0.7,AND($X83&gt;=140,$X83&lt;160),0.4,AND($X83&gt;230,$X83&lt;=250),0.4,TRUE,0.2),IFS(AND($X83&gt;=140,$X83&lt;=170),1,AND($X83&gt;=120,$X83&lt;140),0.7,AND($X83&gt;170,$X83&lt;=190),0.7,AND($X83&gt;=100,$X83&lt;120),0.4,AND($X83&gt;190,$X83&lt;=210),0.4,TRUE,0.2))))),1),""))</f>
        <v/>
      </c>
      <c r="Z83">
        <f>IF($A83="","",TEXTJOIN(", ",TRUE,IF($B83="","Тренировка",""),IF($C83="","Кардио",""),IF($D83="","Шаги",""),IF($E83="","Английский",""),IF($F83="","Код-режим",""),IF($G83="","Код-тема",""),IF($H83="","Чтение",""),IF($L83="","Сон",""),IF($M83="","Режим",""),IF($N83="","Продуктивность",""),IF($O83="","Настроение",""),IF($P83="","Энергия",""),IF($U83="","Еда","")))</f>
        <v/>
      </c>
    </row>
    <row r="84">
      <c r="A84" s="2" t="inlineStr"/>
      <c r="J84">
        <f>IF(A84="","",SUMIF(FoodLog!$A:$A,A84,FoodLog!$I:$I))</f>
        <v/>
      </c>
      <c r="K84">
        <f>IF(A84="","",SUMIF(FoodLog!$A:$A,A84,FoodLog!$F:$F))</f>
        <v/>
      </c>
      <c r="L84">
        <f>IF(A84="","",SUMIF(FoodLog!$A:$A,A84,FoodLog!$G:$G))</f>
        <v/>
      </c>
      <c r="M84">
        <f>IF(A84="","",SUMIF(FoodLog!$A:$A,A84,FoodLog!$H:$H))</f>
        <v/>
      </c>
      <c r="N84">
        <f>LET(train,B84,cardio,C84,steps,D84,sleep,E84,reg,F84,prod,I84,kcal,J84,p,K84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4">
        <f>TEXTJOIN(", ",TRUE,IF(B84="","тренировка",""),IF(D84="","шаги",""),IF(E84="","сон",""),IF(F84="","режим",""),IF(G84="","настроение",""),IF(H84="","энергия",""),IF(I84="","продуктивность",""),IF(J84="","еда (ккал)",""))</f>
        <v/>
      </c>
      <c r="U84">
        <f>IF($A84="","",IF(SUMIF(FoodLog!$A:$A,$A84,FoodLog!$I:$I)=0,"",SUMIF(FoodLog!$A:$A,$A84,FoodLog!$I:$I)))</f>
        <v/>
      </c>
      <c r="V84">
        <f>IF($A84="","",IF(SUMIF(FoodLog!$A:$A,$A84,FoodLog!$F:$F)=0,"",SUMIF(FoodLog!$A:$A,$A84,FoodLog!$F:$F)))</f>
        <v/>
      </c>
      <c r="W84">
        <f>IF($A84="","",IF(SUMIF(FoodLog!$A:$A,$A84,FoodLog!$G:$G)=0,"",SUMIF(FoodLog!$A:$A,$A84,FoodLog!$G:$G)))</f>
        <v/>
      </c>
      <c r="X84">
        <f>IF($A84="","",IF(SUMIF(FoodLog!$A:$A,$A84,FoodLog!$H:$H)=0,"",SUMIF(FoodLog!$A:$A,$A84,FoodLog!$H:$H)))</f>
        <v/>
      </c>
      <c r="Y84">
        <f>IF($A84="","",IFERROR(ROUND(100*AVERAGE(IF($B84="","",XLOOKUP($B84,FILTER(Dictionaries!$B:$B,Dictionaries!$A:$A="Тренировка"),FILTER(Dictionaries!$C:$C,Dictionaries!$A:$A="Тренировка"))),IF($C84="","",MIN($C84/40,1)),IF($D84="","",XLOOKUP($D84,FILTER(Dictionaries!$B:$B,Dictionaries!$A:$A="Шаги"),FILTER(Dictionaries!$C:$C,Dictionaries!$A:$A="Шаги"))),IF($E84="","",MIN($E84/120,1)),IF(OR($F84&lt;&gt;"",$G84&lt;&gt;""),1,""),IF($H84="","",MIN($H84/100,1)),IF($L84="","",XLOOKUP($L84,FILTER(Dictionaries!$B:$B,Dictionaries!$A:$A="Сон_часы"),FILTER(Dictionaries!$C:$C,Dictionaries!$A:$A="Сон_часы"))),IF($M84="","",XLOOKUP($M84,FILTER(Dictionaries!$B:$B,Dictionaries!$A:$A="Режим"),FILTER(Dictionaries!$C:$C,Dictionaries!$A:$A="Режим"))),IF($N84="","",MIN($N84/100,1)),IF($O84="","",XLOOKUP($O84,FILTER(Dictionaries!$B:$B,Dictionaries!$A:$A="Настроение"),FILTER(Dictionaries!$C:$C,Dictionaries!$A:$A="Настроение"))),IF($P84="","",XLOOKUP($P84,FILTER(Dictionaries!$B:$B,Dictionaries!$A:$A="Энергия"),FILTER(Dictionaries!$C:$C,Dictionaries!$A:$A="Энергия"))),IF($U84="","",AVERAGE(IF(OR($B84="Ноги",$B84="Верх"),IFS(AND($U84&gt;=1900,$U84&lt;=2050),1,AND($U84&gt;=1850,$U84&lt;1900),0.7,AND($U84&gt;2050,$U84&lt;=2100),0.7,TRUE,0.2),IFS(AND($U84&gt;=1700,$U84&lt;=1850),1,AND($U84&gt;=1650,$U84&lt;1700),0.7,AND($U84&gt;1850,$U84&lt;=1900),0.7,TRUE,0.2)),IF(OR($B84="Ноги",$B84="Верх"),IFS(AND($V84&gt;=125,$V84&lt;=135),1,AND($V84&gt;=115,$V84&lt;125),0.7,AND($V84&gt;135,$V84&lt;=145),0.7,AND($V84&gt;=105,$V84&lt;115),0.4,AND($V84&gt;145,$V84&lt;=155),0.4,TRUE,0.2),IFS(AND($V84&gt;=120,$V84&lt;=130),1,AND($V84&gt;=110,$V84&lt;120),0.7,AND($V84&gt;130,$V84&lt;=140),0.7,AND($V84&gt;=100,$V84&lt;110),0.4,AND($V84&gt;140,$V84&lt;=150),0.4,TRUE,0.2)),IFS(AND($W84&gt;=55,$W84&lt;=65),1,AND($W84&gt;=50,$W84&lt;55),0.7,AND($W84&gt;65,$W84&lt;=70),0.7,AND($W84&gt;=45,$W84&lt;50),0.4,AND($W84&gt;70,$W84&lt;=75),0.4,TRUE,0.2),IF(OR($B84="Ноги",$B84="Верх"),IFS(AND($X84&gt;=180,$X84&lt;=210),1,AND($X84&gt;=160,$X84&lt;180),0.7,AND($X84&gt;210,$X84&lt;=230),0.7,AND($X84&gt;=140,$X84&lt;160),0.4,AND($X84&gt;230,$X84&lt;=250),0.4,TRUE,0.2),IFS(AND($X84&gt;=140,$X84&lt;=170),1,AND($X84&gt;=120,$X84&lt;140),0.7,AND($X84&gt;170,$X84&lt;=190),0.7,AND($X84&gt;=100,$X84&lt;120),0.4,AND($X84&gt;190,$X84&lt;=210),0.4,TRUE,0.2))))),1),""))</f>
        <v/>
      </c>
      <c r="Z84">
        <f>IF($A84="","",TEXTJOIN(", ",TRUE,IF($B84="","Тренировка",""),IF($C84="","Кардио",""),IF($D84="","Шаги",""),IF($E84="","Английский",""),IF($F84="","Код-режим",""),IF($G84="","Код-тема",""),IF($H84="","Чтение",""),IF($L84="","Сон",""),IF($M84="","Режим",""),IF($N84="","Продуктивность",""),IF($O84="","Настроение",""),IF($P84="","Энергия",""),IF($U84="","Еда","")))</f>
        <v/>
      </c>
    </row>
    <row r="85">
      <c r="A85" s="2" t="inlineStr"/>
      <c r="J85">
        <f>IF(A85="","",SUMIF(FoodLog!$A:$A,A85,FoodLog!$I:$I))</f>
        <v/>
      </c>
      <c r="K85">
        <f>IF(A85="","",SUMIF(FoodLog!$A:$A,A85,FoodLog!$F:$F))</f>
        <v/>
      </c>
      <c r="L85">
        <f>IF(A85="","",SUMIF(FoodLog!$A:$A,A85,FoodLog!$G:$G))</f>
        <v/>
      </c>
      <c r="M85">
        <f>IF(A85="","",SUMIF(FoodLog!$A:$A,A85,FoodLog!$H:$H))</f>
        <v/>
      </c>
      <c r="N85">
        <f>LET(train,B85,cardio,C85,steps,D85,sleep,E85,reg,F85,prod,I85,kcal,J85,p,K85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5">
        <f>TEXTJOIN(", ",TRUE,IF(B85="","тренировка",""),IF(D85="","шаги",""),IF(E85="","сон",""),IF(F85="","режим",""),IF(G85="","настроение",""),IF(H85="","энергия",""),IF(I85="","продуктивность",""),IF(J85="","еда (ккал)",""))</f>
        <v/>
      </c>
      <c r="U85">
        <f>IF($A85="","",IF(SUMIF(FoodLog!$A:$A,$A85,FoodLog!$I:$I)=0,"",SUMIF(FoodLog!$A:$A,$A85,FoodLog!$I:$I)))</f>
        <v/>
      </c>
      <c r="V85">
        <f>IF($A85="","",IF(SUMIF(FoodLog!$A:$A,$A85,FoodLog!$F:$F)=0,"",SUMIF(FoodLog!$A:$A,$A85,FoodLog!$F:$F)))</f>
        <v/>
      </c>
      <c r="W85">
        <f>IF($A85="","",IF(SUMIF(FoodLog!$A:$A,$A85,FoodLog!$G:$G)=0,"",SUMIF(FoodLog!$A:$A,$A85,FoodLog!$G:$G)))</f>
        <v/>
      </c>
      <c r="X85">
        <f>IF($A85="","",IF(SUMIF(FoodLog!$A:$A,$A85,FoodLog!$H:$H)=0,"",SUMIF(FoodLog!$A:$A,$A85,FoodLog!$H:$H)))</f>
        <v/>
      </c>
      <c r="Y85">
        <f>IF($A85="","",IFERROR(ROUND(100*AVERAGE(IF($B85="","",XLOOKUP($B85,FILTER(Dictionaries!$B:$B,Dictionaries!$A:$A="Тренировка"),FILTER(Dictionaries!$C:$C,Dictionaries!$A:$A="Тренировка"))),IF($C85="","",MIN($C85/40,1)),IF($D85="","",XLOOKUP($D85,FILTER(Dictionaries!$B:$B,Dictionaries!$A:$A="Шаги"),FILTER(Dictionaries!$C:$C,Dictionaries!$A:$A="Шаги"))),IF($E85="","",MIN($E85/120,1)),IF(OR($F85&lt;&gt;"",$G85&lt;&gt;""),1,""),IF($H85="","",MIN($H85/100,1)),IF($L85="","",XLOOKUP($L85,FILTER(Dictionaries!$B:$B,Dictionaries!$A:$A="Сон_часы"),FILTER(Dictionaries!$C:$C,Dictionaries!$A:$A="Сон_часы"))),IF($M85="","",XLOOKUP($M85,FILTER(Dictionaries!$B:$B,Dictionaries!$A:$A="Режим"),FILTER(Dictionaries!$C:$C,Dictionaries!$A:$A="Режим"))),IF($N85="","",MIN($N85/100,1)),IF($O85="","",XLOOKUP($O85,FILTER(Dictionaries!$B:$B,Dictionaries!$A:$A="Настроение"),FILTER(Dictionaries!$C:$C,Dictionaries!$A:$A="Настроение"))),IF($P85="","",XLOOKUP($P85,FILTER(Dictionaries!$B:$B,Dictionaries!$A:$A="Энергия"),FILTER(Dictionaries!$C:$C,Dictionaries!$A:$A="Энергия"))),IF($U85="","",AVERAGE(IF(OR($B85="Ноги",$B85="Верх"),IFS(AND($U85&gt;=1900,$U85&lt;=2050),1,AND($U85&gt;=1850,$U85&lt;1900),0.7,AND($U85&gt;2050,$U85&lt;=2100),0.7,TRUE,0.2),IFS(AND($U85&gt;=1700,$U85&lt;=1850),1,AND($U85&gt;=1650,$U85&lt;1700),0.7,AND($U85&gt;1850,$U85&lt;=1900),0.7,TRUE,0.2)),IF(OR($B85="Ноги",$B85="Верх"),IFS(AND($V85&gt;=125,$V85&lt;=135),1,AND($V85&gt;=115,$V85&lt;125),0.7,AND($V85&gt;135,$V85&lt;=145),0.7,AND($V85&gt;=105,$V85&lt;115),0.4,AND($V85&gt;145,$V85&lt;=155),0.4,TRUE,0.2),IFS(AND($V85&gt;=120,$V85&lt;=130),1,AND($V85&gt;=110,$V85&lt;120),0.7,AND($V85&gt;130,$V85&lt;=140),0.7,AND($V85&gt;=100,$V85&lt;110),0.4,AND($V85&gt;140,$V85&lt;=150),0.4,TRUE,0.2)),IFS(AND($W85&gt;=55,$W85&lt;=65),1,AND($W85&gt;=50,$W85&lt;55),0.7,AND($W85&gt;65,$W85&lt;=70),0.7,AND($W85&gt;=45,$W85&lt;50),0.4,AND($W85&gt;70,$W85&lt;=75),0.4,TRUE,0.2),IF(OR($B85="Ноги",$B85="Верх"),IFS(AND($X85&gt;=180,$X85&lt;=210),1,AND($X85&gt;=160,$X85&lt;180),0.7,AND($X85&gt;210,$X85&lt;=230),0.7,AND($X85&gt;=140,$X85&lt;160),0.4,AND($X85&gt;230,$X85&lt;=250),0.4,TRUE,0.2),IFS(AND($X85&gt;=140,$X85&lt;=170),1,AND($X85&gt;=120,$X85&lt;140),0.7,AND($X85&gt;170,$X85&lt;=190),0.7,AND($X85&gt;=100,$X85&lt;120),0.4,AND($X85&gt;190,$X85&lt;=210),0.4,TRUE,0.2))))),1),""))</f>
        <v/>
      </c>
      <c r="Z85">
        <f>IF($A85="","",TEXTJOIN(", ",TRUE,IF($B85="","Тренировка",""),IF($C85="","Кардио",""),IF($D85="","Шаги",""),IF($E85="","Английский",""),IF($F85="","Код-режим",""),IF($G85="","Код-тема",""),IF($H85="","Чтение",""),IF($L85="","Сон",""),IF($M85="","Режим",""),IF($N85="","Продуктивность",""),IF($O85="","Настроение",""),IF($P85="","Энергия",""),IF($U85="","Еда","")))</f>
        <v/>
      </c>
    </row>
    <row r="86">
      <c r="A86" s="2" t="inlineStr"/>
      <c r="J86">
        <f>IF(A86="","",SUMIF(FoodLog!$A:$A,A86,FoodLog!$I:$I))</f>
        <v/>
      </c>
      <c r="K86">
        <f>IF(A86="","",SUMIF(FoodLog!$A:$A,A86,FoodLog!$F:$F))</f>
        <v/>
      </c>
      <c r="L86">
        <f>IF(A86="","",SUMIF(FoodLog!$A:$A,A86,FoodLog!$G:$G))</f>
        <v/>
      </c>
      <c r="M86">
        <f>IF(A86="","",SUMIF(FoodLog!$A:$A,A86,FoodLog!$H:$H))</f>
        <v/>
      </c>
      <c r="N86">
        <f>LET(train,B86,cardio,C86,steps,D86,sleep,E86,reg,F86,prod,I86,kcal,J86,p,K86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6">
        <f>TEXTJOIN(", ",TRUE,IF(B86="","тренировка",""),IF(D86="","шаги",""),IF(E86="","сон",""),IF(F86="","режим",""),IF(G86="","настроение",""),IF(H86="","энергия",""),IF(I86="","продуктивность",""),IF(J86="","еда (ккал)",""))</f>
        <v/>
      </c>
      <c r="U86">
        <f>IF($A86="","",IF(SUMIF(FoodLog!$A:$A,$A86,FoodLog!$I:$I)=0,"",SUMIF(FoodLog!$A:$A,$A86,FoodLog!$I:$I)))</f>
        <v/>
      </c>
      <c r="V86">
        <f>IF($A86="","",IF(SUMIF(FoodLog!$A:$A,$A86,FoodLog!$F:$F)=0,"",SUMIF(FoodLog!$A:$A,$A86,FoodLog!$F:$F)))</f>
        <v/>
      </c>
      <c r="W86">
        <f>IF($A86="","",IF(SUMIF(FoodLog!$A:$A,$A86,FoodLog!$G:$G)=0,"",SUMIF(FoodLog!$A:$A,$A86,FoodLog!$G:$G)))</f>
        <v/>
      </c>
      <c r="X86">
        <f>IF($A86="","",IF(SUMIF(FoodLog!$A:$A,$A86,FoodLog!$H:$H)=0,"",SUMIF(FoodLog!$A:$A,$A86,FoodLog!$H:$H)))</f>
        <v/>
      </c>
      <c r="Y86">
        <f>IF($A86="","",IFERROR(ROUND(100*AVERAGE(IF($B86="","",XLOOKUP($B86,FILTER(Dictionaries!$B:$B,Dictionaries!$A:$A="Тренировка"),FILTER(Dictionaries!$C:$C,Dictionaries!$A:$A="Тренировка"))),IF($C86="","",MIN($C86/40,1)),IF($D86="","",XLOOKUP($D86,FILTER(Dictionaries!$B:$B,Dictionaries!$A:$A="Шаги"),FILTER(Dictionaries!$C:$C,Dictionaries!$A:$A="Шаги"))),IF($E86="","",MIN($E86/120,1)),IF(OR($F86&lt;&gt;"",$G86&lt;&gt;""),1,""),IF($H86="","",MIN($H86/100,1)),IF($L86="","",XLOOKUP($L86,FILTER(Dictionaries!$B:$B,Dictionaries!$A:$A="Сон_часы"),FILTER(Dictionaries!$C:$C,Dictionaries!$A:$A="Сон_часы"))),IF($M86="","",XLOOKUP($M86,FILTER(Dictionaries!$B:$B,Dictionaries!$A:$A="Режим"),FILTER(Dictionaries!$C:$C,Dictionaries!$A:$A="Режим"))),IF($N86="","",MIN($N86/100,1)),IF($O86="","",XLOOKUP($O86,FILTER(Dictionaries!$B:$B,Dictionaries!$A:$A="Настроение"),FILTER(Dictionaries!$C:$C,Dictionaries!$A:$A="Настроение"))),IF($P86="","",XLOOKUP($P86,FILTER(Dictionaries!$B:$B,Dictionaries!$A:$A="Энергия"),FILTER(Dictionaries!$C:$C,Dictionaries!$A:$A="Энергия"))),IF($U86="","",AVERAGE(IF(OR($B86="Ноги",$B86="Верх"),IFS(AND($U86&gt;=1900,$U86&lt;=2050),1,AND($U86&gt;=1850,$U86&lt;1900),0.7,AND($U86&gt;2050,$U86&lt;=2100),0.7,TRUE,0.2),IFS(AND($U86&gt;=1700,$U86&lt;=1850),1,AND($U86&gt;=1650,$U86&lt;1700),0.7,AND($U86&gt;1850,$U86&lt;=1900),0.7,TRUE,0.2)),IF(OR($B86="Ноги",$B86="Верх"),IFS(AND($V86&gt;=125,$V86&lt;=135),1,AND($V86&gt;=115,$V86&lt;125),0.7,AND($V86&gt;135,$V86&lt;=145),0.7,AND($V86&gt;=105,$V86&lt;115),0.4,AND($V86&gt;145,$V86&lt;=155),0.4,TRUE,0.2),IFS(AND($V86&gt;=120,$V86&lt;=130),1,AND($V86&gt;=110,$V86&lt;120),0.7,AND($V86&gt;130,$V86&lt;=140),0.7,AND($V86&gt;=100,$V86&lt;110),0.4,AND($V86&gt;140,$V86&lt;=150),0.4,TRUE,0.2)),IFS(AND($W86&gt;=55,$W86&lt;=65),1,AND($W86&gt;=50,$W86&lt;55),0.7,AND($W86&gt;65,$W86&lt;=70),0.7,AND($W86&gt;=45,$W86&lt;50),0.4,AND($W86&gt;70,$W86&lt;=75),0.4,TRUE,0.2),IF(OR($B86="Ноги",$B86="Верх"),IFS(AND($X86&gt;=180,$X86&lt;=210),1,AND($X86&gt;=160,$X86&lt;180),0.7,AND($X86&gt;210,$X86&lt;=230),0.7,AND($X86&gt;=140,$X86&lt;160),0.4,AND($X86&gt;230,$X86&lt;=250),0.4,TRUE,0.2),IFS(AND($X86&gt;=140,$X86&lt;=170),1,AND($X86&gt;=120,$X86&lt;140),0.7,AND($X86&gt;170,$X86&lt;=190),0.7,AND($X86&gt;=100,$X86&lt;120),0.4,AND($X86&gt;190,$X86&lt;=210),0.4,TRUE,0.2))))),1),""))</f>
        <v/>
      </c>
      <c r="Z86">
        <f>IF($A86="","",TEXTJOIN(", ",TRUE,IF($B86="","Тренировка",""),IF($C86="","Кардио",""),IF($D86="","Шаги",""),IF($E86="","Английский",""),IF($F86="","Код-режим",""),IF($G86="","Код-тема",""),IF($H86="","Чтение",""),IF($L86="","Сон",""),IF($M86="","Режим",""),IF($N86="","Продуктивность",""),IF($O86="","Настроение",""),IF($P86="","Энергия",""),IF($U86="","Еда","")))</f>
        <v/>
      </c>
    </row>
    <row r="87">
      <c r="A87" s="2" t="inlineStr"/>
      <c r="J87">
        <f>IF(A87="","",SUMIF(FoodLog!$A:$A,A87,FoodLog!$I:$I))</f>
        <v/>
      </c>
      <c r="K87">
        <f>IF(A87="","",SUMIF(FoodLog!$A:$A,A87,FoodLog!$F:$F))</f>
        <v/>
      </c>
      <c r="L87">
        <f>IF(A87="","",SUMIF(FoodLog!$A:$A,A87,FoodLog!$G:$G))</f>
        <v/>
      </c>
      <c r="M87">
        <f>IF(A87="","",SUMIF(FoodLog!$A:$A,A87,FoodLog!$H:$H))</f>
        <v/>
      </c>
      <c r="N87">
        <f>LET(train,B87,cardio,C87,steps,D87,sleep,E87,reg,F87,prod,I87,kcal,J87,p,K87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7">
        <f>TEXTJOIN(", ",TRUE,IF(B87="","тренировка",""),IF(D87="","шаги",""),IF(E87="","сон",""),IF(F87="","режим",""),IF(G87="","настроение",""),IF(H87="","энергия",""),IF(I87="","продуктивность",""),IF(J87="","еда (ккал)",""))</f>
        <v/>
      </c>
      <c r="U87">
        <f>IF($A87="","",IF(SUMIF(FoodLog!$A:$A,$A87,FoodLog!$I:$I)=0,"",SUMIF(FoodLog!$A:$A,$A87,FoodLog!$I:$I)))</f>
        <v/>
      </c>
      <c r="V87">
        <f>IF($A87="","",IF(SUMIF(FoodLog!$A:$A,$A87,FoodLog!$F:$F)=0,"",SUMIF(FoodLog!$A:$A,$A87,FoodLog!$F:$F)))</f>
        <v/>
      </c>
      <c r="W87">
        <f>IF($A87="","",IF(SUMIF(FoodLog!$A:$A,$A87,FoodLog!$G:$G)=0,"",SUMIF(FoodLog!$A:$A,$A87,FoodLog!$G:$G)))</f>
        <v/>
      </c>
      <c r="X87">
        <f>IF($A87="","",IF(SUMIF(FoodLog!$A:$A,$A87,FoodLog!$H:$H)=0,"",SUMIF(FoodLog!$A:$A,$A87,FoodLog!$H:$H)))</f>
        <v/>
      </c>
      <c r="Y87">
        <f>IF($A87="","",IFERROR(ROUND(100*AVERAGE(IF($B87="","",XLOOKUP($B87,FILTER(Dictionaries!$B:$B,Dictionaries!$A:$A="Тренировка"),FILTER(Dictionaries!$C:$C,Dictionaries!$A:$A="Тренировка"))),IF($C87="","",MIN($C87/40,1)),IF($D87="","",XLOOKUP($D87,FILTER(Dictionaries!$B:$B,Dictionaries!$A:$A="Шаги"),FILTER(Dictionaries!$C:$C,Dictionaries!$A:$A="Шаги"))),IF($E87="","",MIN($E87/120,1)),IF(OR($F87&lt;&gt;"",$G87&lt;&gt;""),1,""),IF($H87="","",MIN($H87/100,1)),IF($L87="","",XLOOKUP($L87,FILTER(Dictionaries!$B:$B,Dictionaries!$A:$A="Сон_часы"),FILTER(Dictionaries!$C:$C,Dictionaries!$A:$A="Сон_часы"))),IF($M87="","",XLOOKUP($M87,FILTER(Dictionaries!$B:$B,Dictionaries!$A:$A="Режим"),FILTER(Dictionaries!$C:$C,Dictionaries!$A:$A="Режим"))),IF($N87="","",MIN($N87/100,1)),IF($O87="","",XLOOKUP($O87,FILTER(Dictionaries!$B:$B,Dictionaries!$A:$A="Настроение"),FILTER(Dictionaries!$C:$C,Dictionaries!$A:$A="Настроение"))),IF($P87="","",XLOOKUP($P87,FILTER(Dictionaries!$B:$B,Dictionaries!$A:$A="Энергия"),FILTER(Dictionaries!$C:$C,Dictionaries!$A:$A="Энергия"))),IF($U87="","",AVERAGE(IF(OR($B87="Ноги",$B87="Верх"),IFS(AND($U87&gt;=1900,$U87&lt;=2050),1,AND($U87&gt;=1850,$U87&lt;1900),0.7,AND($U87&gt;2050,$U87&lt;=2100),0.7,TRUE,0.2),IFS(AND($U87&gt;=1700,$U87&lt;=1850),1,AND($U87&gt;=1650,$U87&lt;1700),0.7,AND($U87&gt;1850,$U87&lt;=1900),0.7,TRUE,0.2)),IF(OR($B87="Ноги",$B87="Верх"),IFS(AND($V87&gt;=125,$V87&lt;=135),1,AND($V87&gt;=115,$V87&lt;125),0.7,AND($V87&gt;135,$V87&lt;=145),0.7,AND($V87&gt;=105,$V87&lt;115),0.4,AND($V87&gt;145,$V87&lt;=155),0.4,TRUE,0.2),IFS(AND($V87&gt;=120,$V87&lt;=130),1,AND($V87&gt;=110,$V87&lt;120),0.7,AND($V87&gt;130,$V87&lt;=140),0.7,AND($V87&gt;=100,$V87&lt;110),0.4,AND($V87&gt;140,$V87&lt;=150),0.4,TRUE,0.2)),IFS(AND($W87&gt;=55,$W87&lt;=65),1,AND($W87&gt;=50,$W87&lt;55),0.7,AND($W87&gt;65,$W87&lt;=70),0.7,AND($W87&gt;=45,$W87&lt;50),0.4,AND($W87&gt;70,$W87&lt;=75),0.4,TRUE,0.2),IF(OR($B87="Ноги",$B87="Верх"),IFS(AND($X87&gt;=180,$X87&lt;=210),1,AND($X87&gt;=160,$X87&lt;180),0.7,AND($X87&gt;210,$X87&lt;=230),0.7,AND($X87&gt;=140,$X87&lt;160),0.4,AND($X87&gt;230,$X87&lt;=250),0.4,TRUE,0.2),IFS(AND($X87&gt;=140,$X87&lt;=170),1,AND($X87&gt;=120,$X87&lt;140),0.7,AND($X87&gt;170,$X87&lt;=190),0.7,AND($X87&gt;=100,$X87&lt;120),0.4,AND($X87&gt;190,$X87&lt;=210),0.4,TRUE,0.2))))),1),""))</f>
        <v/>
      </c>
      <c r="Z87">
        <f>IF($A87="","",TEXTJOIN(", ",TRUE,IF($B87="","Тренировка",""),IF($C87="","Кардио",""),IF($D87="","Шаги",""),IF($E87="","Английский",""),IF($F87="","Код-режим",""),IF($G87="","Код-тема",""),IF($H87="","Чтение",""),IF($L87="","Сон",""),IF($M87="","Режим",""),IF($N87="","Продуктивность",""),IF($O87="","Настроение",""),IF($P87="","Энергия",""),IF($U87="","Еда","")))</f>
        <v/>
      </c>
    </row>
    <row r="88">
      <c r="A88" s="2" t="inlineStr"/>
      <c r="J88">
        <f>IF(A88="","",SUMIF(FoodLog!$A:$A,A88,FoodLog!$I:$I))</f>
        <v/>
      </c>
      <c r="K88">
        <f>IF(A88="","",SUMIF(FoodLog!$A:$A,A88,FoodLog!$F:$F))</f>
        <v/>
      </c>
      <c r="L88">
        <f>IF(A88="","",SUMIF(FoodLog!$A:$A,A88,FoodLog!$G:$G))</f>
        <v/>
      </c>
      <c r="M88">
        <f>IF(A88="","",SUMIF(FoodLog!$A:$A,A88,FoodLog!$H:$H))</f>
        <v/>
      </c>
      <c r="N88">
        <f>LET(train,B88,cardio,C88,steps,D88,sleep,E88,reg,F88,prod,I88,kcal,J88,p,K88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8">
        <f>TEXTJOIN(", ",TRUE,IF(B88="","тренировка",""),IF(D88="","шаги",""),IF(E88="","сон",""),IF(F88="","режим",""),IF(G88="","настроение",""),IF(H88="","энергия",""),IF(I88="","продуктивность",""),IF(J88="","еда (ккал)",""))</f>
        <v/>
      </c>
      <c r="U88">
        <f>IF($A88="","",IF(SUMIF(FoodLog!$A:$A,$A88,FoodLog!$I:$I)=0,"",SUMIF(FoodLog!$A:$A,$A88,FoodLog!$I:$I)))</f>
        <v/>
      </c>
      <c r="V88">
        <f>IF($A88="","",IF(SUMIF(FoodLog!$A:$A,$A88,FoodLog!$F:$F)=0,"",SUMIF(FoodLog!$A:$A,$A88,FoodLog!$F:$F)))</f>
        <v/>
      </c>
      <c r="W88">
        <f>IF($A88="","",IF(SUMIF(FoodLog!$A:$A,$A88,FoodLog!$G:$G)=0,"",SUMIF(FoodLog!$A:$A,$A88,FoodLog!$G:$G)))</f>
        <v/>
      </c>
      <c r="X88">
        <f>IF($A88="","",IF(SUMIF(FoodLog!$A:$A,$A88,FoodLog!$H:$H)=0,"",SUMIF(FoodLog!$A:$A,$A88,FoodLog!$H:$H)))</f>
        <v/>
      </c>
      <c r="Y88">
        <f>IF($A88="","",IFERROR(ROUND(100*AVERAGE(IF($B88="","",XLOOKUP($B88,FILTER(Dictionaries!$B:$B,Dictionaries!$A:$A="Тренировка"),FILTER(Dictionaries!$C:$C,Dictionaries!$A:$A="Тренировка"))),IF($C88="","",MIN($C88/40,1)),IF($D88="","",XLOOKUP($D88,FILTER(Dictionaries!$B:$B,Dictionaries!$A:$A="Шаги"),FILTER(Dictionaries!$C:$C,Dictionaries!$A:$A="Шаги"))),IF($E88="","",MIN($E88/120,1)),IF(OR($F88&lt;&gt;"",$G88&lt;&gt;""),1,""),IF($H88="","",MIN($H88/100,1)),IF($L88="","",XLOOKUP($L88,FILTER(Dictionaries!$B:$B,Dictionaries!$A:$A="Сон_часы"),FILTER(Dictionaries!$C:$C,Dictionaries!$A:$A="Сон_часы"))),IF($M88="","",XLOOKUP($M88,FILTER(Dictionaries!$B:$B,Dictionaries!$A:$A="Режим"),FILTER(Dictionaries!$C:$C,Dictionaries!$A:$A="Режим"))),IF($N88="","",MIN($N88/100,1)),IF($O88="","",XLOOKUP($O88,FILTER(Dictionaries!$B:$B,Dictionaries!$A:$A="Настроение"),FILTER(Dictionaries!$C:$C,Dictionaries!$A:$A="Настроение"))),IF($P88="","",XLOOKUP($P88,FILTER(Dictionaries!$B:$B,Dictionaries!$A:$A="Энергия"),FILTER(Dictionaries!$C:$C,Dictionaries!$A:$A="Энергия"))),IF($U88="","",AVERAGE(IF(OR($B88="Ноги",$B88="Верх"),IFS(AND($U88&gt;=1900,$U88&lt;=2050),1,AND($U88&gt;=1850,$U88&lt;1900),0.7,AND($U88&gt;2050,$U88&lt;=2100),0.7,TRUE,0.2),IFS(AND($U88&gt;=1700,$U88&lt;=1850),1,AND($U88&gt;=1650,$U88&lt;1700),0.7,AND($U88&gt;1850,$U88&lt;=1900),0.7,TRUE,0.2)),IF(OR($B88="Ноги",$B88="Верх"),IFS(AND($V88&gt;=125,$V88&lt;=135),1,AND($V88&gt;=115,$V88&lt;125),0.7,AND($V88&gt;135,$V88&lt;=145),0.7,AND($V88&gt;=105,$V88&lt;115),0.4,AND($V88&gt;145,$V88&lt;=155),0.4,TRUE,0.2),IFS(AND($V88&gt;=120,$V88&lt;=130),1,AND($V88&gt;=110,$V88&lt;120),0.7,AND($V88&gt;130,$V88&lt;=140),0.7,AND($V88&gt;=100,$V88&lt;110),0.4,AND($V88&gt;140,$V88&lt;=150),0.4,TRUE,0.2)),IFS(AND($W88&gt;=55,$W88&lt;=65),1,AND($W88&gt;=50,$W88&lt;55),0.7,AND($W88&gt;65,$W88&lt;=70),0.7,AND($W88&gt;=45,$W88&lt;50),0.4,AND($W88&gt;70,$W88&lt;=75),0.4,TRUE,0.2),IF(OR($B88="Ноги",$B88="Верх"),IFS(AND($X88&gt;=180,$X88&lt;=210),1,AND($X88&gt;=160,$X88&lt;180),0.7,AND($X88&gt;210,$X88&lt;=230),0.7,AND($X88&gt;=140,$X88&lt;160),0.4,AND($X88&gt;230,$X88&lt;=250),0.4,TRUE,0.2),IFS(AND($X88&gt;=140,$X88&lt;=170),1,AND($X88&gt;=120,$X88&lt;140),0.7,AND($X88&gt;170,$X88&lt;=190),0.7,AND($X88&gt;=100,$X88&lt;120),0.4,AND($X88&gt;190,$X88&lt;=210),0.4,TRUE,0.2))))),1),""))</f>
        <v/>
      </c>
      <c r="Z88">
        <f>IF($A88="","",TEXTJOIN(", ",TRUE,IF($B88="","Тренировка",""),IF($C88="","Кардио",""),IF($D88="","Шаги",""),IF($E88="","Английский",""),IF($F88="","Код-режим",""),IF($G88="","Код-тема",""),IF($H88="","Чтение",""),IF($L88="","Сон",""),IF($M88="","Режим",""),IF($N88="","Продуктивность",""),IF($O88="","Настроение",""),IF($P88="","Энергия",""),IF($U88="","Еда","")))</f>
        <v/>
      </c>
    </row>
    <row r="89">
      <c r="A89" s="2" t="inlineStr"/>
      <c r="J89">
        <f>IF(A89="","",SUMIF(FoodLog!$A:$A,A89,FoodLog!$I:$I))</f>
        <v/>
      </c>
      <c r="K89">
        <f>IF(A89="","",SUMIF(FoodLog!$A:$A,A89,FoodLog!$F:$F))</f>
        <v/>
      </c>
      <c r="L89">
        <f>IF(A89="","",SUMIF(FoodLog!$A:$A,A89,FoodLog!$G:$G))</f>
        <v/>
      </c>
      <c r="M89">
        <f>IF(A89="","",SUMIF(FoodLog!$A:$A,A89,FoodLog!$H:$H))</f>
        <v/>
      </c>
      <c r="N89">
        <f>LET(train,B89,cardio,C89,steps,D89,sleep,E89,reg,F89,prod,I89,kcal,J89,p,K89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89">
        <f>TEXTJOIN(", ",TRUE,IF(B89="","тренировка",""),IF(D89="","шаги",""),IF(E89="","сон",""),IF(F89="","режим",""),IF(G89="","настроение",""),IF(H89="","энергия",""),IF(I89="","продуктивность",""),IF(J89="","еда (ккал)",""))</f>
        <v/>
      </c>
      <c r="U89">
        <f>IF($A89="","",IF(SUMIF(FoodLog!$A:$A,$A89,FoodLog!$I:$I)=0,"",SUMIF(FoodLog!$A:$A,$A89,FoodLog!$I:$I)))</f>
        <v/>
      </c>
      <c r="V89">
        <f>IF($A89="","",IF(SUMIF(FoodLog!$A:$A,$A89,FoodLog!$F:$F)=0,"",SUMIF(FoodLog!$A:$A,$A89,FoodLog!$F:$F)))</f>
        <v/>
      </c>
      <c r="W89">
        <f>IF($A89="","",IF(SUMIF(FoodLog!$A:$A,$A89,FoodLog!$G:$G)=0,"",SUMIF(FoodLog!$A:$A,$A89,FoodLog!$G:$G)))</f>
        <v/>
      </c>
      <c r="X89">
        <f>IF($A89="","",IF(SUMIF(FoodLog!$A:$A,$A89,FoodLog!$H:$H)=0,"",SUMIF(FoodLog!$A:$A,$A89,FoodLog!$H:$H)))</f>
        <v/>
      </c>
      <c r="Y89">
        <f>IF($A89="","",IFERROR(ROUND(100*AVERAGE(IF($B89="","",XLOOKUP($B89,FILTER(Dictionaries!$B:$B,Dictionaries!$A:$A="Тренировка"),FILTER(Dictionaries!$C:$C,Dictionaries!$A:$A="Тренировка"))),IF($C89="","",MIN($C89/40,1)),IF($D89="","",XLOOKUP($D89,FILTER(Dictionaries!$B:$B,Dictionaries!$A:$A="Шаги"),FILTER(Dictionaries!$C:$C,Dictionaries!$A:$A="Шаги"))),IF($E89="","",MIN($E89/120,1)),IF(OR($F89&lt;&gt;"",$G89&lt;&gt;""),1,""),IF($H89="","",MIN($H89/100,1)),IF($L89="","",XLOOKUP($L89,FILTER(Dictionaries!$B:$B,Dictionaries!$A:$A="Сон_часы"),FILTER(Dictionaries!$C:$C,Dictionaries!$A:$A="Сон_часы"))),IF($M89="","",XLOOKUP($M89,FILTER(Dictionaries!$B:$B,Dictionaries!$A:$A="Режим"),FILTER(Dictionaries!$C:$C,Dictionaries!$A:$A="Режим"))),IF($N89="","",MIN($N89/100,1)),IF($O89="","",XLOOKUP($O89,FILTER(Dictionaries!$B:$B,Dictionaries!$A:$A="Настроение"),FILTER(Dictionaries!$C:$C,Dictionaries!$A:$A="Настроение"))),IF($P89="","",XLOOKUP($P89,FILTER(Dictionaries!$B:$B,Dictionaries!$A:$A="Энергия"),FILTER(Dictionaries!$C:$C,Dictionaries!$A:$A="Энергия"))),IF($U89="","",AVERAGE(IF(OR($B89="Ноги",$B89="Верх"),IFS(AND($U89&gt;=1900,$U89&lt;=2050),1,AND($U89&gt;=1850,$U89&lt;1900),0.7,AND($U89&gt;2050,$U89&lt;=2100),0.7,TRUE,0.2),IFS(AND($U89&gt;=1700,$U89&lt;=1850),1,AND($U89&gt;=1650,$U89&lt;1700),0.7,AND($U89&gt;1850,$U89&lt;=1900),0.7,TRUE,0.2)),IF(OR($B89="Ноги",$B89="Верх"),IFS(AND($V89&gt;=125,$V89&lt;=135),1,AND($V89&gt;=115,$V89&lt;125),0.7,AND($V89&gt;135,$V89&lt;=145),0.7,AND($V89&gt;=105,$V89&lt;115),0.4,AND($V89&gt;145,$V89&lt;=155),0.4,TRUE,0.2),IFS(AND($V89&gt;=120,$V89&lt;=130),1,AND($V89&gt;=110,$V89&lt;120),0.7,AND($V89&gt;130,$V89&lt;=140),0.7,AND($V89&gt;=100,$V89&lt;110),0.4,AND($V89&gt;140,$V89&lt;=150),0.4,TRUE,0.2)),IFS(AND($W89&gt;=55,$W89&lt;=65),1,AND($W89&gt;=50,$W89&lt;55),0.7,AND($W89&gt;65,$W89&lt;=70),0.7,AND($W89&gt;=45,$W89&lt;50),0.4,AND($W89&gt;70,$W89&lt;=75),0.4,TRUE,0.2),IF(OR($B89="Ноги",$B89="Верх"),IFS(AND($X89&gt;=180,$X89&lt;=210),1,AND($X89&gt;=160,$X89&lt;180),0.7,AND($X89&gt;210,$X89&lt;=230),0.7,AND($X89&gt;=140,$X89&lt;160),0.4,AND($X89&gt;230,$X89&lt;=250),0.4,TRUE,0.2),IFS(AND($X89&gt;=140,$X89&lt;=170),1,AND($X89&gt;=120,$X89&lt;140),0.7,AND($X89&gt;170,$X89&lt;=190),0.7,AND($X89&gt;=100,$X89&lt;120),0.4,AND($X89&gt;190,$X89&lt;=210),0.4,TRUE,0.2))))),1),""))</f>
        <v/>
      </c>
      <c r="Z89">
        <f>IF($A89="","",TEXTJOIN(", ",TRUE,IF($B89="","Тренировка",""),IF($C89="","Кардио",""),IF($D89="","Шаги",""),IF($E89="","Английский",""),IF($F89="","Код-режим",""),IF($G89="","Код-тема",""),IF($H89="","Чтение",""),IF($L89="","Сон",""),IF($M89="","Режим",""),IF($N89="","Продуктивность",""),IF($O89="","Настроение",""),IF($P89="","Энергия",""),IF($U89="","Еда","")))</f>
        <v/>
      </c>
    </row>
    <row r="90">
      <c r="A90" s="2" t="inlineStr"/>
      <c r="J90">
        <f>IF(A90="","",SUMIF(FoodLog!$A:$A,A90,FoodLog!$I:$I))</f>
        <v/>
      </c>
      <c r="K90">
        <f>IF(A90="","",SUMIF(FoodLog!$A:$A,A90,FoodLog!$F:$F))</f>
        <v/>
      </c>
      <c r="L90">
        <f>IF(A90="","",SUMIF(FoodLog!$A:$A,A90,FoodLog!$G:$G))</f>
        <v/>
      </c>
      <c r="M90">
        <f>IF(A90="","",SUMIF(FoodLog!$A:$A,A90,FoodLog!$H:$H))</f>
        <v/>
      </c>
      <c r="N90">
        <f>LET(train,B90,cardio,C90,steps,D90,sleep,E90,reg,F90,prod,I90,kcal,J90,p,K90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90">
        <f>TEXTJOIN(", ",TRUE,IF(B90="","тренировка",""),IF(D90="","шаги",""),IF(E90="","сон",""),IF(F90="","режим",""),IF(G90="","настроение",""),IF(H90="","энергия",""),IF(I90="","продуктивность",""),IF(J90="","еда (ккал)",""))</f>
        <v/>
      </c>
      <c r="U90">
        <f>IF($A90="","",IF(SUMIF(FoodLog!$A:$A,$A90,FoodLog!$I:$I)=0,"",SUMIF(FoodLog!$A:$A,$A90,FoodLog!$I:$I)))</f>
        <v/>
      </c>
      <c r="V90">
        <f>IF($A90="","",IF(SUMIF(FoodLog!$A:$A,$A90,FoodLog!$F:$F)=0,"",SUMIF(FoodLog!$A:$A,$A90,FoodLog!$F:$F)))</f>
        <v/>
      </c>
      <c r="W90">
        <f>IF($A90="","",IF(SUMIF(FoodLog!$A:$A,$A90,FoodLog!$G:$G)=0,"",SUMIF(FoodLog!$A:$A,$A90,FoodLog!$G:$G)))</f>
        <v/>
      </c>
      <c r="X90">
        <f>IF($A90="","",IF(SUMIF(FoodLog!$A:$A,$A90,FoodLog!$H:$H)=0,"",SUMIF(FoodLog!$A:$A,$A90,FoodLog!$H:$H)))</f>
        <v/>
      </c>
      <c r="Y90">
        <f>IF($A90="","",IFERROR(ROUND(100*AVERAGE(IF($B90="","",XLOOKUP($B90,FILTER(Dictionaries!$B:$B,Dictionaries!$A:$A="Тренировка"),FILTER(Dictionaries!$C:$C,Dictionaries!$A:$A="Тренировка"))),IF($C90="","",MIN($C90/40,1)),IF($D90="","",XLOOKUP($D90,FILTER(Dictionaries!$B:$B,Dictionaries!$A:$A="Шаги"),FILTER(Dictionaries!$C:$C,Dictionaries!$A:$A="Шаги"))),IF($E90="","",MIN($E90/120,1)),IF(OR($F90&lt;&gt;"",$G90&lt;&gt;""),1,""),IF($H90="","",MIN($H90/100,1)),IF($L90="","",XLOOKUP($L90,FILTER(Dictionaries!$B:$B,Dictionaries!$A:$A="Сон_часы"),FILTER(Dictionaries!$C:$C,Dictionaries!$A:$A="Сон_часы"))),IF($M90="","",XLOOKUP($M90,FILTER(Dictionaries!$B:$B,Dictionaries!$A:$A="Режим"),FILTER(Dictionaries!$C:$C,Dictionaries!$A:$A="Режим"))),IF($N90="","",MIN($N90/100,1)),IF($O90="","",XLOOKUP($O90,FILTER(Dictionaries!$B:$B,Dictionaries!$A:$A="Настроение"),FILTER(Dictionaries!$C:$C,Dictionaries!$A:$A="Настроение"))),IF($P90="","",XLOOKUP($P90,FILTER(Dictionaries!$B:$B,Dictionaries!$A:$A="Энергия"),FILTER(Dictionaries!$C:$C,Dictionaries!$A:$A="Энергия"))),IF($U90="","",AVERAGE(IF(OR($B90="Ноги",$B90="Верх"),IFS(AND($U90&gt;=1900,$U90&lt;=2050),1,AND($U90&gt;=1850,$U90&lt;1900),0.7,AND($U90&gt;2050,$U90&lt;=2100),0.7,TRUE,0.2),IFS(AND($U90&gt;=1700,$U90&lt;=1850),1,AND($U90&gt;=1650,$U90&lt;1700),0.7,AND($U90&gt;1850,$U90&lt;=1900),0.7,TRUE,0.2)),IF(OR($B90="Ноги",$B90="Верх"),IFS(AND($V90&gt;=125,$V90&lt;=135),1,AND($V90&gt;=115,$V90&lt;125),0.7,AND($V90&gt;135,$V90&lt;=145),0.7,AND($V90&gt;=105,$V90&lt;115),0.4,AND($V90&gt;145,$V90&lt;=155),0.4,TRUE,0.2),IFS(AND($V90&gt;=120,$V90&lt;=130),1,AND($V90&gt;=110,$V90&lt;120),0.7,AND($V90&gt;130,$V90&lt;=140),0.7,AND($V90&gt;=100,$V90&lt;110),0.4,AND($V90&gt;140,$V90&lt;=150),0.4,TRUE,0.2)),IFS(AND($W90&gt;=55,$W90&lt;=65),1,AND($W90&gt;=50,$W90&lt;55),0.7,AND($W90&gt;65,$W90&lt;=70),0.7,AND($W90&gt;=45,$W90&lt;50),0.4,AND($W90&gt;70,$W90&lt;=75),0.4,TRUE,0.2),IF(OR($B90="Ноги",$B90="Верх"),IFS(AND($X90&gt;=180,$X90&lt;=210),1,AND($X90&gt;=160,$X90&lt;180),0.7,AND($X90&gt;210,$X90&lt;=230),0.7,AND($X90&gt;=140,$X90&lt;160),0.4,AND($X90&gt;230,$X90&lt;=250),0.4,TRUE,0.2),IFS(AND($X90&gt;=140,$X90&lt;=170),1,AND($X90&gt;=120,$X90&lt;140),0.7,AND($X90&gt;170,$X90&lt;=190),0.7,AND($X90&gt;=100,$X90&lt;120),0.4,AND($X90&gt;190,$X90&lt;=210),0.4,TRUE,0.2))))),1),""))</f>
        <v/>
      </c>
      <c r="Z90">
        <f>IF($A90="","",TEXTJOIN(", ",TRUE,IF($B90="","Тренировка",""),IF($C90="","Кардио",""),IF($D90="","Шаги",""),IF($E90="","Английский",""),IF($F90="","Код-режим",""),IF($G90="","Код-тема",""),IF($H90="","Чтение",""),IF($L90="","Сон",""),IF($M90="","Режим",""),IF($N90="","Продуктивность",""),IF($O90="","Настроение",""),IF($P90="","Энергия",""),IF($U90="","Еда","")))</f>
        <v/>
      </c>
    </row>
    <row r="91">
      <c r="A91" s="2" t="inlineStr"/>
      <c r="J91">
        <f>IF(A91="","",SUMIF(FoodLog!$A:$A,A91,FoodLog!$I:$I))</f>
        <v/>
      </c>
      <c r="K91">
        <f>IF(A91="","",SUMIF(FoodLog!$A:$A,A91,FoodLog!$F:$F))</f>
        <v/>
      </c>
      <c r="L91">
        <f>IF(A91="","",SUMIF(FoodLog!$A:$A,A91,FoodLog!$G:$G))</f>
        <v/>
      </c>
      <c r="M91">
        <f>IF(A91="","",SUMIF(FoodLog!$A:$A,A91,FoodLog!$H:$H))</f>
        <v/>
      </c>
      <c r="N91">
        <f>LET(train,B91,cardio,C91,steps,D91,sleep,E91,reg,F91,prod,I91,kcal,J91,p,K91,w_train,0.22,w_steps,0.18,w_sleep,0.20,w_reg,0.10,w_food,0.18,w_prod,0.12,s_train,IF(train="Верх",1,IF(train="Ноги",1,IF(train="Отдых",0.6,IF(train="Пропустил",0.2,0)))),s_steps,IF(steps="15k+",1,IF(steps="12-15k",0.9,IF(steps="10-12k",0.8,IF(steps="7-10k",0.6,IF(steps="5-7k",0.4,IF(steps="&lt;5k",0.2,0)))))),s_sleep,IF(sleep="&gt;8",0.9,IF(sleep="6-8",1,IF(sleep="&lt;6",0.2,0))),s_reg,IF(reg="Не сбит",1,IF(reg="Сбит",0.3,0)),s_food,IF(AND(kcal&gt;0,p&gt;0),MIN(1, (p/120))*0.6 + MIN(1, MAX(0,1-ABS(kcal-2200)/600))*0.4,0),s_prod,IF(prod="100%",1,IF(prod="75%",0.8,IF(prod="50%",0.6,IF(prod="25%",0.35,IF(prod="0%",0.1,0)))),ROUND(100*(w_train*s_train + w_steps*s_steps + w_sleep*s_sleep + w_reg*s_reg + w_food*s_food + w_prod*s_prod),0))</f>
        <v/>
      </c>
      <c r="O91">
        <f>TEXTJOIN(", ",TRUE,IF(B91="","тренировка",""),IF(D91="","шаги",""),IF(E91="","сон",""),IF(F91="","режим",""),IF(G91="","настроение",""),IF(H91="","энергия",""),IF(I91="","продуктивность",""),IF(J91="","еда (ккал)",""))</f>
        <v/>
      </c>
      <c r="U91">
        <f>IF($A91="","",IF(SUMIF(FoodLog!$A:$A,$A91,FoodLog!$I:$I)=0,"",SUMIF(FoodLog!$A:$A,$A91,FoodLog!$I:$I)))</f>
        <v/>
      </c>
      <c r="V91">
        <f>IF($A91="","",IF(SUMIF(FoodLog!$A:$A,$A91,FoodLog!$F:$F)=0,"",SUMIF(FoodLog!$A:$A,$A91,FoodLog!$F:$F)))</f>
        <v/>
      </c>
      <c r="W91">
        <f>IF($A91="","",IF(SUMIF(FoodLog!$A:$A,$A91,FoodLog!$G:$G)=0,"",SUMIF(FoodLog!$A:$A,$A91,FoodLog!$G:$G)))</f>
        <v/>
      </c>
      <c r="X91">
        <f>IF($A91="","",IF(SUMIF(FoodLog!$A:$A,$A91,FoodLog!$H:$H)=0,"",SUMIF(FoodLog!$A:$A,$A91,FoodLog!$H:$H)))</f>
        <v/>
      </c>
      <c r="Y91">
        <f>IF($A91="","",IFERROR(ROUND(100*AVERAGE(IF($B91="","",XLOOKUP($B91,FILTER(Dictionaries!$B:$B,Dictionaries!$A:$A="Тренировка"),FILTER(Dictionaries!$C:$C,Dictionaries!$A:$A="Тренировка"))),IF($C91="","",MIN($C91/40,1)),IF($D91="","",XLOOKUP($D91,FILTER(Dictionaries!$B:$B,Dictionaries!$A:$A="Шаги"),FILTER(Dictionaries!$C:$C,Dictionaries!$A:$A="Шаги"))),IF($E91="","",MIN($E91/120,1)),IF(OR($F91&lt;&gt;"",$G91&lt;&gt;""),1,""),IF($H91="","",MIN($H91/100,1)),IF($L91="","",XLOOKUP($L91,FILTER(Dictionaries!$B:$B,Dictionaries!$A:$A="Сон_часы"),FILTER(Dictionaries!$C:$C,Dictionaries!$A:$A="Сон_часы"))),IF($M91="","",XLOOKUP($M91,FILTER(Dictionaries!$B:$B,Dictionaries!$A:$A="Режим"),FILTER(Dictionaries!$C:$C,Dictionaries!$A:$A="Режим"))),IF($N91="","",MIN($N91/100,1)),IF($O91="","",XLOOKUP($O91,FILTER(Dictionaries!$B:$B,Dictionaries!$A:$A="Настроение"),FILTER(Dictionaries!$C:$C,Dictionaries!$A:$A="Настроение"))),IF($P91="","",XLOOKUP($P91,FILTER(Dictionaries!$B:$B,Dictionaries!$A:$A="Энергия"),FILTER(Dictionaries!$C:$C,Dictionaries!$A:$A="Энергия"))),IF($U91="","",AVERAGE(IF(OR($B91="Ноги",$B91="Верх"),IFS(AND($U91&gt;=1900,$U91&lt;=2050),1,AND($U91&gt;=1850,$U91&lt;1900),0.7,AND($U91&gt;2050,$U91&lt;=2100),0.7,TRUE,0.2),IFS(AND($U91&gt;=1700,$U91&lt;=1850),1,AND($U91&gt;=1650,$U91&lt;1700),0.7,AND($U91&gt;1850,$U91&lt;=1900),0.7,TRUE,0.2)),IF(OR($B91="Ноги",$B91="Верх"),IFS(AND($V91&gt;=125,$V91&lt;=135),1,AND($V91&gt;=115,$V91&lt;125),0.7,AND($V91&gt;135,$V91&lt;=145),0.7,AND($V91&gt;=105,$V91&lt;115),0.4,AND($V91&gt;145,$V91&lt;=155),0.4,TRUE,0.2),IFS(AND($V91&gt;=120,$V91&lt;=130),1,AND($V91&gt;=110,$V91&lt;120),0.7,AND($V91&gt;130,$V91&lt;=140),0.7,AND($V91&gt;=100,$V91&lt;110),0.4,AND($V91&gt;140,$V91&lt;=150),0.4,TRUE,0.2)),IFS(AND($W91&gt;=55,$W91&lt;=65),1,AND($W91&gt;=50,$W91&lt;55),0.7,AND($W91&gt;65,$W91&lt;=70),0.7,AND($W91&gt;=45,$W91&lt;50),0.4,AND($W91&gt;70,$W91&lt;=75),0.4,TRUE,0.2),IF(OR($B91="Ноги",$B91="Верх"),IFS(AND($X91&gt;=180,$X91&lt;=210),1,AND($X91&gt;=160,$X91&lt;180),0.7,AND($X91&gt;210,$X91&lt;=230),0.7,AND($X91&gt;=140,$X91&lt;160),0.4,AND($X91&gt;230,$X91&lt;=250),0.4,TRUE,0.2),IFS(AND($X91&gt;=140,$X91&lt;=170),1,AND($X91&gt;=120,$X91&lt;140),0.7,AND($X91&gt;170,$X91&lt;=190),0.7,AND($X91&gt;=100,$X91&lt;120),0.4,AND($X91&gt;190,$X91&lt;=210),0.4,TRUE,0.2))))),1),""))</f>
        <v/>
      </c>
      <c r="Z91">
        <f>IF($A91="","",TEXTJOIN(", ",TRUE,IF($B91="","Тренировка",""),IF($C91="","Кардио",""),IF($D91="","Шаги",""),IF($E91="","Английский",""),IF($F91="","Код-режим",""),IF($G91="","Код-тема",""),IF($H91="","Чтение",""),IF($L91="","Сон",""),IF($M91="","Режим",""),IF($N91="","Продуктивность",""),IF($O91="","Настроение",""),IF($P91="","Энергия",""),IF($U91="","Еда","")))</f>
        <v/>
      </c>
    </row>
    <row r="92">
      <c r="A92" t="inlineStr"/>
      <c r="U92">
        <f>IF($A92="","",IF(SUMIF(FoodLog!$A:$A,$A92,FoodLog!$I:$I)=0,"",SUMIF(FoodLog!$A:$A,$A92,FoodLog!$I:$I)))</f>
        <v/>
      </c>
      <c r="V92">
        <f>IF($A92="","",IF(SUMIF(FoodLog!$A:$A,$A92,FoodLog!$F:$F)=0,"",SUMIF(FoodLog!$A:$A,$A92,FoodLog!$F:$F)))</f>
        <v/>
      </c>
      <c r="W92">
        <f>IF($A92="","",IF(SUMIF(FoodLog!$A:$A,$A92,FoodLog!$G:$G)=0,"",SUMIF(FoodLog!$A:$A,$A92,FoodLog!$G:$G)))</f>
        <v/>
      </c>
      <c r="X92">
        <f>IF($A92="","",IF(SUMIF(FoodLog!$A:$A,$A92,FoodLog!$H:$H)=0,"",SUMIF(FoodLog!$A:$A,$A92,FoodLog!$H:$H)))</f>
        <v/>
      </c>
      <c r="Y92">
        <f>IF($A92="","",IFERROR(ROUND(100*AVERAGE(IF($B92="","",XLOOKUP($B92,FILTER(Dictionaries!$B:$B,Dictionaries!$A:$A="Тренировка"),FILTER(Dictionaries!$C:$C,Dictionaries!$A:$A="Тренировка"))),IF($C92="","",MIN($C92/40,1)),IF($D92="","",XLOOKUP($D92,FILTER(Dictionaries!$B:$B,Dictionaries!$A:$A="Шаги"),FILTER(Dictionaries!$C:$C,Dictionaries!$A:$A="Шаги"))),IF($E92="","",MIN($E92/120,1)),IF(OR($F92&lt;&gt;"",$G92&lt;&gt;""),1,""),IF($H92="","",MIN($H92/100,1)),IF($L92="","",XLOOKUP($L92,FILTER(Dictionaries!$B:$B,Dictionaries!$A:$A="Сон_часы"),FILTER(Dictionaries!$C:$C,Dictionaries!$A:$A="Сон_часы"))),IF($M92="","",XLOOKUP($M92,FILTER(Dictionaries!$B:$B,Dictionaries!$A:$A="Режим"),FILTER(Dictionaries!$C:$C,Dictionaries!$A:$A="Режим"))),IF($N92="","",MIN($N92/100,1)),IF($O92="","",XLOOKUP($O92,FILTER(Dictionaries!$B:$B,Dictionaries!$A:$A="Настроение"),FILTER(Dictionaries!$C:$C,Dictionaries!$A:$A="Настроение"))),IF($P92="","",XLOOKUP($P92,FILTER(Dictionaries!$B:$B,Dictionaries!$A:$A="Энергия"),FILTER(Dictionaries!$C:$C,Dictionaries!$A:$A="Энергия"))),IF($U92="","",AVERAGE(IF(OR($B92="Ноги",$B92="Верх"),IFS(AND($U92&gt;=1900,$U92&lt;=2050),1,AND($U92&gt;=1850,$U92&lt;1900),0.7,AND($U92&gt;2050,$U92&lt;=2100),0.7,TRUE,0.2),IFS(AND($U92&gt;=1700,$U92&lt;=1850),1,AND($U92&gt;=1650,$U92&lt;1700),0.7,AND($U92&gt;1850,$U92&lt;=1900),0.7,TRUE,0.2)),IF(OR($B92="Ноги",$B92="Верх"),IFS(AND($V92&gt;=125,$V92&lt;=135),1,AND($V92&gt;=115,$V92&lt;125),0.7,AND($V92&gt;135,$V92&lt;=145),0.7,AND($V92&gt;=105,$V92&lt;115),0.4,AND($V92&gt;145,$V92&lt;=155),0.4,TRUE,0.2),IFS(AND($V92&gt;=120,$V92&lt;=130),1,AND($V92&gt;=110,$V92&lt;120),0.7,AND($V92&gt;130,$V92&lt;=140),0.7,AND($V92&gt;=100,$V92&lt;110),0.4,AND($V92&gt;140,$V92&lt;=150),0.4,TRUE,0.2)),IFS(AND($W92&gt;=55,$W92&lt;=65),1,AND($W92&gt;=50,$W92&lt;55),0.7,AND($W92&gt;65,$W92&lt;=70),0.7,AND($W92&gt;=45,$W92&lt;50),0.4,AND($W92&gt;70,$W92&lt;=75),0.4,TRUE,0.2),IF(OR($B92="Ноги",$B92="Верх"),IFS(AND($X92&gt;=180,$X92&lt;=210),1,AND($X92&gt;=160,$X92&lt;180),0.7,AND($X92&gt;210,$X92&lt;=230),0.7,AND($X92&gt;=140,$X92&lt;160),0.4,AND($X92&gt;230,$X92&lt;=250),0.4,TRUE,0.2),IFS(AND($X92&gt;=140,$X92&lt;=170),1,AND($X92&gt;=120,$X92&lt;140),0.7,AND($X92&gt;170,$X92&lt;=190),0.7,AND($X92&gt;=100,$X92&lt;120),0.4,AND($X92&gt;190,$X92&lt;=210),0.4,TRUE,0.2))))),1),""))</f>
        <v/>
      </c>
      <c r="Z92">
        <f>IF($A92="","",TEXTJOIN(", ",TRUE,IF($B92="","Тренировка",""),IF($C92="","Кардио",""),IF($D92="","Шаги",""),IF($E92="","Английский",""),IF($F92="","Код-режим",""),IF($G92="","Код-тема",""),IF($H92="","Чтение",""),IF($L92="","Сон",""),IF($M92="","Режим",""),IF($N92="","Продуктивность",""),IF($O92="","Настроение",""),IF($P92="","Энергия",""),IF($U92="","Еда","")))</f>
        <v/>
      </c>
    </row>
    <row r="93">
      <c r="A93" t="inlineStr"/>
      <c r="U93">
        <f>IF($A93="","",IF(SUMIF(FoodLog!$A:$A,$A93,FoodLog!$I:$I)=0,"",SUMIF(FoodLog!$A:$A,$A93,FoodLog!$I:$I)))</f>
        <v/>
      </c>
      <c r="V93">
        <f>IF($A93="","",IF(SUMIF(FoodLog!$A:$A,$A93,FoodLog!$F:$F)=0,"",SUMIF(FoodLog!$A:$A,$A93,FoodLog!$F:$F)))</f>
        <v/>
      </c>
      <c r="W93">
        <f>IF($A93="","",IF(SUMIF(FoodLog!$A:$A,$A93,FoodLog!$G:$G)=0,"",SUMIF(FoodLog!$A:$A,$A93,FoodLog!$G:$G)))</f>
        <v/>
      </c>
      <c r="X93">
        <f>IF($A93="","",IF(SUMIF(FoodLog!$A:$A,$A93,FoodLog!$H:$H)=0,"",SUMIF(FoodLog!$A:$A,$A93,FoodLog!$H:$H)))</f>
        <v/>
      </c>
      <c r="Y93">
        <f>IF($A93="","",IFERROR(ROUND(100*AVERAGE(IF($B93="","",XLOOKUP($B93,FILTER(Dictionaries!$B:$B,Dictionaries!$A:$A="Тренировка"),FILTER(Dictionaries!$C:$C,Dictionaries!$A:$A="Тренировка"))),IF($C93="","",MIN($C93/40,1)),IF($D93="","",XLOOKUP($D93,FILTER(Dictionaries!$B:$B,Dictionaries!$A:$A="Шаги"),FILTER(Dictionaries!$C:$C,Dictionaries!$A:$A="Шаги"))),IF($E93="","",MIN($E93/120,1)),IF(OR($F93&lt;&gt;"",$G93&lt;&gt;""),1,""),IF($H93="","",MIN($H93/100,1)),IF($L93="","",XLOOKUP($L93,FILTER(Dictionaries!$B:$B,Dictionaries!$A:$A="Сон_часы"),FILTER(Dictionaries!$C:$C,Dictionaries!$A:$A="Сон_часы"))),IF($M93="","",XLOOKUP($M93,FILTER(Dictionaries!$B:$B,Dictionaries!$A:$A="Режим"),FILTER(Dictionaries!$C:$C,Dictionaries!$A:$A="Режим"))),IF($N93="","",MIN($N93/100,1)),IF($O93="","",XLOOKUP($O93,FILTER(Dictionaries!$B:$B,Dictionaries!$A:$A="Настроение"),FILTER(Dictionaries!$C:$C,Dictionaries!$A:$A="Настроение"))),IF($P93="","",XLOOKUP($P93,FILTER(Dictionaries!$B:$B,Dictionaries!$A:$A="Энергия"),FILTER(Dictionaries!$C:$C,Dictionaries!$A:$A="Энергия"))),IF($U93="","",AVERAGE(IF(OR($B93="Ноги",$B93="Верх"),IFS(AND($U93&gt;=1900,$U93&lt;=2050),1,AND($U93&gt;=1850,$U93&lt;1900),0.7,AND($U93&gt;2050,$U93&lt;=2100),0.7,TRUE,0.2),IFS(AND($U93&gt;=1700,$U93&lt;=1850),1,AND($U93&gt;=1650,$U93&lt;1700),0.7,AND($U93&gt;1850,$U93&lt;=1900),0.7,TRUE,0.2)),IF(OR($B93="Ноги",$B93="Верх"),IFS(AND($V93&gt;=125,$V93&lt;=135),1,AND($V93&gt;=115,$V93&lt;125),0.7,AND($V93&gt;135,$V93&lt;=145),0.7,AND($V93&gt;=105,$V93&lt;115),0.4,AND($V93&gt;145,$V93&lt;=155),0.4,TRUE,0.2),IFS(AND($V93&gt;=120,$V93&lt;=130),1,AND($V93&gt;=110,$V93&lt;120),0.7,AND($V93&gt;130,$V93&lt;=140),0.7,AND($V93&gt;=100,$V93&lt;110),0.4,AND($V93&gt;140,$V93&lt;=150),0.4,TRUE,0.2)),IFS(AND($W93&gt;=55,$W93&lt;=65),1,AND($W93&gt;=50,$W93&lt;55),0.7,AND($W93&gt;65,$W93&lt;=70),0.7,AND($W93&gt;=45,$W93&lt;50),0.4,AND($W93&gt;70,$W93&lt;=75),0.4,TRUE,0.2),IF(OR($B93="Ноги",$B93="Верх"),IFS(AND($X93&gt;=180,$X93&lt;=210),1,AND($X93&gt;=160,$X93&lt;180),0.7,AND($X93&gt;210,$X93&lt;=230),0.7,AND($X93&gt;=140,$X93&lt;160),0.4,AND($X93&gt;230,$X93&lt;=250),0.4,TRUE,0.2),IFS(AND($X93&gt;=140,$X93&lt;=170),1,AND($X93&gt;=120,$X93&lt;140),0.7,AND($X93&gt;170,$X93&lt;=190),0.7,AND($X93&gt;=100,$X93&lt;120),0.4,AND($X93&gt;190,$X93&lt;=210),0.4,TRUE,0.2))))),1),""))</f>
        <v/>
      </c>
      <c r="Z93">
        <f>IF($A93="","",TEXTJOIN(", ",TRUE,IF($B93="","Тренировка",""),IF($C93="","Кардио",""),IF($D93="","Шаги",""),IF($E93="","Английский",""),IF($F93="","Код-режим",""),IF($G93="","Код-тема",""),IF($H93="","Чтение",""),IF($L93="","Сон",""),IF($M93="","Режим",""),IF($N93="","Продуктивность",""),IF($O93="","Настроение",""),IF($P93="","Энергия",""),IF($U93="","Еда","")))</f>
        <v/>
      </c>
    </row>
    <row r="94">
      <c r="A94" t="inlineStr"/>
      <c r="U94">
        <f>IF($A94="","",IF(SUMIF(FoodLog!$A:$A,$A94,FoodLog!$I:$I)=0,"",SUMIF(FoodLog!$A:$A,$A94,FoodLog!$I:$I)))</f>
        <v/>
      </c>
      <c r="V94">
        <f>IF($A94="","",IF(SUMIF(FoodLog!$A:$A,$A94,FoodLog!$F:$F)=0,"",SUMIF(FoodLog!$A:$A,$A94,FoodLog!$F:$F)))</f>
        <v/>
      </c>
      <c r="W94">
        <f>IF($A94="","",IF(SUMIF(FoodLog!$A:$A,$A94,FoodLog!$G:$G)=0,"",SUMIF(FoodLog!$A:$A,$A94,FoodLog!$G:$G)))</f>
        <v/>
      </c>
      <c r="X94">
        <f>IF($A94="","",IF(SUMIF(FoodLog!$A:$A,$A94,FoodLog!$H:$H)=0,"",SUMIF(FoodLog!$A:$A,$A94,FoodLog!$H:$H)))</f>
        <v/>
      </c>
      <c r="Y94">
        <f>IF($A94="","",IFERROR(ROUND(100*AVERAGE(IF($B94="","",XLOOKUP($B94,FILTER(Dictionaries!$B:$B,Dictionaries!$A:$A="Тренировка"),FILTER(Dictionaries!$C:$C,Dictionaries!$A:$A="Тренировка"))),IF($C94="","",MIN($C94/40,1)),IF($D94="","",XLOOKUP($D94,FILTER(Dictionaries!$B:$B,Dictionaries!$A:$A="Шаги"),FILTER(Dictionaries!$C:$C,Dictionaries!$A:$A="Шаги"))),IF($E94="","",MIN($E94/120,1)),IF(OR($F94&lt;&gt;"",$G94&lt;&gt;""),1,""),IF($H94="","",MIN($H94/100,1)),IF($L94="","",XLOOKUP($L94,FILTER(Dictionaries!$B:$B,Dictionaries!$A:$A="Сон_часы"),FILTER(Dictionaries!$C:$C,Dictionaries!$A:$A="Сон_часы"))),IF($M94="","",XLOOKUP($M94,FILTER(Dictionaries!$B:$B,Dictionaries!$A:$A="Режим"),FILTER(Dictionaries!$C:$C,Dictionaries!$A:$A="Режим"))),IF($N94="","",MIN($N94/100,1)),IF($O94="","",XLOOKUP($O94,FILTER(Dictionaries!$B:$B,Dictionaries!$A:$A="Настроение"),FILTER(Dictionaries!$C:$C,Dictionaries!$A:$A="Настроение"))),IF($P94="","",XLOOKUP($P94,FILTER(Dictionaries!$B:$B,Dictionaries!$A:$A="Энергия"),FILTER(Dictionaries!$C:$C,Dictionaries!$A:$A="Энергия"))),IF($U94="","",AVERAGE(IF(OR($B94="Ноги",$B94="Верх"),IFS(AND($U94&gt;=1900,$U94&lt;=2050),1,AND($U94&gt;=1850,$U94&lt;1900),0.7,AND($U94&gt;2050,$U94&lt;=2100),0.7,TRUE,0.2),IFS(AND($U94&gt;=1700,$U94&lt;=1850),1,AND($U94&gt;=1650,$U94&lt;1700),0.7,AND($U94&gt;1850,$U94&lt;=1900),0.7,TRUE,0.2)),IF(OR($B94="Ноги",$B94="Верх"),IFS(AND($V94&gt;=125,$V94&lt;=135),1,AND($V94&gt;=115,$V94&lt;125),0.7,AND($V94&gt;135,$V94&lt;=145),0.7,AND($V94&gt;=105,$V94&lt;115),0.4,AND($V94&gt;145,$V94&lt;=155),0.4,TRUE,0.2),IFS(AND($V94&gt;=120,$V94&lt;=130),1,AND($V94&gt;=110,$V94&lt;120),0.7,AND($V94&gt;130,$V94&lt;=140),0.7,AND($V94&gt;=100,$V94&lt;110),0.4,AND($V94&gt;140,$V94&lt;=150),0.4,TRUE,0.2)),IFS(AND($W94&gt;=55,$W94&lt;=65),1,AND($W94&gt;=50,$W94&lt;55),0.7,AND($W94&gt;65,$W94&lt;=70),0.7,AND($W94&gt;=45,$W94&lt;50),0.4,AND($W94&gt;70,$W94&lt;=75),0.4,TRUE,0.2),IF(OR($B94="Ноги",$B94="Верх"),IFS(AND($X94&gt;=180,$X94&lt;=210),1,AND($X94&gt;=160,$X94&lt;180),0.7,AND($X94&gt;210,$X94&lt;=230),0.7,AND($X94&gt;=140,$X94&lt;160),0.4,AND($X94&gt;230,$X94&lt;=250),0.4,TRUE,0.2),IFS(AND($X94&gt;=140,$X94&lt;=170),1,AND($X94&gt;=120,$X94&lt;140),0.7,AND($X94&gt;170,$X94&lt;=190),0.7,AND($X94&gt;=100,$X94&lt;120),0.4,AND($X94&gt;190,$X94&lt;=210),0.4,TRUE,0.2))))),1),""))</f>
        <v/>
      </c>
      <c r="Z94">
        <f>IF($A94="","",TEXTJOIN(", ",TRUE,IF($B94="","Тренировка",""),IF($C94="","Кардио",""),IF($D94="","Шаги",""),IF($E94="","Английский",""),IF($F94="","Код-режим",""),IF($G94="","Код-тема",""),IF($H94="","Чтение",""),IF($L94="","Сон",""),IF($M94="","Режим",""),IF($N94="","Продуктивность",""),IF($O94="","Настроение",""),IF($P94="","Энергия",""),IF($U94="","Еда","")))</f>
        <v/>
      </c>
    </row>
    <row r="95">
      <c r="A95" t="inlineStr"/>
      <c r="U95">
        <f>IF($A95="","",IF(SUMIF(FoodLog!$A:$A,$A95,FoodLog!$I:$I)=0,"",SUMIF(FoodLog!$A:$A,$A95,FoodLog!$I:$I)))</f>
        <v/>
      </c>
      <c r="V95">
        <f>IF($A95="","",IF(SUMIF(FoodLog!$A:$A,$A95,FoodLog!$F:$F)=0,"",SUMIF(FoodLog!$A:$A,$A95,FoodLog!$F:$F)))</f>
        <v/>
      </c>
      <c r="W95">
        <f>IF($A95="","",IF(SUMIF(FoodLog!$A:$A,$A95,FoodLog!$G:$G)=0,"",SUMIF(FoodLog!$A:$A,$A95,FoodLog!$G:$G)))</f>
        <v/>
      </c>
      <c r="X95">
        <f>IF($A95="","",IF(SUMIF(FoodLog!$A:$A,$A95,FoodLog!$H:$H)=0,"",SUMIF(FoodLog!$A:$A,$A95,FoodLog!$H:$H)))</f>
        <v/>
      </c>
      <c r="Y95">
        <f>IF($A95="","",IFERROR(ROUND(100*AVERAGE(IF($B95="","",XLOOKUP($B95,FILTER(Dictionaries!$B:$B,Dictionaries!$A:$A="Тренировка"),FILTER(Dictionaries!$C:$C,Dictionaries!$A:$A="Тренировка"))),IF($C95="","",MIN($C95/40,1)),IF($D95="","",XLOOKUP($D95,FILTER(Dictionaries!$B:$B,Dictionaries!$A:$A="Шаги"),FILTER(Dictionaries!$C:$C,Dictionaries!$A:$A="Шаги"))),IF($E95="","",MIN($E95/120,1)),IF(OR($F95&lt;&gt;"",$G95&lt;&gt;""),1,""),IF($H95="","",MIN($H95/100,1)),IF($L95="","",XLOOKUP($L95,FILTER(Dictionaries!$B:$B,Dictionaries!$A:$A="Сон_часы"),FILTER(Dictionaries!$C:$C,Dictionaries!$A:$A="Сон_часы"))),IF($M95="","",XLOOKUP($M95,FILTER(Dictionaries!$B:$B,Dictionaries!$A:$A="Режим"),FILTER(Dictionaries!$C:$C,Dictionaries!$A:$A="Режим"))),IF($N95="","",MIN($N95/100,1)),IF($O95="","",XLOOKUP($O95,FILTER(Dictionaries!$B:$B,Dictionaries!$A:$A="Настроение"),FILTER(Dictionaries!$C:$C,Dictionaries!$A:$A="Настроение"))),IF($P95="","",XLOOKUP($P95,FILTER(Dictionaries!$B:$B,Dictionaries!$A:$A="Энергия"),FILTER(Dictionaries!$C:$C,Dictionaries!$A:$A="Энергия"))),IF($U95="","",AVERAGE(IF(OR($B95="Ноги",$B95="Верх"),IFS(AND($U95&gt;=1900,$U95&lt;=2050),1,AND($U95&gt;=1850,$U95&lt;1900),0.7,AND($U95&gt;2050,$U95&lt;=2100),0.7,TRUE,0.2),IFS(AND($U95&gt;=1700,$U95&lt;=1850),1,AND($U95&gt;=1650,$U95&lt;1700),0.7,AND($U95&gt;1850,$U95&lt;=1900),0.7,TRUE,0.2)),IF(OR($B95="Ноги",$B95="Верх"),IFS(AND($V95&gt;=125,$V95&lt;=135),1,AND($V95&gt;=115,$V95&lt;125),0.7,AND($V95&gt;135,$V95&lt;=145),0.7,AND($V95&gt;=105,$V95&lt;115),0.4,AND($V95&gt;145,$V95&lt;=155),0.4,TRUE,0.2),IFS(AND($V95&gt;=120,$V95&lt;=130),1,AND($V95&gt;=110,$V95&lt;120),0.7,AND($V95&gt;130,$V95&lt;=140),0.7,AND($V95&gt;=100,$V95&lt;110),0.4,AND($V95&gt;140,$V95&lt;=150),0.4,TRUE,0.2)),IFS(AND($W95&gt;=55,$W95&lt;=65),1,AND($W95&gt;=50,$W95&lt;55),0.7,AND($W95&gt;65,$W95&lt;=70),0.7,AND($W95&gt;=45,$W95&lt;50),0.4,AND($W95&gt;70,$W95&lt;=75),0.4,TRUE,0.2),IF(OR($B95="Ноги",$B95="Верх"),IFS(AND($X95&gt;=180,$X95&lt;=210),1,AND($X95&gt;=160,$X95&lt;180),0.7,AND($X95&gt;210,$X95&lt;=230),0.7,AND($X95&gt;=140,$X95&lt;160),0.4,AND($X95&gt;230,$X95&lt;=250),0.4,TRUE,0.2),IFS(AND($X95&gt;=140,$X95&lt;=170),1,AND($X95&gt;=120,$X95&lt;140),0.7,AND($X95&gt;170,$X95&lt;=190),0.7,AND($X95&gt;=100,$X95&lt;120),0.4,AND($X95&gt;190,$X95&lt;=210),0.4,TRUE,0.2))))),1),""))</f>
        <v/>
      </c>
      <c r="Z95">
        <f>IF($A95="","",TEXTJOIN(", ",TRUE,IF($B95="","Тренировка",""),IF($C95="","Кардио",""),IF($D95="","Шаги",""),IF($E95="","Английский",""),IF($F95="","Код-режим",""),IF($G95="","Код-тема",""),IF($H95="","Чтение",""),IF($L95="","Сон",""),IF($M95="","Режим",""),IF($N95="","Продуктивность",""),IF($O95="","Настроение",""),IF($P95="","Энергия",""),IF($U95="","Еда","")))</f>
        <v/>
      </c>
    </row>
    <row r="96">
      <c r="A96" t="inlineStr"/>
      <c r="U96">
        <f>IF($A96="","",IF(SUMIF(FoodLog!$A:$A,$A96,FoodLog!$I:$I)=0,"",SUMIF(FoodLog!$A:$A,$A96,FoodLog!$I:$I)))</f>
        <v/>
      </c>
      <c r="V96">
        <f>IF($A96="","",IF(SUMIF(FoodLog!$A:$A,$A96,FoodLog!$F:$F)=0,"",SUMIF(FoodLog!$A:$A,$A96,FoodLog!$F:$F)))</f>
        <v/>
      </c>
      <c r="W96">
        <f>IF($A96="","",IF(SUMIF(FoodLog!$A:$A,$A96,FoodLog!$G:$G)=0,"",SUMIF(FoodLog!$A:$A,$A96,FoodLog!$G:$G)))</f>
        <v/>
      </c>
      <c r="X96">
        <f>IF($A96="","",IF(SUMIF(FoodLog!$A:$A,$A96,FoodLog!$H:$H)=0,"",SUMIF(FoodLog!$A:$A,$A96,FoodLog!$H:$H)))</f>
        <v/>
      </c>
      <c r="Y96">
        <f>IF($A96="","",IFERROR(ROUND(100*AVERAGE(IF($B96="","",XLOOKUP($B96,FILTER(Dictionaries!$B:$B,Dictionaries!$A:$A="Тренировка"),FILTER(Dictionaries!$C:$C,Dictionaries!$A:$A="Тренировка"))),IF($C96="","",MIN($C96/40,1)),IF($D96="","",XLOOKUP($D96,FILTER(Dictionaries!$B:$B,Dictionaries!$A:$A="Шаги"),FILTER(Dictionaries!$C:$C,Dictionaries!$A:$A="Шаги"))),IF($E96="","",MIN($E96/120,1)),IF(OR($F96&lt;&gt;"",$G96&lt;&gt;""),1,""),IF($H96="","",MIN($H96/100,1)),IF($L96="","",XLOOKUP($L96,FILTER(Dictionaries!$B:$B,Dictionaries!$A:$A="Сон_часы"),FILTER(Dictionaries!$C:$C,Dictionaries!$A:$A="Сон_часы"))),IF($M96="","",XLOOKUP($M96,FILTER(Dictionaries!$B:$B,Dictionaries!$A:$A="Режим"),FILTER(Dictionaries!$C:$C,Dictionaries!$A:$A="Режим"))),IF($N96="","",MIN($N96/100,1)),IF($O96="","",XLOOKUP($O96,FILTER(Dictionaries!$B:$B,Dictionaries!$A:$A="Настроение"),FILTER(Dictionaries!$C:$C,Dictionaries!$A:$A="Настроение"))),IF($P96="","",XLOOKUP($P96,FILTER(Dictionaries!$B:$B,Dictionaries!$A:$A="Энергия"),FILTER(Dictionaries!$C:$C,Dictionaries!$A:$A="Энергия"))),IF($U96="","",AVERAGE(IF(OR($B96="Ноги",$B96="Верх"),IFS(AND($U96&gt;=1900,$U96&lt;=2050),1,AND($U96&gt;=1850,$U96&lt;1900),0.7,AND($U96&gt;2050,$U96&lt;=2100),0.7,TRUE,0.2),IFS(AND($U96&gt;=1700,$U96&lt;=1850),1,AND($U96&gt;=1650,$U96&lt;1700),0.7,AND($U96&gt;1850,$U96&lt;=1900),0.7,TRUE,0.2)),IF(OR($B96="Ноги",$B96="Верх"),IFS(AND($V96&gt;=125,$V96&lt;=135),1,AND($V96&gt;=115,$V96&lt;125),0.7,AND($V96&gt;135,$V96&lt;=145),0.7,AND($V96&gt;=105,$V96&lt;115),0.4,AND($V96&gt;145,$V96&lt;=155),0.4,TRUE,0.2),IFS(AND($V96&gt;=120,$V96&lt;=130),1,AND($V96&gt;=110,$V96&lt;120),0.7,AND($V96&gt;130,$V96&lt;=140),0.7,AND($V96&gt;=100,$V96&lt;110),0.4,AND($V96&gt;140,$V96&lt;=150),0.4,TRUE,0.2)),IFS(AND($W96&gt;=55,$W96&lt;=65),1,AND($W96&gt;=50,$W96&lt;55),0.7,AND($W96&gt;65,$W96&lt;=70),0.7,AND($W96&gt;=45,$W96&lt;50),0.4,AND($W96&gt;70,$W96&lt;=75),0.4,TRUE,0.2),IF(OR($B96="Ноги",$B96="Верх"),IFS(AND($X96&gt;=180,$X96&lt;=210),1,AND($X96&gt;=160,$X96&lt;180),0.7,AND($X96&gt;210,$X96&lt;=230),0.7,AND($X96&gt;=140,$X96&lt;160),0.4,AND($X96&gt;230,$X96&lt;=250),0.4,TRUE,0.2),IFS(AND($X96&gt;=140,$X96&lt;=170),1,AND($X96&gt;=120,$X96&lt;140),0.7,AND($X96&gt;170,$X96&lt;=190),0.7,AND($X96&gt;=100,$X96&lt;120),0.4,AND($X96&gt;190,$X96&lt;=210),0.4,TRUE,0.2))))),1),""))</f>
        <v/>
      </c>
      <c r="Z96">
        <f>IF($A96="","",TEXTJOIN(", ",TRUE,IF($B96="","Тренировка",""),IF($C96="","Кардио",""),IF($D96="","Шаги",""),IF($E96="","Английский",""),IF($F96="","Код-режим",""),IF($G96="","Код-тема",""),IF($H96="","Чтение",""),IF($L96="","Сон",""),IF($M96="","Режим",""),IF($N96="","Продуктивность",""),IF($O96="","Настроение",""),IF($P96="","Энергия",""),IF($U96="","Еда","")))</f>
        <v/>
      </c>
    </row>
    <row r="97">
      <c r="A97" t="inlineStr"/>
      <c r="U97">
        <f>IF($A97="","",IF(SUMIF(FoodLog!$A:$A,$A97,FoodLog!$I:$I)=0,"",SUMIF(FoodLog!$A:$A,$A97,FoodLog!$I:$I)))</f>
        <v/>
      </c>
      <c r="V97">
        <f>IF($A97="","",IF(SUMIF(FoodLog!$A:$A,$A97,FoodLog!$F:$F)=0,"",SUMIF(FoodLog!$A:$A,$A97,FoodLog!$F:$F)))</f>
        <v/>
      </c>
      <c r="W97">
        <f>IF($A97="","",IF(SUMIF(FoodLog!$A:$A,$A97,FoodLog!$G:$G)=0,"",SUMIF(FoodLog!$A:$A,$A97,FoodLog!$G:$G)))</f>
        <v/>
      </c>
      <c r="X97">
        <f>IF($A97="","",IF(SUMIF(FoodLog!$A:$A,$A97,FoodLog!$H:$H)=0,"",SUMIF(FoodLog!$A:$A,$A97,FoodLog!$H:$H)))</f>
        <v/>
      </c>
      <c r="Y97">
        <f>IF($A97="","",IFERROR(ROUND(100*AVERAGE(IF($B97="","",XLOOKUP($B97,FILTER(Dictionaries!$B:$B,Dictionaries!$A:$A="Тренировка"),FILTER(Dictionaries!$C:$C,Dictionaries!$A:$A="Тренировка"))),IF($C97="","",MIN($C97/40,1)),IF($D97="","",XLOOKUP($D97,FILTER(Dictionaries!$B:$B,Dictionaries!$A:$A="Шаги"),FILTER(Dictionaries!$C:$C,Dictionaries!$A:$A="Шаги"))),IF($E97="","",MIN($E97/120,1)),IF(OR($F97&lt;&gt;"",$G97&lt;&gt;""),1,""),IF($H97="","",MIN($H97/100,1)),IF($L97="","",XLOOKUP($L97,FILTER(Dictionaries!$B:$B,Dictionaries!$A:$A="Сон_часы"),FILTER(Dictionaries!$C:$C,Dictionaries!$A:$A="Сон_часы"))),IF($M97="","",XLOOKUP($M97,FILTER(Dictionaries!$B:$B,Dictionaries!$A:$A="Режим"),FILTER(Dictionaries!$C:$C,Dictionaries!$A:$A="Режим"))),IF($N97="","",MIN($N97/100,1)),IF($O97="","",XLOOKUP($O97,FILTER(Dictionaries!$B:$B,Dictionaries!$A:$A="Настроение"),FILTER(Dictionaries!$C:$C,Dictionaries!$A:$A="Настроение"))),IF($P97="","",XLOOKUP($P97,FILTER(Dictionaries!$B:$B,Dictionaries!$A:$A="Энергия"),FILTER(Dictionaries!$C:$C,Dictionaries!$A:$A="Энергия"))),IF($U97="","",AVERAGE(IF(OR($B97="Ноги",$B97="Верх"),IFS(AND($U97&gt;=1900,$U97&lt;=2050),1,AND($U97&gt;=1850,$U97&lt;1900),0.7,AND($U97&gt;2050,$U97&lt;=2100),0.7,TRUE,0.2),IFS(AND($U97&gt;=1700,$U97&lt;=1850),1,AND($U97&gt;=1650,$U97&lt;1700),0.7,AND($U97&gt;1850,$U97&lt;=1900),0.7,TRUE,0.2)),IF(OR($B97="Ноги",$B97="Верх"),IFS(AND($V97&gt;=125,$V97&lt;=135),1,AND($V97&gt;=115,$V97&lt;125),0.7,AND($V97&gt;135,$V97&lt;=145),0.7,AND($V97&gt;=105,$V97&lt;115),0.4,AND($V97&gt;145,$V97&lt;=155),0.4,TRUE,0.2),IFS(AND($V97&gt;=120,$V97&lt;=130),1,AND($V97&gt;=110,$V97&lt;120),0.7,AND($V97&gt;130,$V97&lt;=140),0.7,AND($V97&gt;=100,$V97&lt;110),0.4,AND($V97&gt;140,$V97&lt;=150),0.4,TRUE,0.2)),IFS(AND($W97&gt;=55,$W97&lt;=65),1,AND($W97&gt;=50,$W97&lt;55),0.7,AND($W97&gt;65,$W97&lt;=70),0.7,AND($W97&gt;=45,$W97&lt;50),0.4,AND($W97&gt;70,$W97&lt;=75),0.4,TRUE,0.2),IF(OR($B97="Ноги",$B97="Верх"),IFS(AND($X97&gt;=180,$X97&lt;=210),1,AND($X97&gt;=160,$X97&lt;180),0.7,AND($X97&gt;210,$X97&lt;=230),0.7,AND($X97&gt;=140,$X97&lt;160),0.4,AND($X97&gt;230,$X97&lt;=250),0.4,TRUE,0.2),IFS(AND($X97&gt;=140,$X97&lt;=170),1,AND($X97&gt;=120,$X97&lt;140),0.7,AND($X97&gt;170,$X97&lt;=190),0.7,AND($X97&gt;=100,$X97&lt;120),0.4,AND($X97&gt;190,$X97&lt;=210),0.4,TRUE,0.2))))),1),""))</f>
        <v/>
      </c>
      <c r="Z97">
        <f>IF($A97="","",TEXTJOIN(", ",TRUE,IF($B97="","Тренировка",""),IF($C97="","Кардио",""),IF($D97="","Шаги",""),IF($E97="","Английский",""),IF($F97="","Код-режим",""),IF($G97="","Код-тема",""),IF($H97="","Чтение",""),IF($L97="","Сон",""),IF($M97="","Режим",""),IF($N97="","Продуктивность",""),IF($O97="","Настроение",""),IF($P97="","Энергия",""),IF($U97="","Еда","")))</f>
        <v/>
      </c>
    </row>
    <row r="98">
      <c r="A98" t="inlineStr"/>
      <c r="U98">
        <f>IF($A98="","",IF(SUMIF(FoodLog!$A:$A,$A98,FoodLog!$I:$I)=0,"",SUMIF(FoodLog!$A:$A,$A98,FoodLog!$I:$I)))</f>
        <v/>
      </c>
      <c r="V98">
        <f>IF($A98="","",IF(SUMIF(FoodLog!$A:$A,$A98,FoodLog!$F:$F)=0,"",SUMIF(FoodLog!$A:$A,$A98,FoodLog!$F:$F)))</f>
        <v/>
      </c>
      <c r="W98">
        <f>IF($A98="","",IF(SUMIF(FoodLog!$A:$A,$A98,FoodLog!$G:$G)=0,"",SUMIF(FoodLog!$A:$A,$A98,FoodLog!$G:$G)))</f>
        <v/>
      </c>
      <c r="X98">
        <f>IF($A98="","",IF(SUMIF(FoodLog!$A:$A,$A98,FoodLog!$H:$H)=0,"",SUMIF(FoodLog!$A:$A,$A98,FoodLog!$H:$H)))</f>
        <v/>
      </c>
      <c r="Y98">
        <f>IF($A98="","",IFERROR(ROUND(100*AVERAGE(IF($B98="","",XLOOKUP($B98,FILTER(Dictionaries!$B:$B,Dictionaries!$A:$A="Тренировка"),FILTER(Dictionaries!$C:$C,Dictionaries!$A:$A="Тренировка"))),IF($C98="","",MIN($C98/40,1)),IF($D98="","",XLOOKUP($D98,FILTER(Dictionaries!$B:$B,Dictionaries!$A:$A="Шаги"),FILTER(Dictionaries!$C:$C,Dictionaries!$A:$A="Шаги"))),IF($E98="","",MIN($E98/120,1)),IF(OR($F98&lt;&gt;"",$G98&lt;&gt;""),1,""),IF($H98="","",MIN($H98/100,1)),IF($L98="","",XLOOKUP($L98,FILTER(Dictionaries!$B:$B,Dictionaries!$A:$A="Сон_часы"),FILTER(Dictionaries!$C:$C,Dictionaries!$A:$A="Сон_часы"))),IF($M98="","",XLOOKUP($M98,FILTER(Dictionaries!$B:$B,Dictionaries!$A:$A="Режим"),FILTER(Dictionaries!$C:$C,Dictionaries!$A:$A="Режим"))),IF($N98="","",MIN($N98/100,1)),IF($O98="","",XLOOKUP($O98,FILTER(Dictionaries!$B:$B,Dictionaries!$A:$A="Настроение"),FILTER(Dictionaries!$C:$C,Dictionaries!$A:$A="Настроение"))),IF($P98="","",XLOOKUP($P98,FILTER(Dictionaries!$B:$B,Dictionaries!$A:$A="Энергия"),FILTER(Dictionaries!$C:$C,Dictionaries!$A:$A="Энергия"))),IF($U98="","",AVERAGE(IF(OR($B98="Ноги",$B98="Верх"),IFS(AND($U98&gt;=1900,$U98&lt;=2050),1,AND($U98&gt;=1850,$U98&lt;1900),0.7,AND($U98&gt;2050,$U98&lt;=2100),0.7,TRUE,0.2),IFS(AND($U98&gt;=1700,$U98&lt;=1850),1,AND($U98&gt;=1650,$U98&lt;1700),0.7,AND($U98&gt;1850,$U98&lt;=1900),0.7,TRUE,0.2)),IF(OR($B98="Ноги",$B98="Верх"),IFS(AND($V98&gt;=125,$V98&lt;=135),1,AND($V98&gt;=115,$V98&lt;125),0.7,AND($V98&gt;135,$V98&lt;=145),0.7,AND($V98&gt;=105,$V98&lt;115),0.4,AND($V98&gt;145,$V98&lt;=155),0.4,TRUE,0.2),IFS(AND($V98&gt;=120,$V98&lt;=130),1,AND($V98&gt;=110,$V98&lt;120),0.7,AND($V98&gt;130,$V98&lt;=140),0.7,AND($V98&gt;=100,$V98&lt;110),0.4,AND($V98&gt;140,$V98&lt;=150),0.4,TRUE,0.2)),IFS(AND($W98&gt;=55,$W98&lt;=65),1,AND($W98&gt;=50,$W98&lt;55),0.7,AND($W98&gt;65,$W98&lt;=70),0.7,AND($W98&gt;=45,$W98&lt;50),0.4,AND($W98&gt;70,$W98&lt;=75),0.4,TRUE,0.2),IF(OR($B98="Ноги",$B98="Верх"),IFS(AND($X98&gt;=180,$X98&lt;=210),1,AND($X98&gt;=160,$X98&lt;180),0.7,AND($X98&gt;210,$X98&lt;=230),0.7,AND($X98&gt;=140,$X98&lt;160),0.4,AND($X98&gt;230,$X98&lt;=250),0.4,TRUE,0.2),IFS(AND($X98&gt;=140,$X98&lt;=170),1,AND($X98&gt;=120,$X98&lt;140),0.7,AND($X98&gt;170,$X98&lt;=190),0.7,AND($X98&gt;=100,$X98&lt;120),0.4,AND($X98&gt;190,$X98&lt;=210),0.4,TRUE,0.2))))),1),""))</f>
        <v/>
      </c>
      <c r="Z98">
        <f>IF($A98="","",TEXTJOIN(", ",TRUE,IF($B98="","Тренировка",""),IF($C98="","Кардио",""),IF($D98="","Шаги",""),IF($E98="","Английский",""),IF($F98="","Код-режим",""),IF($G98="","Код-тема",""),IF($H98="","Чтение",""),IF($L98="","Сон",""),IF($M98="","Режим",""),IF($N98="","Продуктивность",""),IF($O98="","Настроение",""),IF($P98="","Энергия",""),IF($U98="","Еда","")))</f>
        <v/>
      </c>
    </row>
    <row r="99">
      <c r="A99" t="inlineStr"/>
      <c r="U99">
        <f>IF($A99="","",IF(SUMIF(FoodLog!$A:$A,$A99,FoodLog!$I:$I)=0,"",SUMIF(FoodLog!$A:$A,$A99,FoodLog!$I:$I)))</f>
        <v/>
      </c>
      <c r="V99">
        <f>IF($A99="","",IF(SUMIF(FoodLog!$A:$A,$A99,FoodLog!$F:$F)=0,"",SUMIF(FoodLog!$A:$A,$A99,FoodLog!$F:$F)))</f>
        <v/>
      </c>
      <c r="W99">
        <f>IF($A99="","",IF(SUMIF(FoodLog!$A:$A,$A99,FoodLog!$G:$G)=0,"",SUMIF(FoodLog!$A:$A,$A99,FoodLog!$G:$G)))</f>
        <v/>
      </c>
      <c r="X99">
        <f>IF($A99="","",IF(SUMIF(FoodLog!$A:$A,$A99,FoodLog!$H:$H)=0,"",SUMIF(FoodLog!$A:$A,$A99,FoodLog!$H:$H)))</f>
        <v/>
      </c>
      <c r="Y99">
        <f>IF($A99="","",IFERROR(ROUND(100*AVERAGE(IF($B99="","",XLOOKUP($B99,FILTER(Dictionaries!$B:$B,Dictionaries!$A:$A="Тренировка"),FILTER(Dictionaries!$C:$C,Dictionaries!$A:$A="Тренировка"))),IF($C99="","",MIN($C99/40,1)),IF($D99="","",XLOOKUP($D99,FILTER(Dictionaries!$B:$B,Dictionaries!$A:$A="Шаги"),FILTER(Dictionaries!$C:$C,Dictionaries!$A:$A="Шаги"))),IF($E99="","",MIN($E99/120,1)),IF(OR($F99&lt;&gt;"",$G99&lt;&gt;""),1,""),IF($H99="","",MIN($H99/100,1)),IF($L99="","",XLOOKUP($L99,FILTER(Dictionaries!$B:$B,Dictionaries!$A:$A="Сон_часы"),FILTER(Dictionaries!$C:$C,Dictionaries!$A:$A="Сон_часы"))),IF($M99="","",XLOOKUP($M99,FILTER(Dictionaries!$B:$B,Dictionaries!$A:$A="Режим"),FILTER(Dictionaries!$C:$C,Dictionaries!$A:$A="Режим"))),IF($N99="","",MIN($N99/100,1)),IF($O99="","",XLOOKUP($O99,FILTER(Dictionaries!$B:$B,Dictionaries!$A:$A="Настроение"),FILTER(Dictionaries!$C:$C,Dictionaries!$A:$A="Настроение"))),IF($P99="","",XLOOKUP($P99,FILTER(Dictionaries!$B:$B,Dictionaries!$A:$A="Энергия"),FILTER(Dictionaries!$C:$C,Dictionaries!$A:$A="Энергия"))),IF($U99="","",AVERAGE(IF(OR($B99="Ноги",$B99="Верх"),IFS(AND($U99&gt;=1900,$U99&lt;=2050),1,AND($U99&gt;=1850,$U99&lt;1900),0.7,AND($U99&gt;2050,$U99&lt;=2100),0.7,TRUE,0.2),IFS(AND($U99&gt;=1700,$U99&lt;=1850),1,AND($U99&gt;=1650,$U99&lt;1700),0.7,AND($U99&gt;1850,$U99&lt;=1900),0.7,TRUE,0.2)),IF(OR($B99="Ноги",$B99="Верх"),IFS(AND($V99&gt;=125,$V99&lt;=135),1,AND($V99&gt;=115,$V99&lt;125),0.7,AND($V99&gt;135,$V99&lt;=145),0.7,AND($V99&gt;=105,$V99&lt;115),0.4,AND($V99&gt;145,$V99&lt;=155),0.4,TRUE,0.2),IFS(AND($V99&gt;=120,$V99&lt;=130),1,AND($V99&gt;=110,$V99&lt;120),0.7,AND($V99&gt;130,$V99&lt;=140),0.7,AND($V99&gt;=100,$V99&lt;110),0.4,AND($V99&gt;140,$V99&lt;=150),0.4,TRUE,0.2)),IFS(AND($W99&gt;=55,$W99&lt;=65),1,AND($W99&gt;=50,$W99&lt;55),0.7,AND($W99&gt;65,$W99&lt;=70),0.7,AND($W99&gt;=45,$W99&lt;50),0.4,AND($W99&gt;70,$W99&lt;=75),0.4,TRUE,0.2),IF(OR($B99="Ноги",$B99="Верх"),IFS(AND($X99&gt;=180,$X99&lt;=210),1,AND($X99&gt;=160,$X99&lt;180),0.7,AND($X99&gt;210,$X99&lt;=230),0.7,AND($X99&gt;=140,$X99&lt;160),0.4,AND($X99&gt;230,$X99&lt;=250),0.4,TRUE,0.2),IFS(AND($X99&gt;=140,$X99&lt;=170),1,AND($X99&gt;=120,$X99&lt;140),0.7,AND($X99&gt;170,$X99&lt;=190),0.7,AND($X99&gt;=100,$X99&lt;120),0.4,AND($X99&gt;190,$X99&lt;=210),0.4,TRUE,0.2))))),1),""))</f>
        <v/>
      </c>
      <c r="Z99">
        <f>IF($A99="","",TEXTJOIN(", ",TRUE,IF($B99="","Тренировка",""),IF($C99="","Кардио",""),IF($D99="","Шаги",""),IF($E99="","Английский",""),IF($F99="","Код-режим",""),IF($G99="","Код-тема",""),IF($H99="","Чтение",""),IF($L99="","Сон",""),IF($M99="","Режим",""),IF($N99="","Продуктивность",""),IF($O99="","Настроение",""),IF($P99="","Энергия",""),IF($U99="","Еда","")))</f>
        <v/>
      </c>
    </row>
    <row r="100">
      <c r="A100" t="inlineStr"/>
      <c r="U100">
        <f>IF($A100="","",IF(SUMIF(FoodLog!$A:$A,$A100,FoodLog!$I:$I)=0,"",SUMIF(FoodLog!$A:$A,$A100,FoodLog!$I:$I)))</f>
        <v/>
      </c>
      <c r="V100">
        <f>IF($A100="","",IF(SUMIF(FoodLog!$A:$A,$A100,FoodLog!$F:$F)=0,"",SUMIF(FoodLog!$A:$A,$A100,FoodLog!$F:$F)))</f>
        <v/>
      </c>
      <c r="W100">
        <f>IF($A100="","",IF(SUMIF(FoodLog!$A:$A,$A100,FoodLog!$G:$G)=0,"",SUMIF(FoodLog!$A:$A,$A100,FoodLog!$G:$G)))</f>
        <v/>
      </c>
      <c r="X100">
        <f>IF($A100="","",IF(SUMIF(FoodLog!$A:$A,$A100,FoodLog!$H:$H)=0,"",SUMIF(FoodLog!$A:$A,$A100,FoodLog!$H:$H)))</f>
        <v/>
      </c>
      <c r="Y100">
        <f>IF($A100="","",IFERROR(ROUND(100*AVERAGE(IF($B100="","",XLOOKUP($B100,FILTER(Dictionaries!$B:$B,Dictionaries!$A:$A="Тренировка"),FILTER(Dictionaries!$C:$C,Dictionaries!$A:$A="Тренировка"))),IF($C100="","",MIN($C100/40,1)),IF($D100="","",XLOOKUP($D100,FILTER(Dictionaries!$B:$B,Dictionaries!$A:$A="Шаги"),FILTER(Dictionaries!$C:$C,Dictionaries!$A:$A="Шаги"))),IF($E100="","",MIN($E100/120,1)),IF(OR($F100&lt;&gt;"",$G100&lt;&gt;""),1,""),IF($H100="","",MIN($H100/100,1)),IF($L100="","",XLOOKUP($L100,FILTER(Dictionaries!$B:$B,Dictionaries!$A:$A="Сон_часы"),FILTER(Dictionaries!$C:$C,Dictionaries!$A:$A="Сон_часы"))),IF($M100="","",XLOOKUP($M100,FILTER(Dictionaries!$B:$B,Dictionaries!$A:$A="Режим"),FILTER(Dictionaries!$C:$C,Dictionaries!$A:$A="Режим"))),IF($N100="","",MIN($N100/100,1)),IF($O100="","",XLOOKUP($O100,FILTER(Dictionaries!$B:$B,Dictionaries!$A:$A="Настроение"),FILTER(Dictionaries!$C:$C,Dictionaries!$A:$A="Настроение"))),IF($P100="","",XLOOKUP($P100,FILTER(Dictionaries!$B:$B,Dictionaries!$A:$A="Энергия"),FILTER(Dictionaries!$C:$C,Dictionaries!$A:$A="Энергия"))),IF($U100="","",AVERAGE(IF(OR($B100="Ноги",$B100="Верх"),IFS(AND($U100&gt;=1900,$U100&lt;=2050),1,AND($U100&gt;=1850,$U100&lt;1900),0.7,AND($U100&gt;2050,$U100&lt;=2100),0.7,TRUE,0.2),IFS(AND($U100&gt;=1700,$U100&lt;=1850),1,AND($U100&gt;=1650,$U100&lt;1700),0.7,AND($U100&gt;1850,$U100&lt;=1900),0.7,TRUE,0.2)),IF(OR($B100="Ноги",$B100="Верх"),IFS(AND($V100&gt;=125,$V100&lt;=135),1,AND($V100&gt;=115,$V100&lt;125),0.7,AND($V100&gt;135,$V100&lt;=145),0.7,AND($V100&gt;=105,$V100&lt;115),0.4,AND($V100&gt;145,$V100&lt;=155),0.4,TRUE,0.2),IFS(AND($V100&gt;=120,$V100&lt;=130),1,AND($V100&gt;=110,$V100&lt;120),0.7,AND($V100&gt;130,$V100&lt;=140),0.7,AND($V100&gt;=100,$V100&lt;110),0.4,AND($V100&gt;140,$V100&lt;=150),0.4,TRUE,0.2)),IFS(AND($W100&gt;=55,$W100&lt;=65),1,AND($W100&gt;=50,$W100&lt;55),0.7,AND($W100&gt;65,$W100&lt;=70),0.7,AND($W100&gt;=45,$W100&lt;50),0.4,AND($W100&gt;70,$W100&lt;=75),0.4,TRUE,0.2),IF(OR($B100="Ноги",$B100="Верх"),IFS(AND($X100&gt;=180,$X100&lt;=210),1,AND($X100&gt;=160,$X100&lt;180),0.7,AND($X100&gt;210,$X100&lt;=230),0.7,AND($X100&gt;=140,$X100&lt;160),0.4,AND($X100&gt;230,$X100&lt;=250),0.4,TRUE,0.2),IFS(AND($X100&gt;=140,$X100&lt;=170),1,AND($X100&gt;=120,$X100&lt;140),0.7,AND($X100&gt;170,$X100&lt;=190),0.7,AND($X100&gt;=100,$X100&lt;120),0.4,AND($X100&gt;190,$X100&lt;=210),0.4,TRUE,0.2))))),1),""))</f>
        <v/>
      </c>
      <c r="Z100">
        <f>IF($A100="","",TEXTJOIN(", ",TRUE,IF($B100="","Тренировка",""),IF($C100="","Кардио",""),IF($D100="","Шаги",""),IF($E100="","Английский",""),IF($F100="","Код-режим",""),IF($G100="","Код-тема",""),IF($H100="","Чтение",""),IF($L100="","Сон",""),IF($M100="","Режим",""),IF($N100="","Продуктивность",""),IF($O100="","Настроение",""),IF($P100="","Энергия",""),IF($U100="","Еда","")))</f>
        <v/>
      </c>
    </row>
    <row r="101">
      <c r="A101" t="inlineStr"/>
      <c r="U101">
        <f>IF($A101="","",IF(SUMIF(FoodLog!$A:$A,$A101,FoodLog!$I:$I)=0,"",SUMIF(FoodLog!$A:$A,$A101,FoodLog!$I:$I)))</f>
        <v/>
      </c>
      <c r="V101">
        <f>IF($A101="","",IF(SUMIF(FoodLog!$A:$A,$A101,FoodLog!$F:$F)=0,"",SUMIF(FoodLog!$A:$A,$A101,FoodLog!$F:$F)))</f>
        <v/>
      </c>
      <c r="W101">
        <f>IF($A101="","",IF(SUMIF(FoodLog!$A:$A,$A101,FoodLog!$G:$G)=0,"",SUMIF(FoodLog!$A:$A,$A101,FoodLog!$G:$G)))</f>
        <v/>
      </c>
      <c r="X101">
        <f>IF($A101="","",IF(SUMIF(FoodLog!$A:$A,$A101,FoodLog!$H:$H)=0,"",SUMIF(FoodLog!$A:$A,$A101,FoodLog!$H:$H)))</f>
        <v/>
      </c>
      <c r="Y101">
        <f>IF($A101="","",IFERROR(ROUND(100*AVERAGE(IF($B101="","",XLOOKUP($B101,FILTER(Dictionaries!$B:$B,Dictionaries!$A:$A="Тренировка"),FILTER(Dictionaries!$C:$C,Dictionaries!$A:$A="Тренировка"))),IF($C101="","",MIN($C101/40,1)),IF($D101="","",XLOOKUP($D101,FILTER(Dictionaries!$B:$B,Dictionaries!$A:$A="Шаги"),FILTER(Dictionaries!$C:$C,Dictionaries!$A:$A="Шаги"))),IF($E101="","",MIN($E101/120,1)),IF(OR($F101&lt;&gt;"",$G101&lt;&gt;""),1,""),IF($H101="","",MIN($H101/100,1)),IF($L101="","",XLOOKUP($L101,FILTER(Dictionaries!$B:$B,Dictionaries!$A:$A="Сон_часы"),FILTER(Dictionaries!$C:$C,Dictionaries!$A:$A="Сон_часы"))),IF($M101="","",XLOOKUP($M101,FILTER(Dictionaries!$B:$B,Dictionaries!$A:$A="Режим"),FILTER(Dictionaries!$C:$C,Dictionaries!$A:$A="Режим"))),IF($N101="","",MIN($N101/100,1)),IF($O101="","",XLOOKUP($O101,FILTER(Dictionaries!$B:$B,Dictionaries!$A:$A="Настроение"),FILTER(Dictionaries!$C:$C,Dictionaries!$A:$A="Настроение"))),IF($P101="","",XLOOKUP($P101,FILTER(Dictionaries!$B:$B,Dictionaries!$A:$A="Энергия"),FILTER(Dictionaries!$C:$C,Dictionaries!$A:$A="Энергия"))),IF($U101="","",AVERAGE(IF(OR($B101="Ноги",$B101="Верх"),IFS(AND($U101&gt;=1900,$U101&lt;=2050),1,AND($U101&gt;=1850,$U101&lt;1900),0.7,AND($U101&gt;2050,$U101&lt;=2100),0.7,TRUE,0.2),IFS(AND($U101&gt;=1700,$U101&lt;=1850),1,AND($U101&gt;=1650,$U101&lt;1700),0.7,AND($U101&gt;1850,$U101&lt;=1900),0.7,TRUE,0.2)),IF(OR($B101="Ноги",$B101="Верх"),IFS(AND($V101&gt;=125,$V101&lt;=135),1,AND($V101&gt;=115,$V101&lt;125),0.7,AND($V101&gt;135,$V101&lt;=145),0.7,AND($V101&gt;=105,$V101&lt;115),0.4,AND($V101&gt;145,$V101&lt;=155),0.4,TRUE,0.2),IFS(AND($V101&gt;=120,$V101&lt;=130),1,AND($V101&gt;=110,$V101&lt;120),0.7,AND($V101&gt;130,$V101&lt;=140),0.7,AND($V101&gt;=100,$V101&lt;110),0.4,AND($V101&gt;140,$V101&lt;=150),0.4,TRUE,0.2)),IFS(AND($W101&gt;=55,$W101&lt;=65),1,AND($W101&gt;=50,$W101&lt;55),0.7,AND($W101&gt;65,$W101&lt;=70),0.7,AND($W101&gt;=45,$W101&lt;50),0.4,AND($W101&gt;70,$W101&lt;=75),0.4,TRUE,0.2),IF(OR($B101="Ноги",$B101="Верх"),IFS(AND($X101&gt;=180,$X101&lt;=210),1,AND($X101&gt;=160,$X101&lt;180),0.7,AND($X101&gt;210,$X101&lt;=230),0.7,AND($X101&gt;=140,$X101&lt;160),0.4,AND($X101&gt;230,$X101&lt;=250),0.4,TRUE,0.2),IFS(AND($X101&gt;=140,$X101&lt;=170),1,AND($X101&gt;=120,$X101&lt;140),0.7,AND($X101&gt;170,$X101&lt;=190),0.7,AND($X101&gt;=100,$X101&lt;120),0.4,AND($X101&gt;190,$X101&lt;=210),0.4,TRUE,0.2))))),1),""))</f>
        <v/>
      </c>
      <c r="Z101">
        <f>IF($A101="","",TEXTJOIN(", ",TRUE,IF($B101="","Тренировка",""),IF($C101="","Кардио",""),IF($D101="","Шаги",""),IF($E101="","Английский",""),IF($F101="","Код-режим",""),IF($G101="","Код-тема",""),IF($H101="","Чтение",""),IF($L101="","Сон",""),IF($M101="","Режим",""),IF($N101="","Продуктивность",""),IF($O101="","Настроение",""),IF($P101="","Энергия",""),IF($U101="","Еда","")))</f>
        <v/>
      </c>
    </row>
    <row r="102">
      <c r="A102" t="inlineStr"/>
      <c r="U102">
        <f>IF($A102="","",IF(SUMIF(FoodLog!$A:$A,$A102,FoodLog!$I:$I)=0,"",SUMIF(FoodLog!$A:$A,$A102,FoodLog!$I:$I)))</f>
        <v/>
      </c>
      <c r="V102">
        <f>IF($A102="","",IF(SUMIF(FoodLog!$A:$A,$A102,FoodLog!$F:$F)=0,"",SUMIF(FoodLog!$A:$A,$A102,FoodLog!$F:$F)))</f>
        <v/>
      </c>
      <c r="W102">
        <f>IF($A102="","",IF(SUMIF(FoodLog!$A:$A,$A102,FoodLog!$G:$G)=0,"",SUMIF(FoodLog!$A:$A,$A102,FoodLog!$G:$G)))</f>
        <v/>
      </c>
      <c r="X102">
        <f>IF($A102="","",IF(SUMIF(FoodLog!$A:$A,$A102,FoodLog!$H:$H)=0,"",SUMIF(FoodLog!$A:$A,$A102,FoodLog!$H:$H)))</f>
        <v/>
      </c>
      <c r="Y102">
        <f>IF($A102="","",IFERROR(ROUND(100*AVERAGE(IF($B102="","",XLOOKUP($B102,FILTER(Dictionaries!$B:$B,Dictionaries!$A:$A="Тренировка"),FILTER(Dictionaries!$C:$C,Dictionaries!$A:$A="Тренировка"))),IF($C102="","",MIN($C102/40,1)),IF($D102="","",XLOOKUP($D102,FILTER(Dictionaries!$B:$B,Dictionaries!$A:$A="Шаги"),FILTER(Dictionaries!$C:$C,Dictionaries!$A:$A="Шаги"))),IF($E102="","",MIN($E102/120,1)),IF(OR($F102&lt;&gt;"",$G102&lt;&gt;""),1,""),IF($H102="","",MIN($H102/100,1)),IF($L102="","",XLOOKUP($L102,FILTER(Dictionaries!$B:$B,Dictionaries!$A:$A="Сон_часы"),FILTER(Dictionaries!$C:$C,Dictionaries!$A:$A="Сон_часы"))),IF($M102="","",XLOOKUP($M102,FILTER(Dictionaries!$B:$B,Dictionaries!$A:$A="Режим"),FILTER(Dictionaries!$C:$C,Dictionaries!$A:$A="Режим"))),IF($N102="","",MIN($N102/100,1)),IF($O102="","",XLOOKUP($O102,FILTER(Dictionaries!$B:$B,Dictionaries!$A:$A="Настроение"),FILTER(Dictionaries!$C:$C,Dictionaries!$A:$A="Настроение"))),IF($P102="","",XLOOKUP($P102,FILTER(Dictionaries!$B:$B,Dictionaries!$A:$A="Энергия"),FILTER(Dictionaries!$C:$C,Dictionaries!$A:$A="Энергия"))),IF($U102="","",AVERAGE(IF(OR($B102="Ноги",$B102="Верх"),IFS(AND($U102&gt;=1900,$U102&lt;=2050),1,AND($U102&gt;=1850,$U102&lt;1900),0.7,AND($U102&gt;2050,$U102&lt;=2100),0.7,TRUE,0.2),IFS(AND($U102&gt;=1700,$U102&lt;=1850),1,AND($U102&gt;=1650,$U102&lt;1700),0.7,AND($U102&gt;1850,$U102&lt;=1900),0.7,TRUE,0.2)),IF(OR($B102="Ноги",$B102="Верх"),IFS(AND($V102&gt;=125,$V102&lt;=135),1,AND($V102&gt;=115,$V102&lt;125),0.7,AND($V102&gt;135,$V102&lt;=145),0.7,AND($V102&gt;=105,$V102&lt;115),0.4,AND($V102&gt;145,$V102&lt;=155),0.4,TRUE,0.2),IFS(AND($V102&gt;=120,$V102&lt;=130),1,AND($V102&gt;=110,$V102&lt;120),0.7,AND($V102&gt;130,$V102&lt;=140),0.7,AND($V102&gt;=100,$V102&lt;110),0.4,AND($V102&gt;140,$V102&lt;=150),0.4,TRUE,0.2)),IFS(AND($W102&gt;=55,$W102&lt;=65),1,AND($W102&gt;=50,$W102&lt;55),0.7,AND($W102&gt;65,$W102&lt;=70),0.7,AND($W102&gt;=45,$W102&lt;50),0.4,AND($W102&gt;70,$W102&lt;=75),0.4,TRUE,0.2),IF(OR($B102="Ноги",$B102="Верх"),IFS(AND($X102&gt;=180,$X102&lt;=210),1,AND($X102&gt;=160,$X102&lt;180),0.7,AND($X102&gt;210,$X102&lt;=230),0.7,AND($X102&gt;=140,$X102&lt;160),0.4,AND($X102&gt;230,$X102&lt;=250),0.4,TRUE,0.2),IFS(AND($X102&gt;=140,$X102&lt;=170),1,AND($X102&gt;=120,$X102&lt;140),0.7,AND($X102&gt;170,$X102&lt;=190),0.7,AND($X102&gt;=100,$X102&lt;120),0.4,AND($X102&gt;190,$X102&lt;=210),0.4,TRUE,0.2))))),1),""))</f>
        <v/>
      </c>
      <c r="Z102">
        <f>IF($A102="","",TEXTJOIN(", ",TRUE,IF($B102="","Тренировка",""),IF($C102="","Кардио",""),IF($D102="","Шаги",""),IF($E102="","Английский",""),IF($F102="","Код-режим",""),IF($G102="","Код-тема",""),IF($H102="","Чтение",""),IF($L102="","Сон",""),IF($M102="","Режим",""),IF($N102="","Продуктивность",""),IF($O102="","Настроение",""),IF($P102="","Энергия",""),IF($U102="","Еда","")))</f>
        <v/>
      </c>
    </row>
    <row r="103">
      <c r="A103" t="inlineStr"/>
      <c r="U103">
        <f>IF($A103="","",IF(SUMIF(FoodLog!$A:$A,$A103,FoodLog!$I:$I)=0,"",SUMIF(FoodLog!$A:$A,$A103,FoodLog!$I:$I)))</f>
        <v/>
      </c>
      <c r="V103">
        <f>IF($A103="","",IF(SUMIF(FoodLog!$A:$A,$A103,FoodLog!$F:$F)=0,"",SUMIF(FoodLog!$A:$A,$A103,FoodLog!$F:$F)))</f>
        <v/>
      </c>
      <c r="W103">
        <f>IF($A103="","",IF(SUMIF(FoodLog!$A:$A,$A103,FoodLog!$G:$G)=0,"",SUMIF(FoodLog!$A:$A,$A103,FoodLog!$G:$G)))</f>
        <v/>
      </c>
      <c r="X103">
        <f>IF($A103="","",IF(SUMIF(FoodLog!$A:$A,$A103,FoodLog!$H:$H)=0,"",SUMIF(FoodLog!$A:$A,$A103,FoodLog!$H:$H)))</f>
        <v/>
      </c>
      <c r="Y103">
        <f>IF($A103="","",IFERROR(ROUND(100*AVERAGE(IF($B103="","",XLOOKUP($B103,FILTER(Dictionaries!$B:$B,Dictionaries!$A:$A="Тренировка"),FILTER(Dictionaries!$C:$C,Dictionaries!$A:$A="Тренировка"))),IF($C103="","",MIN($C103/40,1)),IF($D103="","",XLOOKUP($D103,FILTER(Dictionaries!$B:$B,Dictionaries!$A:$A="Шаги"),FILTER(Dictionaries!$C:$C,Dictionaries!$A:$A="Шаги"))),IF($E103="","",MIN($E103/120,1)),IF(OR($F103&lt;&gt;"",$G103&lt;&gt;""),1,""),IF($H103="","",MIN($H103/100,1)),IF($L103="","",XLOOKUP($L103,FILTER(Dictionaries!$B:$B,Dictionaries!$A:$A="Сон_часы"),FILTER(Dictionaries!$C:$C,Dictionaries!$A:$A="Сон_часы"))),IF($M103="","",XLOOKUP($M103,FILTER(Dictionaries!$B:$B,Dictionaries!$A:$A="Режим"),FILTER(Dictionaries!$C:$C,Dictionaries!$A:$A="Режим"))),IF($N103="","",MIN($N103/100,1)),IF($O103="","",XLOOKUP($O103,FILTER(Dictionaries!$B:$B,Dictionaries!$A:$A="Настроение"),FILTER(Dictionaries!$C:$C,Dictionaries!$A:$A="Настроение"))),IF($P103="","",XLOOKUP($P103,FILTER(Dictionaries!$B:$B,Dictionaries!$A:$A="Энергия"),FILTER(Dictionaries!$C:$C,Dictionaries!$A:$A="Энергия"))),IF($U103="","",AVERAGE(IF(OR($B103="Ноги",$B103="Верх"),IFS(AND($U103&gt;=1900,$U103&lt;=2050),1,AND($U103&gt;=1850,$U103&lt;1900),0.7,AND($U103&gt;2050,$U103&lt;=2100),0.7,TRUE,0.2),IFS(AND($U103&gt;=1700,$U103&lt;=1850),1,AND($U103&gt;=1650,$U103&lt;1700),0.7,AND($U103&gt;1850,$U103&lt;=1900),0.7,TRUE,0.2)),IF(OR($B103="Ноги",$B103="Верх"),IFS(AND($V103&gt;=125,$V103&lt;=135),1,AND($V103&gt;=115,$V103&lt;125),0.7,AND($V103&gt;135,$V103&lt;=145),0.7,AND($V103&gt;=105,$V103&lt;115),0.4,AND($V103&gt;145,$V103&lt;=155),0.4,TRUE,0.2),IFS(AND($V103&gt;=120,$V103&lt;=130),1,AND($V103&gt;=110,$V103&lt;120),0.7,AND($V103&gt;130,$V103&lt;=140),0.7,AND($V103&gt;=100,$V103&lt;110),0.4,AND($V103&gt;140,$V103&lt;=150),0.4,TRUE,0.2)),IFS(AND($W103&gt;=55,$W103&lt;=65),1,AND($W103&gt;=50,$W103&lt;55),0.7,AND($W103&gt;65,$W103&lt;=70),0.7,AND($W103&gt;=45,$W103&lt;50),0.4,AND($W103&gt;70,$W103&lt;=75),0.4,TRUE,0.2),IF(OR($B103="Ноги",$B103="Верх"),IFS(AND($X103&gt;=180,$X103&lt;=210),1,AND($X103&gt;=160,$X103&lt;180),0.7,AND($X103&gt;210,$X103&lt;=230),0.7,AND($X103&gt;=140,$X103&lt;160),0.4,AND($X103&gt;230,$X103&lt;=250),0.4,TRUE,0.2),IFS(AND($X103&gt;=140,$X103&lt;=170),1,AND($X103&gt;=120,$X103&lt;140),0.7,AND($X103&gt;170,$X103&lt;=190),0.7,AND($X103&gt;=100,$X103&lt;120),0.4,AND($X103&gt;190,$X103&lt;=210),0.4,TRUE,0.2))))),1),""))</f>
        <v/>
      </c>
      <c r="Z103">
        <f>IF($A103="","",TEXTJOIN(", ",TRUE,IF($B103="","Тренировка",""),IF($C103="","Кардио",""),IF($D103="","Шаги",""),IF($E103="","Английский",""),IF($F103="","Код-режим",""),IF($G103="","Код-тема",""),IF($H103="","Чтение",""),IF($L103="","Сон",""),IF($M103="","Режим",""),IF($N103="","Продуктивность",""),IF($O103="","Настроение",""),IF($P103="","Энергия",""),IF($U103="","Еда","")))</f>
        <v/>
      </c>
    </row>
    <row r="104">
      <c r="A104" t="inlineStr"/>
      <c r="U104">
        <f>IF($A104="","",IF(SUMIF(FoodLog!$A:$A,$A104,FoodLog!$I:$I)=0,"",SUMIF(FoodLog!$A:$A,$A104,FoodLog!$I:$I)))</f>
        <v/>
      </c>
      <c r="V104">
        <f>IF($A104="","",IF(SUMIF(FoodLog!$A:$A,$A104,FoodLog!$F:$F)=0,"",SUMIF(FoodLog!$A:$A,$A104,FoodLog!$F:$F)))</f>
        <v/>
      </c>
      <c r="W104">
        <f>IF($A104="","",IF(SUMIF(FoodLog!$A:$A,$A104,FoodLog!$G:$G)=0,"",SUMIF(FoodLog!$A:$A,$A104,FoodLog!$G:$G)))</f>
        <v/>
      </c>
      <c r="X104">
        <f>IF($A104="","",IF(SUMIF(FoodLog!$A:$A,$A104,FoodLog!$H:$H)=0,"",SUMIF(FoodLog!$A:$A,$A104,FoodLog!$H:$H)))</f>
        <v/>
      </c>
      <c r="Y104">
        <f>IF($A104="","",IFERROR(ROUND(100*AVERAGE(IF($B104="","",XLOOKUP($B104,FILTER(Dictionaries!$B:$B,Dictionaries!$A:$A="Тренировка"),FILTER(Dictionaries!$C:$C,Dictionaries!$A:$A="Тренировка"))),IF($C104="","",MIN($C104/40,1)),IF($D104="","",XLOOKUP($D104,FILTER(Dictionaries!$B:$B,Dictionaries!$A:$A="Шаги"),FILTER(Dictionaries!$C:$C,Dictionaries!$A:$A="Шаги"))),IF($E104="","",MIN($E104/120,1)),IF(OR($F104&lt;&gt;"",$G104&lt;&gt;""),1,""),IF($H104="","",MIN($H104/100,1)),IF($L104="","",XLOOKUP($L104,FILTER(Dictionaries!$B:$B,Dictionaries!$A:$A="Сон_часы"),FILTER(Dictionaries!$C:$C,Dictionaries!$A:$A="Сон_часы"))),IF($M104="","",XLOOKUP($M104,FILTER(Dictionaries!$B:$B,Dictionaries!$A:$A="Режим"),FILTER(Dictionaries!$C:$C,Dictionaries!$A:$A="Режим"))),IF($N104="","",MIN($N104/100,1)),IF($O104="","",XLOOKUP($O104,FILTER(Dictionaries!$B:$B,Dictionaries!$A:$A="Настроение"),FILTER(Dictionaries!$C:$C,Dictionaries!$A:$A="Настроение"))),IF($P104="","",XLOOKUP($P104,FILTER(Dictionaries!$B:$B,Dictionaries!$A:$A="Энергия"),FILTER(Dictionaries!$C:$C,Dictionaries!$A:$A="Энергия"))),IF($U104="","",AVERAGE(IF(OR($B104="Ноги",$B104="Верх"),IFS(AND($U104&gt;=1900,$U104&lt;=2050),1,AND($U104&gt;=1850,$U104&lt;1900),0.7,AND($U104&gt;2050,$U104&lt;=2100),0.7,TRUE,0.2),IFS(AND($U104&gt;=1700,$U104&lt;=1850),1,AND($U104&gt;=1650,$U104&lt;1700),0.7,AND($U104&gt;1850,$U104&lt;=1900),0.7,TRUE,0.2)),IF(OR($B104="Ноги",$B104="Верх"),IFS(AND($V104&gt;=125,$V104&lt;=135),1,AND($V104&gt;=115,$V104&lt;125),0.7,AND($V104&gt;135,$V104&lt;=145),0.7,AND($V104&gt;=105,$V104&lt;115),0.4,AND($V104&gt;145,$V104&lt;=155),0.4,TRUE,0.2),IFS(AND($V104&gt;=120,$V104&lt;=130),1,AND($V104&gt;=110,$V104&lt;120),0.7,AND($V104&gt;130,$V104&lt;=140),0.7,AND($V104&gt;=100,$V104&lt;110),0.4,AND($V104&gt;140,$V104&lt;=150),0.4,TRUE,0.2)),IFS(AND($W104&gt;=55,$W104&lt;=65),1,AND($W104&gt;=50,$W104&lt;55),0.7,AND($W104&gt;65,$W104&lt;=70),0.7,AND($W104&gt;=45,$W104&lt;50),0.4,AND($W104&gt;70,$W104&lt;=75),0.4,TRUE,0.2),IF(OR($B104="Ноги",$B104="Верх"),IFS(AND($X104&gt;=180,$X104&lt;=210),1,AND($X104&gt;=160,$X104&lt;180),0.7,AND($X104&gt;210,$X104&lt;=230),0.7,AND($X104&gt;=140,$X104&lt;160),0.4,AND($X104&gt;230,$X104&lt;=250),0.4,TRUE,0.2),IFS(AND($X104&gt;=140,$X104&lt;=170),1,AND($X104&gt;=120,$X104&lt;140),0.7,AND($X104&gt;170,$X104&lt;=190),0.7,AND($X104&gt;=100,$X104&lt;120),0.4,AND($X104&gt;190,$X104&lt;=210),0.4,TRUE,0.2))))),1),""))</f>
        <v/>
      </c>
      <c r="Z104">
        <f>IF($A104="","",TEXTJOIN(", ",TRUE,IF($B104="","Тренировка",""),IF($C104="","Кардио",""),IF($D104="","Шаги",""),IF($E104="","Английский",""),IF($F104="","Код-режим",""),IF($G104="","Код-тема",""),IF($H104="","Чтение",""),IF($L104="","Сон",""),IF($M104="","Режим",""),IF($N104="","Продуктивность",""),IF($O104="","Настроение",""),IF($P104="","Энергия",""),IF($U104="","Еда","")))</f>
        <v/>
      </c>
    </row>
    <row r="105">
      <c r="A105" t="inlineStr"/>
      <c r="U105">
        <f>IF($A105="","",IF(SUMIF(FoodLog!$A:$A,$A105,FoodLog!$I:$I)=0,"",SUMIF(FoodLog!$A:$A,$A105,FoodLog!$I:$I)))</f>
        <v/>
      </c>
      <c r="V105">
        <f>IF($A105="","",IF(SUMIF(FoodLog!$A:$A,$A105,FoodLog!$F:$F)=0,"",SUMIF(FoodLog!$A:$A,$A105,FoodLog!$F:$F)))</f>
        <v/>
      </c>
      <c r="W105">
        <f>IF($A105="","",IF(SUMIF(FoodLog!$A:$A,$A105,FoodLog!$G:$G)=0,"",SUMIF(FoodLog!$A:$A,$A105,FoodLog!$G:$G)))</f>
        <v/>
      </c>
      <c r="X105">
        <f>IF($A105="","",IF(SUMIF(FoodLog!$A:$A,$A105,FoodLog!$H:$H)=0,"",SUMIF(FoodLog!$A:$A,$A105,FoodLog!$H:$H)))</f>
        <v/>
      </c>
      <c r="Y105">
        <f>IF($A105="","",IFERROR(ROUND(100*AVERAGE(IF($B105="","",XLOOKUP($B105,FILTER(Dictionaries!$B:$B,Dictionaries!$A:$A="Тренировка"),FILTER(Dictionaries!$C:$C,Dictionaries!$A:$A="Тренировка"))),IF($C105="","",MIN($C105/40,1)),IF($D105="","",XLOOKUP($D105,FILTER(Dictionaries!$B:$B,Dictionaries!$A:$A="Шаги"),FILTER(Dictionaries!$C:$C,Dictionaries!$A:$A="Шаги"))),IF($E105="","",MIN($E105/120,1)),IF(OR($F105&lt;&gt;"",$G105&lt;&gt;""),1,""),IF($H105="","",MIN($H105/100,1)),IF($L105="","",XLOOKUP($L105,FILTER(Dictionaries!$B:$B,Dictionaries!$A:$A="Сон_часы"),FILTER(Dictionaries!$C:$C,Dictionaries!$A:$A="Сон_часы"))),IF($M105="","",XLOOKUP($M105,FILTER(Dictionaries!$B:$B,Dictionaries!$A:$A="Режим"),FILTER(Dictionaries!$C:$C,Dictionaries!$A:$A="Режим"))),IF($N105="","",MIN($N105/100,1)),IF($O105="","",XLOOKUP($O105,FILTER(Dictionaries!$B:$B,Dictionaries!$A:$A="Настроение"),FILTER(Dictionaries!$C:$C,Dictionaries!$A:$A="Настроение"))),IF($P105="","",XLOOKUP($P105,FILTER(Dictionaries!$B:$B,Dictionaries!$A:$A="Энергия"),FILTER(Dictionaries!$C:$C,Dictionaries!$A:$A="Энергия"))),IF($U105="","",AVERAGE(IF(OR($B105="Ноги",$B105="Верх"),IFS(AND($U105&gt;=1900,$U105&lt;=2050),1,AND($U105&gt;=1850,$U105&lt;1900),0.7,AND($U105&gt;2050,$U105&lt;=2100),0.7,TRUE,0.2),IFS(AND($U105&gt;=1700,$U105&lt;=1850),1,AND($U105&gt;=1650,$U105&lt;1700),0.7,AND($U105&gt;1850,$U105&lt;=1900),0.7,TRUE,0.2)),IF(OR($B105="Ноги",$B105="Верх"),IFS(AND($V105&gt;=125,$V105&lt;=135),1,AND($V105&gt;=115,$V105&lt;125),0.7,AND($V105&gt;135,$V105&lt;=145),0.7,AND($V105&gt;=105,$V105&lt;115),0.4,AND($V105&gt;145,$V105&lt;=155),0.4,TRUE,0.2),IFS(AND($V105&gt;=120,$V105&lt;=130),1,AND($V105&gt;=110,$V105&lt;120),0.7,AND($V105&gt;130,$V105&lt;=140),0.7,AND($V105&gt;=100,$V105&lt;110),0.4,AND($V105&gt;140,$V105&lt;=150),0.4,TRUE,0.2)),IFS(AND($W105&gt;=55,$W105&lt;=65),1,AND($W105&gt;=50,$W105&lt;55),0.7,AND($W105&gt;65,$W105&lt;=70),0.7,AND($W105&gt;=45,$W105&lt;50),0.4,AND($W105&gt;70,$W105&lt;=75),0.4,TRUE,0.2),IF(OR($B105="Ноги",$B105="Верх"),IFS(AND($X105&gt;=180,$X105&lt;=210),1,AND($X105&gt;=160,$X105&lt;180),0.7,AND($X105&gt;210,$X105&lt;=230),0.7,AND($X105&gt;=140,$X105&lt;160),0.4,AND($X105&gt;230,$X105&lt;=250),0.4,TRUE,0.2),IFS(AND($X105&gt;=140,$X105&lt;=170),1,AND($X105&gt;=120,$X105&lt;140),0.7,AND($X105&gt;170,$X105&lt;=190),0.7,AND($X105&gt;=100,$X105&lt;120),0.4,AND($X105&gt;190,$X105&lt;=210),0.4,TRUE,0.2))))),1),""))</f>
        <v/>
      </c>
      <c r="Z105">
        <f>IF($A105="","",TEXTJOIN(", ",TRUE,IF($B105="","Тренировка",""),IF($C105="","Кардио",""),IF($D105="","Шаги",""),IF($E105="","Английский",""),IF($F105="","Код-режим",""),IF($G105="","Код-тема",""),IF($H105="","Чтение",""),IF($L105="","Сон",""),IF($M105="","Режим",""),IF($N105="","Продуктивность",""),IF($O105="","Настроение",""),IF($P105="","Энергия",""),IF($U105="","Еда","")))</f>
        <v/>
      </c>
    </row>
    <row r="106">
      <c r="A106" t="inlineStr"/>
      <c r="U106">
        <f>IF($A106="","",IF(SUMIF(FoodLog!$A:$A,$A106,FoodLog!$I:$I)=0,"",SUMIF(FoodLog!$A:$A,$A106,FoodLog!$I:$I)))</f>
        <v/>
      </c>
      <c r="V106">
        <f>IF($A106="","",IF(SUMIF(FoodLog!$A:$A,$A106,FoodLog!$F:$F)=0,"",SUMIF(FoodLog!$A:$A,$A106,FoodLog!$F:$F)))</f>
        <v/>
      </c>
      <c r="W106">
        <f>IF($A106="","",IF(SUMIF(FoodLog!$A:$A,$A106,FoodLog!$G:$G)=0,"",SUMIF(FoodLog!$A:$A,$A106,FoodLog!$G:$G)))</f>
        <v/>
      </c>
      <c r="X106">
        <f>IF($A106="","",IF(SUMIF(FoodLog!$A:$A,$A106,FoodLog!$H:$H)=0,"",SUMIF(FoodLog!$A:$A,$A106,FoodLog!$H:$H)))</f>
        <v/>
      </c>
      <c r="Y106">
        <f>IF($A106="","",IFERROR(ROUND(100*AVERAGE(IF($B106="","",XLOOKUP($B106,FILTER(Dictionaries!$B:$B,Dictionaries!$A:$A="Тренировка"),FILTER(Dictionaries!$C:$C,Dictionaries!$A:$A="Тренировка"))),IF($C106="","",MIN($C106/40,1)),IF($D106="","",XLOOKUP($D106,FILTER(Dictionaries!$B:$B,Dictionaries!$A:$A="Шаги"),FILTER(Dictionaries!$C:$C,Dictionaries!$A:$A="Шаги"))),IF($E106="","",MIN($E106/120,1)),IF(OR($F106&lt;&gt;"",$G106&lt;&gt;""),1,""),IF($H106="","",MIN($H106/100,1)),IF($L106="","",XLOOKUP($L106,FILTER(Dictionaries!$B:$B,Dictionaries!$A:$A="Сон_часы"),FILTER(Dictionaries!$C:$C,Dictionaries!$A:$A="Сон_часы"))),IF($M106="","",XLOOKUP($M106,FILTER(Dictionaries!$B:$B,Dictionaries!$A:$A="Режим"),FILTER(Dictionaries!$C:$C,Dictionaries!$A:$A="Режим"))),IF($N106="","",MIN($N106/100,1)),IF($O106="","",XLOOKUP($O106,FILTER(Dictionaries!$B:$B,Dictionaries!$A:$A="Настроение"),FILTER(Dictionaries!$C:$C,Dictionaries!$A:$A="Настроение"))),IF($P106="","",XLOOKUP($P106,FILTER(Dictionaries!$B:$B,Dictionaries!$A:$A="Энергия"),FILTER(Dictionaries!$C:$C,Dictionaries!$A:$A="Энергия"))),IF($U106="","",AVERAGE(IF(OR($B106="Ноги",$B106="Верх"),IFS(AND($U106&gt;=1900,$U106&lt;=2050),1,AND($U106&gt;=1850,$U106&lt;1900),0.7,AND($U106&gt;2050,$U106&lt;=2100),0.7,TRUE,0.2),IFS(AND($U106&gt;=1700,$U106&lt;=1850),1,AND($U106&gt;=1650,$U106&lt;1700),0.7,AND($U106&gt;1850,$U106&lt;=1900),0.7,TRUE,0.2)),IF(OR($B106="Ноги",$B106="Верх"),IFS(AND($V106&gt;=125,$V106&lt;=135),1,AND($V106&gt;=115,$V106&lt;125),0.7,AND($V106&gt;135,$V106&lt;=145),0.7,AND($V106&gt;=105,$V106&lt;115),0.4,AND($V106&gt;145,$V106&lt;=155),0.4,TRUE,0.2),IFS(AND($V106&gt;=120,$V106&lt;=130),1,AND($V106&gt;=110,$V106&lt;120),0.7,AND($V106&gt;130,$V106&lt;=140),0.7,AND($V106&gt;=100,$V106&lt;110),0.4,AND($V106&gt;140,$V106&lt;=150),0.4,TRUE,0.2)),IFS(AND($W106&gt;=55,$W106&lt;=65),1,AND($W106&gt;=50,$W106&lt;55),0.7,AND($W106&gt;65,$W106&lt;=70),0.7,AND($W106&gt;=45,$W106&lt;50),0.4,AND($W106&gt;70,$W106&lt;=75),0.4,TRUE,0.2),IF(OR($B106="Ноги",$B106="Верх"),IFS(AND($X106&gt;=180,$X106&lt;=210),1,AND($X106&gt;=160,$X106&lt;180),0.7,AND($X106&gt;210,$X106&lt;=230),0.7,AND($X106&gt;=140,$X106&lt;160),0.4,AND($X106&gt;230,$X106&lt;=250),0.4,TRUE,0.2),IFS(AND($X106&gt;=140,$X106&lt;=170),1,AND($X106&gt;=120,$X106&lt;140),0.7,AND($X106&gt;170,$X106&lt;=190),0.7,AND($X106&gt;=100,$X106&lt;120),0.4,AND($X106&gt;190,$X106&lt;=210),0.4,TRUE,0.2))))),1),""))</f>
        <v/>
      </c>
      <c r="Z106">
        <f>IF($A106="","",TEXTJOIN(", ",TRUE,IF($B106="","Тренировка",""),IF($C106="","Кардио",""),IF($D106="","Шаги",""),IF($E106="","Английский",""),IF($F106="","Код-режим",""),IF($G106="","Код-тема",""),IF($H106="","Чтение",""),IF($L106="","Сон",""),IF($M106="","Режим",""),IF($N106="","Продуктивность",""),IF($O106="","Настроение",""),IF($P106="","Энергия",""),IF($U106="","Еда","")))</f>
        <v/>
      </c>
    </row>
    <row r="107">
      <c r="A107" t="inlineStr"/>
      <c r="U107">
        <f>IF($A107="","",IF(SUMIF(FoodLog!$A:$A,$A107,FoodLog!$I:$I)=0,"",SUMIF(FoodLog!$A:$A,$A107,FoodLog!$I:$I)))</f>
        <v/>
      </c>
      <c r="V107">
        <f>IF($A107="","",IF(SUMIF(FoodLog!$A:$A,$A107,FoodLog!$F:$F)=0,"",SUMIF(FoodLog!$A:$A,$A107,FoodLog!$F:$F)))</f>
        <v/>
      </c>
      <c r="W107">
        <f>IF($A107="","",IF(SUMIF(FoodLog!$A:$A,$A107,FoodLog!$G:$G)=0,"",SUMIF(FoodLog!$A:$A,$A107,FoodLog!$G:$G)))</f>
        <v/>
      </c>
      <c r="X107">
        <f>IF($A107="","",IF(SUMIF(FoodLog!$A:$A,$A107,FoodLog!$H:$H)=0,"",SUMIF(FoodLog!$A:$A,$A107,FoodLog!$H:$H)))</f>
        <v/>
      </c>
      <c r="Y107">
        <f>IF($A107="","",IFERROR(ROUND(100*AVERAGE(IF($B107="","",XLOOKUP($B107,FILTER(Dictionaries!$B:$B,Dictionaries!$A:$A="Тренировка"),FILTER(Dictionaries!$C:$C,Dictionaries!$A:$A="Тренировка"))),IF($C107="","",MIN($C107/40,1)),IF($D107="","",XLOOKUP($D107,FILTER(Dictionaries!$B:$B,Dictionaries!$A:$A="Шаги"),FILTER(Dictionaries!$C:$C,Dictionaries!$A:$A="Шаги"))),IF($E107="","",MIN($E107/120,1)),IF(OR($F107&lt;&gt;"",$G107&lt;&gt;""),1,""),IF($H107="","",MIN($H107/100,1)),IF($L107="","",XLOOKUP($L107,FILTER(Dictionaries!$B:$B,Dictionaries!$A:$A="Сон_часы"),FILTER(Dictionaries!$C:$C,Dictionaries!$A:$A="Сон_часы"))),IF($M107="","",XLOOKUP($M107,FILTER(Dictionaries!$B:$B,Dictionaries!$A:$A="Режим"),FILTER(Dictionaries!$C:$C,Dictionaries!$A:$A="Режим"))),IF($N107="","",MIN($N107/100,1)),IF($O107="","",XLOOKUP($O107,FILTER(Dictionaries!$B:$B,Dictionaries!$A:$A="Настроение"),FILTER(Dictionaries!$C:$C,Dictionaries!$A:$A="Настроение"))),IF($P107="","",XLOOKUP($P107,FILTER(Dictionaries!$B:$B,Dictionaries!$A:$A="Энергия"),FILTER(Dictionaries!$C:$C,Dictionaries!$A:$A="Энергия"))),IF($U107="","",AVERAGE(IF(OR($B107="Ноги",$B107="Верх"),IFS(AND($U107&gt;=1900,$U107&lt;=2050),1,AND($U107&gt;=1850,$U107&lt;1900),0.7,AND($U107&gt;2050,$U107&lt;=2100),0.7,TRUE,0.2),IFS(AND($U107&gt;=1700,$U107&lt;=1850),1,AND($U107&gt;=1650,$U107&lt;1700),0.7,AND($U107&gt;1850,$U107&lt;=1900),0.7,TRUE,0.2)),IF(OR($B107="Ноги",$B107="Верх"),IFS(AND($V107&gt;=125,$V107&lt;=135),1,AND($V107&gt;=115,$V107&lt;125),0.7,AND($V107&gt;135,$V107&lt;=145),0.7,AND($V107&gt;=105,$V107&lt;115),0.4,AND($V107&gt;145,$V107&lt;=155),0.4,TRUE,0.2),IFS(AND($V107&gt;=120,$V107&lt;=130),1,AND($V107&gt;=110,$V107&lt;120),0.7,AND($V107&gt;130,$V107&lt;=140),0.7,AND($V107&gt;=100,$V107&lt;110),0.4,AND($V107&gt;140,$V107&lt;=150),0.4,TRUE,0.2)),IFS(AND($W107&gt;=55,$W107&lt;=65),1,AND($W107&gt;=50,$W107&lt;55),0.7,AND($W107&gt;65,$W107&lt;=70),0.7,AND($W107&gt;=45,$W107&lt;50),0.4,AND($W107&gt;70,$W107&lt;=75),0.4,TRUE,0.2),IF(OR($B107="Ноги",$B107="Верх"),IFS(AND($X107&gt;=180,$X107&lt;=210),1,AND($X107&gt;=160,$X107&lt;180),0.7,AND($X107&gt;210,$X107&lt;=230),0.7,AND($X107&gt;=140,$X107&lt;160),0.4,AND($X107&gt;230,$X107&lt;=250),0.4,TRUE,0.2),IFS(AND($X107&gt;=140,$X107&lt;=170),1,AND($X107&gt;=120,$X107&lt;140),0.7,AND($X107&gt;170,$X107&lt;=190),0.7,AND($X107&gt;=100,$X107&lt;120),0.4,AND($X107&gt;190,$X107&lt;=210),0.4,TRUE,0.2))))),1),""))</f>
        <v/>
      </c>
      <c r="Z107">
        <f>IF($A107="","",TEXTJOIN(", ",TRUE,IF($B107="","Тренировка",""),IF($C107="","Кардио",""),IF($D107="","Шаги",""),IF($E107="","Английский",""),IF($F107="","Код-режим",""),IF($G107="","Код-тема",""),IF($H107="","Чтение",""),IF($L107="","Сон",""),IF($M107="","Режим",""),IF($N107="","Продуктивность",""),IF($O107="","Настроение",""),IF($P107="","Энергия",""),IF($U107="","Еда","")))</f>
        <v/>
      </c>
    </row>
    <row r="108">
      <c r="A108" t="inlineStr"/>
      <c r="U108">
        <f>IF($A108="","",IF(SUMIF(FoodLog!$A:$A,$A108,FoodLog!$I:$I)=0,"",SUMIF(FoodLog!$A:$A,$A108,FoodLog!$I:$I)))</f>
        <v/>
      </c>
      <c r="V108">
        <f>IF($A108="","",IF(SUMIF(FoodLog!$A:$A,$A108,FoodLog!$F:$F)=0,"",SUMIF(FoodLog!$A:$A,$A108,FoodLog!$F:$F)))</f>
        <v/>
      </c>
      <c r="W108">
        <f>IF($A108="","",IF(SUMIF(FoodLog!$A:$A,$A108,FoodLog!$G:$G)=0,"",SUMIF(FoodLog!$A:$A,$A108,FoodLog!$G:$G)))</f>
        <v/>
      </c>
      <c r="X108">
        <f>IF($A108="","",IF(SUMIF(FoodLog!$A:$A,$A108,FoodLog!$H:$H)=0,"",SUMIF(FoodLog!$A:$A,$A108,FoodLog!$H:$H)))</f>
        <v/>
      </c>
      <c r="Y108">
        <f>IF($A108="","",IFERROR(ROUND(100*AVERAGE(IF($B108="","",XLOOKUP($B108,FILTER(Dictionaries!$B:$B,Dictionaries!$A:$A="Тренировка"),FILTER(Dictionaries!$C:$C,Dictionaries!$A:$A="Тренировка"))),IF($C108="","",MIN($C108/40,1)),IF($D108="","",XLOOKUP($D108,FILTER(Dictionaries!$B:$B,Dictionaries!$A:$A="Шаги"),FILTER(Dictionaries!$C:$C,Dictionaries!$A:$A="Шаги"))),IF($E108="","",MIN($E108/120,1)),IF(OR($F108&lt;&gt;"",$G108&lt;&gt;""),1,""),IF($H108="","",MIN($H108/100,1)),IF($L108="","",XLOOKUP($L108,FILTER(Dictionaries!$B:$B,Dictionaries!$A:$A="Сон_часы"),FILTER(Dictionaries!$C:$C,Dictionaries!$A:$A="Сон_часы"))),IF($M108="","",XLOOKUP($M108,FILTER(Dictionaries!$B:$B,Dictionaries!$A:$A="Режим"),FILTER(Dictionaries!$C:$C,Dictionaries!$A:$A="Режим"))),IF($N108="","",MIN($N108/100,1)),IF($O108="","",XLOOKUP($O108,FILTER(Dictionaries!$B:$B,Dictionaries!$A:$A="Настроение"),FILTER(Dictionaries!$C:$C,Dictionaries!$A:$A="Настроение"))),IF($P108="","",XLOOKUP($P108,FILTER(Dictionaries!$B:$B,Dictionaries!$A:$A="Энергия"),FILTER(Dictionaries!$C:$C,Dictionaries!$A:$A="Энергия"))),IF($U108="","",AVERAGE(IF(OR($B108="Ноги",$B108="Верх"),IFS(AND($U108&gt;=1900,$U108&lt;=2050),1,AND($U108&gt;=1850,$U108&lt;1900),0.7,AND($U108&gt;2050,$U108&lt;=2100),0.7,TRUE,0.2),IFS(AND($U108&gt;=1700,$U108&lt;=1850),1,AND($U108&gt;=1650,$U108&lt;1700),0.7,AND($U108&gt;1850,$U108&lt;=1900),0.7,TRUE,0.2)),IF(OR($B108="Ноги",$B108="Верх"),IFS(AND($V108&gt;=125,$V108&lt;=135),1,AND($V108&gt;=115,$V108&lt;125),0.7,AND($V108&gt;135,$V108&lt;=145),0.7,AND($V108&gt;=105,$V108&lt;115),0.4,AND($V108&gt;145,$V108&lt;=155),0.4,TRUE,0.2),IFS(AND($V108&gt;=120,$V108&lt;=130),1,AND($V108&gt;=110,$V108&lt;120),0.7,AND($V108&gt;130,$V108&lt;=140),0.7,AND($V108&gt;=100,$V108&lt;110),0.4,AND($V108&gt;140,$V108&lt;=150),0.4,TRUE,0.2)),IFS(AND($W108&gt;=55,$W108&lt;=65),1,AND($W108&gt;=50,$W108&lt;55),0.7,AND($W108&gt;65,$W108&lt;=70),0.7,AND($W108&gt;=45,$W108&lt;50),0.4,AND($W108&gt;70,$W108&lt;=75),0.4,TRUE,0.2),IF(OR($B108="Ноги",$B108="Верх"),IFS(AND($X108&gt;=180,$X108&lt;=210),1,AND($X108&gt;=160,$X108&lt;180),0.7,AND($X108&gt;210,$X108&lt;=230),0.7,AND($X108&gt;=140,$X108&lt;160),0.4,AND($X108&gt;230,$X108&lt;=250),0.4,TRUE,0.2),IFS(AND($X108&gt;=140,$X108&lt;=170),1,AND($X108&gt;=120,$X108&lt;140),0.7,AND($X108&gt;170,$X108&lt;=190),0.7,AND($X108&gt;=100,$X108&lt;120),0.4,AND($X108&gt;190,$X108&lt;=210),0.4,TRUE,0.2))))),1),""))</f>
        <v/>
      </c>
      <c r="Z108">
        <f>IF($A108="","",TEXTJOIN(", ",TRUE,IF($B108="","Тренировка",""),IF($C108="","Кардио",""),IF($D108="","Шаги",""),IF($E108="","Английский",""),IF($F108="","Код-режим",""),IF($G108="","Код-тема",""),IF($H108="","Чтение",""),IF($L108="","Сон",""),IF($M108="","Режим",""),IF($N108="","Продуктивность",""),IF($O108="","Настроение",""),IF($P108="","Энергия",""),IF($U108="","Еда","")))</f>
        <v/>
      </c>
    </row>
    <row r="109">
      <c r="A109" t="inlineStr"/>
      <c r="U109">
        <f>IF($A109="","",IF(SUMIF(FoodLog!$A:$A,$A109,FoodLog!$I:$I)=0,"",SUMIF(FoodLog!$A:$A,$A109,FoodLog!$I:$I)))</f>
        <v/>
      </c>
      <c r="V109">
        <f>IF($A109="","",IF(SUMIF(FoodLog!$A:$A,$A109,FoodLog!$F:$F)=0,"",SUMIF(FoodLog!$A:$A,$A109,FoodLog!$F:$F)))</f>
        <v/>
      </c>
      <c r="W109">
        <f>IF($A109="","",IF(SUMIF(FoodLog!$A:$A,$A109,FoodLog!$G:$G)=0,"",SUMIF(FoodLog!$A:$A,$A109,FoodLog!$G:$G)))</f>
        <v/>
      </c>
      <c r="X109">
        <f>IF($A109="","",IF(SUMIF(FoodLog!$A:$A,$A109,FoodLog!$H:$H)=0,"",SUMIF(FoodLog!$A:$A,$A109,FoodLog!$H:$H)))</f>
        <v/>
      </c>
      <c r="Y109">
        <f>IF($A109="","",IFERROR(ROUND(100*AVERAGE(IF($B109="","",XLOOKUP($B109,FILTER(Dictionaries!$B:$B,Dictionaries!$A:$A="Тренировка"),FILTER(Dictionaries!$C:$C,Dictionaries!$A:$A="Тренировка"))),IF($C109="","",MIN($C109/40,1)),IF($D109="","",XLOOKUP($D109,FILTER(Dictionaries!$B:$B,Dictionaries!$A:$A="Шаги"),FILTER(Dictionaries!$C:$C,Dictionaries!$A:$A="Шаги"))),IF($E109="","",MIN($E109/120,1)),IF(OR($F109&lt;&gt;"",$G109&lt;&gt;""),1,""),IF($H109="","",MIN($H109/100,1)),IF($L109="","",XLOOKUP($L109,FILTER(Dictionaries!$B:$B,Dictionaries!$A:$A="Сон_часы"),FILTER(Dictionaries!$C:$C,Dictionaries!$A:$A="Сон_часы"))),IF($M109="","",XLOOKUP($M109,FILTER(Dictionaries!$B:$B,Dictionaries!$A:$A="Режим"),FILTER(Dictionaries!$C:$C,Dictionaries!$A:$A="Режим"))),IF($N109="","",MIN($N109/100,1)),IF($O109="","",XLOOKUP($O109,FILTER(Dictionaries!$B:$B,Dictionaries!$A:$A="Настроение"),FILTER(Dictionaries!$C:$C,Dictionaries!$A:$A="Настроение"))),IF($P109="","",XLOOKUP($P109,FILTER(Dictionaries!$B:$B,Dictionaries!$A:$A="Энергия"),FILTER(Dictionaries!$C:$C,Dictionaries!$A:$A="Энергия"))),IF($U109="","",AVERAGE(IF(OR($B109="Ноги",$B109="Верх"),IFS(AND($U109&gt;=1900,$U109&lt;=2050),1,AND($U109&gt;=1850,$U109&lt;1900),0.7,AND($U109&gt;2050,$U109&lt;=2100),0.7,TRUE,0.2),IFS(AND($U109&gt;=1700,$U109&lt;=1850),1,AND($U109&gt;=1650,$U109&lt;1700),0.7,AND($U109&gt;1850,$U109&lt;=1900),0.7,TRUE,0.2)),IF(OR($B109="Ноги",$B109="Верх"),IFS(AND($V109&gt;=125,$V109&lt;=135),1,AND($V109&gt;=115,$V109&lt;125),0.7,AND($V109&gt;135,$V109&lt;=145),0.7,AND($V109&gt;=105,$V109&lt;115),0.4,AND($V109&gt;145,$V109&lt;=155),0.4,TRUE,0.2),IFS(AND($V109&gt;=120,$V109&lt;=130),1,AND($V109&gt;=110,$V109&lt;120),0.7,AND($V109&gt;130,$V109&lt;=140),0.7,AND($V109&gt;=100,$V109&lt;110),0.4,AND($V109&gt;140,$V109&lt;=150),0.4,TRUE,0.2)),IFS(AND($W109&gt;=55,$W109&lt;=65),1,AND($W109&gt;=50,$W109&lt;55),0.7,AND($W109&gt;65,$W109&lt;=70),0.7,AND($W109&gt;=45,$W109&lt;50),0.4,AND($W109&gt;70,$W109&lt;=75),0.4,TRUE,0.2),IF(OR($B109="Ноги",$B109="Верх"),IFS(AND($X109&gt;=180,$X109&lt;=210),1,AND($X109&gt;=160,$X109&lt;180),0.7,AND($X109&gt;210,$X109&lt;=230),0.7,AND($X109&gt;=140,$X109&lt;160),0.4,AND($X109&gt;230,$X109&lt;=250),0.4,TRUE,0.2),IFS(AND($X109&gt;=140,$X109&lt;=170),1,AND($X109&gt;=120,$X109&lt;140),0.7,AND($X109&gt;170,$X109&lt;=190),0.7,AND($X109&gt;=100,$X109&lt;120),0.4,AND($X109&gt;190,$X109&lt;=210),0.4,TRUE,0.2))))),1),""))</f>
        <v/>
      </c>
      <c r="Z109">
        <f>IF($A109="","",TEXTJOIN(", ",TRUE,IF($B109="","Тренировка",""),IF($C109="","Кардио",""),IF($D109="","Шаги",""),IF($E109="","Английский",""),IF($F109="","Код-режим",""),IF($G109="","Код-тема",""),IF($H109="","Чтение",""),IF($L109="","Сон",""),IF($M109="","Режим",""),IF($N109="","Продуктивность",""),IF($O109="","Настроение",""),IF($P109="","Энергия",""),IF($U109="","Еда","")))</f>
        <v/>
      </c>
    </row>
    <row r="110">
      <c r="A110" t="inlineStr"/>
      <c r="U110">
        <f>IF($A110="","",IF(SUMIF(FoodLog!$A:$A,$A110,FoodLog!$I:$I)=0,"",SUMIF(FoodLog!$A:$A,$A110,FoodLog!$I:$I)))</f>
        <v/>
      </c>
      <c r="V110">
        <f>IF($A110="","",IF(SUMIF(FoodLog!$A:$A,$A110,FoodLog!$F:$F)=0,"",SUMIF(FoodLog!$A:$A,$A110,FoodLog!$F:$F)))</f>
        <v/>
      </c>
      <c r="W110">
        <f>IF($A110="","",IF(SUMIF(FoodLog!$A:$A,$A110,FoodLog!$G:$G)=0,"",SUMIF(FoodLog!$A:$A,$A110,FoodLog!$G:$G)))</f>
        <v/>
      </c>
      <c r="X110">
        <f>IF($A110="","",IF(SUMIF(FoodLog!$A:$A,$A110,FoodLog!$H:$H)=0,"",SUMIF(FoodLog!$A:$A,$A110,FoodLog!$H:$H)))</f>
        <v/>
      </c>
      <c r="Y110">
        <f>IF($A110="","",IFERROR(ROUND(100*AVERAGE(IF($B110="","",XLOOKUP($B110,FILTER(Dictionaries!$B:$B,Dictionaries!$A:$A="Тренировка"),FILTER(Dictionaries!$C:$C,Dictionaries!$A:$A="Тренировка"))),IF($C110="","",MIN($C110/40,1)),IF($D110="","",XLOOKUP($D110,FILTER(Dictionaries!$B:$B,Dictionaries!$A:$A="Шаги"),FILTER(Dictionaries!$C:$C,Dictionaries!$A:$A="Шаги"))),IF($E110="","",MIN($E110/120,1)),IF(OR($F110&lt;&gt;"",$G110&lt;&gt;""),1,""),IF($H110="","",MIN($H110/100,1)),IF($L110="","",XLOOKUP($L110,FILTER(Dictionaries!$B:$B,Dictionaries!$A:$A="Сон_часы"),FILTER(Dictionaries!$C:$C,Dictionaries!$A:$A="Сон_часы"))),IF($M110="","",XLOOKUP($M110,FILTER(Dictionaries!$B:$B,Dictionaries!$A:$A="Режим"),FILTER(Dictionaries!$C:$C,Dictionaries!$A:$A="Режим"))),IF($N110="","",MIN($N110/100,1)),IF($O110="","",XLOOKUP($O110,FILTER(Dictionaries!$B:$B,Dictionaries!$A:$A="Настроение"),FILTER(Dictionaries!$C:$C,Dictionaries!$A:$A="Настроение"))),IF($P110="","",XLOOKUP($P110,FILTER(Dictionaries!$B:$B,Dictionaries!$A:$A="Энергия"),FILTER(Dictionaries!$C:$C,Dictionaries!$A:$A="Энергия"))),IF($U110="","",AVERAGE(IF(OR($B110="Ноги",$B110="Верх"),IFS(AND($U110&gt;=1900,$U110&lt;=2050),1,AND($U110&gt;=1850,$U110&lt;1900),0.7,AND($U110&gt;2050,$U110&lt;=2100),0.7,TRUE,0.2),IFS(AND($U110&gt;=1700,$U110&lt;=1850),1,AND($U110&gt;=1650,$U110&lt;1700),0.7,AND($U110&gt;1850,$U110&lt;=1900),0.7,TRUE,0.2)),IF(OR($B110="Ноги",$B110="Верх"),IFS(AND($V110&gt;=125,$V110&lt;=135),1,AND($V110&gt;=115,$V110&lt;125),0.7,AND($V110&gt;135,$V110&lt;=145),0.7,AND($V110&gt;=105,$V110&lt;115),0.4,AND($V110&gt;145,$V110&lt;=155),0.4,TRUE,0.2),IFS(AND($V110&gt;=120,$V110&lt;=130),1,AND($V110&gt;=110,$V110&lt;120),0.7,AND($V110&gt;130,$V110&lt;=140),0.7,AND($V110&gt;=100,$V110&lt;110),0.4,AND($V110&gt;140,$V110&lt;=150),0.4,TRUE,0.2)),IFS(AND($W110&gt;=55,$W110&lt;=65),1,AND($W110&gt;=50,$W110&lt;55),0.7,AND($W110&gt;65,$W110&lt;=70),0.7,AND($W110&gt;=45,$W110&lt;50),0.4,AND($W110&gt;70,$W110&lt;=75),0.4,TRUE,0.2),IF(OR($B110="Ноги",$B110="Верх"),IFS(AND($X110&gt;=180,$X110&lt;=210),1,AND($X110&gt;=160,$X110&lt;180),0.7,AND($X110&gt;210,$X110&lt;=230),0.7,AND($X110&gt;=140,$X110&lt;160),0.4,AND($X110&gt;230,$X110&lt;=250),0.4,TRUE,0.2),IFS(AND($X110&gt;=140,$X110&lt;=170),1,AND($X110&gt;=120,$X110&lt;140),0.7,AND($X110&gt;170,$X110&lt;=190),0.7,AND($X110&gt;=100,$X110&lt;120),0.4,AND($X110&gt;190,$X110&lt;=210),0.4,TRUE,0.2))))),1),""))</f>
        <v/>
      </c>
      <c r="Z110">
        <f>IF($A110="","",TEXTJOIN(", ",TRUE,IF($B110="","Тренировка",""),IF($C110="","Кардио",""),IF($D110="","Шаги",""),IF($E110="","Английский",""),IF($F110="","Код-режим",""),IF($G110="","Код-тема",""),IF($H110="","Чтение",""),IF($L110="","Сон",""),IF($M110="","Режим",""),IF($N110="","Продуктивность",""),IF($O110="","Настроение",""),IF($P110="","Энергия",""),IF($U110="","Еда","")))</f>
        <v/>
      </c>
    </row>
    <row r="111">
      <c r="A111" t="inlineStr"/>
      <c r="U111">
        <f>IF($A111="","",IF(SUMIF(FoodLog!$A:$A,$A111,FoodLog!$I:$I)=0,"",SUMIF(FoodLog!$A:$A,$A111,FoodLog!$I:$I)))</f>
        <v/>
      </c>
      <c r="V111">
        <f>IF($A111="","",IF(SUMIF(FoodLog!$A:$A,$A111,FoodLog!$F:$F)=0,"",SUMIF(FoodLog!$A:$A,$A111,FoodLog!$F:$F)))</f>
        <v/>
      </c>
      <c r="W111">
        <f>IF($A111="","",IF(SUMIF(FoodLog!$A:$A,$A111,FoodLog!$G:$G)=0,"",SUMIF(FoodLog!$A:$A,$A111,FoodLog!$G:$G)))</f>
        <v/>
      </c>
      <c r="X111">
        <f>IF($A111="","",IF(SUMIF(FoodLog!$A:$A,$A111,FoodLog!$H:$H)=0,"",SUMIF(FoodLog!$A:$A,$A111,FoodLog!$H:$H)))</f>
        <v/>
      </c>
      <c r="Y111">
        <f>IF($A111="","",IFERROR(ROUND(100*AVERAGE(IF($B111="","",XLOOKUP($B111,FILTER(Dictionaries!$B:$B,Dictionaries!$A:$A="Тренировка"),FILTER(Dictionaries!$C:$C,Dictionaries!$A:$A="Тренировка"))),IF($C111="","",MIN($C111/40,1)),IF($D111="","",XLOOKUP($D111,FILTER(Dictionaries!$B:$B,Dictionaries!$A:$A="Шаги"),FILTER(Dictionaries!$C:$C,Dictionaries!$A:$A="Шаги"))),IF($E111="","",MIN($E111/120,1)),IF(OR($F111&lt;&gt;"",$G111&lt;&gt;""),1,""),IF($H111="","",MIN($H111/100,1)),IF($L111="","",XLOOKUP($L111,FILTER(Dictionaries!$B:$B,Dictionaries!$A:$A="Сон_часы"),FILTER(Dictionaries!$C:$C,Dictionaries!$A:$A="Сон_часы"))),IF($M111="","",XLOOKUP($M111,FILTER(Dictionaries!$B:$B,Dictionaries!$A:$A="Режим"),FILTER(Dictionaries!$C:$C,Dictionaries!$A:$A="Режим"))),IF($N111="","",MIN($N111/100,1)),IF($O111="","",XLOOKUP($O111,FILTER(Dictionaries!$B:$B,Dictionaries!$A:$A="Настроение"),FILTER(Dictionaries!$C:$C,Dictionaries!$A:$A="Настроение"))),IF($P111="","",XLOOKUP($P111,FILTER(Dictionaries!$B:$B,Dictionaries!$A:$A="Энергия"),FILTER(Dictionaries!$C:$C,Dictionaries!$A:$A="Энергия"))),IF($U111="","",AVERAGE(IF(OR($B111="Ноги",$B111="Верх"),IFS(AND($U111&gt;=1900,$U111&lt;=2050),1,AND($U111&gt;=1850,$U111&lt;1900),0.7,AND($U111&gt;2050,$U111&lt;=2100),0.7,TRUE,0.2),IFS(AND($U111&gt;=1700,$U111&lt;=1850),1,AND($U111&gt;=1650,$U111&lt;1700),0.7,AND($U111&gt;1850,$U111&lt;=1900),0.7,TRUE,0.2)),IF(OR($B111="Ноги",$B111="Верх"),IFS(AND($V111&gt;=125,$V111&lt;=135),1,AND($V111&gt;=115,$V111&lt;125),0.7,AND($V111&gt;135,$V111&lt;=145),0.7,AND($V111&gt;=105,$V111&lt;115),0.4,AND($V111&gt;145,$V111&lt;=155),0.4,TRUE,0.2),IFS(AND($V111&gt;=120,$V111&lt;=130),1,AND($V111&gt;=110,$V111&lt;120),0.7,AND($V111&gt;130,$V111&lt;=140),0.7,AND($V111&gt;=100,$V111&lt;110),0.4,AND($V111&gt;140,$V111&lt;=150),0.4,TRUE,0.2)),IFS(AND($W111&gt;=55,$W111&lt;=65),1,AND($W111&gt;=50,$W111&lt;55),0.7,AND($W111&gt;65,$W111&lt;=70),0.7,AND($W111&gt;=45,$W111&lt;50),0.4,AND($W111&gt;70,$W111&lt;=75),0.4,TRUE,0.2),IF(OR($B111="Ноги",$B111="Верх"),IFS(AND($X111&gt;=180,$X111&lt;=210),1,AND($X111&gt;=160,$X111&lt;180),0.7,AND($X111&gt;210,$X111&lt;=230),0.7,AND($X111&gt;=140,$X111&lt;160),0.4,AND($X111&gt;230,$X111&lt;=250),0.4,TRUE,0.2),IFS(AND($X111&gt;=140,$X111&lt;=170),1,AND($X111&gt;=120,$X111&lt;140),0.7,AND($X111&gt;170,$X111&lt;=190),0.7,AND($X111&gt;=100,$X111&lt;120),0.4,AND($X111&gt;190,$X111&lt;=210),0.4,TRUE,0.2))))),1),""))</f>
        <v/>
      </c>
      <c r="Z111">
        <f>IF($A111="","",TEXTJOIN(", ",TRUE,IF($B111="","Тренировка",""),IF($C111="","Кардио",""),IF($D111="","Шаги",""),IF($E111="","Английский",""),IF($F111="","Код-режим",""),IF($G111="","Код-тема",""),IF($H111="","Чтение",""),IF($L111="","Сон",""),IF($M111="","Режим",""),IF($N111="","Продуктивность",""),IF($O111="","Настроение",""),IF($P111="","Энергия",""),IF($U111="","Еда","")))</f>
        <v/>
      </c>
    </row>
    <row r="112">
      <c r="A112" t="inlineStr"/>
      <c r="U112">
        <f>IF($A112="","",IF(SUMIF(FoodLog!$A:$A,$A112,FoodLog!$I:$I)=0,"",SUMIF(FoodLog!$A:$A,$A112,FoodLog!$I:$I)))</f>
        <v/>
      </c>
      <c r="V112">
        <f>IF($A112="","",IF(SUMIF(FoodLog!$A:$A,$A112,FoodLog!$F:$F)=0,"",SUMIF(FoodLog!$A:$A,$A112,FoodLog!$F:$F)))</f>
        <v/>
      </c>
      <c r="W112">
        <f>IF($A112="","",IF(SUMIF(FoodLog!$A:$A,$A112,FoodLog!$G:$G)=0,"",SUMIF(FoodLog!$A:$A,$A112,FoodLog!$G:$G)))</f>
        <v/>
      </c>
      <c r="X112">
        <f>IF($A112="","",IF(SUMIF(FoodLog!$A:$A,$A112,FoodLog!$H:$H)=0,"",SUMIF(FoodLog!$A:$A,$A112,FoodLog!$H:$H)))</f>
        <v/>
      </c>
      <c r="Y112">
        <f>IF($A112="","",IFERROR(ROUND(100*AVERAGE(IF($B112="","",XLOOKUP($B112,FILTER(Dictionaries!$B:$B,Dictionaries!$A:$A="Тренировка"),FILTER(Dictionaries!$C:$C,Dictionaries!$A:$A="Тренировка"))),IF($C112="","",MIN($C112/40,1)),IF($D112="","",XLOOKUP($D112,FILTER(Dictionaries!$B:$B,Dictionaries!$A:$A="Шаги"),FILTER(Dictionaries!$C:$C,Dictionaries!$A:$A="Шаги"))),IF($E112="","",MIN($E112/120,1)),IF(OR($F112&lt;&gt;"",$G112&lt;&gt;""),1,""),IF($H112="","",MIN($H112/100,1)),IF($L112="","",XLOOKUP($L112,FILTER(Dictionaries!$B:$B,Dictionaries!$A:$A="Сон_часы"),FILTER(Dictionaries!$C:$C,Dictionaries!$A:$A="Сон_часы"))),IF($M112="","",XLOOKUP($M112,FILTER(Dictionaries!$B:$B,Dictionaries!$A:$A="Режим"),FILTER(Dictionaries!$C:$C,Dictionaries!$A:$A="Режим"))),IF($N112="","",MIN($N112/100,1)),IF($O112="","",XLOOKUP($O112,FILTER(Dictionaries!$B:$B,Dictionaries!$A:$A="Настроение"),FILTER(Dictionaries!$C:$C,Dictionaries!$A:$A="Настроение"))),IF($P112="","",XLOOKUP($P112,FILTER(Dictionaries!$B:$B,Dictionaries!$A:$A="Энергия"),FILTER(Dictionaries!$C:$C,Dictionaries!$A:$A="Энергия"))),IF($U112="","",AVERAGE(IF(OR($B112="Ноги",$B112="Верх"),IFS(AND($U112&gt;=1900,$U112&lt;=2050),1,AND($U112&gt;=1850,$U112&lt;1900),0.7,AND($U112&gt;2050,$U112&lt;=2100),0.7,TRUE,0.2),IFS(AND($U112&gt;=1700,$U112&lt;=1850),1,AND($U112&gt;=1650,$U112&lt;1700),0.7,AND($U112&gt;1850,$U112&lt;=1900),0.7,TRUE,0.2)),IF(OR($B112="Ноги",$B112="Верх"),IFS(AND($V112&gt;=125,$V112&lt;=135),1,AND($V112&gt;=115,$V112&lt;125),0.7,AND($V112&gt;135,$V112&lt;=145),0.7,AND($V112&gt;=105,$V112&lt;115),0.4,AND($V112&gt;145,$V112&lt;=155),0.4,TRUE,0.2),IFS(AND($V112&gt;=120,$V112&lt;=130),1,AND($V112&gt;=110,$V112&lt;120),0.7,AND($V112&gt;130,$V112&lt;=140),0.7,AND($V112&gt;=100,$V112&lt;110),0.4,AND($V112&gt;140,$V112&lt;=150),0.4,TRUE,0.2)),IFS(AND($W112&gt;=55,$W112&lt;=65),1,AND($W112&gt;=50,$W112&lt;55),0.7,AND($W112&gt;65,$W112&lt;=70),0.7,AND($W112&gt;=45,$W112&lt;50),0.4,AND($W112&gt;70,$W112&lt;=75),0.4,TRUE,0.2),IF(OR($B112="Ноги",$B112="Верх"),IFS(AND($X112&gt;=180,$X112&lt;=210),1,AND($X112&gt;=160,$X112&lt;180),0.7,AND($X112&gt;210,$X112&lt;=230),0.7,AND($X112&gt;=140,$X112&lt;160),0.4,AND($X112&gt;230,$X112&lt;=250),0.4,TRUE,0.2),IFS(AND($X112&gt;=140,$X112&lt;=170),1,AND($X112&gt;=120,$X112&lt;140),0.7,AND($X112&gt;170,$X112&lt;=190),0.7,AND($X112&gt;=100,$X112&lt;120),0.4,AND($X112&gt;190,$X112&lt;=210),0.4,TRUE,0.2))))),1),""))</f>
        <v/>
      </c>
      <c r="Z112">
        <f>IF($A112="","",TEXTJOIN(", ",TRUE,IF($B112="","Тренировка",""),IF($C112="","Кардио",""),IF($D112="","Шаги",""),IF($E112="","Английский",""),IF($F112="","Код-режим",""),IF($G112="","Код-тема",""),IF($H112="","Чтение",""),IF($L112="","Сон",""),IF($M112="","Режим",""),IF($N112="","Продуктивность",""),IF($O112="","Настроение",""),IF($P112="","Энергия",""),IF($U112="","Еда","")))</f>
        <v/>
      </c>
    </row>
    <row r="113">
      <c r="A113" t="inlineStr"/>
      <c r="U113">
        <f>IF($A113="","",IF(SUMIF(FoodLog!$A:$A,$A113,FoodLog!$I:$I)=0,"",SUMIF(FoodLog!$A:$A,$A113,FoodLog!$I:$I)))</f>
        <v/>
      </c>
      <c r="V113">
        <f>IF($A113="","",IF(SUMIF(FoodLog!$A:$A,$A113,FoodLog!$F:$F)=0,"",SUMIF(FoodLog!$A:$A,$A113,FoodLog!$F:$F)))</f>
        <v/>
      </c>
      <c r="W113">
        <f>IF($A113="","",IF(SUMIF(FoodLog!$A:$A,$A113,FoodLog!$G:$G)=0,"",SUMIF(FoodLog!$A:$A,$A113,FoodLog!$G:$G)))</f>
        <v/>
      </c>
      <c r="X113">
        <f>IF($A113="","",IF(SUMIF(FoodLog!$A:$A,$A113,FoodLog!$H:$H)=0,"",SUMIF(FoodLog!$A:$A,$A113,FoodLog!$H:$H)))</f>
        <v/>
      </c>
      <c r="Y113">
        <f>IF($A113="","",IFERROR(ROUND(100*AVERAGE(IF($B113="","",XLOOKUP($B113,FILTER(Dictionaries!$B:$B,Dictionaries!$A:$A="Тренировка"),FILTER(Dictionaries!$C:$C,Dictionaries!$A:$A="Тренировка"))),IF($C113="","",MIN($C113/40,1)),IF($D113="","",XLOOKUP($D113,FILTER(Dictionaries!$B:$B,Dictionaries!$A:$A="Шаги"),FILTER(Dictionaries!$C:$C,Dictionaries!$A:$A="Шаги"))),IF($E113="","",MIN($E113/120,1)),IF(OR($F113&lt;&gt;"",$G113&lt;&gt;""),1,""),IF($H113="","",MIN($H113/100,1)),IF($L113="","",XLOOKUP($L113,FILTER(Dictionaries!$B:$B,Dictionaries!$A:$A="Сон_часы"),FILTER(Dictionaries!$C:$C,Dictionaries!$A:$A="Сон_часы"))),IF($M113="","",XLOOKUP($M113,FILTER(Dictionaries!$B:$B,Dictionaries!$A:$A="Режим"),FILTER(Dictionaries!$C:$C,Dictionaries!$A:$A="Режим"))),IF($N113="","",MIN($N113/100,1)),IF($O113="","",XLOOKUP($O113,FILTER(Dictionaries!$B:$B,Dictionaries!$A:$A="Настроение"),FILTER(Dictionaries!$C:$C,Dictionaries!$A:$A="Настроение"))),IF($P113="","",XLOOKUP($P113,FILTER(Dictionaries!$B:$B,Dictionaries!$A:$A="Энергия"),FILTER(Dictionaries!$C:$C,Dictionaries!$A:$A="Энергия"))),IF($U113="","",AVERAGE(IF(OR($B113="Ноги",$B113="Верх"),IFS(AND($U113&gt;=1900,$U113&lt;=2050),1,AND($U113&gt;=1850,$U113&lt;1900),0.7,AND($U113&gt;2050,$U113&lt;=2100),0.7,TRUE,0.2),IFS(AND($U113&gt;=1700,$U113&lt;=1850),1,AND($U113&gt;=1650,$U113&lt;1700),0.7,AND($U113&gt;1850,$U113&lt;=1900),0.7,TRUE,0.2)),IF(OR($B113="Ноги",$B113="Верх"),IFS(AND($V113&gt;=125,$V113&lt;=135),1,AND($V113&gt;=115,$V113&lt;125),0.7,AND($V113&gt;135,$V113&lt;=145),0.7,AND($V113&gt;=105,$V113&lt;115),0.4,AND($V113&gt;145,$V113&lt;=155),0.4,TRUE,0.2),IFS(AND($V113&gt;=120,$V113&lt;=130),1,AND($V113&gt;=110,$V113&lt;120),0.7,AND($V113&gt;130,$V113&lt;=140),0.7,AND($V113&gt;=100,$V113&lt;110),0.4,AND($V113&gt;140,$V113&lt;=150),0.4,TRUE,0.2)),IFS(AND($W113&gt;=55,$W113&lt;=65),1,AND($W113&gt;=50,$W113&lt;55),0.7,AND($W113&gt;65,$W113&lt;=70),0.7,AND($W113&gt;=45,$W113&lt;50),0.4,AND($W113&gt;70,$W113&lt;=75),0.4,TRUE,0.2),IF(OR($B113="Ноги",$B113="Верх"),IFS(AND($X113&gt;=180,$X113&lt;=210),1,AND($X113&gt;=160,$X113&lt;180),0.7,AND($X113&gt;210,$X113&lt;=230),0.7,AND($X113&gt;=140,$X113&lt;160),0.4,AND($X113&gt;230,$X113&lt;=250),0.4,TRUE,0.2),IFS(AND($X113&gt;=140,$X113&lt;=170),1,AND($X113&gt;=120,$X113&lt;140),0.7,AND($X113&gt;170,$X113&lt;=190),0.7,AND($X113&gt;=100,$X113&lt;120),0.4,AND($X113&gt;190,$X113&lt;=210),0.4,TRUE,0.2))))),1),""))</f>
        <v/>
      </c>
      <c r="Z113">
        <f>IF($A113="","",TEXTJOIN(", ",TRUE,IF($B113="","Тренировка",""),IF($C113="","Кардио",""),IF($D113="","Шаги",""),IF($E113="","Английский",""),IF($F113="","Код-режим",""),IF($G113="","Код-тема",""),IF($H113="","Чтение",""),IF($L113="","Сон",""),IF($M113="","Режим",""),IF($N113="","Продуктивность",""),IF($O113="","Настроение",""),IF($P113="","Энергия",""),IF($U113="","Еда","")))</f>
        <v/>
      </c>
    </row>
    <row r="114">
      <c r="A114" t="inlineStr"/>
      <c r="U114">
        <f>IF($A114="","",IF(SUMIF(FoodLog!$A:$A,$A114,FoodLog!$I:$I)=0,"",SUMIF(FoodLog!$A:$A,$A114,FoodLog!$I:$I)))</f>
        <v/>
      </c>
      <c r="V114">
        <f>IF($A114="","",IF(SUMIF(FoodLog!$A:$A,$A114,FoodLog!$F:$F)=0,"",SUMIF(FoodLog!$A:$A,$A114,FoodLog!$F:$F)))</f>
        <v/>
      </c>
      <c r="W114">
        <f>IF($A114="","",IF(SUMIF(FoodLog!$A:$A,$A114,FoodLog!$G:$G)=0,"",SUMIF(FoodLog!$A:$A,$A114,FoodLog!$G:$G)))</f>
        <v/>
      </c>
      <c r="X114">
        <f>IF($A114="","",IF(SUMIF(FoodLog!$A:$A,$A114,FoodLog!$H:$H)=0,"",SUMIF(FoodLog!$A:$A,$A114,FoodLog!$H:$H)))</f>
        <v/>
      </c>
      <c r="Y114">
        <f>IF($A114="","",IFERROR(ROUND(100*AVERAGE(IF($B114="","",XLOOKUP($B114,FILTER(Dictionaries!$B:$B,Dictionaries!$A:$A="Тренировка"),FILTER(Dictionaries!$C:$C,Dictionaries!$A:$A="Тренировка"))),IF($C114="","",MIN($C114/40,1)),IF($D114="","",XLOOKUP($D114,FILTER(Dictionaries!$B:$B,Dictionaries!$A:$A="Шаги"),FILTER(Dictionaries!$C:$C,Dictionaries!$A:$A="Шаги"))),IF($E114="","",MIN($E114/120,1)),IF(OR($F114&lt;&gt;"",$G114&lt;&gt;""),1,""),IF($H114="","",MIN($H114/100,1)),IF($L114="","",XLOOKUP($L114,FILTER(Dictionaries!$B:$B,Dictionaries!$A:$A="Сон_часы"),FILTER(Dictionaries!$C:$C,Dictionaries!$A:$A="Сон_часы"))),IF($M114="","",XLOOKUP($M114,FILTER(Dictionaries!$B:$B,Dictionaries!$A:$A="Режим"),FILTER(Dictionaries!$C:$C,Dictionaries!$A:$A="Режим"))),IF($N114="","",MIN($N114/100,1)),IF($O114="","",XLOOKUP($O114,FILTER(Dictionaries!$B:$B,Dictionaries!$A:$A="Настроение"),FILTER(Dictionaries!$C:$C,Dictionaries!$A:$A="Настроение"))),IF($P114="","",XLOOKUP($P114,FILTER(Dictionaries!$B:$B,Dictionaries!$A:$A="Энергия"),FILTER(Dictionaries!$C:$C,Dictionaries!$A:$A="Энергия"))),IF($U114="","",AVERAGE(IF(OR($B114="Ноги",$B114="Верх"),IFS(AND($U114&gt;=1900,$U114&lt;=2050),1,AND($U114&gt;=1850,$U114&lt;1900),0.7,AND($U114&gt;2050,$U114&lt;=2100),0.7,TRUE,0.2),IFS(AND($U114&gt;=1700,$U114&lt;=1850),1,AND($U114&gt;=1650,$U114&lt;1700),0.7,AND($U114&gt;1850,$U114&lt;=1900),0.7,TRUE,0.2)),IF(OR($B114="Ноги",$B114="Верх"),IFS(AND($V114&gt;=125,$V114&lt;=135),1,AND($V114&gt;=115,$V114&lt;125),0.7,AND($V114&gt;135,$V114&lt;=145),0.7,AND($V114&gt;=105,$V114&lt;115),0.4,AND($V114&gt;145,$V114&lt;=155),0.4,TRUE,0.2),IFS(AND($V114&gt;=120,$V114&lt;=130),1,AND($V114&gt;=110,$V114&lt;120),0.7,AND($V114&gt;130,$V114&lt;=140),0.7,AND($V114&gt;=100,$V114&lt;110),0.4,AND($V114&gt;140,$V114&lt;=150),0.4,TRUE,0.2)),IFS(AND($W114&gt;=55,$W114&lt;=65),1,AND($W114&gt;=50,$W114&lt;55),0.7,AND($W114&gt;65,$W114&lt;=70),0.7,AND($W114&gt;=45,$W114&lt;50),0.4,AND($W114&gt;70,$W114&lt;=75),0.4,TRUE,0.2),IF(OR($B114="Ноги",$B114="Верх"),IFS(AND($X114&gt;=180,$X114&lt;=210),1,AND($X114&gt;=160,$X114&lt;180),0.7,AND($X114&gt;210,$X114&lt;=230),0.7,AND($X114&gt;=140,$X114&lt;160),0.4,AND($X114&gt;230,$X114&lt;=250),0.4,TRUE,0.2),IFS(AND($X114&gt;=140,$X114&lt;=170),1,AND($X114&gt;=120,$X114&lt;140),0.7,AND($X114&gt;170,$X114&lt;=190),0.7,AND($X114&gt;=100,$X114&lt;120),0.4,AND($X114&gt;190,$X114&lt;=210),0.4,TRUE,0.2))))),1),""))</f>
        <v/>
      </c>
      <c r="Z114">
        <f>IF($A114="","",TEXTJOIN(", ",TRUE,IF($B114="","Тренировка",""),IF($C114="","Кардио",""),IF($D114="","Шаги",""),IF($E114="","Английский",""),IF($F114="","Код-режим",""),IF($G114="","Код-тема",""),IF($H114="","Чтение",""),IF($L114="","Сон",""),IF($M114="","Режим",""),IF($N114="","Продуктивность",""),IF($O114="","Настроение",""),IF($P114="","Энергия",""),IF($U114="","Еда","")))</f>
        <v/>
      </c>
    </row>
    <row r="115">
      <c r="A115" t="inlineStr"/>
      <c r="U115">
        <f>IF($A115="","",IF(SUMIF(FoodLog!$A:$A,$A115,FoodLog!$I:$I)=0,"",SUMIF(FoodLog!$A:$A,$A115,FoodLog!$I:$I)))</f>
        <v/>
      </c>
      <c r="V115">
        <f>IF($A115="","",IF(SUMIF(FoodLog!$A:$A,$A115,FoodLog!$F:$F)=0,"",SUMIF(FoodLog!$A:$A,$A115,FoodLog!$F:$F)))</f>
        <v/>
      </c>
      <c r="W115">
        <f>IF($A115="","",IF(SUMIF(FoodLog!$A:$A,$A115,FoodLog!$G:$G)=0,"",SUMIF(FoodLog!$A:$A,$A115,FoodLog!$G:$G)))</f>
        <v/>
      </c>
      <c r="X115">
        <f>IF($A115="","",IF(SUMIF(FoodLog!$A:$A,$A115,FoodLog!$H:$H)=0,"",SUMIF(FoodLog!$A:$A,$A115,FoodLog!$H:$H)))</f>
        <v/>
      </c>
      <c r="Y115">
        <f>IF($A115="","",IFERROR(ROUND(100*AVERAGE(IF($B115="","",XLOOKUP($B115,FILTER(Dictionaries!$B:$B,Dictionaries!$A:$A="Тренировка"),FILTER(Dictionaries!$C:$C,Dictionaries!$A:$A="Тренировка"))),IF($C115="","",MIN($C115/40,1)),IF($D115="","",XLOOKUP($D115,FILTER(Dictionaries!$B:$B,Dictionaries!$A:$A="Шаги"),FILTER(Dictionaries!$C:$C,Dictionaries!$A:$A="Шаги"))),IF($E115="","",MIN($E115/120,1)),IF(OR($F115&lt;&gt;"",$G115&lt;&gt;""),1,""),IF($H115="","",MIN($H115/100,1)),IF($L115="","",XLOOKUP($L115,FILTER(Dictionaries!$B:$B,Dictionaries!$A:$A="Сон_часы"),FILTER(Dictionaries!$C:$C,Dictionaries!$A:$A="Сон_часы"))),IF($M115="","",XLOOKUP($M115,FILTER(Dictionaries!$B:$B,Dictionaries!$A:$A="Режим"),FILTER(Dictionaries!$C:$C,Dictionaries!$A:$A="Режим"))),IF($N115="","",MIN($N115/100,1)),IF($O115="","",XLOOKUP($O115,FILTER(Dictionaries!$B:$B,Dictionaries!$A:$A="Настроение"),FILTER(Dictionaries!$C:$C,Dictionaries!$A:$A="Настроение"))),IF($P115="","",XLOOKUP($P115,FILTER(Dictionaries!$B:$B,Dictionaries!$A:$A="Энергия"),FILTER(Dictionaries!$C:$C,Dictionaries!$A:$A="Энергия"))),IF($U115="","",AVERAGE(IF(OR($B115="Ноги",$B115="Верх"),IFS(AND($U115&gt;=1900,$U115&lt;=2050),1,AND($U115&gt;=1850,$U115&lt;1900),0.7,AND($U115&gt;2050,$U115&lt;=2100),0.7,TRUE,0.2),IFS(AND($U115&gt;=1700,$U115&lt;=1850),1,AND($U115&gt;=1650,$U115&lt;1700),0.7,AND($U115&gt;1850,$U115&lt;=1900),0.7,TRUE,0.2)),IF(OR($B115="Ноги",$B115="Верх"),IFS(AND($V115&gt;=125,$V115&lt;=135),1,AND($V115&gt;=115,$V115&lt;125),0.7,AND($V115&gt;135,$V115&lt;=145),0.7,AND($V115&gt;=105,$V115&lt;115),0.4,AND($V115&gt;145,$V115&lt;=155),0.4,TRUE,0.2),IFS(AND($V115&gt;=120,$V115&lt;=130),1,AND($V115&gt;=110,$V115&lt;120),0.7,AND($V115&gt;130,$V115&lt;=140),0.7,AND($V115&gt;=100,$V115&lt;110),0.4,AND($V115&gt;140,$V115&lt;=150),0.4,TRUE,0.2)),IFS(AND($W115&gt;=55,$W115&lt;=65),1,AND($W115&gt;=50,$W115&lt;55),0.7,AND($W115&gt;65,$W115&lt;=70),0.7,AND($W115&gt;=45,$W115&lt;50),0.4,AND($W115&gt;70,$W115&lt;=75),0.4,TRUE,0.2),IF(OR($B115="Ноги",$B115="Верх"),IFS(AND($X115&gt;=180,$X115&lt;=210),1,AND($X115&gt;=160,$X115&lt;180),0.7,AND($X115&gt;210,$X115&lt;=230),0.7,AND($X115&gt;=140,$X115&lt;160),0.4,AND($X115&gt;230,$X115&lt;=250),0.4,TRUE,0.2),IFS(AND($X115&gt;=140,$X115&lt;=170),1,AND($X115&gt;=120,$X115&lt;140),0.7,AND($X115&gt;170,$X115&lt;=190),0.7,AND($X115&gt;=100,$X115&lt;120),0.4,AND($X115&gt;190,$X115&lt;=210),0.4,TRUE,0.2))))),1),""))</f>
        <v/>
      </c>
      <c r="Z115">
        <f>IF($A115="","",TEXTJOIN(", ",TRUE,IF($B115="","Тренировка",""),IF($C115="","Кардио",""),IF($D115="","Шаги",""),IF($E115="","Английский",""),IF($F115="","Код-режим",""),IF($G115="","Код-тема",""),IF($H115="","Чтение",""),IF($L115="","Сон",""),IF($M115="","Режим",""),IF($N115="","Продуктивность",""),IF($O115="","Настроение",""),IF($P115="","Энергия",""),IF($U115="","Еда","")))</f>
        <v/>
      </c>
    </row>
    <row r="116">
      <c r="A116" t="inlineStr"/>
      <c r="U116">
        <f>IF($A116="","",IF(SUMIF(FoodLog!$A:$A,$A116,FoodLog!$I:$I)=0,"",SUMIF(FoodLog!$A:$A,$A116,FoodLog!$I:$I)))</f>
        <v/>
      </c>
      <c r="V116">
        <f>IF($A116="","",IF(SUMIF(FoodLog!$A:$A,$A116,FoodLog!$F:$F)=0,"",SUMIF(FoodLog!$A:$A,$A116,FoodLog!$F:$F)))</f>
        <v/>
      </c>
      <c r="W116">
        <f>IF($A116="","",IF(SUMIF(FoodLog!$A:$A,$A116,FoodLog!$G:$G)=0,"",SUMIF(FoodLog!$A:$A,$A116,FoodLog!$G:$G)))</f>
        <v/>
      </c>
      <c r="X116">
        <f>IF($A116="","",IF(SUMIF(FoodLog!$A:$A,$A116,FoodLog!$H:$H)=0,"",SUMIF(FoodLog!$A:$A,$A116,FoodLog!$H:$H)))</f>
        <v/>
      </c>
      <c r="Y116">
        <f>IF($A116="","",IFERROR(ROUND(100*AVERAGE(IF($B116="","",XLOOKUP($B116,FILTER(Dictionaries!$B:$B,Dictionaries!$A:$A="Тренировка"),FILTER(Dictionaries!$C:$C,Dictionaries!$A:$A="Тренировка"))),IF($C116="","",MIN($C116/40,1)),IF($D116="","",XLOOKUP($D116,FILTER(Dictionaries!$B:$B,Dictionaries!$A:$A="Шаги"),FILTER(Dictionaries!$C:$C,Dictionaries!$A:$A="Шаги"))),IF($E116="","",MIN($E116/120,1)),IF(OR($F116&lt;&gt;"",$G116&lt;&gt;""),1,""),IF($H116="","",MIN($H116/100,1)),IF($L116="","",XLOOKUP($L116,FILTER(Dictionaries!$B:$B,Dictionaries!$A:$A="Сон_часы"),FILTER(Dictionaries!$C:$C,Dictionaries!$A:$A="Сон_часы"))),IF($M116="","",XLOOKUP($M116,FILTER(Dictionaries!$B:$B,Dictionaries!$A:$A="Режим"),FILTER(Dictionaries!$C:$C,Dictionaries!$A:$A="Режим"))),IF($N116="","",MIN($N116/100,1)),IF($O116="","",XLOOKUP($O116,FILTER(Dictionaries!$B:$B,Dictionaries!$A:$A="Настроение"),FILTER(Dictionaries!$C:$C,Dictionaries!$A:$A="Настроение"))),IF($P116="","",XLOOKUP($P116,FILTER(Dictionaries!$B:$B,Dictionaries!$A:$A="Энергия"),FILTER(Dictionaries!$C:$C,Dictionaries!$A:$A="Энергия"))),IF($U116="","",AVERAGE(IF(OR($B116="Ноги",$B116="Верх"),IFS(AND($U116&gt;=1900,$U116&lt;=2050),1,AND($U116&gt;=1850,$U116&lt;1900),0.7,AND($U116&gt;2050,$U116&lt;=2100),0.7,TRUE,0.2),IFS(AND($U116&gt;=1700,$U116&lt;=1850),1,AND($U116&gt;=1650,$U116&lt;1700),0.7,AND($U116&gt;1850,$U116&lt;=1900),0.7,TRUE,0.2)),IF(OR($B116="Ноги",$B116="Верх"),IFS(AND($V116&gt;=125,$V116&lt;=135),1,AND($V116&gt;=115,$V116&lt;125),0.7,AND($V116&gt;135,$V116&lt;=145),0.7,AND($V116&gt;=105,$V116&lt;115),0.4,AND($V116&gt;145,$V116&lt;=155),0.4,TRUE,0.2),IFS(AND($V116&gt;=120,$V116&lt;=130),1,AND($V116&gt;=110,$V116&lt;120),0.7,AND($V116&gt;130,$V116&lt;=140),0.7,AND($V116&gt;=100,$V116&lt;110),0.4,AND($V116&gt;140,$V116&lt;=150),0.4,TRUE,0.2)),IFS(AND($W116&gt;=55,$W116&lt;=65),1,AND($W116&gt;=50,$W116&lt;55),0.7,AND($W116&gt;65,$W116&lt;=70),0.7,AND($W116&gt;=45,$W116&lt;50),0.4,AND($W116&gt;70,$W116&lt;=75),0.4,TRUE,0.2),IF(OR($B116="Ноги",$B116="Верх"),IFS(AND($X116&gt;=180,$X116&lt;=210),1,AND($X116&gt;=160,$X116&lt;180),0.7,AND($X116&gt;210,$X116&lt;=230),0.7,AND($X116&gt;=140,$X116&lt;160),0.4,AND($X116&gt;230,$X116&lt;=250),0.4,TRUE,0.2),IFS(AND($X116&gt;=140,$X116&lt;=170),1,AND($X116&gt;=120,$X116&lt;140),0.7,AND($X116&gt;170,$X116&lt;=190),0.7,AND($X116&gt;=100,$X116&lt;120),0.4,AND($X116&gt;190,$X116&lt;=210),0.4,TRUE,0.2))))),1),""))</f>
        <v/>
      </c>
      <c r="Z116">
        <f>IF($A116="","",TEXTJOIN(", ",TRUE,IF($B116="","Тренировка",""),IF($C116="","Кардио",""),IF($D116="","Шаги",""),IF($E116="","Английский",""),IF($F116="","Код-режим",""),IF($G116="","Код-тема",""),IF($H116="","Чтение",""),IF($L116="","Сон",""),IF($M116="","Режим",""),IF($N116="","Продуктивность",""),IF($O116="","Настроение",""),IF($P116="","Энергия",""),IF($U116="","Еда","")))</f>
        <v/>
      </c>
    </row>
    <row r="117">
      <c r="A117" t="inlineStr"/>
      <c r="U117">
        <f>IF($A117="","",IF(SUMIF(FoodLog!$A:$A,$A117,FoodLog!$I:$I)=0,"",SUMIF(FoodLog!$A:$A,$A117,FoodLog!$I:$I)))</f>
        <v/>
      </c>
      <c r="V117">
        <f>IF($A117="","",IF(SUMIF(FoodLog!$A:$A,$A117,FoodLog!$F:$F)=0,"",SUMIF(FoodLog!$A:$A,$A117,FoodLog!$F:$F)))</f>
        <v/>
      </c>
      <c r="W117">
        <f>IF($A117="","",IF(SUMIF(FoodLog!$A:$A,$A117,FoodLog!$G:$G)=0,"",SUMIF(FoodLog!$A:$A,$A117,FoodLog!$G:$G)))</f>
        <v/>
      </c>
      <c r="X117">
        <f>IF($A117="","",IF(SUMIF(FoodLog!$A:$A,$A117,FoodLog!$H:$H)=0,"",SUMIF(FoodLog!$A:$A,$A117,FoodLog!$H:$H)))</f>
        <v/>
      </c>
      <c r="Y117">
        <f>IF($A117="","",IFERROR(ROUND(100*AVERAGE(IF($B117="","",XLOOKUP($B117,FILTER(Dictionaries!$B:$B,Dictionaries!$A:$A="Тренировка"),FILTER(Dictionaries!$C:$C,Dictionaries!$A:$A="Тренировка"))),IF($C117="","",MIN($C117/40,1)),IF($D117="","",XLOOKUP($D117,FILTER(Dictionaries!$B:$B,Dictionaries!$A:$A="Шаги"),FILTER(Dictionaries!$C:$C,Dictionaries!$A:$A="Шаги"))),IF($E117="","",MIN($E117/120,1)),IF(OR($F117&lt;&gt;"",$G117&lt;&gt;""),1,""),IF($H117="","",MIN($H117/100,1)),IF($L117="","",XLOOKUP($L117,FILTER(Dictionaries!$B:$B,Dictionaries!$A:$A="Сон_часы"),FILTER(Dictionaries!$C:$C,Dictionaries!$A:$A="Сон_часы"))),IF($M117="","",XLOOKUP($M117,FILTER(Dictionaries!$B:$B,Dictionaries!$A:$A="Режим"),FILTER(Dictionaries!$C:$C,Dictionaries!$A:$A="Режим"))),IF($N117="","",MIN($N117/100,1)),IF($O117="","",XLOOKUP($O117,FILTER(Dictionaries!$B:$B,Dictionaries!$A:$A="Настроение"),FILTER(Dictionaries!$C:$C,Dictionaries!$A:$A="Настроение"))),IF($P117="","",XLOOKUP($P117,FILTER(Dictionaries!$B:$B,Dictionaries!$A:$A="Энергия"),FILTER(Dictionaries!$C:$C,Dictionaries!$A:$A="Энергия"))),IF($U117="","",AVERAGE(IF(OR($B117="Ноги",$B117="Верх"),IFS(AND($U117&gt;=1900,$U117&lt;=2050),1,AND($U117&gt;=1850,$U117&lt;1900),0.7,AND($U117&gt;2050,$U117&lt;=2100),0.7,TRUE,0.2),IFS(AND($U117&gt;=1700,$U117&lt;=1850),1,AND($U117&gt;=1650,$U117&lt;1700),0.7,AND($U117&gt;1850,$U117&lt;=1900),0.7,TRUE,0.2)),IF(OR($B117="Ноги",$B117="Верх"),IFS(AND($V117&gt;=125,$V117&lt;=135),1,AND($V117&gt;=115,$V117&lt;125),0.7,AND($V117&gt;135,$V117&lt;=145),0.7,AND($V117&gt;=105,$V117&lt;115),0.4,AND($V117&gt;145,$V117&lt;=155),0.4,TRUE,0.2),IFS(AND($V117&gt;=120,$V117&lt;=130),1,AND($V117&gt;=110,$V117&lt;120),0.7,AND($V117&gt;130,$V117&lt;=140),0.7,AND($V117&gt;=100,$V117&lt;110),0.4,AND($V117&gt;140,$V117&lt;=150),0.4,TRUE,0.2)),IFS(AND($W117&gt;=55,$W117&lt;=65),1,AND($W117&gt;=50,$W117&lt;55),0.7,AND($W117&gt;65,$W117&lt;=70),0.7,AND($W117&gt;=45,$W117&lt;50),0.4,AND($W117&gt;70,$W117&lt;=75),0.4,TRUE,0.2),IF(OR($B117="Ноги",$B117="Верх"),IFS(AND($X117&gt;=180,$X117&lt;=210),1,AND($X117&gt;=160,$X117&lt;180),0.7,AND($X117&gt;210,$X117&lt;=230),0.7,AND($X117&gt;=140,$X117&lt;160),0.4,AND($X117&gt;230,$X117&lt;=250),0.4,TRUE,0.2),IFS(AND($X117&gt;=140,$X117&lt;=170),1,AND($X117&gt;=120,$X117&lt;140),0.7,AND($X117&gt;170,$X117&lt;=190),0.7,AND($X117&gt;=100,$X117&lt;120),0.4,AND($X117&gt;190,$X117&lt;=210),0.4,TRUE,0.2))))),1),""))</f>
        <v/>
      </c>
      <c r="Z117">
        <f>IF($A117="","",TEXTJOIN(", ",TRUE,IF($B117="","Тренировка",""),IF($C117="","Кардио",""),IF($D117="","Шаги",""),IF($E117="","Английский",""),IF($F117="","Код-режим",""),IF($G117="","Код-тема",""),IF($H117="","Чтение",""),IF($L117="","Сон",""),IF($M117="","Режим",""),IF($N117="","Продуктивность",""),IF($O117="","Настроение",""),IF($P117="","Энергия",""),IF($U117="","Еда","")))</f>
        <v/>
      </c>
    </row>
    <row r="118">
      <c r="A118" t="inlineStr"/>
      <c r="U118">
        <f>IF($A118="","",IF(SUMIF(FoodLog!$A:$A,$A118,FoodLog!$I:$I)=0,"",SUMIF(FoodLog!$A:$A,$A118,FoodLog!$I:$I)))</f>
        <v/>
      </c>
      <c r="V118">
        <f>IF($A118="","",IF(SUMIF(FoodLog!$A:$A,$A118,FoodLog!$F:$F)=0,"",SUMIF(FoodLog!$A:$A,$A118,FoodLog!$F:$F)))</f>
        <v/>
      </c>
      <c r="W118">
        <f>IF($A118="","",IF(SUMIF(FoodLog!$A:$A,$A118,FoodLog!$G:$G)=0,"",SUMIF(FoodLog!$A:$A,$A118,FoodLog!$G:$G)))</f>
        <v/>
      </c>
      <c r="X118">
        <f>IF($A118="","",IF(SUMIF(FoodLog!$A:$A,$A118,FoodLog!$H:$H)=0,"",SUMIF(FoodLog!$A:$A,$A118,FoodLog!$H:$H)))</f>
        <v/>
      </c>
      <c r="Y118">
        <f>IF($A118="","",IFERROR(ROUND(100*AVERAGE(IF($B118="","",XLOOKUP($B118,FILTER(Dictionaries!$B:$B,Dictionaries!$A:$A="Тренировка"),FILTER(Dictionaries!$C:$C,Dictionaries!$A:$A="Тренировка"))),IF($C118="","",MIN($C118/40,1)),IF($D118="","",XLOOKUP($D118,FILTER(Dictionaries!$B:$B,Dictionaries!$A:$A="Шаги"),FILTER(Dictionaries!$C:$C,Dictionaries!$A:$A="Шаги"))),IF($E118="","",MIN($E118/120,1)),IF(OR($F118&lt;&gt;"",$G118&lt;&gt;""),1,""),IF($H118="","",MIN($H118/100,1)),IF($L118="","",XLOOKUP($L118,FILTER(Dictionaries!$B:$B,Dictionaries!$A:$A="Сон_часы"),FILTER(Dictionaries!$C:$C,Dictionaries!$A:$A="Сон_часы"))),IF($M118="","",XLOOKUP($M118,FILTER(Dictionaries!$B:$B,Dictionaries!$A:$A="Режим"),FILTER(Dictionaries!$C:$C,Dictionaries!$A:$A="Режим"))),IF($N118="","",MIN($N118/100,1)),IF($O118="","",XLOOKUP($O118,FILTER(Dictionaries!$B:$B,Dictionaries!$A:$A="Настроение"),FILTER(Dictionaries!$C:$C,Dictionaries!$A:$A="Настроение"))),IF($P118="","",XLOOKUP($P118,FILTER(Dictionaries!$B:$B,Dictionaries!$A:$A="Энергия"),FILTER(Dictionaries!$C:$C,Dictionaries!$A:$A="Энергия"))),IF($U118="","",AVERAGE(IF(OR($B118="Ноги",$B118="Верх"),IFS(AND($U118&gt;=1900,$U118&lt;=2050),1,AND($U118&gt;=1850,$U118&lt;1900),0.7,AND($U118&gt;2050,$U118&lt;=2100),0.7,TRUE,0.2),IFS(AND($U118&gt;=1700,$U118&lt;=1850),1,AND($U118&gt;=1650,$U118&lt;1700),0.7,AND($U118&gt;1850,$U118&lt;=1900),0.7,TRUE,0.2)),IF(OR($B118="Ноги",$B118="Верх"),IFS(AND($V118&gt;=125,$V118&lt;=135),1,AND($V118&gt;=115,$V118&lt;125),0.7,AND($V118&gt;135,$V118&lt;=145),0.7,AND($V118&gt;=105,$V118&lt;115),0.4,AND($V118&gt;145,$V118&lt;=155),0.4,TRUE,0.2),IFS(AND($V118&gt;=120,$V118&lt;=130),1,AND($V118&gt;=110,$V118&lt;120),0.7,AND($V118&gt;130,$V118&lt;=140),0.7,AND($V118&gt;=100,$V118&lt;110),0.4,AND($V118&gt;140,$V118&lt;=150),0.4,TRUE,0.2)),IFS(AND($W118&gt;=55,$W118&lt;=65),1,AND($W118&gt;=50,$W118&lt;55),0.7,AND($W118&gt;65,$W118&lt;=70),0.7,AND($W118&gt;=45,$W118&lt;50),0.4,AND($W118&gt;70,$W118&lt;=75),0.4,TRUE,0.2),IF(OR($B118="Ноги",$B118="Верх"),IFS(AND($X118&gt;=180,$X118&lt;=210),1,AND($X118&gt;=160,$X118&lt;180),0.7,AND($X118&gt;210,$X118&lt;=230),0.7,AND($X118&gt;=140,$X118&lt;160),0.4,AND($X118&gt;230,$X118&lt;=250),0.4,TRUE,0.2),IFS(AND($X118&gt;=140,$X118&lt;=170),1,AND($X118&gt;=120,$X118&lt;140),0.7,AND($X118&gt;170,$X118&lt;=190),0.7,AND($X118&gt;=100,$X118&lt;120),0.4,AND($X118&gt;190,$X118&lt;=210),0.4,TRUE,0.2))))),1),""))</f>
        <v/>
      </c>
      <c r="Z118">
        <f>IF($A118="","",TEXTJOIN(", ",TRUE,IF($B118="","Тренировка",""),IF($C118="","Кардио",""),IF($D118="","Шаги",""),IF($E118="","Английский",""),IF($F118="","Код-режим",""),IF($G118="","Код-тема",""),IF($H118="","Чтение",""),IF($L118="","Сон",""),IF($M118="","Режим",""),IF($N118="","Продуктивность",""),IF($O118="","Настроение",""),IF($P118="","Энергия",""),IF($U118="","Еда","")))</f>
        <v/>
      </c>
    </row>
    <row r="119">
      <c r="A119" t="inlineStr"/>
      <c r="U119">
        <f>IF($A119="","",IF(SUMIF(FoodLog!$A:$A,$A119,FoodLog!$I:$I)=0,"",SUMIF(FoodLog!$A:$A,$A119,FoodLog!$I:$I)))</f>
        <v/>
      </c>
      <c r="V119">
        <f>IF($A119="","",IF(SUMIF(FoodLog!$A:$A,$A119,FoodLog!$F:$F)=0,"",SUMIF(FoodLog!$A:$A,$A119,FoodLog!$F:$F)))</f>
        <v/>
      </c>
      <c r="W119">
        <f>IF($A119="","",IF(SUMIF(FoodLog!$A:$A,$A119,FoodLog!$G:$G)=0,"",SUMIF(FoodLog!$A:$A,$A119,FoodLog!$G:$G)))</f>
        <v/>
      </c>
      <c r="X119">
        <f>IF($A119="","",IF(SUMIF(FoodLog!$A:$A,$A119,FoodLog!$H:$H)=0,"",SUMIF(FoodLog!$A:$A,$A119,FoodLog!$H:$H)))</f>
        <v/>
      </c>
      <c r="Y119">
        <f>IF($A119="","",IFERROR(ROUND(100*AVERAGE(IF($B119="","",XLOOKUP($B119,FILTER(Dictionaries!$B:$B,Dictionaries!$A:$A="Тренировка"),FILTER(Dictionaries!$C:$C,Dictionaries!$A:$A="Тренировка"))),IF($C119="","",MIN($C119/40,1)),IF($D119="","",XLOOKUP($D119,FILTER(Dictionaries!$B:$B,Dictionaries!$A:$A="Шаги"),FILTER(Dictionaries!$C:$C,Dictionaries!$A:$A="Шаги"))),IF($E119="","",MIN($E119/120,1)),IF(OR($F119&lt;&gt;"",$G119&lt;&gt;""),1,""),IF($H119="","",MIN($H119/100,1)),IF($L119="","",XLOOKUP($L119,FILTER(Dictionaries!$B:$B,Dictionaries!$A:$A="Сон_часы"),FILTER(Dictionaries!$C:$C,Dictionaries!$A:$A="Сон_часы"))),IF($M119="","",XLOOKUP($M119,FILTER(Dictionaries!$B:$B,Dictionaries!$A:$A="Режим"),FILTER(Dictionaries!$C:$C,Dictionaries!$A:$A="Режим"))),IF($N119="","",MIN($N119/100,1)),IF($O119="","",XLOOKUP($O119,FILTER(Dictionaries!$B:$B,Dictionaries!$A:$A="Настроение"),FILTER(Dictionaries!$C:$C,Dictionaries!$A:$A="Настроение"))),IF($P119="","",XLOOKUP($P119,FILTER(Dictionaries!$B:$B,Dictionaries!$A:$A="Энергия"),FILTER(Dictionaries!$C:$C,Dictionaries!$A:$A="Энергия"))),IF($U119="","",AVERAGE(IF(OR($B119="Ноги",$B119="Верх"),IFS(AND($U119&gt;=1900,$U119&lt;=2050),1,AND($U119&gt;=1850,$U119&lt;1900),0.7,AND($U119&gt;2050,$U119&lt;=2100),0.7,TRUE,0.2),IFS(AND($U119&gt;=1700,$U119&lt;=1850),1,AND($U119&gt;=1650,$U119&lt;1700),0.7,AND($U119&gt;1850,$U119&lt;=1900),0.7,TRUE,0.2)),IF(OR($B119="Ноги",$B119="Верх"),IFS(AND($V119&gt;=125,$V119&lt;=135),1,AND($V119&gt;=115,$V119&lt;125),0.7,AND($V119&gt;135,$V119&lt;=145),0.7,AND($V119&gt;=105,$V119&lt;115),0.4,AND($V119&gt;145,$V119&lt;=155),0.4,TRUE,0.2),IFS(AND($V119&gt;=120,$V119&lt;=130),1,AND($V119&gt;=110,$V119&lt;120),0.7,AND($V119&gt;130,$V119&lt;=140),0.7,AND($V119&gt;=100,$V119&lt;110),0.4,AND($V119&gt;140,$V119&lt;=150),0.4,TRUE,0.2)),IFS(AND($W119&gt;=55,$W119&lt;=65),1,AND($W119&gt;=50,$W119&lt;55),0.7,AND($W119&gt;65,$W119&lt;=70),0.7,AND($W119&gt;=45,$W119&lt;50),0.4,AND($W119&gt;70,$W119&lt;=75),0.4,TRUE,0.2),IF(OR($B119="Ноги",$B119="Верх"),IFS(AND($X119&gt;=180,$X119&lt;=210),1,AND($X119&gt;=160,$X119&lt;180),0.7,AND($X119&gt;210,$X119&lt;=230),0.7,AND($X119&gt;=140,$X119&lt;160),0.4,AND($X119&gt;230,$X119&lt;=250),0.4,TRUE,0.2),IFS(AND($X119&gt;=140,$X119&lt;=170),1,AND($X119&gt;=120,$X119&lt;140),0.7,AND($X119&gt;170,$X119&lt;=190),0.7,AND($X119&gt;=100,$X119&lt;120),0.4,AND($X119&gt;190,$X119&lt;=210),0.4,TRUE,0.2))))),1),""))</f>
        <v/>
      </c>
      <c r="Z119">
        <f>IF($A119="","",TEXTJOIN(", ",TRUE,IF($B119="","Тренировка",""),IF($C119="","Кардио",""),IF($D119="","Шаги",""),IF($E119="","Английский",""),IF($F119="","Код-режим",""),IF($G119="","Код-тема",""),IF($H119="","Чтение",""),IF($L119="","Сон",""),IF($M119="","Режим",""),IF($N119="","Продуктивность",""),IF($O119="","Настроение",""),IF($P119="","Энергия",""),IF($U119="","Еда","")))</f>
        <v/>
      </c>
    </row>
    <row r="120">
      <c r="A120" t="inlineStr"/>
      <c r="U120">
        <f>IF($A120="","",IF(SUMIF(FoodLog!$A:$A,$A120,FoodLog!$I:$I)=0,"",SUMIF(FoodLog!$A:$A,$A120,FoodLog!$I:$I)))</f>
        <v/>
      </c>
      <c r="V120">
        <f>IF($A120="","",IF(SUMIF(FoodLog!$A:$A,$A120,FoodLog!$F:$F)=0,"",SUMIF(FoodLog!$A:$A,$A120,FoodLog!$F:$F)))</f>
        <v/>
      </c>
      <c r="W120">
        <f>IF($A120="","",IF(SUMIF(FoodLog!$A:$A,$A120,FoodLog!$G:$G)=0,"",SUMIF(FoodLog!$A:$A,$A120,FoodLog!$G:$G)))</f>
        <v/>
      </c>
      <c r="X120">
        <f>IF($A120="","",IF(SUMIF(FoodLog!$A:$A,$A120,FoodLog!$H:$H)=0,"",SUMIF(FoodLog!$A:$A,$A120,FoodLog!$H:$H)))</f>
        <v/>
      </c>
      <c r="Y120">
        <f>IF($A120="","",IFERROR(ROUND(100*AVERAGE(IF($B120="","",XLOOKUP($B120,FILTER(Dictionaries!$B:$B,Dictionaries!$A:$A="Тренировка"),FILTER(Dictionaries!$C:$C,Dictionaries!$A:$A="Тренировка"))),IF($C120="","",MIN($C120/40,1)),IF($D120="","",XLOOKUP($D120,FILTER(Dictionaries!$B:$B,Dictionaries!$A:$A="Шаги"),FILTER(Dictionaries!$C:$C,Dictionaries!$A:$A="Шаги"))),IF($E120="","",MIN($E120/120,1)),IF(OR($F120&lt;&gt;"",$G120&lt;&gt;""),1,""),IF($H120="","",MIN($H120/100,1)),IF($L120="","",XLOOKUP($L120,FILTER(Dictionaries!$B:$B,Dictionaries!$A:$A="Сон_часы"),FILTER(Dictionaries!$C:$C,Dictionaries!$A:$A="Сон_часы"))),IF($M120="","",XLOOKUP($M120,FILTER(Dictionaries!$B:$B,Dictionaries!$A:$A="Режим"),FILTER(Dictionaries!$C:$C,Dictionaries!$A:$A="Режим"))),IF($N120="","",MIN($N120/100,1)),IF($O120="","",XLOOKUP($O120,FILTER(Dictionaries!$B:$B,Dictionaries!$A:$A="Настроение"),FILTER(Dictionaries!$C:$C,Dictionaries!$A:$A="Настроение"))),IF($P120="","",XLOOKUP($P120,FILTER(Dictionaries!$B:$B,Dictionaries!$A:$A="Энергия"),FILTER(Dictionaries!$C:$C,Dictionaries!$A:$A="Энергия"))),IF($U120="","",AVERAGE(IF(OR($B120="Ноги",$B120="Верх"),IFS(AND($U120&gt;=1900,$U120&lt;=2050),1,AND($U120&gt;=1850,$U120&lt;1900),0.7,AND($U120&gt;2050,$U120&lt;=2100),0.7,TRUE,0.2),IFS(AND($U120&gt;=1700,$U120&lt;=1850),1,AND($U120&gt;=1650,$U120&lt;1700),0.7,AND($U120&gt;1850,$U120&lt;=1900),0.7,TRUE,0.2)),IF(OR($B120="Ноги",$B120="Верх"),IFS(AND($V120&gt;=125,$V120&lt;=135),1,AND($V120&gt;=115,$V120&lt;125),0.7,AND($V120&gt;135,$V120&lt;=145),0.7,AND($V120&gt;=105,$V120&lt;115),0.4,AND($V120&gt;145,$V120&lt;=155),0.4,TRUE,0.2),IFS(AND($V120&gt;=120,$V120&lt;=130),1,AND($V120&gt;=110,$V120&lt;120),0.7,AND($V120&gt;130,$V120&lt;=140),0.7,AND($V120&gt;=100,$V120&lt;110),0.4,AND($V120&gt;140,$V120&lt;=150),0.4,TRUE,0.2)),IFS(AND($W120&gt;=55,$W120&lt;=65),1,AND($W120&gt;=50,$W120&lt;55),0.7,AND($W120&gt;65,$W120&lt;=70),0.7,AND($W120&gt;=45,$W120&lt;50),0.4,AND($W120&gt;70,$W120&lt;=75),0.4,TRUE,0.2),IF(OR($B120="Ноги",$B120="Верх"),IFS(AND($X120&gt;=180,$X120&lt;=210),1,AND($X120&gt;=160,$X120&lt;180),0.7,AND($X120&gt;210,$X120&lt;=230),0.7,AND($X120&gt;=140,$X120&lt;160),0.4,AND($X120&gt;230,$X120&lt;=250),0.4,TRUE,0.2),IFS(AND($X120&gt;=140,$X120&lt;=170),1,AND($X120&gt;=120,$X120&lt;140),0.7,AND($X120&gt;170,$X120&lt;=190),0.7,AND($X120&gt;=100,$X120&lt;120),0.4,AND($X120&gt;190,$X120&lt;=210),0.4,TRUE,0.2))))),1),""))</f>
        <v/>
      </c>
      <c r="Z120">
        <f>IF($A120="","",TEXTJOIN(", ",TRUE,IF($B120="","Тренировка",""),IF($C120="","Кардио",""),IF($D120="","Шаги",""),IF($E120="","Английский",""),IF($F120="","Код-режим",""),IF($G120="","Код-тема",""),IF($H120="","Чтение",""),IF($L120="","Сон",""),IF($M120="","Режим",""),IF($N120="","Продуктивность",""),IF($O120="","Настроение",""),IF($P120="","Энергия",""),IF($U120="","Еда","")))</f>
        <v/>
      </c>
    </row>
    <row r="121">
      <c r="A121" t="inlineStr"/>
      <c r="U121">
        <f>IF($A121="","",IF(SUMIF(FoodLog!$A:$A,$A121,FoodLog!$I:$I)=0,"",SUMIF(FoodLog!$A:$A,$A121,FoodLog!$I:$I)))</f>
        <v/>
      </c>
      <c r="V121">
        <f>IF($A121="","",IF(SUMIF(FoodLog!$A:$A,$A121,FoodLog!$F:$F)=0,"",SUMIF(FoodLog!$A:$A,$A121,FoodLog!$F:$F)))</f>
        <v/>
      </c>
      <c r="W121">
        <f>IF($A121="","",IF(SUMIF(FoodLog!$A:$A,$A121,FoodLog!$G:$G)=0,"",SUMIF(FoodLog!$A:$A,$A121,FoodLog!$G:$G)))</f>
        <v/>
      </c>
      <c r="X121">
        <f>IF($A121="","",IF(SUMIF(FoodLog!$A:$A,$A121,FoodLog!$H:$H)=0,"",SUMIF(FoodLog!$A:$A,$A121,FoodLog!$H:$H)))</f>
        <v/>
      </c>
      <c r="Y121">
        <f>IF($A121="","",IFERROR(ROUND(100*AVERAGE(IF($B121="","",XLOOKUP($B121,FILTER(Dictionaries!$B:$B,Dictionaries!$A:$A="Тренировка"),FILTER(Dictionaries!$C:$C,Dictionaries!$A:$A="Тренировка"))),IF($C121="","",MIN($C121/40,1)),IF($D121="","",XLOOKUP($D121,FILTER(Dictionaries!$B:$B,Dictionaries!$A:$A="Шаги"),FILTER(Dictionaries!$C:$C,Dictionaries!$A:$A="Шаги"))),IF($E121="","",MIN($E121/120,1)),IF(OR($F121&lt;&gt;"",$G121&lt;&gt;""),1,""),IF($H121="","",MIN($H121/100,1)),IF($L121="","",XLOOKUP($L121,FILTER(Dictionaries!$B:$B,Dictionaries!$A:$A="Сон_часы"),FILTER(Dictionaries!$C:$C,Dictionaries!$A:$A="Сон_часы"))),IF($M121="","",XLOOKUP($M121,FILTER(Dictionaries!$B:$B,Dictionaries!$A:$A="Режим"),FILTER(Dictionaries!$C:$C,Dictionaries!$A:$A="Режим"))),IF($N121="","",MIN($N121/100,1)),IF($O121="","",XLOOKUP($O121,FILTER(Dictionaries!$B:$B,Dictionaries!$A:$A="Настроение"),FILTER(Dictionaries!$C:$C,Dictionaries!$A:$A="Настроение"))),IF($P121="","",XLOOKUP($P121,FILTER(Dictionaries!$B:$B,Dictionaries!$A:$A="Энергия"),FILTER(Dictionaries!$C:$C,Dictionaries!$A:$A="Энергия"))),IF($U121="","",AVERAGE(IF(OR($B121="Ноги",$B121="Верх"),IFS(AND($U121&gt;=1900,$U121&lt;=2050),1,AND($U121&gt;=1850,$U121&lt;1900),0.7,AND($U121&gt;2050,$U121&lt;=2100),0.7,TRUE,0.2),IFS(AND($U121&gt;=1700,$U121&lt;=1850),1,AND($U121&gt;=1650,$U121&lt;1700),0.7,AND($U121&gt;1850,$U121&lt;=1900),0.7,TRUE,0.2)),IF(OR($B121="Ноги",$B121="Верх"),IFS(AND($V121&gt;=125,$V121&lt;=135),1,AND($V121&gt;=115,$V121&lt;125),0.7,AND($V121&gt;135,$V121&lt;=145),0.7,AND($V121&gt;=105,$V121&lt;115),0.4,AND($V121&gt;145,$V121&lt;=155),0.4,TRUE,0.2),IFS(AND($V121&gt;=120,$V121&lt;=130),1,AND($V121&gt;=110,$V121&lt;120),0.7,AND($V121&gt;130,$V121&lt;=140),0.7,AND($V121&gt;=100,$V121&lt;110),0.4,AND($V121&gt;140,$V121&lt;=150),0.4,TRUE,0.2)),IFS(AND($W121&gt;=55,$W121&lt;=65),1,AND($W121&gt;=50,$W121&lt;55),0.7,AND($W121&gt;65,$W121&lt;=70),0.7,AND($W121&gt;=45,$W121&lt;50),0.4,AND($W121&gt;70,$W121&lt;=75),0.4,TRUE,0.2),IF(OR($B121="Ноги",$B121="Верх"),IFS(AND($X121&gt;=180,$X121&lt;=210),1,AND($X121&gt;=160,$X121&lt;180),0.7,AND($X121&gt;210,$X121&lt;=230),0.7,AND($X121&gt;=140,$X121&lt;160),0.4,AND($X121&gt;230,$X121&lt;=250),0.4,TRUE,0.2),IFS(AND($X121&gt;=140,$X121&lt;=170),1,AND($X121&gt;=120,$X121&lt;140),0.7,AND($X121&gt;170,$X121&lt;=190),0.7,AND($X121&gt;=100,$X121&lt;120),0.4,AND($X121&gt;190,$X121&lt;=210),0.4,TRUE,0.2))))),1),""))</f>
        <v/>
      </c>
      <c r="Z121">
        <f>IF($A121="","",TEXTJOIN(", ",TRUE,IF($B121="","Тренировка",""),IF($C121="","Кардио",""),IF($D121="","Шаги",""),IF($E121="","Английский",""),IF($F121="","Код-режим",""),IF($G121="","Код-тема",""),IF($H121="","Чтение",""),IF($L121="","Сон",""),IF($M121="","Режим",""),IF($N121="","Продуктивность",""),IF($O121="","Настроение",""),IF($P121="","Энергия",""),IF($U121="","Еда","")))</f>
        <v/>
      </c>
    </row>
    <row r="122">
      <c r="A122" t="inlineStr"/>
      <c r="U122">
        <f>IF($A122="","",IF(SUMIF(FoodLog!$A:$A,$A122,FoodLog!$I:$I)=0,"",SUMIF(FoodLog!$A:$A,$A122,FoodLog!$I:$I)))</f>
        <v/>
      </c>
      <c r="V122">
        <f>IF($A122="","",IF(SUMIF(FoodLog!$A:$A,$A122,FoodLog!$F:$F)=0,"",SUMIF(FoodLog!$A:$A,$A122,FoodLog!$F:$F)))</f>
        <v/>
      </c>
      <c r="W122">
        <f>IF($A122="","",IF(SUMIF(FoodLog!$A:$A,$A122,FoodLog!$G:$G)=0,"",SUMIF(FoodLog!$A:$A,$A122,FoodLog!$G:$G)))</f>
        <v/>
      </c>
      <c r="X122">
        <f>IF($A122="","",IF(SUMIF(FoodLog!$A:$A,$A122,FoodLog!$H:$H)=0,"",SUMIF(FoodLog!$A:$A,$A122,FoodLog!$H:$H)))</f>
        <v/>
      </c>
      <c r="Y122">
        <f>IF($A122="","",IFERROR(ROUND(100*AVERAGE(IF($B122="","",XLOOKUP($B122,FILTER(Dictionaries!$B:$B,Dictionaries!$A:$A="Тренировка"),FILTER(Dictionaries!$C:$C,Dictionaries!$A:$A="Тренировка"))),IF($C122="","",MIN($C122/40,1)),IF($D122="","",XLOOKUP($D122,FILTER(Dictionaries!$B:$B,Dictionaries!$A:$A="Шаги"),FILTER(Dictionaries!$C:$C,Dictionaries!$A:$A="Шаги"))),IF($E122="","",MIN($E122/120,1)),IF(OR($F122&lt;&gt;"",$G122&lt;&gt;""),1,""),IF($H122="","",MIN($H122/100,1)),IF($L122="","",XLOOKUP($L122,FILTER(Dictionaries!$B:$B,Dictionaries!$A:$A="Сон_часы"),FILTER(Dictionaries!$C:$C,Dictionaries!$A:$A="Сон_часы"))),IF($M122="","",XLOOKUP($M122,FILTER(Dictionaries!$B:$B,Dictionaries!$A:$A="Режим"),FILTER(Dictionaries!$C:$C,Dictionaries!$A:$A="Режим"))),IF($N122="","",MIN($N122/100,1)),IF($O122="","",XLOOKUP($O122,FILTER(Dictionaries!$B:$B,Dictionaries!$A:$A="Настроение"),FILTER(Dictionaries!$C:$C,Dictionaries!$A:$A="Настроение"))),IF($P122="","",XLOOKUP($P122,FILTER(Dictionaries!$B:$B,Dictionaries!$A:$A="Энергия"),FILTER(Dictionaries!$C:$C,Dictionaries!$A:$A="Энергия"))),IF($U122="","",AVERAGE(IF(OR($B122="Ноги",$B122="Верх"),IFS(AND($U122&gt;=1900,$U122&lt;=2050),1,AND($U122&gt;=1850,$U122&lt;1900),0.7,AND($U122&gt;2050,$U122&lt;=2100),0.7,TRUE,0.2),IFS(AND($U122&gt;=1700,$U122&lt;=1850),1,AND($U122&gt;=1650,$U122&lt;1700),0.7,AND($U122&gt;1850,$U122&lt;=1900),0.7,TRUE,0.2)),IF(OR($B122="Ноги",$B122="Верх"),IFS(AND($V122&gt;=125,$V122&lt;=135),1,AND($V122&gt;=115,$V122&lt;125),0.7,AND($V122&gt;135,$V122&lt;=145),0.7,AND($V122&gt;=105,$V122&lt;115),0.4,AND($V122&gt;145,$V122&lt;=155),0.4,TRUE,0.2),IFS(AND($V122&gt;=120,$V122&lt;=130),1,AND($V122&gt;=110,$V122&lt;120),0.7,AND($V122&gt;130,$V122&lt;=140),0.7,AND($V122&gt;=100,$V122&lt;110),0.4,AND($V122&gt;140,$V122&lt;=150),0.4,TRUE,0.2)),IFS(AND($W122&gt;=55,$W122&lt;=65),1,AND($W122&gt;=50,$W122&lt;55),0.7,AND($W122&gt;65,$W122&lt;=70),0.7,AND($W122&gt;=45,$W122&lt;50),0.4,AND($W122&gt;70,$W122&lt;=75),0.4,TRUE,0.2),IF(OR($B122="Ноги",$B122="Верх"),IFS(AND($X122&gt;=180,$X122&lt;=210),1,AND($X122&gt;=160,$X122&lt;180),0.7,AND($X122&gt;210,$X122&lt;=230),0.7,AND($X122&gt;=140,$X122&lt;160),0.4,AND($X122&gt;230,$X122&lt;=250),0.4,TRUE,0.2),IFS(AND($X122&gt;=140,$X122&lt;=170),1,AND($X122&gt;=120,$X122&lt;140),0.7,AND($X122&gt;170,$X122&lt;=190),0.7,AND($X122&gt;=100,$X122&lt;120),0.4,AND($X122&gt;190,$X122&lt;=210),0.4,TRUE,0.2))))),1),""))</f>
        <v/>
      </c>
      <c r="Z122">
        <f>IF($A122="","",TEXTJOIN(", ",TRUE,IF($B122="","Тренировка",""),IF($C122="","Кардио",""),IF($D122="","Шаги",""),IF($E122="","Английский",""),IF($F122="","Код-режим",""),IF($G122="","Код-тема",""),IF($H122="","Чтение",""),IF($L122="","Сон",""),IF($M122="","Режим",""),IF($N122="","Продуктивность",""),IF($O122="","Настроение",""),IF($P122="","Энергия",""),IF($U122="","Еда","")))</f>
        <v/>
      </c>
    </row>
    <row r="123">
      <c r="A123" t="inlineStr"/>
      <c r="U123">
        <f>IF($A123="","",IF(SUMIF(FoodLog!$A:$A,$A123,FoodLog!$I:$I)=0,"",SUMIF(FoodLog!$A:$A,$A123,FoodLog!$I:$I)))</f>
        <v/>
      </c>
      <c r="V123">
        <f>IF($A123="","",IF(SUMIF(FoodLog!$A:$A,$A123,FoodLog!$F:$F)=0,"",SUMIF(FoodLog!$A:$A,$A123,FoodLog!$F:$F)))</f>
        <v/>
      </c>
      <c r="W123">
        <f>IF($A123="","",IF(SUMIF(FoodLog!$A:$A,$A123,FoodLog!$G:$G)=0,"",SUMIF(FoodLog!$A:$A,$A123,FoodLog!$G:$G)))</f>
        <v/>
      </c>
      <c r="X123">
        <f>IF($A123="","",IF(SUMIF(FoodLog!$A:$A,$A123,FoodLog!$H:$H)=0,"",SUMIF(FoodLog!$A:$A,$A123,FoodLog!$H:$H)))</f>
        <v/>
      </c>
      <c r="Y123">
        <f>IF($A123="","",IFERROR(ROUND(100*AVERAGE(IF($B123="","",XLOOKUP($B123,FILTER(Dictionaries!$B:$B,Dictionaries!$A:$A="Тренировка"),FILTER(Dictionaries!$C:$C,Dictionaries!$A:$A="Тренировка"))),IF($C123="","",MIN($C123/40,1)),IF($D123="","",XLOOKUP($D123,FILTER(Dictionaries!$B:$B,Dictionaries!$A:$A="Шаги"),FILTER(Dictionaries!$C:$C,Dictionaries!$A:$A="Шаги"))),IF($E123="","",MIN($E123/120,1)),IF(OR($F123&lt;&gt;"",$G123&lt;&gt;""),1,""),IF($H123="","",MIN($H123/100,1)),IF($L123="","",XLOOKUP($L123,FILTER(Dictionaries!$B:$B,Dictionaries!$A:$A="Сон_часы"),FILTER(Dictionaries!$C:$C,Dictionaries!$A:$A="Сон_часы"))),IF($M123="","",XLOOKUP($M123,FILTER(Dictionaries!$B:$B,Dictionaries!$A:$A="Режим"),FILTER(Dictionaries!$C:$C,Dictionaries!$A:$A="Режим"))),IF($N123="","",MIN($N123/100,1)),IF($O123="","",XLOOKUP($O123,FILTER(Dictionaries!$B:$B,Dictionaries!$A:$A="Настроение"),FILTER(Dictionaries!$C:$C,Dictionaries!$A:$A="Настроение"))),IF($P123="","",XLOOKUP($P123,FILTER(Dictionaries!$B:$B,Dictionaries!$A:$A="Энергия"),FILTER(Dictionaries!$C:$C,Dictionaries!$A:$A="Энергия"))),IF($U123="","",AVERAGE(IF(OR($B123="Ноги",$B123="Верх"),IFS(AND($U123&gt;=1900,$U123&lt;=2050),1,AND($U123&gt;=1850,$U123&lt;1900),0.7,AND($U123&gt;2050,$U123&lt;=2100),0.7,TRUE,0.2),IFS(AND($U123&gt;=1700,$U123&lt;=1850),1,AND($U123&gt;=1650,$U123&lt;1700),0.7,AND($U123&gt;1850,$U123&lt;=1900),0.7,TRUE,0.2)),IF(OR($B123="Ноги",$B123="Верх"),IFS(AND($V123&gt;=125,$V123&lt;=135),1,AND($V123&gt;=115,$V123&lt;125),0.7,AND($V123&gt;135,$V123&lt;=145),0.7,AND($V123&gt;=105,$V123&lt;115),0.4,AND($V123&gt;145,$V123&lt;=155),0.4,TRUE,0.2),IFS(AND($V123&gt;=120,$V123&lt;=130),1,AND($V123&gt;=110,$V123&lt;120),0.7,AND($V123&gt;130,$V123&lt;=140),0.7,AND($V123&gt;=100,$V123&lt;110),0.4,AND($V123&gt;140,$V123&lt;=150),0.4,TRUE,0.2)),IFS(AND($W123&gt;=55,$W123&lt;=65),1,AND($W123&gt;=50,$W123&lt;55),0.7,AND($W123&gt;65,$W123&lt;=70),0.7,AND($W123&gt;=45,$W123&lt;50),0.4,AND($W123&gt;70,$W123&lt;=75),0.4,TRUE,0.2),IF(OR($B123="Ноги",$B123="Верх"),IFS(AND($X123&gt;=180,$X123&lt;=210),1,AND($X123&gt;=160,$X123&lt;180),0.7,AND($X123&gt;210,$X123&lt;=230),0.7,AND($X123&gt;=140,$X123&lt;160),0.4,AND($X123&gt;230,$X123&lt;=250),0.4,TRUE,0.2),IFS(AND($X123&gt;=140,$X123&lt;=170),1,AND($X123&gt;=120,$X123&lt;140),0.7,AND($X123&gt;170,$X123&lt;=190),0.7,AND($X123&gt;=100,$X123&lt;120),0.4,AND($X123&gt;190,$X123&lt;=210),0.4,TRUE,0.2))))),1),""))</f>
        <v/>
      </c>
      <c r="Z123">
        <f>IF($A123="","",TEXTJOIN(", ",TRUE,IF($B123="","Тренировка",""),IF($C123="","Кардио",""),IF($D123="","Шаги",""),IF($E123="","Английский",""),IF($F123="","Код-режим",""),IF($G123="","Код-тема",""),IF($H123="","Чтение",""),IF($L123="","Сон",""),IF($M123="","Режим",""),IF($N123="","Продуктивность",""),IF($O123="","Настроение",""),IF($P123="","Энергия",""),IF($U123="","Еда","")))</f>
        <v/>
      </c>
    </row>
    <row r="124">
      <c r="A124" t="inlineStr"/>
      <c r="U124">
        <f>IF($A124="","",IF(SUMIF(FoodLog!$A:$A,$A124,FoodLog!$I:$I)=0,"",SUMIF(FoodLog!$A:$A,$A124,FoodLog!$I:$I)))</f>
        <v/>
      </c>
      <c r="V124">
        <f>IF($A124="","",IF(SUMIF(FoodLog!$A:$A,$A124,FoodLog!$F:$F)=0,"",SUMIF(FoodLog!$A:$A,$A124,FoodLog!$F:$F)))</f>
        <v/>
      </c>
      <c r="W124">
        <f>IF($A124="","",IF(SUMIF(FoodLog!$A:$A,$A124,FoodLog!$G:$G)=0,"",SUMIF(FoodLog!$A:$A,$A124,FoodLog!$G:$G)))</f>
        <v/>
      </c>
      <c r="X124">
        <f>IF($A124="","",IF(SUMIF(FoodLog!$A:$A,$A124,FoodLog!$H:$H)=0,"",SUMIF(FoodLog!$A:$A,$A124,FoodLog!$H:$H)))</f>
        <v/>
      </c>
      <c r="Y124">
        <f>IF($A124="","",IFERROR(ROUND(100*AVERAGE(IF($B124="","",XLOOKUP($B124,FILTER(Dictionaries!$B:$B,Dictionaries!$A:$A="Тренировка"),FILTER(Dictionaries!$C:$C,Dictionaries!$A:$A="Тренировка"))),IF($C124="","",MIN($C124/40,1)),IF($D124="","",XLOOKUP($D124,FILTER(Dictionaries!$B:$B,Dictionaries!$A:$A="Шаги"),FILTER(Dictionaries!$C:$C,Dictionaries!$A:$A="Шаги"))),IF($E124="","",MIN($E124/120,1)),IF(OR($F124&lt;&gt;"",$G124&lt;&gt;""),1,""),IF($H124="","",MIN($H124/100,1)),IF($L124="","",XLOOKUP($L124,FILTER(Dictionaries!$B:$B,Dictionaries!$A:$A="Сон_часы"),FILTER(Dictionaries!$C:$C,Dictionaries!$A:$A="Сон_часы"))),IF($M124="","",XLOOKUP($M124,FILTER(Dictionaries!$B:$B,Dictionaries!$A:$A="Режим"),FILTER(Dictionaries!$C:$C,Dictionaries!$A:$A="Режим"))),IF($N124="","",MIN($N124/100,1)),IF($O124="","",XLOOKUP($O124,FILTER(Dictionaries!$B:$B,Dictionaries!$A:$A="Настроение"),FILTER(Dictionaries!$C:$C,Dictionaries!$A:$A="Настроение"))),IF($P124="","",XLOOKUP($P124,FILTER(Dictionaries!$B:$B,Dictionaries!$A:$A="Энергия"),FILTER(Dictionaries!$C:$C,Dictionaries!$A:$A="Энергия"))),IF($U124="","",AVERAGE(IF(OR($B124="Ноги",$B124="Верх"),IFS(AND($U124&gt;=1900,$U124&lt;=2050),1,AND($U124&gt;=1850,$U124&lt;1900),0.7,AND($U124&gt;2050,$U124&lt;=2100),0.7,TRUE,0.2),IFS(AND($U124&gt;=1700,$U124&lt;=1850),1,AND($U124&gt;=1650,$U124&lt;1700),0.7,AND($U124&gt;1850,$U124&lt;=1900),0.7,TRUE,0.2)),IF(OR($B124="Ноги",$B124="Верх"),IFS(AND($V124&gt;=125,$V124&lt;=135),1,AND($V124&gt;=115,$V124&lt;125),0.7,AND($V124&gt;135,$V124&lt;=145),0.7,AND($V124&gt;=105,$V124&lt;115),0.4,AND($V124&gt;145,$V124&lt;=155),0.4,TRUE,0.2),IFS(AND($V124&gt;=120,$V124&lt;=130),1,AND($V124&gt;=110,$V124&lt;120),0.7,AND($V124&gt;130,$V124&lt;=140),0.7,AND($V124&gt;=100,$V124&lt;110),0.4,AND($V124&gt;140,$V124&lt;=150),0.4,TRUE,0.2)),IFS(AND($W124&gt;=55,$W124&lt;=65),1,AND($W124&gt;=50,$W124&lt;55),0.7,AND($W124&gt;65,$W124&lt;=70),0.7,AND($W124&gt;=45,$W124&lt;50),0.4,AND($W124&gt;70,$W124&lt;=75),0.4,TRUE,0.2),IF(OR($B124="Ноги",$B124="Верх"),IFS(AND($X124&gt;=180,$X124&lt;=210),1,AND($X124&gt;=160,$X124&lt;180),0.7,AND($X124&gt;210,$X124&lt;=230),0.7,AND($X124&gt;=140,$X124&lt;160),0.4,AND($X124&gt;230,$X124&lt;=250),0.4,TRUE,0.2),IFS(AND($X124&gt;=140,$X124&lt;=170),1,AND($X124&gt;=120,$X124&lt;140),0.7,AND($X124&gt;170,$X124&lt;=190),0.7,AND($X124&gt;=100,$X124&lt;120),0.4,AND($X124&gt;190,$X124&lt;=210),0.4,TRUE,0.2))))),1),""))</f>
        <v/>
      </c>
      <c r="Z124">
        <f>IF($A124="","",TEXTJOIN(", ",TRUE,IF($B124="","Тренировка",""),IF($C124="","Кардио",""),IF($D124="","Шаги",""),IF($E124="","Английский",""),IF($F124="","Код-режим",""),IF($G124="","Код-тема",""),IF($H124="","Чтение",""),IF($L124="","Сон",""),IF($M124="","Режим",""),IF($N124="","Продуктивность",""),IF($O124="","Настроение",""),IF($P124="","Энергия",""),IF($U124="","Еда","")))</f>
        <v/>
      </c>
    </row>
    <row r="125">
      <c r="A125" t="inlineStr"/>
      <c r="U125">
        <f>IF($A125="","",IF(SUMIF(FoodLog!$A:$A,$A125,FoodLog!$I:$I)=0,"",SUMIF(FoodLog!$A:$A,$A125,FoodLog!$I:$I)))</f>
        <v/>
      </c>
      <c r="V125">
        <f>IF($A125="","",IF(SUMIF(FoodLog!$A:$A,$A125,FoodLog!$F:$F)=0,"",SUMIF(FoodLog!$A:$A,$A125,FoodLog!$F:$F)))</f>
        <v/>
      </c>
      <c r="W125">
        <f>IF($A125="","",IF(SUMIF(FoodLog!$A:$A,$A125,FoodLog!$G:$G)=0,"",SUMIF(FoodLog!$A:$A,$A125,FoodLog!$G:$G)))</f>
        <v/>
      </c>
      <c r="X125">
        <f>IF($A125="","",IF(SUMIF(FoodLog!$A:$A,$A125,FoodLog!$H:$H)=0,"",SUMIF(FoodLog!$A:$A,$A125,FoodLog!$H:$H)))</f>
        <v/>
      </c>
      <c r="Y125">
        <f>IF($A125="","",IFERROR(ROUND(100*AVERAGE(IF($B125="","",XLOOKUP($B125,FILTER(Dictionaries!$B:$B,Dictionaries!$A:$A="Тренировка"),FILTER(Dictionaries!$C:$C,Dictionaries!$A:$A="Тренировка"))),IF($C125="","",MIN($C125/40,1)),IF($D125="","",XLOOKUP($D125,FILTER(Dictionaries!$B:$B,Dictionaries!$A:$A="Шаги"),FILTER(Dictionaries!$C:$C,Dictionaries!$A:$A="Шаги"))),IF($E125="","",MIN($E125/120,1)),IF(OR($F125&lt;&gt;"",$G125&lt;&gt;""),1,""),IF($H125="","",MIN($H125/100,1)),IF($L125="","",XLOOKUP($L125,FILTER(Dictionaries!$B:$B,Dictionaries!$A:$A="Сон_часы"),FILTER(Dictionaries!$C:$C,Dictionaries!$A:$A="Сон_часы"))),IF($M125="","",XLOOKUP($M125,FILTER(Dictionaries!$B:$B,Dictionaries!$A:$A="Режим"),FILTER(Dictionaries!$C:$C,Dictionaries!$A:$A="Режим"))),IF($N125="","",MIN($N125/100,1)),IF($O125="","",XLOOKUP($O125,FILTER(Dictionaries!$B:$B,Dictionaries!$A:$A="Настроение"),FILTER(Dictionaries!$C:$C,Dictionaries!$A:$A="Настроение"))),IF($P125="","",XLOOKUP($P125,FILTER(Dictionaries!$B:$B,Dictionaries!$A:$A="Энергия"),FILTER(Dictionaries!$C:$C,Dictionaries!$A:$A="Энергия"))),IF($U125="","",AVERAGE(IF(OR($B125="Ноги",$B125="Верх"),IFS(AND($U125&gt;=1900,$U125&lt;=2050),1,AND($U125&gt;=1850,$U125&lt;1900),0.7,AND($U125&gt;2050,$U125&lt;=2100),0.7,TRUE,0.2),IFS(AND($U125&gt;=1700,$U125&lt;=1850),1,AND($U125&gt;=1650,$U125&lt;1700),0.7,AND($U125&gt;1850,$U125&lt;=1900),0.7,TRUE,0.2)),IF(OR($B125="Ноги",$B125="Верх"),IFS(AND($V125&gt;=125,$V125&lt;=135),1,AND($V125&gt;=115,$V125&lt;125),0.7,AND($V125&gt;135,$V125&lt;=145),0.7,AND($V125&gt;=105,$V125&lt;115),0.4,AND($V125&gt;145,$V125&lt;=155),0.4,TRUE,0.2),IFS(AND($V125&gt;=120,$V125&lt;=130),1,AND($V125&gt;=110,$V125&lt;120),0.7,AND($V125&gt;130,$V125&lt;=140),0.7,AND($V125&gt;=100,$V125&lt;110),0.4,AND($V125&gt;140,$V125&lt;=150),0.4,TRUE,0.2)),IFS(AND($W125&gt;=55,$W125&lt;=65),1,AND($W125&gt;=50,$W125&lt;55),0.7,AND($W125&gt;65,$W125&lt;=70),0.7,AND($W125&gt;=45,$W125&lt;50),0.4,AND($W125&gt;70,$W125&lt;=75),0.4,TRUE,0.2),IF(OR($B125="Ноги",$B125="Верх"),IFS(AND($X125&gt;=180,$X125&lt;=210),1,AND($X125&gt;=160,$X125&lt;180),0.7,AND($X125&gt;210,$X125&lt;=230),0.7,AND($X125&gt;=140,$X125&lt;160),0.4,AND($X125&gt;230,$X125&lt;=250),0.4,TRUE,0.2),IFS(AND($X125&gt;=140,$X125&lt;=170),1,AND($X125&gt;=120,$X125&lt;140),0.7,AND($X125&gt;170,$X125&lt;=190),0.7,AND($X125&gt;=100,$X125&lt;120),0.4,AND($X125&gt;190,$X125&lt;=210),0.4,TRUE,0.2))))),1),""))</f>
        <v/>
      </c>
      <c r="Z125">
        <f>IF($A125="","",TEXTJOIN(", ",TRUE,IF($B125="","Тренировка",""),IF($C125="","Кардио",""),IF($D125="","Шаги",""),IF($E125="","Английский",""),IF($F125="","Код-режим",""),IF($G125="","Код-тема",""),IF($H125="","Чтение",""),IF($L125="","Сон",""),IF($M125="","Режим",""),IF($N125="","Продуктивность",""),IF($O125="","Настроение",""),IF($P125="","Энергия",""),IF($U125="","Еда","")))</f>
        <v/>
      </c>
    </row>
    <row r="126">
      <c r="A126" t="inlineStr"/>
      <c r="U126">
        <f>IF($A126="","",IF(SUMIF(FoodLog!$A:$A,$A126,FoodLog!$I:$I)=0,"",SUMIF(FoodLog!$A:$A,$A126,FoodLog!$I:$I)))</f>
        <v/>
      </c>
      <c r="V126">
        <f>IF($A126="","",IF(SUMIF(FoodLog!$A:$A,$A126,FoodLog!$F:$F)=0,"",SUMIF(FoodLog!$A:$A,$A126,FoodLog!$F:$F)))</f>
        <v/>
      </c>
      <c r="W126">
        <f>IF($A126="","",IF(SUMIF(FoodLog!$A:$A,$A126,FoodLog!$G:$G)=0,"",SUMIF(FoodLog!$A:$A,$A126,FoodLog!$G:$G)))</f>
        <v/>
      </c>
      <c r="X126">
        <f>IF($A126="","",IF(SUMIF(FoodLog!$A:$A,$A126,FoodLog!$H:$H)=0,"",SUMIF(FoodLog!$A:$A,$A126,FoodLog!$H:$H)))</f>
        <v/>
      </c>
      <c r="Y126">
        <f>IF($A126="","",IFERROR(ROUND(100*AVERAGE(IF($B126="","",XLOOKUP($B126,FILTER(Dictionaries!$B:$B,Dictionaries!$A:$A="Тренировка"),FILTER(Dictionaries!$C:$C,Dictionaries!$A:$A="Тренировка"))),IF($C126="","",MIN($C126/40,1)),IF($D126="","",XLOOKUP($D126,FILTER(Dictionaries!$B:$B,Dictionaries!$A:$A="Шаги"),FILTER(Dictionaries!$C:$C,Dictionaries!$A:$A="Шаги"))),IF($E126="","",MIN($E126/120,1)),IF(OR($F126&lt;&gt;"",$G126&lt;&gt;""),1,""),IF($H126="","",MIN($H126/100,1)),IF($L126="","",XLOOKUP($L126,FILTER(Dictionaries!$B:$B,Dictionaries!$A:$A="Сон_часы"),FILTER(Dictionaries!$C:$C,Dictionaries!$A:$A="Сон_часы"))),IF($M126="","",XLOOKUP($M126,FILTER(Dictionaries!$B:$B,Dictionaries!$A:$A="Режим"),FILTER(Dictionaries!$C:$C,Dictionaries!$A:$A="Режим"))),IF($N126="","",MIN($N126/100,1)),IF($O126="","",XLOOKUP($O126,FILTER(Dictionaries!$B:$B,Dictionaries!$A:$A="Настроение"),FILTER(Dictionaries!$C:$C,Dictionaries!$A:$A="Настроение"))),IF($P126="","",XLOOKUP($P126,FILTER(Dictionaries!$B:$B,Dictionaries!$A:$A="Энергия"),FILTER(Dictionaries!$C:$C,Dictionaries!$A:$A="Энергия"))),IF($U126="","",AVERAGE(IF(OR($B126="Ноги",$B126="Верх"),IFS(AND($U126&gt;=1900,$U126&lt;=2050),1,AND($U126&gt;=1850,$U126&lt;1900),0.7,AND($U126&gt;2050,$U126&lt;=2100),0.7,TRUE,0.2),IFS(AND($U126&gt;=1700,$U126&lt;=1850),1,AND($U126&gt;=1650,$U126&lt;1700),0.7,AND($U126&gt;1850,$U126&lt;=1900),0.7,TRUE,0.2)),IF(OR($B126="Ноги",$B126="Верх"),IFS(AND($V126&gt;=125,$V126&lt;=135),1,AND($V126&gt;=115,$V126&lt;125),0.7,AND($V126&gt;135,$V126&lt;=145),0.7,AND($V126&gt;=105,$V126&lt;115),0.4,AND($V126&gt;145,$V126&lt;=155),0.4,TRUE,0.2),IFS(AND($V126&gt;=120,$V126&lt;=130),1,AND($V126&gt;=110,$V126&lt;120),0.7,AND($V126&gt;130,$V126&lt;=140),0.7,AND($V126&gt;=100,$V126&lt;110),0.4,AND($V126&gt;140,$V126&lt;=150),0.4,TRUE,0.2)),IFS(AND($W126&gt;=55,$W126&lt;=65),1,AND($W126&gt;=50,$W126&lt;55),0.7,AND($W126&gt;65,$W126&lt;=70),0.7,AND($W126&gt;=45,$W126&lt;50),0.4,AND($W126&gt;70,$W126&lt;=75),0.4,TRUE,0.2),IF(OR($B126="Ноги",$B126="Верх"),IFS(AND($X126&gt;=180,$X126&lt;=210),1,AND($X126&gt;=160,$X126&lt;180),0.7,AND($X126&gt;210,$X126&lt;=230),0.7,AND($X126&gt;=140,$X126&lt;160),0.4,AND($X126&gt;230,$X126&lt;=250),0.4,TRUE,0.2),IFS(AND($X126&gt;=140,$X126&lt;=170),1,AND($X126&gt;=120,$X126&lt;140),0.7,AND($X126&gt;170,$X126&lt;=190),0.7,AND($X126&gt;=100,$X126&lt;120),0.4,AND($X126&gt;190,$X126&lt;=210),0.4,TRUE,0.2))))),1),""))</f>
        <v/>
      </c>
      <c r="Z126">
        <f>IF($A126="","",TEXTJOIN(", ",TRUE,IF($B126="","Тренировка",""),IF($C126="","Кардио",""),IF($D126="","Шаги",""),IF($E126="","Английский",""),IF($F126="","Код-режим",""),IF($G126="","Код-тема",""),IF($H126="","Чтение",""),IF($L126="","Сон",""),IF($M126="","Режим",""),IF($N126="","Продуктивность",""),IF($O126="","Настроение",""),IF($P126="","Энергия",""),IF($U126="","Еда","")))</f>
        <v/>
      </c>
    </row>
    <row r="127">
      <c r="A127" t="inlineStr"/>
      <c r="U127">
        <f>IF($A127="","",IF(SUMIF(FoodLog!$A:$A,$A127,FoodLog!$I:$I)=0,"",SUMIF(FoodLog!$A:$A,$A127,FoodLog!$I:$I)))</f>
        <v/>
      </c>
      <c r="V127">
        <f>IF($A127="","",IF(SUMIF(FoodLog!$A:$A,$A127,FoodLog!$F:$F)=0,"",SUMIF(FoodLog!$A:$A,$A127,FoodLog!$F:$F)))</f>
        <v/>
      </c>
      <c r="W127">
        <f>IF($A127="","",IF(SUMIF(FoodLog!$A:$A,$A127,FoodLog!$G:$G)=0,"",SUMIF(FoodLog!$A:$A,$A127,FoodLog!$G:$G)))</f>
        <v/>
      </c>
      <c r="X127">
        <f>IF($A127="","",IF(SUMIF(FoodLog!$A:$A,$A127,FoodLog!$H:$H)=0,"",SUMIF(FoodLog!$A:$A,$A127,FoodLog!$H:$H)))</f>
        <v/>
      </c>
      <c r="Y127">
        <f>IF($A127="","",IFERROR(ROUND(100*AVERAGE(IF($B127="","",XLOOKUP($B127,FILTER(Dictionaries!$B:$B,Dictionaries!$A:$A="Тренировка"),FILTER(Dictionaries!$C:$C,Dictionaries!$A:$A="Тренировка"))),IF($C127="","",MIN($C127/40,1)),IF($D127="","",XLOOKUP($D127,FILTER(Dictionaries!$B:$B,Dictionaries!$A:$A="Шаги"),FILTER(Dictionaries!$C:$C,Dictionaries!$A:$A="Шаги"))),IF($E127="","",MIN($E127/120,1)),IF(OR($F127&lt;&gt;"",$G127&lt;&gt;""),1,""),IF($H127="","",MIN($H127/100,1)),IF($L127="","",XLOOKUP($L127,FILTER(Dictionaries!$B:$B,Dictionaries!$A:$A="Сон_часы"),FILTER(Dictionaries!$C:$C,Dictionaries!$A:$A="Сон_часы"))),IF($M127="","",XLOOKUP($M127,FILTER(Dictionaries!$B:$B,Dictionaries!$A:$A="Режим"),FILTER(Dictionaries!$C:$C,Dictionaries!$A:$A="Режим"))),IF($N127="","",MIN($N127/100,1)),IF($O127="","",XLOOKUP($O127,FILTER(Dictionaries!$B:$B,Dictionaries!$A:$A="Настроение"),FILTER(Dictionaries!$C:$C,Dictionaries!$A:$A="Настроение"))),IF($P127="","",XLOOKUP($P127,FILTER(Dictionaries!$B:$B,Dictionaries!$A:$A="Энергия"),FILTER(Dictionaries!$C:$C,Dictionaries!$A:$A="Энергия"))),IF($U127="","",AVERAGE(IF(OR($B127="Ноги",$B127="Верх"),IFS(AND($U127&gt;=1900,$U127&lt;=2050),1,AND($U127&gt;=1850,$U127&lt;1900),0.7,AND($U127&gt;2050,$U127&lt;=2100),0.7,TRUE,0.2),IFS(AND($U127&gt;=1700,$U127&lt;=1850),1,AND($U127&gt;=1650,$U127&lt;1700),0.7,AND($U127&gt;1850,$U127&lt;=1900),0.7,TRUE,0.2)),IF(OR($B127="Ноги",$B127="Верх"),IFS(AND($V127&gt;=125,$V127&lt;=135),1,AND($V127&gt;=115,$V127&lt;125),0.7,AND($V127&gt;135,$V127&lt;=145),0.7,AND($V127&gt;=105,$V127&lt;115),0.4,AND($V127&gt;145,$V127&lt;=155),0.4,TRUE,0.2),IFS(AND($V127&gt;=120,$V127&lt;=130),1,AND($V127&gt;=110,$V127&lt;120),0.7,AND($V127&gt;130,$V127&lt;=140),0.7,AND($V127&gt;=100,$V127&lt;110),0.4,AND($V127&gt;140,$V127&lt;=150),0.4,TRUE,0.2)),IFS(AND($W127&gt;=55,$W127&lt;=65),1,AND($W127&gt;=50,$W127&lt;55),0.7,AND($W127&gt;65,$W127&lt;=70),0.7,AND($W127&gt;=45,$W127&lt;50),0.4,AND($W127&gt;70,$W127&lt;=75),0.4,TRUE,0.2),IF(OR($B127="Ноги",$B127="Верх"),IFS(AND($X127&gt;=180,$X127&lt;=210),1,AND($X127&gt;=160,$X127&lt;180),0.7,AND($X127&gt;210,$X127&lt;=230),0.7,AND($X127&gt;=140,$X127&lt;160),0.4,AND($X127&gt;230,$X127&lt;=250),0.4,TRUE,0.2),IFS(AND($X127&gt;=140,$X127&lt;=170),1,AND($X127&gt;=120,$X127&lt;140),0.7,AND($X127&gt;170,$X127&lt;=190),0.7,AND($X127&gt;=100,$X127&lt;120),0.4,AND($X127&gt;190,$X127&lt;=210),0.4,TRUE,0.2))))),1),""))</f>
        <v/>
      </c>
      <c r="Z127">
        <f>IF($A127="","",TEXTJOIN(", ",TRUE,IF($B127="","Тренировка",""),IF($C127="","Кардио",""),IF($D127="","Шаги",""),IF($E127="","Английский",""),IF($F127="","Код-режим",""),IF($G127="","Код-тема",""),IF($H127="","Чтение",""),IF($L127="","Сон",""),IF($M127="","Режим",""),IF($N127="","Продуктивность",""),IF($O127="","Настроение",""),IF($P127="","Энергия",""),IF($U127="","Еда","")))</f>
        <v/>
      </c>
    </row>
    <row r="128">
      <c r="A128" t="inlineStr"/>
      <c r="U128">
        <f>IF($A128="","",IF(SUMIF(FoodLog!$A:$A,$A128,FoodLog!$I:$I)=0,"",SUMIF(FoodLog!$A:$A,$A128,FoodLog!$I:$I)))</f>
        <v/>
      </c>
      <c r="V128">
        <f>IF($A128="","",IF(SUMIF(FoodLog!$A:$A,$A128,FoodLog!$F:$F)=0,"",SUMIF(FoodLog!$A:$A,$A128,FoodLog!$F:$F)))</f>
        <v/>
      </c>
      <c r="W128">
        <f>IF($A128="","",IF(SUMIF(FoodLog!$A:$A,$A128,FoodLog!$G:$G)=0,"",SUMIF(FoodLog!$A:$A,$A128,FoodLog!$G:$G)))</f>
        <v/>
      </c>
      <c r="X128">
        <f>IF($A128="","",IF(SUMIF(FoodLog!$A:$A,$A128,FoodLog!$H:$H)=0,"",SUMIF(FoodLog!$A:$A,$A128,FoodLog!$H:$H)))</f>
        <v/>
      </c>
      <c r="Y128">
        <f>IF($A128="","",IFERROR(ROUND(100*AVERAGE(IF($B128="","",XLOOKUP($B128,FILTER(Dictionaries!$B:$B,Dictionaries!$A:$A="Тренировка"),FILTER(Dictionaries!$C:$C,Dictionaries!$A:$A="Тренировка"))),IF($C128="","",MIN($C128/40,1)),IF($D128="","",XLOOKUP($D128,FILTER(Dictionaries!$B:$B,Dictionaries!$A:$A="Шаги"),FILTER(Dictionaries!$C:$C,Dictionaries!$A:$A="Шаги"))),IF($E128="","",MIN($E128/120,1)),IF(OR($F128&lt;&gt;"",$G128&lt;&gt;""),1,""),IF($H128="","",MIN($H128/100,1)),IF($L128="","",XLOOKUP($L128,FILTER(Dictionaries!$B:$B,Dictionaries!$A:$A="Сон_часы"),FILTER(Dictionaries!$C:$C,Dictionaries!$A:$A="Сон_часы"))),IF($M128="","",XLOOKUP($M128,FILTER(Dictionaries!$B:$B,Dictionaries!$A:$A="Режим"),FILTER(Dictionaries!$C:$C,Dictionaries!$A:$A="Режим"))),IF($N128="","",MIN($N128/100,1)),IF($O128="","",XLOOKUP($O128,FILTER(Dictionaries!$B:$B,Dictionaries!$A:$A="Настроение"),FILTER(Dictionaries!$C:$C,Dictionaries!$A:$A="Настроение"))),IF($P128="","",XLOOKUP($P128,FILTER(Dictionaries!$B:$B,Dictionaries!$A:$A="Энергия"),FILTER(Dictionaries!$C:$C,Dictionaries!$A:$A="Энергия"))),IF($U128="","",AVERAGE(IF(OR($B128="Ноги",$B128="Верх"),IFS(AND($U128&gt;=1900,$U128&lt;=2050),1,AND($U128&gt;=1850,$U128&lt;1900),0.7,AND($U128&gt;2050,$U128&lt;=2100),0.7,TRUE,0.2),IFS(AND($U128&gt;=1700,$U128&lt;=1850),1,AND($U128&gt;=1650,$U128&lt;1700),0.7,AND($U128&gt;1850,$U128&lt;=1900),0.7,TRUE,0.2)),IF(OR($B128="Ноги",$B128="Верх"),IFS(AND($V128&gt;=125,$V128&lt;=135),1,AND($V128&gt;=115,$V128&lt;125),0.7,AND($V128&gt;135,$V128&lt;=145),0.7,AND($V128&gt;=105,$V128&lt;115),0.4,AND($V128&gt;145,$V128&lt;=155),0.4,TRUE,0.2),IFS(AND($V128&gt;=120,$V128&lt;=130),1,AND($V128&gt;=110,$V128&lt;120),0.7,AND($V128&gt;130,$V128&lt;=140),0.7,AND($V128&gt;=100,$V128&lt;110),0.4,AND($V128&gt;140,$V128&lt;=150),0.4,TRUE,0.2)),IFS(AND($W128&gt;=55,$W128&lt;=65),1,AND($W128&gt;=50,$W128&lt;55),0.7,AND($W128&gt;65,$W128&lt;=70),0.7,AND($W128&gt;=45,$W128&lt;50),0.4,AND($W128&gt;70,$W128&lt;=75),0.4,TRUE,0.2),IF(OR($B128="Ноги",$B128="Верх"),IFS(AND($X128&gt;=180,$X128&lt;=210),1,AND($X128&gt;=160,$X128&lt;180),0.7,AND($X128&gt;210,$X128&lt;=230),0.7,AND($X128&gt;=140,$X128&lt;160),0.4,AND($X128&gt;230,$X128&lt;=250),0.4,TRUE,0.2),IFS(AND($X128&gt;=140,$X128&lt;=170),1,AND($X128&gt;=120,$X128&lt;140),0.7,AND($X128&gt;170,$X128&lt;=190),0.7,AND($X128&gt;=100,$X128&lt;120),0.4,AND($X128&gt;190,$X128&lt;=210),0.4,TRUE,0.2))))),1),""))</f>
        <v/>
      </c>
      <c r="Z128">
        <f>IF($A128="","",TEXTJOIN(", ",TRUE,IF($B128="","Тренировка",""),IF($C128="","Кардио",""),IF($D128="","Шаги",""),IF($E128="","Английский",""),IF($F128="","Код-режим",""),IF($G128="","Код-тема",""),IF($H128="","Чтение",""),IF($L128="","Сон",""),IF($M128="","Режим",""),IF($N128="","Продуктивность",""),IF($O128="","Настроение",""),IF($P128="","Энергия",""),IF($U128="","Еда","")))</f>
        <v/>
      </c>
    </row>
    <row r="129">
      <c r="A129" t="inlineStr"/>
      <c r="U129">
        <f>IF($A129="","",IF(SUMIF(FoodLog!$A:$A,$A129,FoodLog!$I:$I)=0,"",SUMIF(FoodLog!$A:$A,$A129,FoodLog!$I:$I)))</f>
        <v/>
      </c>
      <c r="V129">
        <f>IF($A129="","",IF(SUMIF(FoodLog!$A:$A,$A129,FoodLog!$F:$F)=0,"",SUMIF(FoodLog!$A:$A,$A129,FoodLog!$F:$F)))</f>
        <v/>
      </c>
      <c r="W129">
        <f>IF($A129="","",IF(SUMIF(FoodLog!$A:$A,$A129,FoodLog!$G:$G)=0,"",SUMIF(FoodLog!$A:$A,$A129,FoodLog!$G:$G)))</f>
        <v/>
      </c>
      <c r="X129">
        <f>IF($A129="","",IF(SUMIF(FoodLog!$A:$A,$A129,FoodLog!$H:$H)=0,"",SUMIF(FoodLog!$A:$A,$A129,FoodLog!$H:$H)))</f>
        <v/>
      </c>
      <c r="Y129">
        <f>IF($A129="","",IFERROR(ROUND(100*AVERAGE(IF($B129="","",XLOOKUP($B129,FILTER(Dictionaries!$B:$B,Dictionaries!$A:$A="Тренировка"),FILTER(Dictionaries!$C:$C,Dictionaries!$A:$A="Тренировка"))),IF($C129="","",MIN($C129/40,1)),IF($D129="","",XLOOKUP($D129,FILTER(Dictionaries!$B:$B,Dictionaries!$A:$A="Шаги"),FILTER(Dictionaries!$C:$C,Dictionaries!$A:$A="Шаги"))),IF($E129="","",MIN($E129/120,1)),IF(OR($F129&lt;&gt;"",$G129&lt;&gt;""),1,""),IF($H129="","",MIN($H129/100,1)),IF($L129="","",XLOOKUP($L129,FILTER(Dictionaries!$B:$B,Dictionaries!$A:$A="Сон_часы"),FILTER(Dictionaries!$C:$C,Dictionaries!$A:$A="Сон_часы"))),IF($M129="","",XLOOKUP($M129,FILTER(Dictionaries!$B:$B,Dictionaries!$A:$A="Режим"),FILTER(Dictionaries!$C:$C,Dictionaries!$A:$A="Режим"))),IF($N129="","",MIN($N129/100,1)),IF($O129="","",XLOOKUP($O129,FILTER(Dictionaries!$B:$B,Dictionaries!$A:$A="Настроение"),FILTER(Dictionaries!$C:$C,Dictionaries!$A:$A="Настроение"))),IF($P129="","",XLOOKUP($P129,FILTER(Dictionaries!$B:$B,Dictionaries!$A:$A="Энергия"),FILTER(Dictionaries!$C:$C,Dictionaries!$A:$A="Энергия"))),IF($U129="","",AVERAGE(IF(OR($B129="Ноги",$B129="Верх"),IFS(AND($U129&gt;=1900,$U129&lt;=2050),1,AND($U129&gt;=1850,$U129&lt;1900),0.7,AND($U129&gt;2050,$U129&lt;=2100),0.7,TRUE,0.2),IFS(AND($U129&gt;=1700,$U129&lt;=1850),1,AND($U129&gt;=1650,$U129&lt;1700),0.7,AND($U129&gt;1850,$U129&lt;=1900),0.7,TRUE,0.2)),IF(OR($B129="Ноги",$B129="Верх"),IFS(AND($V129&gt;=125,$V129&lt;=135),1,AND($V129&gt;=115,$V129&lt;125),0.7,AND($V129&gt;135,$V129&lt;=145),0.7,AND($V129&gt;=105,$V129&lt;115),0.4,AND($V129&gt;145,$V129&lt;=155),0.4,TRUE,0.2),IFS(AND($V129&gt;=120,$V129&lt;=130),1,AND($V129&gt;=110,$V129&lt;120),0.7,AND($V129&gt;130,$V129&lt;=140),0.7,AND($V129&gt;=100,$V129&lt;110),0.4,AND($V129&gt;140,$V129&lt;=150),0.4,TRUE,0.2)),IFS(AND($W129&gt;=55,$W129&lt;=65),1,AND($W129&gt;=50,$W129&lt;55),0.7,AND($W129&gt;65,$W129&lt;=70),0.7,AND($W129&gt;=45,$W129&lt;50),0.4,AND($W129&gt;70,$W129&lt;=75),0.4,TRUE,0.2),IF(OR($B129="Ноги",$B129="Верх"),IFS(AND($X129&gt;=180,$X129&lt;=210),1,AND($X129&gt;=160,$X129&lt;180),0.7,AND($X129&gt;210,$X129&lt;=230),0.7,AND($X129&gt;=140,$X129&lt;160),0.4,AND($X129&gt;230,$X129&lt;=250),0.4,TRUE,0.2),IFS(AND($X129&gt;=140,$X129&lt;=170),1,AND($X129&gt;=120,$X129&lt;140),0.7,AND($X129&gt;170,$X129&lt;=190),0.7,AND($X129&gt;=100,$X129&lt;120),0.4,AND($X129&gt;190,$X129&lt;=210),0.4,TRUE,0.2))))),1),""))</f>
        <v/>
      </c>
      <c r="Z129">
        <f>IF($A129="","",TEXTJOIN(", ",TRUE,IF($B129="","Тренировка",""),IF($C129="","Кардио",""),IF($D129="","Шаги",""),IF($E129="","Английский",""),IF($F129="","Код-режим",""),IF($G129="","Код-тема",""),IF($H129="","Чтение",""),IF($L129="","Сон",""),IF($M129="","Режим",""),IF($N129="","Продуктивность",""),IF($O129="","Настроение",""),IF($P129="","Энергия",""),IF($U129="","Еда","")))</f>
        <v/>
      </c>
    </row>
    <row r="130">
      <c r="A130" t="inlineStr"/>
      <c r="U130">
        <f>IF($A130="","",IF(SUMIF(FoodLog!$A:$A,$A130,FoodLog!$I:$I)=0,"",SUMIF(FoodLog!$A:$A,$A130,FoodLog!$I:$I)))</f>
        <v/>
      </c>
      <c r="V130">
        <f>IF($A130="","",IF(SUMIF(FoodLog!$A:$A,$A130,FoodLog!$F:$F)=0,"",SUMIF(FoodLog!$A:$A,$A130,FoodLog!$F:$F)))</f>
        <v/>
      </c>
      <c r="W130">
        <f>IF($A130="","",IF(SUMIF(FoodLog!$A:$A,$A130,FoodLog!$G:$G)=0,"",SUMIF(FoodLog!$A:$A,$A130,FoodLog!$G:$G)))</f>
        <v/>
      </c>
      <c r="X130">
        <f>IF($A130="","",IF(SUMIF(FoodLog!$A:$A,$A130,FoodLog!$H:$H)=0,"",SUMIF(FoodLog!$A:$A,$A130,FoodLog!$H:$H)))</f>
        <v/>
      </c>
      <c r="Y130">
        <f>IF($A130="","",IFERROR(ROUND(100*AVERAGE(IF($B130="","",XLOOKUP($B130,FILTER(Dictionaries!$B:$B,Dictionaries!$A:$A="Тренировка"),FILTER(Dictionaries!$C:$C,Dictionaries!$A:$A="Тренировка"))),IF($C130="","",MIN($C130/40,1)),IF($D130="","",XLOOKUP($D130,FILTER(Dictionaries!$B:$B,Dictionaries!$A:$A="Шаги"),FILTER(Dictionaries!$C:$C,Dictionaries!$A:$A="Шаги"))),IF($E130="","",MIN($E130/120,1)),IF(OR($F130&lt;&gt;"",$G130&lt;&gt;""),1,""),IF($H130="","",MIN($H130/100,1)),IF($L130="","",XLOOKUP($L130,FILTER(Dictionaries!$B:$B,Dictionaries!$A:$A="Сон_часы"),FILTER(Dictionaries!$C:$C,Dictionaries!$A:$A="Сон_часы"))),IF($M130="","",XLOOKUP($M130,FILTER(Dictionaries!$B:$B,Dictionaries!$A:$A="Режим"),FILTER(Dictionaries!$C:$C,Dictionaries!$A:$A="Режим"))),IF($N130="","",MIN($N130/100,1)),IF($O130="","",XLOOKUP($O130,FILTER(Dictionaries!$B:$B,Dictionaries!$A:$A="Настроение"),FILTER(Dictionaries!$C:$C,Dictionaries!$A:$A="Настроение"))),IF($P130="","",XLOOKUP($P130,FILTER(Dictionaries!$B:$B,Dictionaries!$A:$A="Энергия"),FILTER(Dictionaries!$C:$C,Dictionaries!$A:$A="Энергия"))),IF($U130="","",AVERAGE(IF(OR($B130="Ноги",$B130="Верх"),IFS(AND($U130&gt;=1900,$U130&lt;=2050),1,AND($U130&gt;=1850,$U130&lt;1900),0.7,AND($U130&gt;2050,$U130&lt;=2100),0.7,TRUE,0.2),IFS(AND($U130&gt;=1700,$U130&lt;=1850),1,AND($U130&gt;=1650,$U130&lt;1700),0.7,AND($U130&gt;1850,$U130&lt;=1900),0.7,TRUE,0.2)),IF(OR($B130="Ноги",$B130="Верх"),IFS(AND($V130&gt;=125,$V130&lt;=135),1,AND($V130&gt;=115,$V130&lt;125),0.7,AND($V130&gt;135,$V130&lt;=145),0.7,AND($V130&gt;=105,$V130&lt;115),0.4,AND($V130&gt;145,$V130&lt;=155),0.4,TRUE,0.2),IFS(AND($V130&gt;=120,$V130&lt;=130),1,AND($V130&gt;=110,$V130&lt;120),0.7,AND($V130&gt;130,$V130&lt;=140),0.7,AND($V130&gt;=100,$V130&lt;110),0.4,AND($V130&gt;140,$V130&lt;=150),0.4,TRUE,0.2)),IFS(AND($W130&gt;=55,$W130&lt;=65),1,AND($W130&gt;=50,$W130&lt;55),0.7,AND($W130&gt;65,$W130&lt;=70),0.7,AND($W130&gt;=45,$W130&lt;50),0.4,AND($W130&gt;70,$W130&lt;=75),0.4,TRUE,0.2),IF(OR($B130="Ноги",$B130="Верх"),IFS(AND($X130&gt;=180,$X130&lt;=210),1,AND($X130&gt;=160,$X130&lt;180),0.7,AND($X130&gt;210,$X130&lt;=230),0.7,AND($X130&gt;=140,$X130&lt;160),0.4,AND($X130&gt;230,$X130&lt;=250),0.4,TRUE,0.2),IFS(AND($X130&gt;=140,$X130&lt;=170),1,AND($X130&gt;=120,$X130&lt;140),0.7,AND($X130&gt;170,$X130&lt;=190),0.7,AND($X130&gt;=100,$X130&lt;120),0.4,AND($X130&gt;190,$X130&lt;=210),0.4,TRUE,0.2))))),1),""))</f>
        <v/>
      </c>
      <c r="Z130">
        <f>IF($A130="","",TEXTJOIN(", ",TRUE,IF($B130="","Тренировка",""),IF($C130="","Кардио",""),IF($D130="","Шаги",""),IF($E130="","Английский",""),IF($F130="","Код-режим",""),IF($G130="","Код-тема",""),IF($H130="","Чтение",""),IF($L130="","Сон",""),IF($M130="","Режим",""),IF($N130="","Продуктивность",""),IF($O130="","Настроение",""),IF($P130="","Энергия",""),IF($U130="","Еда","")))</f>
        <v/>
      </c>
    </row>
    <row r="131">
      <c r="A131" t="inlineStr"/>
      <c r="U131">
        <f>IF($A131="","",IF(SUMIF(FoodLog!$A:$A,$A131,FoodLog!$I:$I)=0,"",SUMIF(FoodLog!$A:$A,$A131,FoodLog!$I:$I)))</f>
        <v/>
      </c>
      <c r="V131">
        <f>IF($A131="","",IF(SUMIF(FoodLog!$A:$A,$A131,FoodLog!$F:$F)=0,"",SUMIF(FoodLog!$A:$A,$A131,FoodLog!$F:$F)))</f>
        <v/>
      </c>
      <c r="W131">
        <f>IF($A131="","",IF(SUMIF(FoodLog!$A:$A,$A131,FoodLog!$G:$G)=0,"",SUMIF(FoodLog!$A:$A,$A131,FoodLog!$G:$G)))</f>
        <v/>
      </c>
      <c r="X131">
        <f>IF($A131="","",IF(SUMIF(FoodLog!$A:$A,$A131,FoodLog!$H:$H)=0,"",SUMIF(FoodLog!$A:$A,$A131,FoodLog!$H:$H)))</f>
        <v/>
      </c>
      <c r="Y131">
        <f>IF($A131="","",IFERROR(ROUND(100*AVERAGE(IF($B131="","",XLOOKUP($B131,FILTER(Dictionaries!$B:$B,Dictionaries!$A:$A="Тренировка"),FILTER(Dictionaries!$C:$C,Dictionaries!$A:$A="Тренировка"))),IF($C131="","",MIN($C131/40,1)),IF($D131="","",XLOOKUP($D131,FILTER(Dictionaries!$B:$B,Dictionaries!$A:$A="Шаги"),FILTER(Dictionaries!$C:$C,Dictionaries!$A:$A="Шаги"))),IF($E131="","",MIN($E131/120,1)),IF(OR($F131&lt;&gt;"",$G131&lt;&gt;""),1,""),IF($H131="","",MIN($H131/100,1)),IF($L131="","",XLOOKUP($L131,FILTER(Dictionaries!$B:$B,Dictionaries!$A:$A="Сон_часы"),FILTER(Dictionaries!$C:$C,Dictionaries!$A:$A="Сон_часы"))),IF($M131="","",XLOOKUP($M131,FILTER(Dictionaries!$B:$B,Dictionaries!$A:$A="Режим"),FILTER(Dictionaries!$C:$C,Dictionaries!$A:$A="Режим"))),IF($N131="","",MIN($N131/100,1)),IF($O131="","",XLOOKUP($O131,FILTER(Dictionaries!$B:$B,Dictionaries!$A:$A="Настроение"),FILTER(Dictionaries!$C:$C,Dictionaries!$A:$A="Настроение"))),IF($P131="","",XLOOKUP($P131,FILTER(Dictionaries!$B:$B,Dictionaries!$A:$A="Энергия"),FILTER(Dictionaries!$C:$C,Dictionaries!$A:$A="Энергия"))),IF($U131="","",AVERAGE(IF(OR($B131="Ноги",$B131="Верх"),IFS(AND($U131&gt;=1900,$U131&lt;=2050),1,AND($U131&gt;=1850,$U131&lt;1900),0.7,AND($U131&gt;2050,$U131&lt;=2100),0.7,TRUE,0.2),IFS(AND($U131&gt;=1700,$U131&lt;=1850),1,AND($U131&gt;=1650,$U131&lt;1700),0.7,AND($U131&gt;1850,$U131&lt;=1900),0.7,TRUE,0.2)),IF(OR($B131="Ноги",$B131="Верх"),IFS(AND($V131&gt;=125,$V131&lt;=135),1,AND($V131&gt;=115,$V131&lt;125),0.7,AND($V131&gt;135,$V131&lt;=145),0.7,AND($V131&gt;=105,$V131&lt;115),0.4,AND($V131&gt;145,$V131&lt;=155),0.4,TRUE,0.2),IFS(AND($V131&gt;=120,$V131&lt;=130),1,AND($V131&gt;=110,$V131&lt;120),0.7,AND($V131&gt;130,$V131&lt;=140),0.7,AND($V131&gt;=100,$V131&lt;110),0.4,AND($V131&gt;140,$V131&lt;=150),0.4,TRUE,0.2)),IFS(AND($W131&gt;=55,$W131&lt;=65),1,AND($W131&gt;=50,$W131&lt;55),0.7,AND($W131&gt;65,$W131&lt;=70),0.7,AND($W131&gt;=45,$W131&lt;50),0.4,AND($W131&gt;70,$W131&lt;=75),0.4,TRUE,0.2),IF(OR($B131="Ноги",$B131="Верх"),IFS(AND($X131&gt;=180,$X131&lt;=210),1,AND($X131&gt;=160,$X131&lt;180),0.7,AND($X131&gt;210,$X131&lt;=230),0.7,AND($X131&gt;=140,$X131&lt;160),0.4,AND($X131&gt;230,$X131&lt;=250),0.4,TRUE,0.2),IFS(AND($X131&gt;=140,$X131&lt;=170),1,AND($X131&gt;=120,$X131&lt;140),0.7,AND($X131&gt;170,$X131&lt;=190),0.7,AND($X131&gt;=100,$X131&lt;120),0.4,AND($X131&gt;190,$X131&lt;=210),0.4,TRUE,0.2))))),1),""))</f>
        <v/>
      </c>
      <c r="Z131">
        <f>IF($A131="","",TEXTJOIN(", ",TRUE,IF($B131="","Тренировка",""),IF($C131="","Кардио",""),IF($D131="","Шаги",""),IF($E131="","Английский",""),IF($F131="","Код-режим",""),IF($G131="","Код-тема",""),IF($H131="","Чтение",""),IF($L131="","Сон",""),IF($M131="","Режим",""),IF($N131="","Продуктивность",""),IF($O131="","Настроение",""),IF($P131="","Энергия",""),IF($U131="","Еда","")))</f>
        <v/>
      </c>
    </row>
    <row r="132">
      <c r="A132" t="inlineStr"/>
      <c r="U132">
        <f>IF($A132="","",IF(SUMIF(FoodLog!$A:$A,$A132,FoodLog!$I:$I)=0,"",SUMIF(FoodLog!$A:$A,$A132,FoodLog!$I:$I)))</f>
        <v/>
      </c>
      <c r="V132">
        <f>IF($A132="","",IF(SUMIF(FoodLog!$A:$A,$A132,FoodLog!$F:$F)=0,"",SUMIF(FoodLog!$A:$A,$A132,FoodLog!$F:$F)))</f>
        <v/>
      </c>
      <c r="W132">
        <f>IF($A132="","",IF(SUMIF(FoodLog!$A:$A,$A132,FoodLog!$G:$G)=0,"",SUMIF(FoodLog!$A:$A,$A132,FoodLog!$G:$G)))</f>
        <v/>
      </c>
      <c r="X132">
        <f>IF($A132="","",IF(SUMIF(FoodLog!$A:$A,$A132,FoodLog!$H:$H)=0,"",SUMIF(FoodLog!$A:$A,$A132,FoodLog!$H:$H)))</f>
        <v/>
      </c>
      <c r="Y132">
        <f>IF($A132="","",IFERROR(ROUND(100*AVERAGE(IF($B132="","",XLOOKUP($B132,FILTER(Dictionaries!$B:$B,Dictionaries!$A:$A="Тренировка"),FILTER(Dictionaries!$C:$C,Dictionaries!$A:$A="Тренировка"))),IF($C132="","",MIN($C132/40,1)),IF($D132="","",XLOOKUP($D132,FILTER(Dictionaries!$B:$B,Dictionaries!$A:$A="Шаги"),FILTER(Dictionaries!$C:$C,Dictionaries!$A:$A="Шаги"))),IF($E132="","",MIN($E132/120,1)),IF(OR($F132&lt;&gt;"",$G132&lt;&gt;""),1,""),IF($H132="","",MIN($H132/100,1)),IF($L132="","",XLOOKUP($L132,FILTER(Dictionaries!$B:$B,Dictionaries!$A:$A="Сон_часы"),FILTER(Dictionaries!$C:$C,Dictionaries!$A:$A="Сон_часы"))),IF($M132="","",XLOOKUP($M132,FILTER(Dictionaries!$B:$B,Dictionaries!$A:$A="Режим"),FILTER(Dictionaries!$C:$C,Dictionaries!$A:$A="Режим"))),IF($N132="","",MIN($N132/100,1)),IF($O132="","",XLOOKUP($O132,FILTER(Dictionaries!$B:$B,Dictionaries!$A:$A="Настроение"),FILTER(Dictionaries!$C:$C,Dictionaries!$A:$A="Настроение"))),IF($P132="","",XLOOKUP($P132,FILTER(Dictionaries!$B:$B,Dictionaries!$A:$A="Энергия"),FILTER(Dictionaries!$C:$C,Dictionaries!$A:$A="Энергия"))),IF($U132="","",AVERAGE(IF(OR($B132="Ноги",$B132="Верх"),IFS(AND($U132&gt;=1900,$U132&lt;=2050),1,AND($U132&gt;=1850,$U132&lt;1900),0.7,AND($U132&gt;2050,$U132&lt;=2100),0.7,TRUE,0.2),IFS(AND($U132&gt;=1700,$U132&lt;=1850),1,AND($U132&gt;=1650,$U132&lt;1700),0.7,AND($U132&gt;1850,$U132&lt;=1900),0.7,TRUE,0.2)),IF(OR($B132="Ноги",$B132="Верх"),IFS(AND($V132&gt;=125,$V132&lt;=135),1,AND($V132&gt;=115,$V132&lt;125),0.7,AND($V132&gt;135,$V132&lt;=145),0.7,AND($V132&gt;=105,$V132&lt;115),0.4,AND($V132&gt;145,$V132&lt;=155),0.4,TRUE,0.2),IFS(AND($V132&gt;=120,$V132&lt;=130),1,AND($V132&gt;=110,$V132&lt;120),0.7,AND($V132&gt;130,$V132&lt;=140),0.7,AND($V132&gt;=100,$V132&lt;110),0.4,AND($V132&gt;140,$V132&lt;=150),0.4,TRUE,0.2)),IFS(AND($W132&gt;=55,$W132&lt;=65),1,AND($W132&gt;=50,$W132&lt;55),0.7,AND($W132&gt;65,$W132&lt;=70),0.7,AND($W132&gt;=45,$W132&lt;50),0.4,AND($W132&gt;70,$W132&lt;=75),0.4,TRUE,0.2),IF(OR($B132="Ноги",$B132="Верх"),IFS(AND($X132&gt;=180,$X132&lt;=210),1,AND($X132&gt;=160,$X132&lt;180),0.7,AND($X132&gt;210,$X132&lt;=230),0.7,AND($X132&gt;=140,$X132&lt;160),0.4,AND($X132&gt;230,$X132&lt;=250),0.4,TRUE,0.2),IFS(AND($X132&gt;=140,$X132&lt;=170),1,AND($X132&gt;=120,$X132&lt;140),0.7,AND($X132&gt;170,$X132&lt;=190),0.7,AND($X132&gt;=100,$X132&lt;120),0.4,AND($X132&gt;190,$X132&lt;=210),0.4,TRUE,0.2))))),1),""))</f>
        <v/>
      </c>
      <c r="Z132">
        <f>IF($A132="","",TEXTJOIN(", ",TRUE,IF($B132="","Тренировка",""),IF($C132="","Кардио",""),IF($D132="","Шаги",""),IF($E132="","Английский",""),IF($F132="","Код-режим",""),IF($G132="","Код-тема",""),IF($H132="","Чтение",""),IF($L132="","Сон",""),IF($M132="","Режим",""),IF($N132="","Продуктивность",""),IF($O132="","Настроение",""),IF($P132="","Энергия",""),IF($U132="","Еда","")))</f>
        <v/>
      </c>
    </row>
    <row r="133">
      <c r="A133" t="inlineStr"/>
      <c r="U133">
        <f>IF($A133="","",IF(SUMIF(FoodLog!$A:$A,$A133,FoodLog!$I:$I)=0,"",SUMIF(FoodLog!$A:$A,$A133,FoodLog!$I:$I)))</f>
        <v/>
      </c>
      <c r="V133">
        <f>IF($A133="","",IF(SUMIF(FoodLog!$A:$A,$A133,FoodLog!$F:$F)=0,"",SUMIF(FoodLog!$A:$A,$A133,FoodLog!$F:$F)))</f>
        <v/>
      </c>
      <c r="W133">
        <f>IF($A133="","",IF(SUMIF(FoodLog!$A:$A,$A133,FoodLog!$G:$G)=0,"",SUMIF(FoodLog!$A:$A,$A133,FoodLog!$G:$G)))</f>
        <v/>
      </c>
      <c r="X133">
        <f>IF($A133="","",IF(SUMIF(FoodLog!$A:$A,$A133,FoodLog!$H:$H)=0,"",SUMIF(FoodLog!$A:$A,$A133,FoodLog!$H:$H)))</f>
        <v/>
      </c>
      <c r="Y133">
        <f>IF($A133="","",IFERROR(ROUND(100*AVERAGE(IF($B133="","",XLOOKUP($B133,FILTER(Dictionaries!$B:$B,Dictionaries!$A:$A="Тренировка"),FILTER(Dictionaries!$C:$C,Dictionaries!$A:$A="Тренировка"))),IF($C133="","",MIN($C133/40,1)),IF($D133="","",XLOOKUP($D133,FILTER(Dictionaries!$B:$B,Dictionaries!$A:$A="Шаги"),FILTER(Dictionaries!$C:$C,Dictionaries!$A:$A="Шаги"))),IF($E133="","",MIN($E133/120,1)),IF(OR($F133&lt;&gt;"",$G133&lt;&gt;""),1,""),IF($H133="","",MIN($H133/100,1)),IF($L133="","",XLOOKUP($L133,FILTER(Dictionaries!$B:$B,Dictionaries!$A:$A="Сон_часы"),FILTER(Dictionaries!$C:$C,Dictionaries!$A:$A="Сон_часы"))),IF($M133="","",XLOOKUP($M133,FILTER(Dictionaries!$B:$B,Dictionaries!$A:$A="Режим"),FILTER(Dictionaries!$C:$C,Dictionaries!$A:$A="Режим"))),IF($N133="","",MIN($N133/100,1)),IF($O133="","",XLOOKUP($O133,FILTER(Dictionaries!$B:$B,Dictionaries!$A:$A="Настроение"),FILTER(Dictionaries!$C:$C,Dictionaries!$A:$A="Настроение"))),IF($P133="","",XLOOKUP($P133,FILTER(Dictionaries!$B:$B,Dictionaries!$A:$A="Энергия"),FILTER(Dictionaries!$C:$C,Dictionaries!$A:$A="Энергия"))),IF($U133="","",AVERAGE(IF(OR($B133="Ноги",$B133="Верх"),IFS(AND($U133&gt;=1900,$U133&lt;=2050),1,AND($U133&gt;=1850,$U133&lt;1900),0.7,AND($U133&gt;2050,$U133&lt;=2100),0.7,TRUE,0.2),IFS(AND($U133&gt;=1700,$U133&lt;=1850),1,AND($U133&gt;=1650,$U133&lt;1700),0.7,AND($U133&gt;1850,$U133&lt;=1900),0.7,TRUE,0.2)),IF(OR($B133="Ноги",$B133="Верх"),IFS(AND($V133&gt;=125,$V133&lt;=135),1,AND($V133&gt;=115,$V133&lt;125),0.7,AND($V133&gt;135,$V133&lt;=145),0.7,AND($V133&gt;=105,$V133&lt;115),0.4,AND($V133&gt;145,$V133&lt;=155),0.4,TRUE,0.2),IFS(AND($V133&gt;=120,$V133&lt;=130),1,AND($V133&gt;=110,$V133&lt;120),0.7,AND($V133&gt;130,$V133&lt;=140),0.7,AND($V133&gt;=100,$V133&lt;110),0.4,AND($V133&gt;140,$V133&lt;=150),0.4,TRUE,0.2)),IFS(AND($W133&gt;=55,$W133&lt;=65),1,AND($W133&gt;=50,$W133&lt;55),0.7,AND($W133&gt;65,$W133&lt;=70),0.7,AND($W133&gt;=45,$W133&lt;50),0.4,AND($W133&gt;70,$W133&lt;=75),0.4,TRUE,0.2),IF(OR($B133="Ноги",$B133="Верх"),IFS(AND($X133&gt;=180,$X133&lt;=210),1,AND($X133&gt;=160,$X133&lt;180),0.7,AND($X133&gt;210,$X133&lt;=230),0.7,AND($X133&gt;=140,$X133&lt;160),0.4,AND($X133&gt;230,$X133&lt;=250),0.4,TRUE,0.2),IFS(AND($X133&gt;=140,$X133&lt;=170),1,AND($X133&gt;=120,$X133&lt;140),0.7,AND($X133&gt;170,$X133&lt;=190),0.7,AND($X133&gt;=100,$X133&lt;120),0.4,AND($X133&gt;190,$X133&lt;=210),0.4,TRUE,0.2))))),1),""))</f>
        <v/>
      </c>
      <c r="Z133">
        <f>IF($A133="","",TEXTJOIN(", ",TRUE,IF($B133="","Тренировка",""),IF($C133="","Кардио",""),IF($D133="","Шаги",""),IF($E133="","Английский",""),IF($F133="","Код-режим",""),IF($G133="","Код-тема",""),IF($H133="","Чтение",""),IF($L133="","Сон",""),IF($M133="","Режим",""),IF($N133="","Продуктивность",""),IF($O133="","Настроение",""),IF($P133="","Энергия",""),IF($U133="","Еда","")))</f>
        <v/>
      </c>
    </row>
    <row r="134">
      <c r="A134" t="inlineStr"/>
      <c r="U134">
        <f>IF($A134="","",IF(SUMIF(FoodLog!$A:$A,$A134,FoodLog!$I:$I)=0,"",SUMIF(FoodLog!$A:$A,$A134,FoodLog!$I:$I)))</f>
        <v/>
      </c>
      <c r="V134">
        <f>IF($A134="","",IF(SUMIF(FoodLog!$A:$A,$A134,FoodLog!$F:$F)=0,"",SUMIF(FoodLog!$A:$A,$A134,FoodLog!$F:$F)))</f>
        <v/>
      </c>
      <c r="W134">
        <f>IF($A134="","",IF(SUMIF(FoodLog!$A:$A,$A134,FoodLog!$G:$G)=0,"",SUMIF(FoodLog!$A:$A,$A134,FoodLog!$G:$G)))</f>
        <v/>
      </c>
      <c r="X134">
        <f>IF($A134="","",IF(SUMIF(FoodLog!$A:$A,$A134,FoodLog!$H:$H)=0,"",SUMIF(FoodLog!$A:$A,$A134,FoodLog!$H:$H)))</f>
        <v/>
      </c>
      <c r="Y134">
        <f>IF($A134="","",IFERROR(ROUND(100*AVERAGE(IF($B134="","",XLOOKUP($B134,FILTER(Dictionaries!$B:$B,Dictionaries!$A:$A="Тренировка"),FILTER(Dictionaries!$C:$C,Dictionaries!$A:$A="Тренировка"))),IF($C134="","",MIN($C134/40,1)),IF($D134="","",XLOOKUP($D134,FILTER(Dictionaries!$B:$B,Dictionaries!$A:$A="Шаги"),FILTER(Dictionaries!$C:$C,Dictionaries!$A:$A="Шаги"))),IF($E134="","",MIN($E134/120,1)),IF(OR($F134&lt;&gt;"",$G134&lt;&gt;""),1,""),IF($H134="","",MIN($H134/100,1)),IF($L134="","",XLOOKUP($L134,FILTER(Dictionaries!$B:$B,Dictionaries!$A:$A="Сон_часы"),FILTER(Dictionaries!$C:$C,Dictionaries!$A:$A="Сон_часы"))),IF($M134="","",XLOOKUP($M134,FILTER(Dictionaries!$B:$B,Dictionaries!$A:$A="Режим"),FILTER(Dictionaries!$C:$C,Dictionaries!$A:$A="Режим"))),IF($N134="","",MIN($N134/100,1)),IF($O134="","",XLOOKUP($O134,FILTER(Dictionaries!$B:$B,Dictionaries!$A:$A="Настроение"),FILTER(Dictionaries!$C:$C,Dictionaries!$A:$A="Настроение"))),IF($P134="","",XLOOKUP($P134,FILTER(Dictionaries!$B:$B,Dictionaries!$A:$A="Энергия"),FILTER(Dictionaries!$C:$C,Dictionaries!$A:$A="Энергия"))),IF($U134="","",AVERAGE(IF(OR($B134="Ноги",$B134="Верх"),IFS(AND($U134&gt;=1900,$U134&lt;=2050),1,AND($U134&gt;=1850,$U134&lt;1900),0.7,AND($U134&gt;2050,$U134&lt;=2100),0.7,TRUE,0.2),IFS(AND($U134&gt;=1700,$U134&lt;=1850),1,AND($U134&gt;=1650,$U134&lt;1700),0.7,AND($U134&gt;1850,$U134&lt;=1900),0.7,TRUE,0.2)),IF(OR($B134="Ноги",$B134="Верх"),IFS(AND($V134&gt;=125,$V134&lt;=135),1,AND($V134&gt;=115,$V134&lt;125),0.7,AND($V134&gt;135,$V134&lt;=145),0.7,AND($V134&gt;=105,$V134&lt;115),0.4,AND($V134&gt;145,$V134&lt;=155),0.4,TRUE,0.2),IFS(AND($V134&gt;=120,$V134&lt;=130),1,AND($V134&gt;=110,$V134&lt;120),0.7,AND($V134&gt;130,$V134&lt;=140),0.7,AND($V134&gt;=100,$V134&lt;110),0.4,AND($V134&gt;140,$V134&lt;=150),0.4,TRUE,0.2)),IFS(AND($W134&gt;=55,$W134&lt;=65),1,AND($W134&gt;=50,$W134&lt;55),0.7,AND($W134&gt;65,$W134&lt;=70),0.7,AND($W134&gt;=45,$W134&lt;50),0.4,AND($W134&gt;70,$W134&lt;=75),0.4,TRUE,0.2),IF(OR($B134="Ноги",$B134="Верх"),IFS(AND($X134&gt;=180,$X134&lt;=210),1,AND($X134&gt;=160,$X134&lt;180),0.7,AND($X134&gt;210,$X134&lt;=230),0.7,AND($X134&gt;=140,$X134&lt;160),0.4,AND($X134&gt;230,$X134&lt;=250),0.4,TRUE,0.2),IFS(AND($X134&gt;=140,$X134&lt;=170),1,AND($X134&gt;=120,$X134&lt;140),0.7,AND($X134&gt;170,$X134&lt;=190),0.7,AND($X134&gt;=100,$X134&lt;120),0.4,AND($X134&gt;190,$X134&lt;=210),0.4,TRUE,0.2))))),1),""))</f>
        <v/>
      </c>
      <c r="Z134">
        <f>IF($A134="","",TEXTJOIN(", ",TRUE,IF($B134="","Тренировка",""),IF($C134="","Кардио",""),IF($D134="","Шаги",""),IF($E134="","Английский",""),IF($F134="","Код-режим",""),IF($G134="","Код-тема",""),IF($H134="","Чтение",""),IF($L134="","Сон",""),IF($M134="","Режим",""),IF($N134="","Продуктивность",""),IF($O134="","Настроение",""),IF($P134="","Энергия",""),IF($U134="","Еда","")))</f>
        <v/>
      </c>
    </row>
    <row r="135">
      <c r="A135" t="inlineStr"/>
      <c r="U135">
        <f>IF($A135="","",IF(SUMIF(FoodLog!$A:$A,$A135,FoodLog!$I:$I)=0,"",SUMIF(FoodLog!$A:$A,$A135,FoodLog!$I:$I)))</f>
        <v/>
      </c>
      <c r="V135">
        <f>IF($A135="","",IF(SUMIF(FoodLog!$A:$A,$A135,FoodLog!$F:$F)=0,"",SUMIF(FoodLog!$A:$A,$A135,FoodLog!$F:$F)))</f>
        <v/>
      </c>
      <c r="W135">
        <f>IF($A135="","",IF(SUMIF(FoodLog!$A:$A,$A135,FoodLog!$G:$G)=0,"",SUMIF(FoodLog!$A:$A,$A135,FoodLog!$G:$G)))</f>
        <v/>
      </c>
      <c r="X135">
        <f>IF($A135="","",IF(SUMIF(FoodLog!$A:$A,$A135,FoodLog!$H:$H)=0,"",SUMIF(FoodLog!$A:$A,$A135,FoodLog!$H:$H)))</f>
        <v/>
      </c>
      <c r="Y135">
        <f>IF($A135="","",IFERROR(ROUND(100*AVERAGE(IF($B135="","",XLOOKUP($B135,FILTER(Dictionaries!$B:$B,Dictionaries!$A:$A="Тренировка"),FILTER(Dictionaries!$C:$C,Dictionaries!$A:$A="Тренировка"))),IF($C135="","",MIN($C135/40,1)),IF($D135="","",XLOOKUP($D135,FILTER(Dictionaries!$B:$B,Dictionaries!$A:$A="Шаги"),FILTER(Dictionaries!$C:$C,Dictionaries!$A:$A="Шаги"))),IF($E135="","",MIN($E135/120,1)),IF(OR($F135&lt;&gt;"",$G135&lt;&gt;""),1,""),IF($H135="","",MIN($H135/100,1)),IF($L135="","",XLOOKUP($L135,FILTER(Dictionaries!$B:$B,Dictionaries!$A:$A="Сон_часы"),FILTER(Dictionaries!$C:$C,Dictionaries!$A:$A="Сон_часы"))),IF($M135="","",XLOOKUP($M135,FILTER(Dictionaries!$B:$B,Dictionaries!$A:$A="Режим"),FILTER(Dictionaries!$C:$C,Dictionaries!$A:$A="Режим"))),IF($N135="","",MIN($N135/100,1)),IF($O135="","",XLOOKUP($O135,FILTER(Dictionaries!$B:$B,Dictionaries!$A:$A="Настроение"),FILTER(Dictionaries!$C:$C,Dictionaries!$A:$A="Настроение"))),IF($P135="","",XLOOKUP($P135,FILTER(Dictionaries!$B:$B,Dictionaries!$A:$A="Энергия"),FILTER(Dictionaries!$C:$C,Dictionaries!$A:$A="Энергия"))),IF($U135="","",AVERAGE(IF(OR($B135="Ноги",$B135="Верх"),IFS(AND($U135&gt;=1900,$U135&lt;=2050),1,AND($U135&gt;=1850,$U135&lt;1900),0.7,AND($U135&gt;2050,$U135&lt;=2100),0.7,TRUE,0.2),IFS(AND($U135&gt;=1700,$U135&lt;=1850),1,AND($U135&gt;=1650,$U135&lt;1700),0.7,AND($U135&gt;1850,$U135&lt;=1900),0.7,TRUE,0.2)),IF(OR($B135="Ноги",$B135="Верх"),IFS(AND($V135&gt;=125,$V135&lt;=135),1,AND($V135&gt;=115,$V135&lt;125),0.7,AND($V135&gt;135,$V135&lt;=145),0.7,AND($V135&gt;=105,$V135&lt;115),0.4,AND($V135&gt;145,$V135&lt;=155),0.4,TRUE,0.2),IFS(AND($V135&gt;=120,$V135&lt;=130),1,AND($V135&gt;=110,$V135&lt;120),0.7,AND($V135&gt;130,$V135&lt;=140),0.7,AND($V135&gt;=100,$V135&lt;110),0.4,AND($V135&gt;140,$V135&lt;=150),0.4,TRUE,0.2)),IFS(AND($W135&gt;=55,$W135&lt;=65),1,AND($W135&gt;=50,$W135&lt;55),0.7,AND($W135&gt;65,$W135&lt;=70),0.7,AND($W135&gt;=45,$W135&lt;50),0.4,AND($W135&gt;70,$W135&lt;=75),0.4,TRUE,0.2),IF(OR($B135="Ноги",$B135="Верх"),IFS(AND($X135&gt;=180,$X135&lt;=210),1,AND($X135&gt;=160,$X135&lt;180),0.7,AND($X135&gt;210,$X135&lt;=230),0.7,AND($X135&gt;=140,$X135&lt;160),0.4,AND($X135&gt;230,$X135&lt;=250),0.4,TRUE,0.2),IFS(AND($X135&gt;=140,$X135&lt;=170),1,AND($X135&gt;=120,$X135&lt;140),0.7,AND($X135&gt;170,$X135&lt;=190),0.7,AND($X135&gt;=100,$X135&lt;120),0.4,AND($X135&gt;190,$X135&lt;=210),0.4,TRUE,0.2))))),1),""))</f>
        <v/>
      </c>
      <c r="Z135">
        <f>IF($A135="","",TEXTJOIN(", ",TRUE,IF($B135="","Тренировка",""),IF($C135="","Кардио",""),IF($D135="","Шаги",""),IF($E135="","Английский",""),IF($F135="","Код-режим",""),IF($G135="","Код-тема",""),IF($H135="","Чтение",""),IF($L135="","Сон",""),IF($M135="","Режим",""),IF($N135="","Продуктивность",""),IF($O135="","Настроение",""),IF($P135="","Энергия",""),IF($U135="","Еда","")))</f>
        <v/>
      </c>
    </row>
    <row r="136">
      <c r="A136" t="inlineStr"/>
      <c r="U136">
        <f>IF($A136="","",IF(SUMIF(FoodLog!$A:$A,$A136,FoodLog!$I:$I)=0,"",SUMIF(FoodLog!$A:$A,$A136,FoodLog!$I:$I)))</f>
        <v/>
      </c>
      <c r="V136">
        <f>IF($A136="","",IF(SUMIF(FoodLog!$A:$A,$A136,FoodLog!$F:$F)=0,"",SUMIF(FoodLog!$A:$A,$A136,FoodLog!$F:$F)))</f>
        <v/>
      </c>
      <c r="W136">
        <f>IF($A136="","",IF(SUMIF(FoodLog!$A:$A,$A136,FoodLog!$G:$G)=0,"",SUMIF(FoodLog!$A:$A,$A136,FoodLog!$G:$G)))</f>
        <v/>
      </c>
      <c r="X136">
        <f>IF($A136="","",IF(SUMIF(FoodLog!$A:$A,$A136,FoodLog!$H:$H)=0,"",SUMIF(FoodLog!$A:$A,$A136,FoodLog!$H:$H)))</f>
        <v/>
      </c>
      <c r="Y136">
        <f>IF($A136="","",IFERROR(ROUND(100*AVERAGE(IF($B136="","",XLOOKUP($B136,FILTER(Dictionaries!$B:$B,Dictionaries!$A:$A="Тренировка"),FILTER(Dictionaries!$C:$C,Dictionaries!$A:$A="Тренировка"))),IF($C136="","",MIN($C136/40,1)),IF($D136="","",XLOOKUP($D136,FILTER(Dictionaries!$B:$B,Dictionaries!$A:$A="Шаги"),FILTER(Dictionaries!$C:$C,Dictionaries!$A:$A="Шаги"))),IF($E136="","",MIN($E136/120,1)),IF(OR($F136&lt;&gt;"",$G136&lt;&gt;""),1,""),IF($H136="","",MIN($H136/100,1)),IF($L136="","",XLOOKUP($L136,FILTER(Dictionaries!$B:$B,Dictionaries!$A:$A="Сон_часы"),FILTER(Dictionaries!$C:$C,Dictionaries!$A:$A="Сон_часы"))),IF($M136="","",XLOOKUP($M136,FILTER(Dictionaries!$B:$B,Dictionaries!$A:$A="Режим"),FILTER(Dictionaries!$C:$C,Dictionaries!$A:$A="Режим"))),IF($N136="","",MIN($N136/100,1)),IF($O136="","",XLOOKUP($O136,FILTER(Dictionaries!$B:$B,Dictionaries!$A:$A="Настроение"),FILTER(Dictionaries!$C:$C,Dictionaries!$A:$A="Настроение"))),IF($P136="","",XLOOKUP($P136,FILTER(Dictionaries!$B:$B,Dictionaries!$A:$A="Энергия"),FILTER(Dictionaries!$C:$C,Dictionaries!$A:$A="Энергия"))),IF($U136="","",AVERAGE(IF(OR($B136="Ноги",$B136="Верх"),IFS(AND($U136&gt;=1900,$U136&lt;=2050),1,AND($U136&gt;=1850,$U136&lt;1900),0.7,AND($U136&gt;2050,$U136&lt;=2100),0.7,TRUE,0.2),IFS(AND($U136&gt;=1700,$U136&lt;=1850),1,AND($U136&gt;=1650,$U136&lt;1700),0.7,AND($U136&gt;1850,$U136&lt;=1900),0.7,TRUE,0.2)),IF(OR($B136="Ноги",$B136="Верх"),IFS(AND($V136&gt;=125,$V136&lt;=135),1,AND($V136&gt;=115,$V136&lt;125),0.7,AND($V136&gt;135,$V136&lt;=145),0.7,AND($V136&gt;=105,$V136&lt;115),0.4,AND($V136&gt;145,$V136&lt;=155),0.4,TRUE,0.2),IFS(AND($V136&gt;=120,$V136&lt;=130),1,AND($V136&gt;=110,$V136&lt;120),0.7,AND($V136&gt;130,$V136&lt;=140),0.7,AND($V136&gt;=100,$V136&lt;110),0.4,AND($V136&gt;140,$V136&lt;=150),0.4,TRUE,0.2)),IFS(AND($W136&gt;=55,$W136&lt;=65),1,AND($W136&gt;=50,$W136&lt;55),0.7,AND($W136&gt;65,$W136&lt;=70),0.7,AND($W136&gt;=45,$W136&lt;50),0.4,AND($W136&gt;70,$W136&lt;=75),0.4,TRUE,0.2),IF(OR($B136="Ноги",$B136="Верх"),IFS(AND($X136&gt;=180,$X136&lt;=210),1,AND($X136&gt;=160,$X136&lt;180),0.7,AND($X136&gt;210,$X136&lt;=230),0.7,AND($X136&gt;=140,$X136&lt;160),0.4,AND($X136&gt;230,$X136&lt;=250),0.4,TRUE,0.2),IFS(AND($X136&gt;=140,$X136&lt;=170),1,AND($X136&gt;=120,$X136&lt;140),0.7,AND($X136&gt;170,$X136&lt;=190),0.7,AND($X136&gt;=100,$X136&lt;120),0.4,AND($X136&gt;190,$X136&lt;=210),0.4,TRUE,0.2))))),1),""))</f>
        <v/>
      </c>
      <c r="Z136">
        <f>IF($A136="","",TEXTJOIN(", ",TRUE,IF($B136="","Тренировка",""),IF($C136="","Кардио",""),IF($D136="","Шаги",""),IF($E136="","Английский",""),IF($F136="","Код-режим",""),IF($G136="","Код-тема",""),IF($H136="","Чтение",""),IF($L136="","Сон",""),IF($M136="","Режим",""),IF($N136="","Продуктивность",""),IF($O136="","Настроение",""),IF($P136="","Энергия",""),IF($U136="","Еда","")))</f>
        <v/>
      </c>
    </row>
    <row r="137">
      <c r="A137" t="inlineStr"/>
      <c r="U137">
        <f>IF($A137="","",IF(SUMIF(FoodLog!$A:$A,$A137,FoodLog!$I:$I)=0,"",SUMIF(FoodLog!$A:$A,$A137,FoodLog!$I:$I)))</f>
        <v/>
      </c>
      <c r="V137">
        <f>IF($A137="","",IF(SUMIF(FoodLog!$A:$A,$A137,FoodLog!$F:$F)=0,"",SUMIF(FoodLog!$A:$A,$A137,FoodLog!$F:$F)))</f>
        <v/>
      </c>
      <c r="W137">
        <f>IF($A137="","",IF(SUMIF(FoodLog!$A:$A,$A137,FoodLog!$G:$G)=0,"",SUMIF(FoodLog!$A:$A,$A137,FoodLog!$G:$G)))</f>
        <v/>
      </c>
      <c r="X137">
        <f>IF($A137="","",IF(SUMIF(FoodLog!$A:$A,$A137,FoodLog!$H:$H)=0,"",SUMIF(FoodLog!$A:$A,$A137,FoodLog!$H:$H)))</f>
        <v/>
      </c>
      <c r="Y137">
        <f>IF($A137="","",IFERROR(ROUND(100*AVERAGE(IF($B137="","",XLOOKUP($B137,FILTER(Dictionaries!$B:$B,Dictionaries!$A:$A="Тренировка"),FILTER(Dictionaries!$C:$C,Dictionaries!$A:$A="Тренировка"))),IF($C137="","",MIN($C137/40,1)),IF($D137="","",XLOOKUP($D137,FILTER(Dictionaries!$B:$B,Dictionaries!$A:$A="Шаги"),FILTER(Dictionaries!$C:$C,Dictionaries!$A:$A="Шаги"))),IF($E137="","",MIN($E137/120,1)),IF(OR($F137&lt;&gt;"",$G137&lt;&gt;""),1,""),IF($H137="","",MIN($H137/100,1)),IF($L137="","",XLOOKUP($L137,FILTER(Dictionaries!$B:$B,Dictionaries!$A:$A="Сон_часы"),FILTER(Dictionaries!$C:$C,Dictionaries!$A:$A="Сон_часы"))),IF($M137="","",XLOOKUP($M137,FILTER(Dictionaries!$B:$B,Dictionaries!$A:$A="Режим"),FILTER(Dictionaries!$C:$C,Dictionaries!$A:$A="Режим"))),IF($N137="","",MIN($N137/100,1)),IF($O137="","",XLOOKUP($O137,FILTER(Dictionaries!$B:$B,Dictionaries!$A:$A="Настроение"),FILTER(Dictionaries!$C:$C,Dictionaries!$A:$A="Настроение"))),IF($P137="","",XLOOKUP($P137,FILTER(Dictionaries!$B:$B,Dictionaries!$A:$A="Энергия"),FILTER(Dictionaries!$C:$C,Dictionaries!$A:$A="Энергия"))),IF($U137="","",AVERAGE(IF(OR($B137="Ноги",$B137="Верх"),IFS(AND($U137&gt;=1900,$U137&lt;=2050),1,AND($U137&gt;=1850,$U137&lt;1900),0.7,AND($U137&gt;2050,$U137&lt;=2100),0.7,TRUE,0.2),IFS(AND($U137&gt;=1700,$U137&lt;=1850),1,AND($U137&gt;=1650,$U137&lt;1700),0.7,AND($U137&gt;1850,$U137&lt;=1900),0.7,TRUE,0.2)),IF(OR($B137="Ноги",$B137="Верх"),IFS(AND($V137&gt;=125,$V137&lt;=135),1,AND($V137&gt;=115,$V137&lt;125),0.7,AND($V137&gt;135,$V137&lt;=145),0.7,AND($V137&gt;=105,$V137&lt;115),0.4,AND($V137&gt;145,$V137&lt;=155),0.4,TRUE,0.2),IFS(AND($V137&gt;=120,$V137&lt;=130),1,AND($V137&gt;=110,$V137&lt;120),0.7,AND($V137&gt;130,$V137&lt;=140),0.7,AND($V137&gt;=100,$V137&lt;110),0.4,AND($V137&gt;140,$V137&lt;=150),0.4,TRUE,0.2)),IFS(AND($W137&gt;=55,$W137&lt;=65),1,AND($W137&gt;=50,$W137&lt;55),0.7,AND($W137&gt;65,$W137&lt;=70),0.7,AND($W137&gt;=45,$W137&lt;50),0.4,AND($W137&gt;70,$W137&lt;=75),0.4,TRUE,0.2),IF(OR($B137="Ноги",$B137="Верх"),IFS(AND($X137&gt;=180,$X137&lt;=210),1,AND($X137&gt;=160,$X137&lt;180),0.7,AND($X137&gt;210,$X137&lt;=230),0.7,AND($X137&gt;=140,$X137&lt;160),0.4,AND($X137&gt;230,$X137&lt;=250),0.4,TRUE,0.2),IFS(AND($X137&gt;=140,$X137&lt;=170),1,AND($X137&gt;=120,$X137&lt;140),0.7,AND($X137&gt;170,$X137&lt;=190),0.7,AND($X137&gt;=100,$X137&lt;120),0.4,AND($X137&gt;190,$X137&lt;=210),0.4,TRUE,0.2))))),1),""))</f>
        <v/>
      </c>
      <c r="Z137">
        <f>IF($A137="","",TEXTJOIN(", ",TRUE,IF($B137="","Тренировка",""),IF($C137="","Кардио",""),IF($D137="","Шаги",""),IF($E137="","Английский",""),IF($F137="","Код-режим",""),IF($G137="","Код-тема",""),IF($H137="","Чтение",""),IF($L137="","Сон",""),IF($M137="","Режим",""),IF($N137="","Продуктивность",""),IF($O137="","Настроение",""),IF($P137="","Энергия",""),IF($U137="","Еда","")))</f>
        <v/>
      </c>
    </row>
    <row r="138">
      <c r="A138" t="inlineStr"/>
      <c r="U138">
        <f>IF($A138="","",IF(SUMIF(FoodLog!$A:$A,$A138,FoodLog!$I:$I)=0,"",SUMIF(FoodLog!$A:$A,$A138,FoodLog!$I:$I)))</f>
        <v/>
      </c>
      <c r="V138">
        <f>IF($A138="","",IF(SUMIF(FoodLog!$A:$A,$A138,FoodLog!$F:$F)=0,"",SUMIF(FoodLog!$A:$A,$A138,FoodLog!$F:$F)))</f>
        <v/>
      </c>
      <c r="W138">
        <f>IF($A138="","",IF(SUMIF(FoodLog!$A:$A,$A138,FoodLog!$G:$G)=0,"",SUMIF(FoodLog!$A:$A,$A138,FoodLog!$G:$G)))</f>
        <v/>
      </c>
      <c r="X138">
        <f>IF($A138="","",IF(SUMIF(FoodLog!$A:$A,$A138,FoodLog!$H:$H)=0,"",SUMIF(FoodLog!$A:$A,$A138,FoodLog!$H:$H)))</f>
        <v/>
      </c>
      <c r="Y138">
        <f>IF($A138="","",IFERROR(ROUND(100*AVERAGE(IF($B138="","",XLOOKUP($B138,FILTER(Dictionaries!$B:$B,Dictionaries!$A:$A="Тренировка"),FILTER(Dictionaries!$C:$C,Dictionaries!$A:$A="Тренировка"))),IF($C138="","",MIN($C138/40,1)),IF($D138="","",XLOOKUP($D138,FILTER(Dictionaries!$B:$B,Dictionaries!$A:$A="Шаги"),FILTER(Dictionaries!$C:$C,Dictionaries!$A:$A="Шаги"))),IF($E138="","",MIN($E138/120,1)),IF(OR($F138&lt;&gt;"",$G138&lt;&gt;""),1,""),IF($H138="","",MIN($H138/100,1)),IF($L138="","",XLOOKUP($L138,FILTER(Dictionaries!$B:$B,Dictionaries!$A:$A="Сон_часы"),FILTER(Dictionaries!$C:$C,Dictionaries!$A:$A="Сон_часы"))),IF($M138="","",XLOOKUP($M138,FILTER(Dictionaries!$B:$B,Dictionaries!$A:$A="Режим"),FILTER(Dictionaries!$C:$C,Dictionaries!$A:$A="Режим"))),IF($N138="","",MIN($N138/100,1)),IF($O138="","",XLOOKUP($O138,FILTER(Dictionaries!$B:$B,Dictionaries!$A:$A="Настроение"),FILTER(Dictionaries!$C:$C,Dictionaries!$A:$A="Настроение"))),IF($P138="","",XLOOKUP($P138,FILTER(Dictionaries!$B:$B,Dictionaries!$A:$A="Энергия"),FILTER(Dictionaries!$C:$C,Dictionaries!$A:$A="Энергия"))),IF($U138="","",AVERAGE(IF(OR($B138="Ноги",$B138="Верх"),IFS(AND($U138&gt;=1900,$U138&lt;=2050),1,AND($U138&gt;=1850,$U138&lt;1900),0.7,AND($U138&gt;2050,$U138&lt;=2100),0.7,TRUE,0.2),IFS(AND($U138&gt;=1700,$U138&lt;=1850),1,AND($U138&gt;=1650,$U138&lt;1700),0.7,AND($U138&gt;1850,$U138&lt;=1900),0.7,TRUE,0.2)),IF(OR($B138="Ноги",$B138="Верх"),IFS(AND($V138&gt;=125,$V138&lt;=135),1,AND($V138&gt;=115,$V138&lt;125),0.7,AND($V138&gt;135,$V138&lt;=145),0.7,AND($V138&gt;=105,$V138&lt;115),0.4,AND($V138&gt;145,$V138&lt;=155),0.4,TRUE,0.2),IFS(AND($V138&gt;=120,$V138&lt;=130),1,AND($V138&gt;=110,$V138&lt;120),0.7,AND($V138&gt;130,$V138&lt;=140),0.7,AND($V138&gt;=100,$V138&lt;110),0.4,AND($V138&gt;140,$V138&lt;=150),0.4,TRUE,0.2)),IFS(AND($W138&gt;=55,$W138&lt;=65),1,AND($W138&gt;=50,$W138&lt;55),0.7,AND($W138&gt;65,$W138&lt;=70),0.7,AND($W138&gt;=45,$W138&lt;50),0.4,AND($W138&gt;70,$W138&lt;=75),0.4,TRUE,0.2),IF(OR($B138="Ноги",$B138="Верх"),IFS(AND($X138&gt;=180,$X138&lt;=210),1,AND($X138&gt;=160,$X138&lt;180),0.7,AND($X138&gt;210,$X138&lt;=230),0.7,AND($X138&gt;=140,$X138&lt;160),0.4,AND($X138&gt;230,$X138&lt;=250),0.4,TRUE,0.2),IFS(AND($X138&gt;=140,$X138&lt;=170),1,AND($X138&gt;=120,$X138&lt;140),0.7,AND($X138&gt;170,$X138&lt;=190),0.7,AND($X138&gt;=100,$X138&lt;120),0.4,AND($X138&gt;190,$X138&lt;=210),0.4,TRUE,0.2))))),1),""))</f>
        <v/>
      </c>
      <c r="Z138">
        <f>IF($A138="","",TEXTJOIN(", ",TRUE,IF($B138="","Тренировка",""),IF($C138="","Кардио",""),IF($D138="","Шаги",""),IF($E138="","Английский",""),IF($F138="","Код-режим",""),IF($G138="","Код-тема",""),IF($H138="","Чтение",""),IF($L138="","Сон",""),IF($M138="","Режим",""),IF($N138="","Продуктивность",""),IF($O138="","Настроение",""),IF($P138="","Энергия",""),IF($U138="","Еда","")))</f>
        <v/>
      </c>
    </row>
    <row r="139">
      <c r="A139" t="inlineStr"/>
      <c r="U139">
        <f>IF($A139="","",IF(SUMIF(FoodLog!$A:$A,$A139,FoodLog!$I:$I)=0,"",SUMIF(FoodLog!$A:$A,$A139,FoodLog!$I:$I)))</f>
        <v/>
      </c>
      <c r="V139">
        <f>IF($A139="","",IF(SUMIF(FoodLog!$A:$A,$A139,FoodLog!$F:$F)=0,"",SUMIF(FoodLog!$A:$A,$A139,FoodLog!$F:$F)))</f>
        <v/>
      </c>
      <c r="W139">
        <f>IF($A139="","",IF(SUMIF(FoodLog!$A:$A,$A139,FoodLog!$G:$G)=0,"",SUMIF(FoodLog!$A:$A,$A139,FoodLog!$G:$G)))</f>
        <v/>
      </c>
      <c r="X139">
        <f>IF($A139="","",IF(SUMIF(FoodLog!$A:$A,$A139,FoodLog!$H:$H)=0,"",SUMIF(FoodLog!$A:$A,$A139,FoodLog!$H:$H)))</f>
        <v/>
      </c>
      <c r="Y139">
        <f>IF($A139="","",IFERROR(ROUND(100*AVERAGE(IF($B139="","",XLOOKUP($B139,FILTER(Dictionaries!$B:$B,Dictionaries!$A:$A="Тренировка"),FILTER(Dictionaries!$C:$C,Dictionaries!$A:$A="Тренировка"))),IF($C139="","",MIN($C139/40,1)),IF($D139="","",XLOOKUP($D139,FILTER(Dictionaries!$B:$B,Dictionaries!$A:$A="Шаги"),FILTER(Dictionaries!$C:$C,Dictionaries!$A:$A="Шаги"))),IF($E139="","",MIN($E139/120,1)),IF(OR($F139&lt;&gt;"",$G139&lt;&gt;""),1,""),IF($H139="","",MIN($H139/100,1)),IF($L139="","",XLOOKUP($L139,FILTER(Dictionaries!$B:$B,Dictionaries!$A:$A="Сон_часы"),FILTER(Dictionaries!$C:$C,Dictionaries!$A:$A="Сон_часы"))),IF($M139="","",XLOOKUP($M139,FILTER(Dictionaries!$B:$B,Dictionaries!$A:$A="Режим"),FILTER(Dictionaries!$C:$C,Dictionaries!$A:$A="Режим"))),IF($N139="","",MIN($N139/100,1)),IF($O139="","",XLOOKUP($O139,FILTER(Dictionaries!$B:$B,Dictionaries!$A:$A="Настроение"),FILTER(Dictionaries!$C:$C,Dictionaries!$A:$A="Настроение"))),IF($P139="","",XLOOKUP($P139,FILTER(Dictionaries!$B:$B,Dictionaries!$A:$A="Энергия"),FILTER(Dictionaries!$C:$C,Dictionaries!$A:$A="Энергия"))),IF($U139="","",AVERAGE(IF(OR($B139="Ноги",$B139="Верх"),IFS(AND($U139&gt;=1900,$U139&lt;=2050),1,AND($U139&gt;=1850,$U139&lt;1900),0.7,AND($U139&gt;2050,$U139&lt;=2100),0.7,TRUE,0.2),IFS(AND($U139&gt;=1700,$U139&lt;=1850),1,AND($U139&gt;=1650,$U139&lt;1700),0.7,AND($U139&gt;1850,$U139&lt;=1900),0.7,TRUE,0.2)),IF(OR($B139="Ноги",$B139="Верх"),IFS(AND($V139&gt;=125,$V139&lt;=135),1,AND($V139&gt;=115,$V139&lt;125),0.7,AND($V139&gt;135,$V139&lt;=145),0.7,AND($V139&gt;=105,$V139&lt;115),0.4,AND($V139&gt;145,$V139&lt;=155),0.4,TRUE,0.2),IFS(AND($V139&gt;=120,$V139&lt;=130),1,AND($V139&gt;=110,$V139&lt;120),0.7,AND($V139&gt;130,$V139&lt;=140),0.7,AND($V139&gt;=100,$V139&lt;110),0.4,AND($V139&gt;140,$V139&lt;=150),0.4,TRUE,0.2)),IFS(AND($W139&gt;=55,$W139&lt;=65),1,AND($W139&gt;=50,$W139&lt;55),0.7,AND($W139&gt;65,$W139&lt;=70),0.7,AND($W139&gt;=45,$W139&lt;50),0.4,AND($W139&gt;70,$W139&lt;=75),0.4,TRUE,0.2),IF(OR($B139="Ноги",$B139="Верх"),IFS(AND($X139&gt;=180,$X139&lt;=210),1,AND($X139&gt;=160,$X139&lt;180),0.7,AND($X139&gt;210,$X139&lt;=230),0.7,AND($X139&gt;=140,$X139&lt;160),0.4,AND($X139&gt;230,$X139&lt;=250),0.4,TRUE,0.2),IFS(AND($X139&gt;=140,$X139&lt;=170),1,AND($X139&gt;=120,$X139&lt;140),0.7,AND($X139&gt;170,$X139&lt;=190),0.7,AND($X139&gt;=100,$X139&lt;120),0.4,AND($X139&gt;190,$X139&lt;=210),0.4,TRUE,0.2))))),1),""))</f>
        <v/>
      </c>
      <c r="Z139">
        <f>IF($A139="","",TEXTJOIN(", ",TRUE,IF($B139="","Тренировка",""),IF($C139="","Кардио",""),IF($D139="","Шаги",""),IF($E139="","Английский",""),IF($F139="","Код-режим",""),IF($G139="","Код-тема",""),IF($H139="","Чтение",""),IF($L139="","Сон",""),IF($M139="","Режим",""),IF($N139="","Продуктивность",""),IF($O139="","Настроение",""),IF($P139="","Энергия",""),IF($U139="","Еда","")))</f>
        <v/>
      </c>
    </row>
    <row r="140">
      <c r="A140" t="inlineStr"/>
      <c r="U140">
        <f>IF($A140="","",IF(SUMIF(FoodLog!$A:$A,$A140,FoodLog!$I:$I)=0,"",SUMIF(FoodLog!$A:$A,$A140,FoodLog!$I:$I)))</f>
        <v/>
      </c>
      <c r="V140">
        <f>IF($A140="","",IF(SUMIF(FoodLog!$A:$A,$A140,FoodLog!$F:$F)=0,"",SUMIF(FoodLog!$A:$A,$A140,FoodLog!$F:$F)))</f>
        <v/>
      </c>
      <c r="W140">
        <f>IF($A140="","",IF(SUMIF(FoodLog!$A:$A,$A140,FoodLog!$G:$G)=0,"",SUMIF(FoodLog!$A:$A,$A140,FoodLog!$G:$G)))</f>
        <v/>
      </c>
      <c r="X140">
        <f>IF($A140="","",IF(SUMIF(FoodLog!$A:$A,$A140,FoodLog!$H:$H)=0,"",SUMIF(FoodLog!$A:$A,$A140,FoodLog!$H:$H)))</f>
        <v/>
      </c>
      <c r="Y140">
        <f>IF($A140="","",IFERROR(ROUND(100*AVERAGE(IF($B140="","",XLOOKUP($B140,FILTER(Dictionaries!$B:$B,Dictionaries!$A:$A="Тренировка"),FILTER(Dictionaries!$C:$C,Dictionaries!$A:$A="Тренировка"))),IF($C140="","",MIN($C140/40,1)),IF($D140="","",XLOOKUP($D140,FILTER(Dictionaries!$B:$B,Dictionaries!$A:$A="Шаги"),FILTER(Dictionaries!$C:$C,Dictionaries!$A:$A="Шаги"))),IF($E140="","",MIN($E140/120,1)),IF(OR($F140&lt;&gt;"",$G140&lt;&gt;""),1,""),IF($H140="","",MIN($H140/100,1)),IF($L140="","",XLOOKUP($L140,FILTER(Dictionaries!$B:$B,Dictionaries!$A:$A="Сон_часы"),FILTER(Dictionaries!$C:$C,Dictionaries!$A:$A="Сон_часы"))),IF($M140="","",XLOOKUP($M140,FILTER(Dictionaries!$B:$B,Dictionaries!$A:$A="Режим"),FILTER(Dictionaries!$C:$C,Dictionaries!$A:$A="Режим"))),IF($N140="","",MIN($N140/100,1)),IF($O140="","",XLOOKUP($O140,FILTER(Dictionaries!$B:$B,Dictionaries!$A:$A="Настроение"),FILTER(Dictionaries!$C:$C,Dictionaries!$A:$A="Настроение"))),IF($P140="","",XLOOKUP($P140,FILTER(Dictionaries!$B:$B,Dictionaries!$A:$A="Энергия"),FILTER(Dictionaries!$C:$C,Dictionaries!$A:$A="Энергия"))),IF($U140="","",AVERAGE(IF(OR($B140="Ноги",$B140="Верх"),IFS(AND($U140&gt;=1900,$U140&lt;=2050),1,AND($U140&gt;=1850,$U140&lt;1900),0.7,AND($U140&gt;2050,$U140&lt;=2100),0.7,TRUE,0.2),IFS(AND($U140&gt;=1700,$U140&lt;=1850),1,AND($U140&gt;=1650,$U140&lt;1700),0.7,AND($U140&gt;1850,$U140&lt;=1900),0.7,TRUE,0.2)),IF(OR($B140="Ноги",$B140="Верх"),IFS(AND($V140&gt;=125,$V140&lt;=135),1,AND($V140&gt;=115,$V140&lt;125),0.7,AND($V140&gt;135,$V140&lt;=145),0.7,AND($V140&gt;=105,$V140&lt;115),0.4,AND($V140&gt;145,$V140&lt;=155),0.4,TRUE,0.2),IFS(AND($V140&gt;=120,$V140&lt;=130),1,AND($V140&gt;=110,$V140&lt;120),0.7,AND($V140&gt;130,$V140&lt;=140),0.7,AND($V140&gt;=100,$V140&lt;110),0.4,AND($V140&gt;140,$V140&lt;=150),0.4,TRUE,0.2)),IFS(AND($W140&gt;=55,$W140&lt;=65),1,AND($W140&gt;=50,$W140&lt;55),0.7,AND($W140&gt;65,$W140&lt;=70),0.7,AND($W140&gt;=45,$W140&lt;50),0.4,AND($W140&gt;70,$W140&lt;=75),0.4,TRUE,0.2),IF(OR($B140="Ноги",$B140="Верх"),IFS(AND($X140&gt;=180,$X140&lt;=210),1,AND($X140&gt;=160,$X140&lt;180),0.7,AND($X140&gt;210,$X140&lt;=230),0.7,AND($X140&gt;=140,$X140&lt;160),0.4,AND($X140&gt;230,$X140&lt;=250),0.4,TRUE,0.2),IFS(AND($X140&gt;=140,$X140&lt;=170),1,AND($X140&gt;=120,$X140&lt;140),0.7,AND($X140&gt;170,$X140&lt;=190),0.7,AND($X140&gt;=100,$X140&lt;120),0.4,AND($X140&gt;190,$X140&lt;=210),0.4,TRUE,0.2))))),1),""))</f>
        <v/>
      </c>
      <c r="Z140">
        <f>IF($A140="","",TEXTJOIN(", ",TRUE,IF($B140="","Тренировка",""),IF($C140="","Кардио",""),IF($D140="","Шаги",""),IF($E140="","Английский",""),IF($F140="","Код-режим",""),IF($G140="","Код-тема",""),IF($H140="","Чтение",""),IF($L140="","Сон",""),IF($M140="","Режим",""),IF($N140="","Продуктивность",""),IF($O140="","Настроение",""),IF($P140="","Энергия",""),IF($U140="","Еда","")))</f>
        <v/>
      </c>
    </row>
    <row r="141">
      <c r="A141" t="inlineStr"/>
      <c r="U141">
        <f>IF($A141="","",IF(SUMIF(FoodLog!$A:$A,$A141,FoodLog!$I:$I)=0,"",SUMIF(FoodLog!$A:$A,$A141,FoodLog!$I:$I)))</f>
        <v/>
      </c>
      <c r="V141">
        <f>IF($A141="","",IF(SUMIF(FoodLog!$A:$A,$A141,FoodLog!$F:$F)=0,"",SUMIF(FoodLog!$A:$A,$A141,FoodLog!$F:$F)))</f>
        <v/>
      </c>
      <c r="W141">
        <f>IF($A141="","",IF(SUMIF(FoodLog!$A:$A,$A141,FoodLog!$G:$G)=0,"",SUMIF(FoodLog!$A:$A,$A141,FoodLog!$G:$G)))</f>
        <v/>
      </c>
      <c r="X141">
        <f>IF($A141="","",IF(SUMIF(FoodLog!$A:$A,$A141,FoodLog!$H:$H)=0,"",SUMIF(FoodLog!$A:$A,$A141,FoodLog!$H:$H)))</f>
        <v/>
      </c>
      <c r="Y141">
        <f>IF($A141="","",IFERROR(ROUND(100*AVERAGE(IF($B141="","",XLOOKUP($B141,FILTER(Dictionaries!$B:$B,Dictionaries!$A:$A="Тренировка"),FILTER(Dictionaries!$C:$C,Dictionaries!$A:$A="Тренировка"))),IF($C141="","",MIN($C141/40,1)),IF($D141="","",XLOOKUP($D141,FILTER(Dictionaries!$B:$B,Dictionaries!$A:$A="Шаги"),FILTER(Dictionaries!$C:$C,Dictionaries!$A:$A="Шаги"))),IF($E141="","",MIN($E141/120,1)),IF(OR($F141&lt;&gt;"",$G141&lt;&gt;""),1,""),IF($H141="","",MIN($H141/100,1)),IF($L141="","",XLOOKUP($L141,FILTER(Dictionaries!$B:$B,Dictionaries!$A:$A="Сон_часы"),FILTER(Dictionaries!$C:$C,Dictionaries!$A:$A="Сон_часы"))),IF($M141="","",XLOOKUP($M141,FILTER(Dictionaries!$B:$B,Dictionaries!$A:$A="Режим"),FILTER(Dictionaries!$C:$C,Dictionaries!$A:$A="Режим"))),IF($N141="","",MIN($N141/100,1)),IF($O141="","",XLOOKUP($O141,FILTER(Dictionaries!$B:$B,Dictionaries!$A:$A="Настроение"),FILTER(Dictionaries!$C:$C,Dictionaries!$A:$A="Настроение"))),IF($P141="","",XLOOKUP($P141,FILTER(Dictionaries!$B:$B,Dictionaries!$A:$A="Энергия"),FILTER(Dictionaries!$C:$C,Dictionaries!$A:$A="Энергия"))),IF($U141="","",AVERAGE(IF(OR($B141="Ноги",$B141="Верх"),IFS(AND($U141&gt;=1900,$U141&lt;=2050),1,AND($U141&gt;=1850,$U141&lt;1900),0.7,AND($U141&gt;2050,$U141&lt;=2100),0.7,TRUE,0.2),IFS(AND($U141&gt;=1700,$U141&lt;=1850),1,AND($U141&gt;=1650,$U141&lt;1700),0.7,AND($U141&gt;1850,$U141&lt;=1900),0.7,TRUE,0.2)),IF(OR($B141="Ноги",$B141="Верх"),IFS(AND($V141&gt;=125,$V141&lt;=135),1,AND($V141&gt;=115,$V141&lt;125),0.7,AND($V141&gt;135,$V141&lt;=145),0.7,AND($V141&gt;=105,$V141&lt;115),0.4,AND($V141&gt;145,$V141&lt;=155),0.4,TRUE,0.2),IFS(AND($V141&gt;=120,$V141&lt;=130),1,AND($V141&gt;=110,$V141&lt;120),0.7,AND($V141&gt;130,$V141&lt;=140),0.7,AND($V141&gt;=100,$V141&lt;110),0.4,AND($V141&gt;140,$V141&lt;=150),0.4,TRUE,0.2)),IFS(AND($W141&gt;=55,$W141&lt;=65),1,AND($W141&gt;=50,$W141&lt;55),0.7,AND($W141&gt;65,$W141&lt;=70),0.7,AND($W141&gt;=45,$W141&lt;50),0.4,AND($W141&gt;70,$W141&lt;=75),0.4,TRUE,0.2),IF(OR($B141="Ноги",$B141="Верх"),IFS(AND($X141&gt;=180,$X141&lt;=210),1,AND($X141&gt;=160,$X141&lt;180),0.7,AND($X141&gt;210,$X141&lt;=230),0.7,AND($X141&gt;=140,$X141&lt;160),0.4,AND($X141&gt;230,$X141&lt;=250),0.4,TRUE,0.2),IFS(AND($X141&gt;=140,$X141&lt;=170),1,AND($X141&gt;=120,$X141&lt;140),0.7,AND($X141&gt;170,$X141&lt;=190),0.7,AND($X141&gt;=100,$X141&lt;120),0.4,AND($X141&gt;190,$X141&lt;=210),0.4,TRUE,0.2))))),1),""))</f>
        <v/>
      </c>
      <c r="Z141">
        <f>IF($A141="","",TEXTJOIN(", ",TRUE,IF($B141="","Тренировка",""),IF($C141="","Кардио",""),IF($D141="","Шаги",""),IF($E141="","Английский",""),IF($F141="","Код-режим",""),IF($G141="","Код-тема",""),IF($H141="","Чтение",""),IF($L141="","Сон",""),IF($M141="","Режим",""),IF($N141="","Продуктивность",""),IF($O141="","Настроение",""),IF($P141="","Энергия",""),IF($U141="","Еда","")))</f>
        <v/>
      </c>
    </row>
    <row r="142">
      <c r="A142" t="inlineStr"/>
      <c r="U142">
        <f>IF($A142="","",IF(SUMIF(FoodLog!$A:$A,$A142,FoodLog!$I:$I)=0,"",SUMIF(FoodLog!$A:$A,$A142,FoodLog!$I:$I)))</f>
        <v/>
      </c>
      <c r="V142">
        <f>IF($A142="","",IF(SUMIF(FoodLog!$A:$A,$A142,FoodLog!$F:$F)=0,"",SUMIF(FoodLog!$A:$A,$A142,FoodLog!$F:$F)))</f>
        <v/>
      </c>
      <c r="W142">
        <f>IF($A142="","",IF(SUMIF(FoodLog!$A:$A,$A142,FoodLog!$G:$G)=0,"",SUMIF(FoodLog!$A:$A,$A142,FoodLog!$G:$G)))</f>
        <v/>
      </c>
      <c r="X142">
        <f>IF($A142="","",IF(SUMIF(FoodLog!$A:$A,$A142,FoodLog!$H:$H)=0,"",SUMIF(FoodLog!$A:$A,$A142,FoodLog!$H:$H)))</f>
        <v/>
      </c>
      <c r="Y142">
        <f>IF($A142="","",IFERROR(ROUND(100*AVERAGE(IF($B142="","",XLOOKUP($B142,FILTER(Dictionaries!$B:$B,Dictionaries!$A:$A="Тренировка"),FILTER(Dictionaries!$C:$C,Dictionaries!$A:$A="Тренировка"))),IF($C142="","",MIN($C142/40,1)),IF($D142="","",XLOOKUP($D142,FILTER(Dictionaries!$B:$B,Dictionaries!$A:$A="Шаги"),FILTER(Dictionaries!$C:$C,Dictionaries!$A:$A="Шаги"))),IF($E142="","",MIN($E142/120,1)),IF(OR($F142&lt;&gt;"",$G142&lt;&gt;""),1,""),IF($H142="","",MIN($H142/100,1)),IF($L142="","",XLOOKUP($L142,FILTER(Dictionaries!$B:$B,Dictionaries!$A:$A="Сон_часы"),FILTER(Dictionaries!$C:$C,Dictionaries!$A:$A="Сон_часы"))),IF($M142="","",XLOOKUP($M142,FILTER(Dictionaries!$B:$B,Dictionaries!$A:$A="Режим"),FILTER(Dictionaries!$C:$C,Dictionaries!$A:$A="Режим"))),IF($N142="","",MIN($N142/100,1)),IF($O142="","",XLOOKUP($O142,FILTER(Dictionaries!$B:$B,Dictionaries!$A:$A="Настроение"),FILTER(Dictionaries!$C:$C,Dictionaries!$A:$A="Настроение"))),IF($P142="","",XLOOKUP($P142,FILTER(Dictionaries!$B:$B,Dictionaries!$A:$A="Энергия"),FILTER(Dictionaries!$C:$C,Dictionaries!$A:$A="Энергия"))),IF($U142="","",AVERAGE(IF(OR($B142="Ноги",$B142="Верх"),IFS(AND($U142&gt;=1900,$U142&lt;=2050),1,AND($U142&gt;=1850,$U142&lt;1900),0.7,AND($U142&gt;2050,$U142&lt;=2100),0.7,TRUE,0.2),IFS(AND($U142&gt;=1700,$U142&lt;=1850),1,AND($U142&gt;=1650,$U142&lt;1700),0.7,AND($U142&gt;1850,$U142&lt;=1900),0.7,TRUE,0.2)),IF(OR($B142="Ноги",$B142="Верх"),IFS(AND($V142&gt;=125,$V142&lt;=135),1,AND($V142&gt;=115,$V142&lt;125),0.7,AND($V142&gt;135,$V142&lt;=145),0.7,AND($V142&gt;=105,$V142&lt;115),0.4,AND($V142&gt;145,$V142&lt;=155),0.4,TRUE,0.2),IFS(AND($V142&gt;=120,$V142&lt;=130),1,AND($V142&gt;=110,$V142&lt;120),0.7,AND($V142&gt;130,$V142&lt;=140),0.7,AND($V142&gt;=100,$V142&lt;110),0.4,AND($V142&gt;140,$V142&lt;=150),0.4,TRUE,0.2)),IFS(AND($W142&gt;=55,$W142&lt;=65),1,AND($W142&gt;=50,$W142&lt;55),0.7,AND($W142&gt;65,$W142&lt;=70),0.7,AND($W142&gt;=45,$W142&lt;50),0.4,AND($W142&gt;70,$W142&lt;=75),0.4,TRUE,0.2),IF(OR($B142="Ноги",$B142="Верх"),IFS(AND($X142&gt;=180,$X142&lt;=210),1,AND($X142&gt;=160,$X142&lt;180),0.7,AND($X142&gt;210,$X142&lt;=230),0.7,AND($X142&gt;=140,$X142&lt;160),0.4,AND($X142&gt;230,$X142&lt;=250),0.4,TRUE,0.2),IFS(AND($X142&gt;=140,$X142&lt;=170),1,AND($X142&gt;=120,$X142&lt;140),0.7,AND($X142&gt;170,$X142&lt;=190),0.7,AND($X142&gt;=100,$X142&lt;120),0.4,AND($X142&gt;190,$X142&lt;=210),0.4,TRUE,0.2))))),1),""))</f>
        <v/>
      </c>
      <c r="Z142">
        <f>IF($A142="","",TEXTJOIN(", ",TRUE,IF($B142="","Тренировка",""),IF($C142="","Кардио",""),IF($D142="","Шаги",""),IF($E142="","Английский",""),IF($F142="","Код-режим",""),IF($G142="","Код-тема",""),IF($H142="","Чтение",""),IF($L142="","Сон",""),IF($M142="","Режим",""),IF($N142="","Продуктивность",""),IF($O142="","Настроение",""),IF($P142="","Энергия",""),IF($U142="","Еда","")))</f>
        <v/>
      </c>
    </row>
    <row r="143">
      <c r="A143" t="inlineStr"/>
      <c r="U143">
        <f>IF($A143="","",IF(SUMIF(FoodLog!$A:$A,$A143,FoodLog!$I:$I)=0,"",SUMIF(FoodLog!$A:$A,$A143,FoodLog!$I:$I)))</f>
        <v/>
      </c>
      <c r="V143">
        <f>IF($A143="","",IF(SUMIF(FoodLog!$A:$A,$A143,FoodLog!$F:$F)=0,"",SUMIF(FoodLog!$A:$A,$A143,FoodLog!$F:$F)))</f>
        <v/>
      </c>
      <c r="W143">
        <f>IF($A143="","",IF(SUMIF(FoodLog!$A:$A,$A143,FoodLog!$G:$G)=0,"",SUMIF(FoodLog!$A:$A,$A143,FoodLog!$G:$G)))</f>
        <v/>
      </c>
      <c r="X143">
        <f>IF($A143="","",IF(SUMIF(FoodLog!$A:$A,$A143,FoodLog!$H:$H)=0,"",SUMIF(FoodLog!$A:$A,$A143,FoodLog!$H:$H)))</f>
        <v/>
      </c>
      <c r="Y143">
        <f>IF($A143="","",IFERROR(ROUND(100*AVERAGE(IF($B143="","",XLOOKUP($B143,FILTER(Dictionaries!$B:$B,Dictionaries!$A:$A="Тренировка"),FILTER(Dictionaries!$C:$C,Dictionaries!$A:$A="Тренировка"))),IF($C143="","",MIN($C143/40,1)),IF($D143="","",XLOOKUP($D143,FILTER(Dictionaries!$B:$B,Dictionaries!$A:$A="Шаги"),FILTER(Dictionaries!$C:$C,Dictionaries!$A:$A="Шаги"))),IF($E143="","",MIN($E143/120,1)),IF(OR($F143&lt;&gt;"",$G143&lt;&gt;""),1,""),IF($H143="","",MIN($H143/100,1)),IF($L143="","",XLOOKUP($L143,FILTER(Dictionaries!$B:$B,Dictionaries!$A:$A="Сон_часы"),FILTER(Dictionaries!$C:$C,Dictionaries!$A:$A="Сон_часы"))),IF($M143="","",XLOOKUP($M143,FILTER(Dictionaries!$B:$B,Dictionaries!$A:$A="Режим"),FILTER(Dictionaries!$C:$C,Dictionaries!$A:$A="Режим"))),IF($N143="","",MIN($N143/100,1)),IF($O143="","",XLOOKUP($O143,FILTER(Dictionaries!$B:$B,Dictionaries!$A:$A="Настроение"),FILTER(Dictionaries!$C:$C,Dictionaries!$A:$A="Настроение"))),IF($P143="","",XLOOKUP($P143,FILTER(Dictionaries!$B:$B,Dictionaries!$A:$A="Энергия"),FILTER(Dictionaries!$C:$C,Dictionaries!$A:$A="Энергия"))),IF($U143="","",AVERAGE(IF(OR($B143="Ноги",$B143="Верх"),IFS(AND($U143&gt;=1900,$U143&lt;=2050),1,AND($U143&gt;=1850,$U143&lt;1900),0.7,AND($U143&gt;2050,$U143&lt;=2100),0.7,TRUE,0.2),IFS(AND($U143&gt;=1700,$U143&lt;=1850),1,AND($U143&gt;=1650,$U143&lt;1700),0.7,AND($U143&gt;1850,$U143&lt;=1900),0.7,TRUE,0.2)),IF(OR($B143="Ноги",$B143="Верх"),IFS(AND($V143&gt;=125,$V143&lt;=135),1,AND($V143&gt;=115,$V143&lt;125),0.7,AND($V143&gt;135,$V143&lt;=145),0.7,AND($V143&gt;=105,$V143&lt;115),0.4,AND($V143&gt;145,$V143&lt;=155),0.4,TRUE,0.2),IFS(AND($V143&gt;=120,$V143&lt;=130),1,AND($V143&gt;=110,$V143&lt;120),0.7,AND($V143&gt;130,$V143&lt;=140),0.7,AND($V143&gt;=100,$V143&lt;110),0.4,AND($V143&gt;140,$V143&lt;=150),0.4,TRUE,0.2)),IFS(AND($W143&gt;=55,$W143&lt;=65),1,AND($W143&gt;=50,$W143&lt;55),0.7,AND($W143&gt;65,$W143&lt;=70),0.7,AND($W143&gt;=45,$W143&lt;50),0.4,AND($W143&gt;70,$W143&lt;=75),0.4,TRUE,0.2),IF(OR($B143="Ноги",$B143="Верх"),IFS(AND($X143&gt;=180,$X143&lt;=210),1,AND($X143&gt;=160,$X143&lt;180),0.7,AND($X143&gt;210,$X143&lt;=230),0.7,AND($X143&gt;=140,$X143&lt;160),0.4,AND($X143&gt;230,$X143&lt;=250),0.4,TRUE,0.2),IFS(AND($X143&gt;=140,$X143&lt;=170),1,AND($X143&gt;=120,$X143&lt;140),0.7,AND($X143&gt;170,$X143&lt;=190),0.7,AND($X143&gt;=100,$X143&lt;120),0.4,AND($X143&gt;190,$X143&lt;=210),0.4,TRUE,0.2))))),1),""))</f>
        <v/>
      </c>
      <c r="Z143">
        <f>IF($A143="","",TEXTJOIN(", ",TRUE,IF($B143="","Тренировка",""),IF($C143="","Кардио",""),IF($D143="","Шаги",""),IF($E143="","Английский",""),IF($F143="","Код-режим",""),IF($G143="","Код-тема",""),IF($H143="","Чтение",""),IF($L143="","Сон",""),IF($M143="","Режим",""),IF($N143="","Продуктивность",""),IF($O143="","Настроение",""),IF($P143="","Энергия",""),IF($U143="","Еда","")))</f>
        <v/>
      </c>
    </row>
    <row r="144">
      <c r="A144" t="inlineStr"/>
      <c r="U144">
        <f>IF($A144="","",IF(SUMIF(FoodLog!$A:$A,$A144,FoodLog!$I:$I)=0,"",SUMIF(FoodLog!$A:$A,$A144,FoodLog!$I:$I)))</f>
        <v/>
      </c>
      <c r="V144">
        <f>IF($A144="","",IF(SUMIF(FoodLog!$A:$A,$A144,FoodLog!$F:$F)=0,"",SUMIF(FoodLog!$A:$A,$A144,FoodLog!$F:$F)))</f>
        <v/>
      </c>
      <c r="W144">
        <f>IF($A144="","",IF(SUMIF(FoodLog!$A:$A,$A144,FoodLog!$G:$G)=0,"",SUMIF(FoodLog!$A:$A,$A144,FoodLog!$G:$G)))</f>
        <v/>
      </c>
      <c r="X144">
        <f>IF($A144="","",IF(SUMIF(FoodLog!$A:$A,$A144,FoodLog!$H:$H)=0,"",SUMIF(FoodLog!$A:$A,$A144,FoodLog!$H:$H)))</f>
        <v/>
      </c>
      <c r="Y144">
        <f>IF($A144="","",IFERROR(ROUND(100*AVERAGE(IF($B144="","",XLOOKUP($B144,FILTER(Dictionaries!$B:$B,Dictionaries!$A:$A="Тренировка"),FILTER(Dictionaries!$C:$C,Dictionaries!$A:$A="Тренировка"))),IF($C144="","",MIN($C144/40,1)),IF($D144="","",XLOOKUP($D144,FILTER(Dictionaries!$B:$B,Dictionaries!$A:$A="Шаги"),FILTER(Dictionaries!$C:$C,Dictionaries!$A:$A="Шаги"))),IF($E144="","",MIN($E144/120,1)),IF(OR($F144&lt;&gt;"",$G144&lt;&gt;""),1,""),IF($H144="","",MIN($H144/100,1)),IF($L144="","",XLOOKUP($L144,FILTER(Dictionaries!$B:$B,Dictionaries!$A:$A="Сон_часы"),FILTER(Dictionaries!$C:$C,Dictionaries!$A:$A="Сон_часы"))),IF($M144="","",XLOOKUP($M144,FILTER(Dictionaries!$B:$B,Dictionaries!$A:$A="Режим"),FILTER(Dictionaries!$C:$C,Dictionaries!$A:$A="Режим"))),IF($N144="","",MIN($N144/100,1)),IF($O144="","",XLOOKUP($O144,FILTER(Dictionaries!$B:$B,Dictionaries!$A:$A="Настроение"),FILTER(Dictionaries!$C:$C,Dictionaries!$A:$A="Настроение"))),IF($P144="","",XLOOKUP($P144,FILTER(Dictionaries!$B:$B,Dictionaries!$A:$A="Энергия"),FILTER(Dictionaries!$C:$C,Dictionaries!$A:$A="Энергия"))),IF($U144="","",AVERAGE(IF(OR($B144="Ноги",$B144="Верх"),IFS(AND($U144&gt;=1900,$U144&lt;=2050),1,AND($U144&gt;=1850,$U144&lt;1900),0.7,AND($U144&gt;2050,$U144&lt;=2100),0.7,TRUE,0.2),IFS(AND($U144&gt;=1700,$U144&lt;=1850),1,AND($U144&gt;=1650,$U144&lt;1700),0.7,AND($U144&gt;1850,$U144&lt;=1900),0.7,TRUE,0.2)),IF(OR($B144="Ноги",$B144="Верх"),IFS(AND($V144&gt;=125,$V144&lt;=135),1,AND($V144&gt;=115,$V144&lt;125),0.7,AND($V144&gt;135,$V144&lt;=145),0.7,AND($V144&gt;=105,$V144&lt;115),0.4,AND($V144&gt;145,$V144&lt;=155),0.4,TRUE,0.2),IFS(AND($V144&gt;=120,$V144&lt;=130),1,AND($V144&gt;=110,$V144&lt;120),0.7,AND($V144&gt;130,$V144&lt;=140),0.7,AND($V144&gt;=100,$V144&lt;110),0.4,AND($V144&gt;140,$V144&lt;=150),0.4,TRUE,0.2)),IFS(AND($W144&gt;=55,$W144&lt;=65),1,AND($W144&gt;=50,$W144&lt;55),0.7,AND($W144&gt;65,$W144&lt;=70),0.7,AND($W144&gt;=45,$W144&lt;50),0.4,AND($W144&gt;70,$W144&lt;=75),0.4,TRUE,0.2),IF(OR($B144="Ноги",$B144="Верх"),IFS(AND($X144&gt;=180,$X144&lt;=210),1,AND($X144&gt;=160,$X144&lt;180),0.7,AND($X144&gt;210,$X144&lt;=230),0.7,AND($X144&gt;=140,$X144&lt;160),0.4,AND($X144&gt;230,$X144&lt;=250),0.4,TRUE,0.2),IFS(AND($X144&gt;=140,$X144&lt;=170),1,AND($X144&gt;=120,$X144&lt;140),0.7,AND($X144&gt;170,$X144&lt;=190),0.7,AND($X144&gt;=100,$X144&lt;120),0.4,AND($X144&gt;190,$X144&lt;=210),0.4,TRUE,0.2))))),1),""))</f>
        <v/>
      </c>
      <c r="Z144">
        <f>IF($A144="","",TEXTJOIN(", ",TRUE,IF($B144="","Тренировка",""),IF($C144="","Кардио",""),IF($D144="","Шаги",""),IF($E144="","Английский",""),IF($F144="","Код-режим",""),IF($G144="","Код-тема",""),IF($H144="","Чтение",""),IF($L144="","Сон",""),IF($M144="","Режим",""),IF($N144="","Продуктивность",""),IF($O144="","Настроение",""),IF($P144="","Энергия",""),IF($U144="","Еда","")))</f>
        <v/>
      </c>
    </row>
    <row r="145">
      <c r="A145" t="inlineStr"/>
      <c r="U145">
        <f>IF($A145="","",IF(SUMIF(FoodLog!$A:$A,$A145,FoodLog!$I:$I)=0,"",SUMIF(FoodLog!$A:$A,$A145,FoodLog!$I:$I)))</f>
        <v/>
      </c>
      <c r="V145">
        <f>IF($A145="","",IF(SUMIF(FoodLog!$A:$A,$A145,FoodLog!$F:$F)=0,"",SUMIF(FoodLog!$A:$A,$A145,FoodLog!$F:$F)))</f>
        <v/>
      </c>
      <c r="W145">
        <f>IF($A145="","",IF(SUMIF(FoodLog!$A:$A,$A145,FoodLog!$G:$G)=0,"",SUMIF(FoodLog!$A:$A,$A145,FoodLog!$G:$G)))</f>
        <v/>
      </c>
      <c r="X145">
        <f>IF($A145="","",IF(SUMIF(FoodLog!$A:$A,$A145,FoodLog!$H:$H)=0,"",SUMIF(FoodLog!$A:$A,$A145,FoodLog!$H:$H)))</f>
        <v/>
      </c>
      <c r="Y145">
        <f>IF($A145="","",IFERROR(ROUND(100*AVERAGE(IF($B145="","",XLOOKUP($B145,FILTER(Dictionaries!$B:$B,Dictionaries!$A:$A="Тренировка"),FILTER(Dictionaries!$C:$C,Dictionaries!$A:$A="Тренировка"))),IF($C145="","",MIN($C145/40,1)),IF($D145="","",XLOOKUP($D145,FILTER(Dictionaries!$B:$B,Dictionaries!$A:$A="Шаги"),FILTER(Dictionaries!$C:$C,Dictionaries!$A:$A="Шаги"))),IF($E145="","",MIN($E145/120,1)),IF(OR($F145&lt;&gt;"",$G145&lt;&gt;""),1,""),IF($H145="","",MIN($H145/100,1)),IF($L145="","",XLOOKUP($L145,FILTER(Dictionaries!$B:$B,Dictionaries!$A:$A="Сон_часы"),FILTER(Dictionaries!$C:$C,Dictionaries!$A:$A="Сон_часы"))),IF($M145="","",XLOOKUP($M145,FILTER(Dictionaries!$B:$B,Dictionaries!$A:$A="Режим"),FILTER(Dictionaries!$C:$C,Dictionaries!$A:$A="Режим"))),IF($N145="","",MIN($N145/100,1)),IF($O145="","",XLOOKUP($O145,FILTER(Dictionaries!$B:$B,Dictionaries!$A:$A="Настроение"),FILTER(Dictionaries!$C:$C,Dictionaries!$A:$A="Настроение"))),IF($P145="","",XLOOKUP($P145,FILTER(Dictionaries!$B:$B,Dictionaries!$A:$A="Энергия"),FILTER(Dictionaries!$C:$C,Dictionaries!$A:$A="Энергия"))),IF($U145="","",AVERAGE(IF(OR($B145="Ноги",$B145="Верх"),IFS(AND($U145&gt;=1900,$U145&lt;=2050),1,AND($U145&gt;=1850,$U145&lt;1900),0.7,AND($U145&gt;2050,$U145&lt;=2100),0.7,TRUE,0.2),IFS(AND($U145&gt;=1700,$U145&lt;=1850),1,AND($U145&gt;=1650,$U145&lt;1700),0.7,AND($U145&gt;1850,$U145&lt;=1900),0.7,TRUE,0.2)),IF(OR($B145="Ноги",$B145="Верх"),IFS(AND($V145&gt;=125,$V145&lt;=135),1,AND($V145&gt;=115,$V145&lt;125),0.7,AND($V145&gt;135,$V145&lt;=145),0.7,AND($V145&gt;=105,$V145&lt;115),0.4,AND($V145&gt;145,$V145&lt;=155),0.4,TRUE,0.2),IFS(AND($V145&gt;=120,$V145&lt;=130),1,AND($V145&gt;=110,$V145&lt;120),0.7,AND($V145&gt;130,$V145&lt;=140),0.7,AND($V145&gt;=100,$V145&lt;110),0.4,AND($V145&gt;140,$V145&lt;=150),0.4,TRUE,0.2)),IFS(AND($W145&gt;=55,$W145&lt;=65),1,AND($W145&gt;=50,$W145&lt;55),0.7,AND($W145&gt;65,$W145&lt;=70),0.7,AND($W145&gt;=45,$W145&lt;50),0.4,AND($W145&gt;70,$W145&lt;=75),0.4,TRUE,0.2),IF(OR($B145="Ноги",$B145="Верх"),IFS(AND($X145&gt;=180,$X145&lt;=210),1,AND($X145&gt;=160,$X145&lt;180),0.7,AND($X145&gt;210,$X145&lt;=230),0.7,AND($X145&gt;=140,$X145&lt;160),0.4,AND($X145&gt;230,$X145&lt;=250),0.4,TRUE,0.2),IFS(AND($X145&gt;=140,$X145&lt;=170),1,AND($X145&gt;=120,$X145&lt;140),0.7,AND($X145&gt;170,$X145&lt;=190),0.7,AND($X145&gt;=100,$X145&lt;120),0.4,AND($X145&gt;190,$X145&lt;=210),0.4,TRUE,0.2))))),1),""))</f>
        <v/>
      </c>
      <c r="Z145">
        <f>IF($A145="","",TEXTJOIN(", ",TRUE,IF($B145="","Тренировка",""),IF($C145="","Кардио",""),IF($D145="","Шаги",""),IF($E145="","Английский",""),IF($F145="","Код-режим",""),IF($G145="","Код-тема",""),IF($H145="","Чтение",""),IF($L145="","Сон",""),IF($M145="","Режим",""),IF($N145="","Продуктивность",""),IF($O145="","Настроение",""),IF($P145="","Энергия",""),IF($U145="","Еда","")))</f>
        <v/>
      </c>
    </row>
    <row r="146">
      <c r="A146" t="inlineStr"/>
      <c r="U146">
        <f>IF($A146="","",IF(SUMIF(FoodLog!$A:$A,$A146,FoodLog!$I:$I)=0,"",SUMIF(FoodLog!$A:$A,$A146,FoodLog!$I:$I)))</f>
        <v/>
      </c>
      <c r="V146">
        <f>IF($A146="","",IF(SUMIF(FoodLog!$A:$A,$A146,FoodLog!$F:$F)=0,"",SUMIF(FoodLog!$A:$A,$A146,FoodLog!$F:$F)))</f>
        <v/>
      </c>
      <c r="W146">
        <f>IF($A146="","",IF(SUMIF(FoodLog!$A:$A,$A146,FoodLog!$G:$G)=0,"",SUMIF(FoodLog!$A:$A,$A146,FoodLog!$G:$G)))</f>
        <v/>
      </c>
      <c r="X146">
        <f>IF($A146="","",IF(SUMIF(FoodLog!$A:$A,$A146,FoodLog!$H:$H)=0,"",SUMIF(FoodLog!$A:$A,$A146,FoodLog!$H:$H)))</f>
        <v/>
      </c>
      <c r="Y146">
        <f>IF($A146="","",IFERROR(ROUND(100*AVERAGE(IF($B146="","",XLOOKUP($B146,FILTER(Dictionaries!$B:$B,Dictionaries!$A:$A="Тренировка"),FILTER(Dictionaries!$C:$C,Dictionaries!$A:$A="Тренировка"))),IF($C146="","",MIN($C146/40,1)),IF($D146="","",XLOOKUP($D146,FILTER(Dictionaries!$B:$B,Dictionaries!$A:$A="Шаги"),FILTER(Dictionaries!$C:$C,Dictionaries!$A:$A="Шаги"))),IF($E146="","",MIN($E146/120,1)),IF(OR($F146&lt;&gt;"",$G146&lt;&gt;""),1,""),IF($H146="","",MIN($H146/100,1)),IF($L146="","",XLOOKUP($L146,FILTER(Dictionaries!$B:$B,Dictionaries!$A:$A="Сон_часы"),FILTER(Dictionaries!$C:$C,Dictionaries!$A:$A="Сон_часы"))),IF($M146="","",XLOOKUP($M146,FILTER(Dictionaries!$B:$B,Dictionaries!$A:$A="Режим"),FILTER(Dictionaries!$C:$C,Dictionaries!$A:$A="Режим"))),IF($N146="","",MIN($N146/100,1)),IF($O146="","",XLOOKUP($O146,FILTER(Dictionaries!$B:$B,Dictionaries!$A:$A="Настроение"),FILTER(Dictionaries!$C:$C,Dictionaries!$A:$A="Настроение"))),IF($P146="","",XLOOKUP($P146,FILTER(Dictionaries!$B:$B,Dictionaries!$A:$A="Энергия"),FILTER(Dictionaries!$C:$C,Dictionaries!$A:$A="Энергия"))),IF($U146="","",AVERAGE(IF(OR($B146="Ноги",$B146="Верх"),IFS(AND($U146&gt;=1900,$U146&lt;=2050),1,AND($U146&gt;=1850,$U146&lt;1900),0.7,AND($U146&gt;2050,$U146&lt;=2100),0.7,TRUE,0.2),IFS(AND($U146&gt;=1700,$U146&lt;=1850),1,AND($U146&gt;=1650,$U146&lt;1700),0.7,AND($U146&gt;1850,$U146&lt;=1900),0.7,TRUE,0.2)),IF(OR($B146="Ноги",$B146="Верх"),IFS(AND($V146&gt;=125,$V146&lt;=135),1,AND($V146&gt;=115,$V146&lt;125),0.7,AND($V146&gt;135,$V146&lt;=145),0.7,AND($V146&gt;=105,$V146&lt;115),0.4,AND($V146&gt;145,$V146&lt;=155),0.4,TRUE,0.2),IFS(AND($V146&gt;=120,$V146&lt;=130),1,AND($V146&gt;=110,$V146&lt;120),0.7,AND($V146&gt;130,$V146&lt;=140),0.7,AND($V146&gt;=100,$V146&lt;110),0.4,AND($V146&gt;140,$V146&lt;=150),0.4,TRUE,0.2)),IFS(AND($W146&gt;=55,$W146&lt;=65),1,AND($W146&gt;=50,$W146&lt;55),0.7,AND($W146&gt;65,$W146&lt;=70),0.7,AND($W146&gt;=45,$W146&lt;50),0.4,AND($W146&gt;70,$W146&lt;=75),0.4,TRUE,0.2),IF(OR($B146="Ноги",$B146="Верх"),IFS(AND($X146&gt;=180,$X146&lt;=210),1,AND($X146&gt;=160,$X146&lt;180),0.7,AND($X146&gt;210,$X146&lt;=230),0.7,AND($X146&gt;=140,$X146&lt;160),0.4,AND($X146&gt;230,$X146&lt;=250),0.4,TRUE,0.2),IFS(AND($X146&gt;=140,$X146&lt;=170),1,AND($X146&gt;=120,$X146&lt;140),0.7,AND($X146&gt;170,$X146&lt;=190),0.7,AND($X146&gt;=100,$X146&lt;120),0.4,AND($X146&gt;190,$X146&lt;=210),0.4,TRUE,0.2))))),1),""))</f>
        <v/>
      </c>
      <c r="Z146">
        <f>IF($A146="","",TEXTJOIN(", ",TRUE,IF($B146="","Тренировка",""),IF($C146="","Кардио",""),IF($D146="","Шаги",""),IF($E146="","Английский",""),IF($F146="","Код-режим",""),IF($G146="","Код-тема",""),IF($H146="","Чтение",""),IF($L146="","Сон",""),IF($M146="","Режим",""),IF($N146="","Продуктивность",""),IF($O146="","Настроение",""),IF($P146="","Энергия",""),IF($U146="","Еда","")))</f>
        <v/>
      </c>
    </row>
    <row r="147">
      <c r="A147" t="inlineStr"/>
      <c r="U147">
        <f>IF($A147="","",IF(SUMIF(FoodLog!$A:$A,$A147,FoodLog!$I:$I)=0,"",SUMIF(FoodLog!$A:$A,$A147,FoodLog!$I:$I)))</f>
        <v/>
      </c>
      <c r="V147">
        <f>IF($A147="","",IF(SUMIF(FoodLog!$A:$A,$A147,FoodLog!$F:$F)=0,"",SUMIF(FoodLog!$A:$A,$A147,FoodLog!$F:$F)))</f>
        <v/>
      </c>
      <c r="W147">
        <f>IF($A147="","",IF(SUMIF(FoodLog!$A:$A,$A147,FoodLog!$G:$G)=0,"",SUMIF(FoodLog!$A:$A,$A147,FoodLog!$G:$G)))</f>
        <v/>
      </c>
      <c r="X147">
        <f>IF($A147="","",IF(SUMIF(FoodLog!$A:$A,$A147,FoodLog!$H:$H)=0,"",SUMIF(FoodLog!$A:$A,$A147,FoodLog!$H:$H)))</f>
        <v/>
      </c>
      <c r="Y147">
        <f>IF($A147="","",IFERROR(ROUND(100*AVERAGE(IF($B147="","",XLOOKUP($B147,FILTER(Dictionaries!$B:$B,Dictionaries!$A:$A="Тренировка"),FILTER(Dictionaries!$C:$C,Dictionaries!$A:$A="Тренировка"))),IF($C147="","",MIN($C147/40,1)),IF($D147="","",XLOOKUP($D147,FILTER(Dictionaries!$B:$B,Dictionaries!$A:$A="Шаги"),FILTER(Dictionaries!$C:$C,Dictionaries!$A:$A="Шаги"))),IF($E147="","",MIN($E147/120,1)),IF(OR($F147&lt;&gt;"",$G147&lt;&gt;""),1,""),IF($H147="","",MIN($H147/100,1)),IF($L147="","",XLOOKUP($L147,FILTER(Dictionaries!$B:$B,Dictionaries!$A:$A="Сон_часы"),FILTER(Dictionaries!$C:$C,Dictionaries!$A:$A="Сон_часы"))),IF($M147="","",XLOOKUP($M147,FILTER(Dictionaries!$B:$B,Dictionaries!$A:$A="Режим"),FILTER(Dictionaries!$C:$C,Dictionaries!$A:$A="Режим"))),IF($N147="","",MIN($N147/100,1)),IF($O147="","",XLOOKUP($O147,FILTER(Dictionaries!$B:$B,Dictionaries!$A:$A="Настроение"),FILTER(Dictionaries!$C:$C,Dictionaries!$A:$A="Настроение"))),IF($P147="","",XLOOKUP($P147,FILTER(Dictionaries!$B:$B,Dictionaries!$A:$A="Энергия"),FILTER(Dictionaries!$C:$C,Dictionaries!$A:$A="Энергия"))),IF($U147="","",AVERAGE(IF(OR($B147="Ноги",$B147="Верх"),IFS(AND($U147&gt;=1900,$U147&lt;=2050),1,AND($U147&gt;=1850,$U147&lt;1900),0.7,AND($U147&gt;2050,$U147&lt;=2100),0.7,TRUE,0.2),IFS(AND($U147&gt;=1700,$U147&lt;=1850),1,AND($U147&gt;=1650,$U147&lt;1700),0.7,AND($U147&gt;1850,$U147&lt;=1900),0.7,TRUE,0.2)),IF(OR($B147="Ноги",$B147="Верх"),IFS(AND($V147&gt;=125,$V147&lt;=135),1,AND($V147&gt;=115,$V147&lt;125),0.7,AND($V147&gt;135,$V147&lt;=145),0.7,AND($V147&gt;=105,$V147&lt;115),0.4,AND($V147&gt;145,$V147&lt;=155),0.4,TRUE,0.2),IFS(AND($V147&gt;=120,$V147&lt;=130),1,AND($V147&gt;=110,$V147&lt;120),0.7,AND($V147&gt;130,$V147&lt;=140),0.7,AND($V147&gt;=100,$V147&lt;110),0.4,AND($V147&gt;140,$V147&lt;=150),0.4,TRUE,0.2)),IFS(AND($W147&gt;=55,$W147&lt;=65),1,AND($W147&gt;=50,$W147&lt;55),0.7,AND($W147&gt;65,$W147&lt;=70),0.7,AND($W147&gt;=45,$W147&lt;50),0.4,AND($W147&gt;70,$W147&lt;=75),0.4,TRUE,0.2),IF(OR($B147="Ноги",$B147="Верх"),IFS(AND($X147&gt;=180,$X147&lt;=210),1,AND($X147&gt;=160,$X147&lt;180),0.7,AND($X147&gt;210,$X147&lt;=230),0.7,AND($X147&gt;=140,$X147&lt;160),0.4,AND($X147&gt;230,$X147&lt;=250),0.4,TRUE,0.2),IFS(AND($X147&gt;=140,$X147&lt;=170),1,AND($X147&gt;=120,$X147&lt;140),0.7,AND($X147&gt;170,$X147&lt;=190),0.7,AND($X147&gt;=100,$X147&lt;120),0.4,AND($X147&gt;190,$X147&lt;=210),0.4,TRUE,0.2))))),1),""))</f>
        <v/>
      </c>
      <c r="Z147">
        <f>IF($A147="","",TEXTJOIN(", ",TRUE,IF($B147="","Тренировка",""),IF($C147="","Кардио",""),IF($D147="","Шаги",""),IF($E147="","Английский",""),IF($F147="","Код-режим",""),IF($G147="","Код-тема",""),IF($H147="","Чтение",""),IF($L147="","Сон",""),IF($M147="","Режим",""),IF($N147="","Продуктивность",""),IF($O147="","Настроение",""),IF($P147="","Энергия",""),IF($U147="","Еда","")))</f>
        <v/>
      </c>
    </row>
    <row r="148">
      <c r="A148" t="inlineStr"/>
      <c r="U148">
        <f>IF($A148="","",IF(SUMIF(FoodLog!$A:$A,$A148,FoodLog!$I:$I)=0,"",SUMIF(FoodLog!$A:$A,$A148,FoodLog!$I:$I)))</f>
        <v/>
      </c>
      <c r="V148">
        <f>IF($A148="","",IF(SUMIF(FoodLog!$A:$A,$A148,FoodLog!$F:$F)=0,"",SUMIF(FoodLog!$A:$A,$A148,FoodLog!$F:$F)))</f>
        <v/>
      </c>
      <c r="W148">
        <f>IF($A148="","",IF(SUMIF(FoodLog!$A:$A,$A148,FoodLog!$G:$G)=0,"",SUMIF(FoodLog!$A:$A,$A148,FoodLog!$G:$G)))</f>
        <v/>
      </c>
      <c r="X148">
        <f>IF($A148="","",IF(SUMIF(FoodLog!$A:$A,$A148,FoodLog!$H:$H)=0,"",SUMIF(FoodLog!$A:$A,$A148,FoodLog!$H:$H)))</f>
        <v/>
      </c>
      <c r="Y148">
        <f>IF($A148="","",IFERROR(ROUND(100*AVERAGE(IF($B148="","",XLOOKUP($B148,FILTER(Dictionaries!$B:$B,Dictionaries!$A:$A="Тренировка"),FILTER(Dictionaries!$C:$C,Dictionaries!$A:$A="Тренировка"))),IF($C148="","",MIN($C148/40,1)),IF($D148="","",XLOOKUP($D148,FILTER(Dictionaries!$B:$B,Dictionaries!$A:$A="Шаги"),FILTER(Dictionaries!$C:$C,Dictionaries!$A:$A="Шаги"))),IF($E148="","",MIN($E148/120,1)),IF(OR($F148&lt;&gt;"",$G148&lt;&gt;""),1,""),IF($H148="","",MIN($H148/100,1)),IF($L148="","",XLOOKUP($L148,FILTER(Dictionaries!$B:$B,Dictionaries!$A:$A="Сон_часы"),FILTER(Dictionaries!$C:$C,Dictionaries!$A:$A="Сон_часы"))),IF($M148="","",XLOOKUP($M148,FILTER(Dictionaries!$B:$B,Dictionaries!$A:$A="Режим"),FILTER(Dictionaries!$C:$C,Dictionaries!$A:$A="Режим"))),IF($N148="","",MIN($N148/100,1)),IF($O148="","",XLOOKUP($O148,FILTER(Dictionaries!$B:$B,Dictionaries!$A:$A="Настроение"),FILTER(Dictionaries!$C:$C,Dictionaries!$A:$A="Настроение"))),IF($P148="","",XLOOKUP($P148,FILTER(Dictionaries!$B:$B,Dictionaries!$A:$A="Энергия"),FILTER(Dictionaries!$C:$C,Dictionaries!$A:$A="Энергия"))),IF($U148="","",AVERAGE(IF(OR($B148="Ноги",$B148="Верх"),IFS(AND($U148&gt;=1900,$U148&lt;=2050),1,AND($U148&gt;=1850,$U148&lt;1900),0.7,AND($U148&gt;2050,$U148&lt;=2100),0.7,TRUE,0.2),IFS(AND($U148&gt;=1700,$U148&lt;=1850),1,AND($U148&gt;=1650,$U148&lt;1700),0.7,AND($U148&gt;1850,$U148&lt;=1900),0.7,TRUE,0.2)),IF(OR($B148="Ноги",$B148="Верх"),IFS(AND($V148&gt;=125,$V148&lt;=135),1,AND($V148&gt;=115,$V148&lt;125),0.7,AND($V148&gt;135,$V148&lt;=145),0.7,AND($V148&gt;=105,$V148&lt;115),0.4,AND($V148&gt;145,$V148&lt;=155),0.4,TRUE,0.2),IFS(AND($V148&gt;=120,$V148&lt;=130),1,AND($V148&gt;=110,$V148&lt;120),0.7,AND($V148&gt;130,$V148&lt;=140),0.7,AND($V148&gt;=100,$V148&lt;110),0.4,AND($V148&gt;140,$V148&lt;=150),0.4,TRUE,0.2)),IFS(AND($W148&gt;=55,$W148&lt;=65),1,AND($W148&gt;=50,$W148&lt;55),0.7,AND($W148&gt;65,$W148&lt;=70),0.7,AND($W148&gt;=45,$W148&lt;50),0.4,AND($W148&gt;70,$W148&lt;=75),0.4,TRUE,0.2),IF(OR($B148="Ноги",$B148="Верх"),IFS(AND($X148&gt;=180,$X148&lt;=210),1,AND($X148&gt;=160,$X148&lt;180),0.7,AND($X148&gt;210,$X148&lt;=230),0.7,AND($X148&gt;=140,$X148&lt;160),0.4,AND($X148&gt;230,$X148&lt;=250),0.4,TRUE,0.2),IFS(AND($X148&gt;=140,$X148&lt;=170),1,AND($X148&gt;=120,$X148&lt;140),0.7,AND($X148&gt;170,$X148&lt;=190),0.7,AND($X148&gt;=100,$X148&lt;120),0.4,AND($X148&gt;190,$X148&lt;=210),0.4,TRUE,0.2))))),1),""))</f>
        <v/>
      </c>
      <c r="Z148">
        <f>IF($A148="","",TEXTJOIN(", ",TRUE,IF($B148="","Тренировка",""),IF($C148="","Кардио",""),IF($D148="","Шаги",""),IF($E148="","Английский",""),IF($F148="","Код-режим",""),IF($G148="","Код-тема",""),IF($H148="","Чтение",""),IF($L148="","Сон",""),IF($M148="","Режим",""),IF($N148="","Продуктивность",""),IF($O148="","Настроение",""),IF($P148="","Энергия",""),IF($U148="","Еда","")))</f>
        <v/>
      </c>
    </row>
    <row r="149">
      <c r="A149" t="inlineStr"/>
      <c r="U149">
        <f>IF($A149="","",IF(SUMIF(FoodLog!$A:$A,$A149,FoodLog!$I:$I)=0,"",SUMIF(FoodLog!$A:$A,$A149,FoodLog!$I:$I)))</f>
        <v/>
      </c>
      <c r="V149">
        <f>IF($A149="","",IF(SUMIF(FoodLog!$A:$A,$A149,FoodLog!$F:$F)=0,"",SUMIF(FoodLog!$A:$A,$A149,FoodLog!$F:$F)))</f>
        <v/>
      </c>
      <c r="W149">
        <f>IF($A149="","",IF(SUMIF(FoodLog!$A:$A,$A149,FoodLog!$G:$G)=0,"",SUMIF(FoodLog!$A:$A,$A149,FoodLog!$G:$G)))</f>
        <v/>
      </c>
      <c r="X149">
        <f>IF($A149="","",IF(SUMIF(FoodLog!$A:$A,$A149,FoodLog!$H:$H)=0,"",SUMIF(FoodLog!$A:$A,$A149,FoodLog!$H:$H)))</f>
        <v/>
      </c>
      <c r="Y149">
        <f>IF($A149="","",IFERROR(ROUND(100*AVERAGE(IF($B149="","",XLOOKUP($B149,FILTER(Dictionaries!$B:$B,Dictionaries!$A:$A="Тренировка"),FILTER(Dictionaries!$C:$C,Dictionaries!$A:$A="Тренировка"))),IF($C149="","",MIN($C149/40,1)),IF($D149="","",XLOOKUP($D149,FILTER(Dictionaries!$B:$B,Dictionaries!$A:$A="Шаги"),FILTER(Dictionaries!$C:$C,Dictionaries!$A:$A="Шаги"))),IF($E149="","",MIN($E149/120,1)),IF(OR($F149&lt;&gt;"",$G149&lt;&gt;""),1,""),IF($H149="","",MIN($H149/100,1)),IF($L149="","",XLOOKUP($L149,FILTER(Dictionaries!$B:$B,Dictionaries!$A:$A="Сон_часы"),FILTER(Dictionaries!$C:$C,Dictionaries!$A:$A="Сон_часы"))),IF($M149="","",XLOOKUP($M149,FILTER(Dictionaries!$B:$B,Dictionaries!$A:$A="Режим"),FILTER(Dictionaries!$C:$C,Dictionaries!$A:$A="Режим"))),IF($N149="","",MIN($N149/100,1)),IF($O149="","",XLOOKUP($O149,FILTER(Dictionaries!$B:$B,Dictionaries!$A:$A="Настроение"),FILTER(Dictionaries!$C:$C,Dictionaries!$A:$A="Настроение"))),IF($P149="","",XLOOKUP($P149,FILTER(Dictionaries!$B:$B,Dictionaries!$A:$A="Энергия"),FILTER(Dictionaries!$C:$C,Dictionaries!$A:$A="Энергия"))),IF($U149="","",AVERAGE(IF(OR($B149="Ноги",$B149="Верх"),IFS(AND($U149&gt;=1900,$U149&lt;=2050),1,AND($U149&gt;=1850,$U149&lt;1900),0.7,AND($U149&gt;2050,$U149&lt;=2100),0.7,TRUE,0.2),IFS(AND($U149&gt;=1700,$U149&lt;=1850),1,AND($U149&gt;=1650,$U149&lt;1700),0.7,AND($U149&gt;1850,$U149&lt;=1900),0.7,TRUE,0.2)),IF(OR($B149="Ноги",$B149="Верх"),IFS(AND($V149&gt;=125,$V149&lt;=135),1,AND($V149&gt;=115,$V149&lt;125),0.7,AND($V149&gt;135,$V149&lt;=145),0.7,AND($V149&gt;=105,$V149&lt;115),0.4,AND($V149&gt;145,$V149&lt;=155),0.4,TRUE,0.2),IFS(AND($V149&gt;=120,$V149&lt;=130),1,AND($V149&gt;=110,$V149&lt;120),0.7,AND($V149&gt;130,$V149&lt;=140),0.7,AND($V149&gt;=100,$V149&lt;110),0.4,AND($V149&gt;140,$V149&lt;=150),0.4,TRUE,0.2)),IFS(AND($W149&gt;=55,$W149&lt;=65),1,AND($W149&gt;=50,$W149&lt;55),0.7,AND($W149&gt;65,$W149&lt;=70),0.7,AND($W149&gt;=45,$W149&lt;50),0.4,AND($W149&gt;70,$W149&lt;=75),0.4,TRUE,0.2),IF(OR($B149="Ноги",$B149="Верх"),IFS(AND($X149&gt;=180,$X149&lt;=210),1,AND($X149&gt;=160,$X149&lt;180),0.7,AND($X149&gt;210,$X149&lt;=230),0.7,AND($X149&gt;=140,$X149&lt;160),0.4,AND($X149&gt;230,$X149&lt;=250),0.4,TRUE,0.2),IFS(AND($X149&gt;=140,$X149&lt;=170),1,AND($X149&gt;=120,$X149&lt;140),0.7,AND($X149&gt;170,$X149&lt;=190),0.7,AND($X149&gt;=100,$X149&lt;120),0.4,AND($X149&gt;190,$X149&lt;=210),0.4,TRUE,0.2))))),1),""))</f>
        <v/>
      </c>
      <c r="Z149">
        <f>IF($A149="","",TEXTJOIN(", ",TRUE,IF($B149="","Тренировка",""),IF($C149="","Кардио",""),IF($D149="","Шаги",""),IF($E149="","Английский",""),IF($F149="","Код-режим",""),IF($G149="","Код-тема",""),IF($H149="","Чтение",""),IF($L149="","Сон",""),IF($M149="","Режим",""),IF($N149="","Продуктивность",""),IF($O149="","Настроение",""),IF($P149="","Энергия",""),IF($U149="","Еда","")))</f>
        <v/>
      </c>
    </row>
    <row r="150">
      <c r="A150" t="inlineStr"/>
      <c r="U150">
        <f>IF($A150="","",IF(SUMIF(FoodLog!$A:$A,$A150,FoodLog!$I:$I)=0,"",SUMIF(FoodLog!$A:$A,$A150,FoodLog!$I:$I)))</f>
        <v/>
      </c>
      <c r="V150">
        <f>IF($A150="","",IF(SUMIF(FoodLog!$A:$A,$A150,FoodLog!$F:$F)=0,"",SUMIF(FoodLog!$A:$A,$A150,FoodLog!$F:$F)))</f>
        <v/>
      </c>
      <c r="W150">
        <f>IF($A150="","",IF(SUMIF(FoodLog!$A:$A,$A150,FoodLog!$G:$G)=0,"",SUMIF(FoodLog!$A:$A,$A150,FoodLog!$G:$G)))</f>
        <v/>
      </c>
      <c r="X150">
        <f>IF($A150="","",IF(SUMIF(FoodLog!$A:$A,$A150,FoodLog!$H:$H)=0,"",SUMIF(FoodLog!$A:$A,$A150,FoodLog!$H:$H)))</f>
        <v/>
      </c>
      <c r="Y150">
        <f>IF($A150="","",IFERROR(ROUND(100*AVERAGE(IF($B150="","",XLOOKUP($B150,FILTER(Dictionaries!$B:$B,Dictionaries!$A:$A="Тренировка"),FILTER(Dictionaries!$C:$C,Dictionaries!$A:$A="Тренировка"))),IF($C150="","",MIN($C150/40,1)),IF($D150="","",XLOOKUP($D150,FILTER(Dictionaries!$B:$B,Dictionaries!$A:$A="Шаги"),FILTER(Dictionaries!$C:$C,Dictionaries!$A:$A="Шаги"))),IF($E150="","",MIN($E150/120,1)),IF(OR($F150&lt;&gt;"",$G150&lt;&gt;""),1,""),IF($H150="","",MIN($H150/100,1)),IF($L150="","",XLOOKUP($L150,FILTER(Dictionaries!$B:$B,Dictionaries!$A:$A="Сон_часы"),FILTER(Dictionaries!$C:$C,Dictionaries!$A:$A="Сон_часы"))),IF($M150="","",XLOOKUP($M150,FILTER(Dictionaries!$B:$B,Dictionaries!$A:$A="Режим"),FILTER(Dictionaries!$C:$C,Dictionaries!$A:$A="Режим"))),IF($N150="","",MIN($N150/100,1)),IF($O150="","",XLOOKUP($O150,FILTER(Dictionaries!$B:$B,Dictionaries!$A:$A="Настроение"),FILTER(Dictionaries!$C:$C,Dictionaries!$A:$A="Настроение"))),IF($P150="","",XLOOKUP($P150,FILTER(Dictionaries!$B:$B,Dictionaries!$A:$A="Энергия"),FILTER(Dictionaries!$C:$C,Dictionaries!$A:$A="Энергия"))),IF($U150="","",AVERAGE(IF(OR($B150="Ноги",$B150="Верх"),IFS(AND($U150&gt;=1900,$U150&lt;=2050),1,AND($U150&gt;=1850,$U150&lt;1900),0.7,AND($U150&gt;2050,$U150&lt;=2100),0.7,TRUE,0.2),IFS(AND($U150&gt;=1700,$U150&lt;=1850),1,AND($U150&gt;=1650,$U150&lt;1700),0.7,AND($U150&gt;1850,$U150&lt;=1900),0.7,TRUE,0.2)),IF(OR($B150="Ноги",$B150="Верх"),IFS(AND($V150&gt;=125,$V150&lt;=135),1,AND($V150&gt;=115,$V150&lt;125),0.7,AND($V150&gt;135,$V150&lt;=145),0.7,AND($V150&gt;=105,$V150&lt;115),0.4,AND($V150&gt;145,$V150&lt;=155),0.4,TRUE,0.2),IFS(AND($V150&gt;=120,$V150&lt;=130),1,AND($V150&gt;=110,$V150&lt;120),0.7,AND($V150&gt;130,$V150&lt;=140),0.7,AND($V150&gt;=100,$V150&lt;110),0.4,AND($V150&gt;140,$V150&lt;=150),0.4,TRUE,0.2)),IFS(AND($W150&gt;=55,$W150&lt;=65),1,AND($W150&gt;=50,$W150&lt;55),0.7,AND($W150&gt;65,$W150&lt;=70),0.7,AND($W150&gt;=45,$W150&lt;50),0.4,AND($W150&gt;70,$W150&lt;=75),0.4,TRUE,0.2),IF(OR($B150="Ноги",$B150="Верх"),IFS(AND($X150&gt;=180,$X150&lt;=210),1,AND($X150&gt;=160,$X150&lt;180),0.7,AND($X150&gt;210,$X150&lt;=230),0.7,AND($X150&gt;=140,$X150&lt;160),0.4,AND($X150&gt;230,$X150&lt;=250),0.4,TRUE,0.2),IFS(AND($X150&gt;=140,$X150&lt;=170),1,AND($X150&gt;=120,$X150&lt;140),0.7,AND($X150&gt;170,$X150&lt;=190),0.7,AND($X150&gt;=100,$X150&lt;120),0.4,AND($X150&gt;190,$X150&lt;=210),0.4,TRUE,0.2))))),1),""))</f>
        <v/>
      </c>
      <c r="Z150">
        <f>IF($A150="","",TEXTJOIN(", ",TRUE,IF($B150="","Тренировка",""),IF($C150="","Кардио",""),IF($D150="","Шаги",""),IF($E150="","Английский",""),IF($F150="","Код-режим",""),IF($G150="","Код-тема",""),IF($H150="","Чтение",""),IF($L150="","Сон",""),IF($M150="","Режим",""),IF($N150="","Продуктивность",""),IF($O150="","Настроение",""),IF($P150="","Энергия",""),IF($U150="","Еда","")))</f>
        <v/>
      </c>
    </row>
    <row r="151">
      <c r="A151" t="inlineStr"/>
      <c r="U151">
        <f>IF($A151="","",IF(SUMIF(FoodLog!$A:$A,$A151,FoodLog!$I:$I)=0,"",SUMIF(FoodLog!$A:$A,$A151,FoodLog!$I:$I)))</f>
        <v/>
      </c>
      <c r="V151">
        <f>IF($A151="","",IF(SUMIF(FoodLog!$A:$A,$A151,FoodLog!$F:$F)=0,"",SUMIF(FoodLog!$A:$A,$A151,FoodLog!$F:$F)))</f>
        <v/>
      </c>
      <c r="W151">
        <f>IF($A151="","",IF(SUMIF(FoodLog!$A:$A,$A151,FoodLog!$G:$G)=0,"",SUMIF(FoodLog!$A:$A,$A151,FoodLog!$G:$G)))</f>
        <v/>
      </c>
      <c r="X151">
        <f>IF($A151="","",IF(SUMIF(FoodLog!$A:$A,$A151,FoodLog!$H:$H)=0,"",SUMIF(FoodLog!$A:$A,$A151,FoodLog!$H:$H)))</f>
        <v/>
      </c>
      <c r="Y151">
        <f>IF($A151="","",IFERROR(ROUND(100*AVERAGE(IF($B151="","",XLOOKUP($B151,FILTER(Dictionaries!$B:$B,Dictionaries!$A:$A="Тренировка"),FILTER(Dictionaries!$C:$C,Dictionaries!$A:$A="Тренировка"))),IF($C151="","",MIN($C151/40,1)),IF($D151="","",XLOOKUP($D151,FILTER(Dictionaries!$B:$B,Dictionaries!$A:$A="Шаги"),FILTER(Dictionaries!$C:$C,Dictionaries!$A:$A="Шаги"))),IF($E151="","",MIN($E151/120,1)),IF(OR($F151&lt;&gt;"",$G151&lt;&gt;""),1,""),IF($H151="","",MIN($H151/100,1)),IF($L151="","",XLOOKUP($L151,FILTER(Dictionaries!$B:$B,Dictionaries!$A:$A="Сон_часы"),FILTER(Dictionaries!$C:$C,Dictionaries!$A:$A="Сон_часы"))),IF($M151="","",XLOOKUP($M151,FILTER(Dictionaries!$B:$B,Dictionaries!$A:$A="Режим"),FILTER(Dictionaries!$C:$C,Dictionaries!$A:$A="Режим"))),IF($N151="","",MIN($N151/100,1)),IF($O151="","",XLOOKUP($O151,FILTER(Dictionaries!$B:$B,Dictionaries!$A:$A="Настроение"),FILTER(Dictionaries!$C:$C,Dictionaries!$A:$A="Настроение"))),IF($P151="","",XLOOKUP($P151,FILTER(Dictionaries!$B:$B,Dictionaries!$A:$A="Энергия"),FILTER(Dictionaries!$C:$C,Dictionaries!$A:$A="Энергия"))),IF($U151="","",AVERAGE(IF(OR($B151="Ноги",$B151="Верх"),IFS(AND($U151&gt;=1900,$U151&lt;=2050),1,AND($U151&gt;=1850,$U151&lt;1900),0.7,AND($U151&gt;2050,$U151&lt;=2100),0.7,TRUE,0.2),IFS(AND($U151&gt;=1700,$U151&lt;=1850),1,AND($U151&gt;=1650,$U151&lt;1700),0.7,AND($U151&gt;1850,$U151&lt;=1900),0.7,TRUE,0.2)),IF(OR($B151="Ноги",$B151="Верх"),IFS(AND($V151&gt;=125,$V151&lt;=135),1,AND($V151&gt;=115,$V151&lt;125),0.7,AND($V151&gt;135,$V151&lt;=145),0.7,AND($V151&gt;=105,$V151&lt;115),0.4,AND($V151&gt;145,$V151&lt;=155),0.4,TRUE,0.2),IFS(AND($V151&gt;=120,$V151&lt;=130),1,AND($V151&gt;=110,$V151&lt;120),0.7,AND($V151&gt;130,$V151&lt;=140),0.7,AND($V151&gt;=100,$V151&lt;110),0.4,AND($V151&gt;140,$V151&lt;=150),0.4,TRUE,0.2)),IFS(AND($W151&gt;=55,$W151&lt;=65),1,AND($W151&gt;=50,$W151&lt;55),0.7,AND($W151&gt;65,$W151&lt;=70),0.7,AND($W151&gt;=45,$W151&lt;50),0.4,AND($W151&gt;70,$W151&lt;=75),0.4,TRUE,0.2),IF(OR($B151="Ноги",$B151="Верх"),IFS(AND($X151&gt;=180,$X151&lt;=210),1,AND($X151&gt;=160,$X151&lt;180),0.7,AND($X151&gt;210,$X151&lt;=230),0.7,AND($X151&gt;=140,$X151&lt;160),0.4,AND($X151&gt;230,$X151&lt;=250),0.4,TRUE,0.2),IFS(AND($X151&gt;=140,$X151&lt;=170),1,AND($X151&gt;=120,$X151&lt;140),0.7,AND($X151&gt;170,$X151&lt;=190),0.7,AND($X151&gt;=100,$X151&lt;120),0.4,AND($X151&gt;190,$X151&lt;=210),0.4,TRUE,0.2))))),1),""))</f>
        <v/>
      </c>
      <c r="Z151">
        <f>IF($A151="","",TEXTJOIN(", ",TRUE,IF($B151="","Тренировка",""),IF($C151="","Кардио",""),IF($D151="","Шаги",""),IF($E151="","Английский",""),IF($F151="","Код-режим",""),IF($G151="","Код-тема",""),IF($H151="","Чтение",""),IF($L151="","Сон",""),IF($M151="","Режим",""),IF($N151="","Продуктивность",""),IF($O151="","Настроение",""),IF($P151="","Энергия",""),IF($U151="","Еда","")))</f>
        <v/>
      </c>
    </row>
    <row r="152">
      <c r="A152" t="inlineStr"/>
      <c r="U152">
        <f>IF($A152="","",IF(SUMIF(FoodLog!$A:$A,$A152,FoodLog!$I:$I)=0,"",SUMIF(FoodLog!$A:$A,$A152,FoodLog!$I:$I)))</f>
        <v/>
      </c>
      <c r="V152">
        <f>IF($A152="","",IF(SUMIF(FoodLog!$A:$A,$A152,FoodLog!$F:$F)=0,"",SUMIF(FoodLog!$A:$A,$A152,FoodLog!$F:$F)))</f>
        <v/>
      </c>
      <c r="W152">
        <f>IF($A152="","",IF(SUMIF(FoodLog!$A:$A,$A152,FoodLog!$G:$G)=0,"",SUMIF(FoodLog!$A:$A,$A152,FoodLog!$G:$G)))</f>
        <v/>
      </c>
      <c r="X152">
        <f>IF($A152="","",IF(SUMIF(FoodLog!$A:$A,$A152,FoodLog!$H:$H)=0,"",SUMIF(FoodLog!$A:$A,$A152,FoodLog!$H:$H)))</f>
        <v/>
      </c>
      <c r="Y152">
        <f>IF($A152="","",IFERROR(ROUND(100*AVERAGE(IF($B152="","",XLOOKUP($B152,FILTER(Dictionaries!$B:$B,Dictionaries!$A:$A="Тренировка"),FILTER(Dictionaries!$C:$C,Dictionaries!$A:$A="Тренировка"))),IF($C152="","",MIN($C152/40,1)),IF($D152="","",XLOOKUP($D152,FILTER(Dictionaries!$B:$B,Dictionaries!$A:$A="Шаги"),FILTER(Dictionaries!$C:$C,Dictionaries!$A:$A="Шаги"))),IF($E152="","",MIN($E152/120,1)),IF(OR($F152&lt;&gt;"",$G152&lt;&gt;""),1,""),IF($H152="","",MIN($H152/100,1)),IF($L152="","",XLOOKUP($L152,FILTER(Dictionaries!$B:$B,Dictionaries!$A:$A="Сон_часы"),FILTER(Dictionaries!$C:$C,Dictionaries!$A:$A="Сон_часы"))),IF($M152="","",XLOOKUP($M152,FILTER(Dictionaries!$B:$B,Dictionaries!$A:$A="Режим"),FILTER(Dictionaries!$C:$C,Dictionaries!$A:$A="Режим"))),IF($N152="","",MIN($N152/100,1)),IF($O152="","",XLOOKUP($O152,FILTER(Dictionaries!$B:$B,Dictionaries!$A:$A="Настроение"),FILTER(Dictionaries!$C:$C,Dictionaries!$A:$A="Настроение"))),IF($P152="","",XLOOKUP($P152,FILTER(Dictionaries!$B:$B,Dictionaries!$A:$A="Энергия"),FILTER(Dictionaries!$C:$C,Dictionaries!$A:$A="Энергия"))),IF($U152="","",AVERAGE(IF(OR($B152="Ноги",$B152="Верх"),IFS(AND($U152&gt;=1900,$U152&lt;=2050),1,AND($U152&gt;=1850,$U152&lt;1900),0.7,AND($U152&gt;2050,$U152&lt;=2100),0.7,TRUE,0.2),IFS(AND($U152&gt;=1700,$U152&lt;=1850),1,AND($U152&gt;=1650,$U152&lt;1700),0.7,AND($U152&gt;1850,$U152&lt;=1900),0.7,TRUE,0.2)),IF(OR($B152="Ноги",$B152="Верх"),IFS(AND($V152&gt;=125,$V152&lt;=135),1,AND($V152&gt;=115,$V152&lt;125),0.7,AND($V152&gt;135,$V152&lt;=145),0.7,AND($V152&gt;=105,$V152&lt;115),0.4,AND($V152&gt;145,$V152&lt;=155),0.4,TRUE,0.2),IFS(AND($V152&gt;=120,$V152&lt;=130),1,AND($V152&gt;=110,$V152&lt;120),0.7,AND($V152&gt;130,$V152&lt;=140),0.7,AND($V152&gt;=100,$V152&lt;110),0.4,AND($V152&gt;140,$V152&lt;=150),0.4,TRUE,0.2)),IFS(AND($W152&gt;=55,$W152&lt;=65),1,AND($W152&gt;=50,$W152&lt;55),0.7,AND($W152&gt;65,$W152&lt;=70),0.7,AND($W152&gt;=45,$W152&lt;50),0.4,AND($W152&gt;70,$W152&lt;=75),0.4,TRUE,0.2),IF(OR($B152="Ноги",$B152="Верх"),IFS(AND($X152&gt;=180,$X152&lt;=210),1,AND($X152&gt;=160,$X152&lt;180),0.7,AND($X152&gt;210,$X152&lt;=230),0.7,AND($X152&gt;=140,$X152&lt;160),0.4,AND($X152&gt;230,$X152&lt;=250),0.4,TRUE,0.2),IFS(AND($X152&gt;=140,$X152&lt;=170),1,AND($X152&gt;=120,$X152&lt;140),0.7,AND($X152&gt;170,$X152&lt;=190),0.7,AND($X152&gt;=100,$X152&lt;120),0.4,AND($X152&gt;190,$X152&lt;=210),0.4,TRUE,0.2))))),1),""))</f>
        <v/>
      </c>
      <c r="Z152">
        <f>IF($A152="","",TEXTJOIN(", ",TRUE,IF($B152="","Тренировка",""),IF($C152="","Кардио",""),IF($D152="","Шаги",""),IF($E152="","Английский",""),IF($F152="","Код-режим",""),IF($G152="","Код-тема",""),IF($H152="","Чтение",""),IF($L152="","Сон",""),IF($M152="","Режим",""),IF($N152="","Продуктивность",""),IF($O152="","Настроение",""),IF($P152="","Энергия",""),IF($U152="","Еда","")))</f>
        <v/>
      </c>
    </row>
    <row r="153">
      <c r="A153" t="inlineStr"/>
      <c r="U153">
        <f>IF($A153="","",IF(SUMIF(FoodLog!$A:$A,$A153,FoodLog!$I:$I)=0,"",SUMIF(FoodLog!$A:$A,$A153,FoodLog!$I:$I)))</f>
        <v/>
      </c>
      <c r="V153">
        <f>IF($A153="","",IF(SUMIF(FoodLog!$A:$A,$A153,FoodLog!$F:$F)=0,"",SUMIF(FoodLog!$A:$A,$A153,FoodLog!$F:$F)))</f>
        <v/>
      </c>
      <c r="W153">
        <f>IF($A153="","",IF(SUMIF(FoodLog!$A:$A,$A153,FoodLog!$G:$G)=0,"",SUMIF(FoodLog!$A:$A,$A153,FoodLog!$G:$G)))</f>
        <v/>
      </c>
      <c r="X153">
        <f>IF($A153="","",IF(SUMIF(FoodLog!$A:$A,$A153,FoodLog!$H:$H)=0,"",SUMIF(FoodLog!$A:$A,$A153,FoodLog!$H:$H)))</f>
        <v/>
      </c>
      <c r="Y153">
        <f>IF($A153="","",IFERROR(ROUND(100*AVERAGE(IF($B153="","",XLOOKUP($B153,FILTER(Dictionaries!$B:$B,Dictionaries!$A:$A="Тренировка"),FILTER(Dictionaries!$C:$C,Dictionaries!$A:$A="Тренировка"))),IF($C153="","",MIN($C153/40,1)),IF($D153="","",XLOOKUP($D153,FILTER(Dictionaries!$B:$B,Dictionaries!$A:$A="Шаги"),FILTER(Dictionaries!$C:$C,Dictionaries!$A:$A="Шаги"))),IF($E153="","",MIN($E153/120,1)),IF(OR($F153&lt;&gt;"",$G153&lt;&gt;""),1,""),IF($H153="","",MIN($H153/100,1)),IF($L153="","",XLOOKUP($L153,FILTER(Dictionaries!$B:$B,Dictionaries!$A:$A="Сон_часы"),FILTER(Dictionaries!$C:$C,Dictionaries!$A:$A="Сон_часы"))),IF($M153="","",XLOOKUP($M153,FILTER(Dictionaries!$B:$B,Dictionaries!$A:$A="Режим"),FILTER(Dictionaries!$C:$C,Dictionaries!$A:$A="Режим"))),IF($N153="","",MIN($N153/100,1)),IF($O153="","",XLOOKUP($O153,FILTER(Dictionaries!$B:$B,Dictionaries!$A:$A="Настроение"),FILTER(Dictionaries!$C:$C,Dictionaries!$A:$A="Настроение"))),IF($P153="","",XLOOKUP($P153,FILTER(Dictionaries!$B:$B,Dictionaries!$A:$A="Энергия"),FILTER(Dictionaries!$C:$C,Dictionaries!$A:$A="Энергия"))),IF($U153="","",AVERAGE(IF(OR($B153="Ноги",$B153="Верх"),IFS(AND($U153&gt;=1900,$U153&lt;=2050),1,AND($U153&gt;=1850,$U153&lt;1900),0.7,AND($U153&gt;2050,$U153&lt;=2100),0.7,TRUE,0.2),IFS(AND($U153&gt;=1700,$U153&lt;=1850),1,AND($U153&gt;=1650,$U153&lt;1700),0.7,AND($U153&gt;1850,$U153&lt;=1900),0.7,TRUE,0.2)),IF(OR($B153="Ноги",$B153="Верх"),IFS(AND($V153&gt;=125,$V153&lt;=135),1,AND($V153&gt;=115,$V153&lt;125),0.7,AND($V153&gt;135,$V153&lt;=145),0.7,AND($V153&gt;=105,$V153&lt;115),0.4,AND($V153&gt;145,$V153&lt;=155),0.4,TRUE,0.2),IFS(AND($V153&gt;=120,$V153&lt;=130),1,AND($V153&gt;=110,$V153&lt;120),0.7,AND($V153&gt;130,$V153&lt;=140),0.7,AND($V153&gt;=100,$V153&lt;110),0.4,AND($V153&gt;140,$V153&lt;=150),0.4,TRUE,0.2)),IFS(AND($W153&gt;=55,$W153&lt;=65),1,AND($W153&gt;=50,$W153&lt;55),0.7,AND($W153&gt;65,$W153&lt;=70),0.7,AND($W153&gt;=45,$W153&lt;50),0.4,AND($W153&gt;70,$W153&lt;=75),0.4,TRUE,0.2),IF(OR($B153="Ноги",$B153="Верх"),IFS(AND($X153&gt;=180,$X153&lt;=210),1,AND($X153&gt;=160,$X153&lt;180),0.7,AND($X153&gt;210,$X153&lt;=230),0.7,AND($X153&gt;=140,$X153&lt;160),0.4,AND($X153&gt;230,$X153&lt;=250),0.4,TRUE,0.2),IFS(AND($X153&gt;=140,$X153&lt;=170),1,AND($X153&gt;=120,$X153&lt;140),0.7,AND($X153&gt;170,$X153&lt;=190),0.7,AND($X153&gt;=100,$X153&lt;120),0.4,AND($X153&gt;190,$X153&lt;=210),0.4,TRUE,0.2))))),1),""))</f>
        <v/>
      </c>
      <c r="Z153">
        <f>IF($A153="","",TEXTJOIN(", ",TRUE,IF($B153="","Тренировка",""),IF($C153="","Кардио",""),IF($D153="","Шаги",""),IF($E153="","Английский",""),IF($F153="","Код-режим",""),IF($G153="","Код-тема",""),IF($H153="","Чтение",""),IF($L153="","Сон",""),IF($M153="","Режим",""),IF($N153="","Продуктивность",""),IF($O153="","Настроение",""),IF($P153="","Энергия",""),IF($U153="","Еда","")))</f>
        <v/>
      </c>
    </row>
    <row r="154">
      <c r="A154" t="inlineStr"/>
      <c r="U154">
        <f>IF($A154="","",IF(SUMIF(FoodLog!$A:$A,$A154,FoodLog!$I:$I)=0,"",SUMIF(FoodLog!$A:$A,$A154,FoodLog!$I:$I)))</f>
        <v/>
      </c>
      <c r="V154">
        <f>IF($A154="","",IF(SUMIF(FoodLog!$A:$A,$A154,FoodLog!$F:$F)=0,"",SUMIF(FoodLog!$A:$A,$A154,FoodLog!$F:$F)))</f>
        <v/>
      </c>
      <c r="W154">
        <f>IF($A154="","",IF(SUMIF(FoodLog!$A:$A,$A154,FoodLog!$G:$G)=0,"",SUMIF(FoodLog!$A:$A,$A154,FoodLog!$G:$G)))</f>
        <v/>
      </c>
      <c r="X154">
        <f>IF($A154="","",IF(SUMIF(FoodLog!$A:$A,$A154,FoodLog!$H:$H)=0,"",SUMIF(FoodLog!$A:$A,$A154,FoodLog!$H:$H)))</f>
        <v/>
      </c>
      <c r="Y154">
        <f>IF($A154="","",IFERROR(ROUND(100*AVERAGE(IF($B154="","",XLOOKUP($B154,FILTER(Dictionaries!$B:$B,Dictionaries!$A:$A="Тренировка"),FILTER(Dictionaries!$C:$C,Dictionaries!$A:$A="Тренировка"))),IF($C154="","",MIN($C154/40,1)),IF($D154="","",XLOOKUP($D154,FILTER(Dictionaries!$B:$B,Dictionaries!$A:$A="Шаги"),FILTER(Dictionaries!$C:$C,Dictionaries!$A:$A="Шаги"))),IF($E154="","",MIN($E154/120,1)),IF(OR($F154&lt;&gt;"",$G154&lt;&gt;""),1,""),IF($H154="","",MIN($H154/100,1)),IF($L154="","",XLOOKUP($L154,FILTER(Dictionaries!$B:$B,Dictionaries!$A:$A="Сон_часы"),FILTER(Dictionaries!$C:$C,Dictionaries!$A:$A="Сон_часы"))),IF($M154="","",XLOOKUP($M154,FILTER(Dictionaries!$B:$B,Dictionaries!$A:$A="Режим"),FILTER(Dictionaries!$C:$C,Dictionaries!$A:$A="Режим"))),IF($N154="","",MIN($N154/100,1)),IF($O154="","",XLOOKUP($O154,FILTER(Dictionaries!$B:$B,Dictionaries!$A:$A="Настроение"),FILTER(Dictionaries!$C:$C,Dictionaries!$A:$A="Настроение"))),IF($P154="","",XLOOKUP($P154,FILTER(Dictionaries!$B:$B,Dictionaries!$A:$A="Энергия"),FILTER(Dictionaries!$C:$C,Dictionaries!$A:$A="Энергия"))),IF($U154="","",AVERAGE(IF(OR($B154="Ноги",$B154="Верх"),IFS(AND($U154&gt;=1900,$U154&lt;=2050),1,AND($U154&gt;=1850,$U154&lt;1900),0.7,AND($U154&gt;2050,$U154&lt;=2100),0.7,TRUE,0.2),IFS(AND($U154&gt;=1700,$U154&lt;=1850),1,AND($U154&gt;=1650,$U154&lt;1700),0.7,AND($U154&gt;1850,$U154&lt;=1900),0.7,TRUE,0.2)),IF(OR($B154="Ноги",$B154="Верх"),IFS(AND($V154&gt;=125,$V154&lt;=135),1,AND($V154&gt;=115,$V154&lt;125),0.7,AND($V154&gt;135,$V154&lt;=145),0.7,AND($V154&gt;=105,$V154&lt;115),0.4,AND($V154&gt;145,$V154&lt;=155),0.4,TRUE,0.2),IFS(AND($V154&gt;=120,$V154&lt;=130),1,AND($V154&gt;=110,$V154&lt;120),0.7,AND($V154&gt;130,$V154&lt;=140),0.7,AND($V154&gt;=100,$V154&lt;110),0.4,AND($V154&gt;140,$V154&lt;=150),0.4,TRUE,0.2)),IFS(AND($W154&gt;=55,$W154&lt;=65),1,AND($W154&gt;=50,$W154&lt;55),0.7,AND($W154&gt;65,$W154&lt;=70),0.7,AND($W154&gt;=45,$W154&lt;50),0.4,AND($W154&gt;70,$W154&lt;=75),0.4,TRUE,0.2),IF(OR($B154="Ноги",$B154="Верх"),IFS(AND($X154&gt;=180,$X154&lt;=210),1,AND($X154&gt;=160,$X154&lt;180),0.7,AND($X154&gt;210,$X154&lt;=230),0.7,AND($X154&gt;=140,$X154&lt;160),0.4,AND($X154&gt;230,$X154&lt;=250),0.4,TRUE,0.2),IFS(AND($X154&gt;=140,$X154&lt;=170),1,AND($X154&gt;=120,$X154&lt;140),0.7,AND($X154&gt;170,$X154&lt;=190),0.7,AND($X154&gt;=100,$X154&lt;120),0.4,AND($X154&gt;190,$X154&lt;=210),0.4,TRUE,0.2))))),1),""))</f>
        <v/>
      </c>
      <c r="Z154">
        <f>IF($A154="","",TEXTJOIN(", ",TRUE,IF($B154="","Тренировка",""),IF($C154="","Кардио",""),IF($D154="","Шаги",""),IF($E154="","Английский",""),IF($F154="","Код-режим",""),IF($G154="","Код-тема",""),IF($H154="","Чтение",""),IF($L154="","Сон",""),IF($M154="","Режим",""),IF($N154="","Продуктивность",""),IF($O154="","Настроение",""),IF($P154="","Энергия",""),IF($U154="","Еда","")))</f>
        <v/>
      </c>
    </row>
    <row r="155">
      <c r="A155" t="inlineStr"/>
      <c r="U155">
        <f>IF($A155="","",IF(SUMIF(FoodLog!$A:$A,$A155,FoodLog!$I:$I)=0,"",SUMIF(FoodLog!$A:$A,$A155,FoodLog!$I:$I)))</f>
        <v/>
      </c>
      <c r="V155">
        <f>IF($A155="","",IF(SUMIF(FoodLog!$A:$A,$A155,FoodLog!$F:$F)=0,"",SUMIF(FoodLog!$A:$A,$A155,FoodLog!$F:$F)))</f>
        <v/>
      </c>
      <c r="W155">
        <f>IF($A155="","",IF(SUMIF(FoodLog!$A:$A,$A155,FoodLog!$G:$G)=0,"",SUMIF(FoodLog!$A:$A,$A155,FoodLog!$G:$G)))</f>
        <v/>
      </c>
      <c r="X155">
        <f>IF($A155="","",IF(SUMIF(FoodLog!$A:$A,$A155,FoodLog!$H:$H)=0,"",SUMIF(FoodLog!$A:$A,$A155,FoodLog!$H:$H)))</f>
        <v/>
      </c>
      <c r="Y155">
        <f>IF($A155="","",IFERROR(ROUND(100*AVERAGE(IF($B155="","",XLOOKUP($B155,FILTER(Dictionaries!$B:$B,Dictionaries!$A:$A="Тренировка"),FILTER(Dictionaries!$C:$C,Dictionaries!$A:$A="Тренировка"))),IF($C155="","",MIN($C155/40,1)),IF($D155="","",XLOOKUP($D155,FILTER(Dictionaries!$B:$B,Dictionaries!$A:$A="Шаги"),FILTER(Dictionaries!$C:$C,Dictionaries!$A:$A="Шаги"))),IF($E155="","",MIN($E155/120,1)),IF(OR($F155&lt;&gt;"",$G155&lt;&gt;""),1,""),IF($H155="","",MIN($H155/100,1)),IF($L155="","",XLOOKUP($L155,FILTER(Dictionaries!$B:$B,Dictionaries!$A:$A="Сон_часы"),FILTER(Dictionaries!$C:$C,Dictionaries!$A:$A="Сон_часы"))),IF($M155="","",XLOOKUP($M155,FILTER(Dictionaries!$B:$B,Dictionaries!$A:$A="Режим"),FILTER(Dictionaries!$C:$C,Dictionaries!$A:$A="Режим"))),IF($N155="","",MIN($N155/100,1)),IF($O155="","",XLOOKUP($O155,FILTER(Dictionaries!$B:$B,Dictionaries!$A:$A="Настроение"),FILTER(Dictionaries!$C:$C,Dictionaries!$A:$A="Настроение"))),IF($P155="","",XLOOKUP($P155,FILTER(Dictionaries!$B:$B,Dictionaries!$A:$A="Энергия"),FILTER(Dictionaries!$C:$C,Dictionaries!$A:$A="Энергия"))),IF($U155="","",AVERAGE(IF(OR($B155="Ноги",$B155="Верх"),IFS(AND($U155&gt;=1900,$U155&lt;=2050),1,AND($U155&gt;=1850,$U155&lt;1900),0.7,AND($U155&gt;2050,$U155&lt;=2100),0.7,TRUE,0.2),IFS(AND($U155&gt;=1700,$U155&lt;=1850),1,AND($U155&gt;=1650,$U155&lt;1700),0.7,AND($U155&gt;1850,$U155&lt;=1900),0.7,TRUE,0.2)),IF(OR($B155="Ноги",$B155="Верх"),IFS(AND($V155&gt;=125,$V155&lt;=135),1,AND($V155&gt;=115,$V155&lt;125),0.7,AND($V155&gt;135,$V155&lt;=145),0.7,AND($V155&gt;=105,$V155&lt;115),0.4,AND($V155&gt;145,$V155&lt;=155),0.4,TRUE,0.2),IFS(AND($V155&gt;=120,$V155&lt;=130),1,AND($V155&gt;=110,$V155&lt;120),0.7,AND($V155&gt;130,$V155&lt;=140),0.7,AND($V155&gt;=100,$V155&lt;110),0.4,AND($V155&gt;140,$V155&lt;=150),0.4,TRUE,0.2)),IFS(AND($W155&gt;=55,$W155&lt;=65),1,AND($W155&gt;=50,$W155&lt;55),0.7,AND($W155&gt;65,$W155&lt;=70),0.7,AND($W155&gt;=45,$W155&lt;50),0.4,AND($W155&gt;70,$W155&lt;=75),0.4,TRUE,0.2),IF(OR($B155="Ноги",$B155="Верх"),IFS(AND($X155&gt;=180,$X155&lt;=210),1,AND($X155&gt;=160,$X155&lt;180),0.7,AND($X155&gt;210,$X155&lt;=230),0.7,AND($X155&gt;=140,$X155&lt;160),0.4,AND($X155&gt;230,$X155&lt;=250),0.4,TRUE,0.2),IFS(AND($X155&gt;=140,$X155&lt;=170),1,AND($X155&gt;=120,$X155&lt;140),0.7,AND($X155&gt;170,$X155&lt;=190),0.7,AND($X155&gt;=100,$X155&lt;120),0.4,AND($X155&gt;190,$X155&lt;=210),0.4,TRUE,0.2))))),1),""))</f>
        <v/>
      </c>
      <c r="Z155">
        <f>IF($A155="","",TEXTJOIN(", ",TRUE,IF($B155="","Тренировка",""),IF($C155="","Кардио",""),IF($D155="","Шаги",""),IF($E155="","Английский",""),IF($F155="","Код-режим",""),IF($G155="","Код-тема",""),IF($H155="","Чтение",""),IF($L155="","Сон",""),IF($M155="","Режим",""),IF($N155="","Продуктивность",""),IF($O155="","Настроение",""),IF($P155="","Энергия",""),IF($U155="","Еда","")))</f>
        <v/>
      </c>
    </row>
    <row r="156">
      <c r="A156" t="inlineStr"/>
      <c r="U156">
        <f>IF($A156="","",IF(SUMIF(FoodLog!$A:$A,$A156,FoodLog!$I:$I)=0,"",SUMIF(FoodLog!$A:$A,$A156,FoodLog!$I:$I)))</f>
        <v/>
      </c>
      <c r="V156">
        <f>IF($A156="","",IF(SUMIF(FoodLog!$A:$A,$A156,FoodLog!$F:$F)=0,"",SUMIF(FoodLog!$A:$A,$A156,FoodLog!$F:$F)))</f>
        <v/>
      </c>
      <c r="W156">
        <f>IF($A156="","",IF(SUMIF(FoodLog!$A:$A,$A156,FoodLog!$G:$G)=0,"",SUMIF(FoodLog!$A:$A,$A156,FoodLog!$G:$G)))</f>
        <v/>
      </c>
      <c r="X156">
        <f>IF($A156="","",IF(SUMIF(FoodLog!$A:$A,$A156,FoodLog!$H:$H)=0,"",SUMIF(FoodLog!$A:$A,$A156,FoodLog!$H:$H)))</f>
        <v/>
      </c>
      <c r="Y156">
        <f>IF($A156="","",IFERROR(ROUND(100*AVERAGE(IF($B156="","",XLOOKUP($B156,FILTER(Dictionaries!$B:$B,Dictionaries!$A:$A="Тренировка"),FILTER(Dictionaries!$C:$C,Dictionaries!$A:$A="Тренировка"))),IF($C156="","",MIN($C156/40,1)),IF($D156="","",XLOOKUP($D156,FILTER(Dictionaries!$B:$B,Dictionaries!$A:$A="Шаги"),FILTER(Dictionaries!$C:$C,Dictionaries!$A:$A="Шаги"))),IF($E156="","",MIN($E156/120,1)),IF(OR($F156&lt;&gt;"",$G156&lt;&gt;""),1,""),IF($H156="","",MIN($H156/100,1)),IF($L156="","",XLOOKUP($L156,FILTER(Dictionaries!$B:$B,Dictionaries!$A:$A="Сон_часы"),FILTER(Dictionaries!$C:$C,Dictionaries!$A:$A="Сон_часы"))),IF($M156="","",XLOOKUP($M156,FILTER(Dictionaries!$B:$B,Dictionaries!$A:$A="Режим"),FILTER(Dictionaries!$C:$C,Dictionaries!$A:$A="Режим"))),IF($N156="","",MIN($N156/100,1)),IF($O156="","",XLOOKUP($O156,FILTER(Dictionaries!$B:$B,Dictionaries!$A:$A="Настроение"),FILTER(Dictionaries!$C:$C,Dictionaries!$A:$A="Настроение"))),IF($P156="","",XLOOKUP($P156,FILTER(Dictionaries!$B:$B,Dictionaries!$A:$A="Энергия"),FILTER(Dictionaries!$C:$C,Dictionaries!$A:$A="Энергия"))),IF($U156="","",AVERAGE(IF(OR($B156="Ноги",$B156="Верх"),IFS(AND($U156&gt;=1900,$U156&lt;=2050),1,AND($U156&gt;=1850,$U156&lt;1900),0.7,AND($U156&gt;2050,$U156&lt;=2100),0.7,TRUE,0.2),IFS(AND($U156&gt;=1700,$U156&lt;=1850),1,AND($U156&gt;=1650,$U156&lt;1700),0.7,AND($U156&gt;1850,$U156&lt;=1900),0.7,TRUE,0.2)),IF(OR($B156="Ноги",$B156="Верх"),IFS(AND($V156&gt;=125,$V156&lt;=135),1,AND($V156&gt;=115,$V156&lt;125),0.7,AND($V156&gt;135,$V156&lt;=145),0.7,AND($V156&gt;=105,$V156&lt;115),0.4,AND($V156&gt;145,$V156&lt;=155),0.4,TRUE,0.2),IFS(AND($V156&gt;=120,$V156&lt;=130),1,AND($V156&gt;=110,$V156&lt;120),0.7,AND($V156&gt;130,$V156&lt;=140),0.7,AND($V156&gt;=100,$V156&lt;110),0.4,AND($V156&gt;140,$V156&lt;=150),0.4,TRUE,0.2)),IFS(AND($W156&gt;=55,$W156&lt;=65),1,AND($W156&gt;=50,$W156&lt;55),0.7,AND($W156&gt;65,$W156&lt;=70),0.7,AND($W156&gt;=45,$W156&lt;50),0.4,AND($W156&gt;70,$W156&lt;=75),0.4,TRUE,0.2),IF(OR($B156="Ноги",$B156="Верх"),IFS(AND($X156&gt;=180,$X156&lt;=210),1,AND($X156&gt;=160,$X156&lt;180),0.7,AND($X156&gt;210,$X156&lt;=230),0.7,AND($X156&gt;=140,$X156&lt;160),0.4,AND($X156&gt;230,$X156&lt;=250),0.4,TRUE,0.2),IFS(AND($X156&gt;=140,$X156&lt;=170),1,AND($X156&gt;=120,$X156&lt;140),0.7,AND($X156&gt;170,$X156&lt;=190),0.7,AND($X156&gt;=100,$X156&lt;120),0.4,AND($X156&gt;190,$X156&lt;=210),0.4,TRUE,0.2))))),1),""))</f>
        <v/>
      </c>
      <c r="Z156">
        <f>IF($A156="","",TEXTJOIN(", ",TRUE,IF($B156="","Тренировка",""),IF($C156="","Кардио",""),IF($D156="","Шаги",""),IF($E156="","Английский",""),IF($F156="","Код-режим",""),IF($G156="","Код-тема",""),IF($H156="","Чтение",""),IF($L156="","Сон",""),IF($M156="","Режим",""),IF($N156="","Продуктивность",""),IF($O156="","Настроение",""),IF($P156="","Энергия",""),IF($U156="","Еда","")))</f>
        <v/>
      </c>
    </row>
    <row r="157">
      <c r="A157" t="inlineStr"/>
      <c r="U157">
        <f>IF($A157="","",IF(SUMIF(FoodLog!$A:$A,$A157,FoodLog!$I:$I)=0,"",SUMIF(FoodLog!$A:$A,$A157,FoodLog!$I:$I)))</f>
        <v/>
      </c>
      <c r="V157">
        <f>IF($A157="","",IF(SUMIF(FoodLog!$A:$A,$A157,FoodLog!$F:$F)=0,"",SUMIF(FoodLog!$A:$A,$A157,FoodLog!$F:$F)))</f>
        <v/>
      </c>
      <c r="W157">
        <f>IF($A157="","",IF(SUMIF(FoodLog!$A:$A,$A157,FoodLog!$G:$G)=0,"",SUMIF(FoodLog!$A:$A,$A157,FoodLog!$G:$G)))</f>
        <v/>
      </c>
      <c r="X157">
        <f>IF($A157="","",IF(SUMIF(FoodLog!$A:$A,$A157,FoodLog!$H:$H)=0,"",SUMIF(FoodLog!$A:$A,$A157,FoodLog!$H:$H)))</f>
        <v/>
      </c>
      <c r="Y157">
        <f>IF($A157="","",IFERROR(ROUND(100*AVERAGE(IF($B157="","",XLOOKUP($B157,FILTER(Dictionaries!$B:$B,Dictionaries!$A:$A="Тренировка"),FILTER(Dictionaries!$C:$C,Dictionaries!$A:$A="Тренировка"))),IF($C157="","",MIN($C157/40,1)),IF($D157="","",XLOOKUP($D157,FILTER(Dictionaries!$B:$B,Dictionaries!$A:$A="Шаги"),FILTER(Dictionaries!$C:$C,Dictionaries!$A:$A="Шаги"))),IF($E157="","",MIN($E157/120,1)),IF(OR($F157&lt;&gt;"",$G157&lt;&gt;""),1,""),IF($H157="","",MIN($H157/100,1)),IF($L157="","",XLOOKUP($L157,FILTER(Dictionaries!$B:$B,Dictionaries!$A:$A="Сон_часы"),FILTER(Dictionaries!$C:$C,Dictionaries!$A:$A="Сон_часы"))),IF($M157="","",XLOOKUP($M157,FILTER(Dictionaries!$B:$B,Dictionaries!$A:$A="Режим"),FILTER(Dictionaries!$C:$C,Dictionaries!$A:$A="Режим"))),IF($N157="","",MIN($N157/100,1)),IF($O157="","",XLOOKUP($O157,FILTER(Dictionaries!$B:$B,Dictionaries!$A:$A="Настроение"),FILTER(Dictionaries!$C:$C,Dictionaries!$A:$A="Настроение"))),IF($P157="","",XLOOKUP($P157,FILTER(Dictionaries!$B:$B,Dictionaries!$A:$A="Энергия"),FILTER(Dictionaries!$C:$C,Dictionaries!$A:$A="Энергия"))),IF($U157="","",AVERAGE(IF(OR($B157="Ноги",$B157="Верх"),IFS(AND($U157&gt;=1900,$U157&lt;=2050),1,AND($U157&gt;=1850,$U157&lt;1900),0.7,AND($U157&gt;2050,$U157&lt;=2100),0.7,TRUE,0.2),IFS(AND($U157&gt;=1700,$U157&lt;=1850),1,AND($U157&gt;=1650,$U157&lt;1700),0.7,AND($U157&gt;1850,$U157&lt;=1900),0.7,TRUE,0.2)),IF(OR($B157="Ноги",$B157="Верх"),IFS(AND($V157&gt;=125,$V157&lt;=135),1,AND($V157&gt;=115,$V157&lt;125),0.7,AND($V157&gt;135,$V157&lt;=145),0.7,AND($V157&gt;=105,$V157&lt;115),0.4,AND($V157&gt;145,$V157&lt;=155),0.4,TRUE,0.2),IFS(AND($V157&gt;=120,$V157&lt;=130),1,AND($V157&gt;=110,$V157&lt;120),0.7,AND($V157&gt;130,$V157&lt;=140),0.7,AND($V157&gt;=100,$V157&lt;110),0.4,AND($V157&gt;140,$V157&lt;=150),0.4,TRUE,0.2)),IFS(AND($W157&gt;=55,$W157&lt;=65),1,AND($W157&gt;=50,$W157&lt;55),0.7,AND($W157&gt;65,$W157&lt;=70),0.7,AND($W157&gt;=45,$W157&lt;50),0.4,AND($W157&gt;70,$W157&lt;=75),0.4,TRUE,0.2),IF(OR($B157="Ноги",$B157="Верх"),IFS(AND($X157&gt;=180,$X157&lt;=210),1,AND($X157&gt;=160,$X157&lt;180),0.7,AND($X157&gt;210,$X157&lt;=230),0.7,AND($X157&gt;=140,$X157&lt;160),0.4,AND($X157&gt;230,$X157&lt;=250),0.4,TRUE,0.2),IFS(AND($X157&gt;=140,$X157&lt;=170),1,AND($X157&gt;=120,$X157&lt;140),0.7,AND($X157&gt;170,$X157&lt;=190),0.7,AND($X157&gt;=100,$X157&lt;120),0.4,AND($X157&gt;190,$X157&lt;=210),0.4,TRUE,0.2))))),1),""))</f>
        <v/>
      </c>
      <c r="Z157">
        <f>IF($A157="","",TEXTJOIN(", ",TRUE,IF($B157="","Тренировка",""),IF($C157="","Кардио",""),IF($D157="","Шаги",""),IF($E157="","Английский",""),IF($F157="","Код-режим",""),IF($G157="","Код-тема",""),IF($H157="","Чтение",""),IF($L157="","Сон",""),IF($M157="","Режим",""),IF($N157="","Продуктивность",""),IF($O157="","Настроение",""),IF($P157="","Энергия",""),IF($U157="","Еда","")))</f>
        <v/>
      </c>
    </row>
    <row r="158">
      <c r="A158" t="inlineStr"/>
      <c r="U158">
        <f>IF($A158="","",IF(SUMIF(FoodLog!$A:$A,$A158,FoodLog!$I:$I)=0,"",SUMIF(FoodLog!$A:$A,$A158,FoodLog!$I:$I)))</f>
        <v/>
      </c>
      <c r="V158">
        <f>IF($A158="","",IF(SUMIF(FoodLog!$A:$A,$A158,FoodLog!$F:$F)=0,"",SUMIF(FoodLog!$A:$A,$A158,FoodLog!$F:$F)))</f>
        <v/>
      </c>
      <c r="W158">
        <f>IF($A158="","",IF(SUMIF(FoodLog!$A:$A,$A158,FoodLog!$G:$G)=0,"",SUMIF(FoodLog!$A:$A,$A158,FoodLog!$G:$G)))</f>
        <v/>
      </c>
      <c r="X158">
        <f>IF($A158="","",IF(SUMIF(FoodLog!$A:$A,$A158,FoodLog!$H:$H)=0,"",SUMIF(FoodLog!$A:$A,$A158,FoodLog!$H:$H)))</f>
        <v/>
      </c>
      <c r="Y158">
        <f>IF($A158="","",IFERROR(ROUND(100*AVERAGE(IF($B158="","",XLOOKUP($B158,FILTER(Dictionaries!$B:$B,Dictionaries!$A:$A="Тренировка"),FILTER(Dictionaries!$C:$C,Dictionaries!$A:$A="Тренировка"))),IF($C158="","",MIN($C158/40,1)),IF($D158="","",XLOOKUP($D158,FILTER(Dictionaries!$B:$B,Dictionaries!$A:$A="Шаги"),FILTER(Dictionaries!$C:$C,Dictionaries!$A:$A="Шаги"))),IF($E158="","",MIN($E158/120,1)),IF(OR($F158&lt;&gt;"",$G158&lt;&gt;""),1,""),IF($H158="","",MIN($H158/100,1)),IF($L158="","",XLOOKUP($L158,FILTER(Dictionaries!$B:$B,Dictionaries!$A:$A="Сон_часы"),FILTER(Dictionaries!$C:$C,Dictionaries!$A:$A="Сон_часы"))),IF($M158="","",XLOOKUP($M158,FILTER(Dictionaries!$B:$B,Dictionaries!$A:$A="Режим"),FILTER(Dictionaries!$C:$C,Dictionaries!$A:$A="Режим"))),IF($N158="","",MIN($N158/100,1)),IF($O158="","",XLOOKUP($O158,FILTER(Dictionaries!$B:$B,Dictionaries!$A:$A="Настроение"),FILTER(Dictionaries!$C:$C,Dictionaries!$A:$A="Настроение"))),IF($P158="","",XLOOKUP($P158,FILTER(Dictionaries!$B:$B,Dictionaries!$A:$A="Энергия"),FILTER(Dictionaries!$C:$C,Dictionaries!$A:$A="Энергия"))),IF($U158="","",AVERAGE(IF(OR($B158="Ноги",$B158="Верх"),IFS(AND($U158&gt;=1900,$U158&lt;=2050),1,AND($U158&gt;=1850,$U158&lt;1900),0.7,AND($U158&gt;2050,$U158&lt;=2100),0.7,TRUE,0.2),IFS(AND($U158&gt;=1700,$U158&lt;=1850),1,AND($U158&gt;=1650,$U158&lt;1700),0.7,AND($U158&gt;1850,$U158&lt;=1900),0.7,TRUE,0.2)),IF(OR($B158="Ноги",$B158="Верх"),IFS(AND($V158&gt;=125,$V158&lt;=135),1,AND($V158&gt;=115,$V158&lt;125),0.7,AND($V158&gt;135,$V158&lt;=145),0.7,AND($V158&gt;=105,$V158&lt;115),0.4,AND($V158&gt;145,$V158&lt;=155),0.4,TRUE,0.2),IFS(AND($V158&gt;=120,$V158&lt;=130),1,AND($V158&gt;=110,$V158&lt;120),0.7,AND($V158&gt;130,$V158&lt;=140),0.7,AND($V158&gt;=100,$V158&lt;110),0.4,AND($V158&gt;140,$V158&lt;=150),0.4,TRUE,0.2)),IFS(AND($W158&gt;=55,$W158&lt;=65),1,AND($W158&gt;=50,$W158&lt;55),0.7,AND($W158&gt;65,$W158&lt;=70),0.7,AND($W158&gt;=45,$W158&lt;50),0.4,AND($W158&gt;70,$W158&lt;=75),0.4,TRUE,0.2),IF(OR($B158="Ноги",$B158="Верх"),IFS(AND($X158&gt;=180,$X158&lt;=210),1,AND($X158&gt;=160,$X158&lt;180),0.7,AND($X158&gt;210,$X158&lt;=230),0.7,AND($X158&gt;=140,$X158&lt;160),0.4,AND($X158&gt;230,$X158&lt;=250),0.4,TRUE,0.2),IFS(AND($X158&gt;=140,$X158&lt;=170),1,AND($X158&gt;=120,$X158&lt;140),0.7,AND($X158&gt;170,$X158&lt;=190),0.7,AND($X158&gt;=100,$X158&lt;120),0.4,AND($X158&gt;190,$X158&lt;=210),0.4,TRUE,0.2))))),1),""))</f>
        <v/>
      </c>
      <c r="Z158">
        <f>IF($A158="","",TEXTJOIN(", ",TRUE,IF($B158="","Тренировка",""),IF($C158="","Кардио",""),IF($D158="","Шаги",""),IF($E158="","Английский",""),IF($F158="","Код-режим",""),IF($G158="","Код-тема",""),IF($H158="","Чтение",""),IF($L158="","Сон",""),IF($M158="","Режим",""),IF($N158="","Продуктивность",""),IF($O158="","Настроение",""),IF($P158="","Энергия",""),IF($U158="","Еда","")))</f>
        <v/>
      </c>
    </row>
    <row r="159">
      <c r="A159" t="inlineStr"/>
      <c r="U159">
        <f>IF($A159="","",IF(SUMIF(FoodLog!$A:$A,$A159,FoodLog!$I:$I)=0,"",SUMIF(FoodLog!$A:$A,$A159,FoodLog!$I:$I)))</f>
        <v/>
      </c>
      <c r="V159">
        <f>IF($A159="","",IF(SUMIF(FoodLog!$A:$A,$A159,FoodLog!$F:$F)=0,"",SUMIF(FoodLog!$A:$A,$A159,FoodLog!$F:$F)))</f>
        <v/>
      </c>
      <c r="W159">
        <f>IF($A159="","",IF(SUMIF(FoodLog!$A:$A,$A159,FoodLog!$G:$G)=0,"",SUMIF(FoodLog!$A:$A,$A159,FoodLog!$G:$G)))</f>
        <v/>
      </c>
      <c r="X159">
        <f>IF($A159="","",IF(SUMIF(FoodLog!$A:$A,$A159,FoodLog!$H:$H)=0,"",SUMIF(FoodLog!$A:$A,$A159,FoodLog!$H:$H)))</f>
        <v/>
      </c>
      <c r="Y159">
        <f>IF($A159="","",IFERROR(ROUND(100*AVERAGE(IF($B159="","",XLOOKUP($B159,FILTER(Dictionaries!$B:$B,Dictionaries!$A:$A="Тренировка"),FILTER(Dictionaries!$C:$C,Dictionaries!$A:$A="Тренировка"))),IF($C159="","",MIN($C159/40,1)),IF($D159="","",XLOOKUP($D159,FILTER(Dictionaries!$B:$B,Dictionaries!$A:$A="Шаги"),FILTER(Dictionaries!$C:$C,Dictionaries!$A:$A="Шаги"))),IF($E159="","",MIN($E159/120,1)),IF(OR($F159&lt;&gt;"",$G159&lt;&gt;""),1,""),IF($H159="","",MIN($H159/100,1)),IF($L159="","",XLOOKUP($L159,FILTER(Dictionaries!$B:$B,Dictionaries!$A:$A="Сон_часы"),FILTER(Dictionaries!$C:$C,Dictionaries!$A:$A="Сон_часы"))),IF($M159="","",XLOOKUP($M159,FILTER(Dictionaries!$B:$B,Dictionaries!$A:$A="Режим"),FILTER(Dictionaries!$C:$C,Dictionaries!$A:$A="Режим"))),IF($N159="","",MIN($N159/100,1)),IF($O159="","",XLOOKUP($O159,FILTER(Dictionaries!$B:$B,Dictionaries!$A:$A="Настроение"),FILTER(Dictionaries!$C:$C,Dictionaries!$A:$A="Настроение"))),IF($P159="","",XLOOKUP($P159,FILTER(Dictionaries!$B:$B,Dictionaries!$A:$A="Энергия"),FILTER(Dictionaries!$C:$C,Dictionaries!$A:$A="Энергия"))),IF($U159="","",AVERAGE(IF(OR($B159="Ноги",$B159="Верх"),IFS(AND($U159&gt;=1900,$U159&lt;=2050),1,AND($U159&gt;=1850,$U159&lt;1900),0.7,AND($U159&gt;2050,$U159&lt;=2100),0.7,TRUE,0.2),IFS(AND($U159&gt;=1700,$U159&lt;=1850),1,AND($U159&gt;=1650,$U159&lt;1700),0.7,AND($U159&gt;1850,$U159&lt;=1900),0.7,TRUE,0.2)),IF(OR($B159="Ноги",$B159="Верх"),IFS(AND($V159&gt;=125,$V159&lt;=135),1,AND($V159&gt;=115,$V159&lt;125),0.7,AND($V159&gt;135,$V159&lt;=145),0.7,AND($V159&gt;=105,$V159&lt;115),0.4,AND($V159&gt;145,$V159&lt;=155),0.4,TRUE,0.2),IFS(AND($V159&gt;=120,$V159&lt;=130),1,AND($V159&gt;=110,$V159&lt;120),0.7,AND($V159&gt;130,$V159&lt;=140),0.7,AND($V159&gt;=100,$V159&lt;110),0.4,AND($V159&gt;140,$V159&lt;=150),0.4,TRUE,0.2)),IFS(AND($W159&gt;=55,$W159&lt;=65),1,AND($W159&gt;=50,$W159&lt;55),0.7,AND($W159&gt;65,$W159&lt;=70),0.7,AND($W159&gt;=45,$W159&lt;50),0.4,AND($W159&gt;70,$W159&lt;=75),0.4,TRUE,0.2),IF(OR($B159="Ноги",$B159="Верх"),IFS(AND($X159&gt;=180,$X159&lt;=210),1,AND($X159&gt;=160,$X159&lt;180),0.7,AND($X159&gt;210,$X159&lt;=230),0.7,AND($X159&gt;=140,$X159&lt;160),0.4,AND($X159&gt;230,$X159&lt;=250),0.4,TRUE,0.2),IFS(AND($X159&gt;=140,$X159&lt;=170),1,AND($X159&gt;=120,$X159&lt;140),0.7,AND($X159&gt;170,$X159&lt;=190),0.7,AND($X159&gt;=100,$X159&lt;120),0.4,AND($X159&gt;190,$X159&lt;=210),0.4,TRUE,0.2))))),1),""))</f>
        <v/>
      </c>
      <c r="Z159">
        <f>IF($A159="","",TEXTJOIN(", ",TRUE,IF($B159="","Тренировка",""),IF($C159="","Кардио",""),IF($D159="","Шаги",""),IF($E159="","Английский",""),IF($F159="","Код-режим",""),IF($G159="","Код-тема",""),IF($H159="","Чтение",""),IF($L159="","Сон",""),IF($M159="","Режим",""),IF($N159="","Продуктивность",""),IF($O159="","Настроение",""),IF($P159="","Энергия",""),IF($U159="","Еда","")))</f>
        <v/>
      </c>
    </row>
    <row r="160">
      <c r="A160" t="inlineStr"/>
      <c r="U160">
        <f>IF($A160="","",IF(SUMIF(FoodLog!$A:$A,$A160,FoodLog!$I:$I)=0,"",SUMIF(FoodLog!$A:$A,$A160,FoodLog!$I:$I)))</f>
        <v/>
      </c>
      <c r="V160">
        <f>IF($A160="","",IF(SUMIF(FoodLog!$A:$A,$A160,FoodLog!$F:$F)=0,"",SUMIF(FoodLog!$A:$A,$A160,FoodLog!$F:$F)))</f>
        <v/>
      </c>
      <c r="W160">
        <f>IF($A160="","",IF(SUMIF(FoodLog!$A:$A,$A160,FoodLog!$G:$G)=0,"",SUMIF(FoodLog!$A:$A,$A160,FoodLog!$G:$G)))</f>
        <v/>
      </c>
      <c r="X160">
        <f>IF($A160="","",IF(SUMIF(FoodLog!$A:$A,$A160,FoodLog!$H:$H)=0,"",SUMIF(FoodLog!$A:$A,$A160,FoodLog!$H:$H)))</f>
        <v/>
      </c>
      <c r="Y160">
        <f>IF($A160="","",IFERROR(ROUND(100*AVERAGE(IF($B160="","",XLOOKUP($B160,FILTER(Dictionaries!$B:$B,Dictionaries!$A:$A="Тренировка"),FILTER(Dictionaries!$C:$C,Dictionaries!$A:$A="Тренировка"))),IF($C160="","",MIN($C160/40,1)),IF($D160="","",XLOOKUP($D160,FILTER(Dictionaries!$B:$B,Dictionaries!$A:$A="Шаги"),FILTER(Dictionaries!$C:$C,Dictionaries!$A:$A="Шаги"))),IF($E160="","",MIN($E160/120,1)),IF(OR($F160&lt;&gt;"",$G160&lt;&gt;""),1,""),IF($H160="","",MIN($H160/100,1)),IF($L160="","",XLOOKUP($L160,FILTER(Dictionaries!$B:$B,Dictionaries!$A:$A="Сон_часы"),FILTER(Dictionaries!$C:$C,Dictionaries!$A:$A="Сон_часы"))),IF($M160="","",XLOOKUP($M160,FILTER(Dictionaries!$B:$B,Dictionaries!$A:$A="Режим"),FILTER(Dictionaries!$C:$C,Dictionaries!$A:$A="Режим"))),IF($N160="","",MIN($N160/100,1)),IF($O160="","",XLOOKUP($O160,FILTER(Dictionaries!$B:$B,Dictionaries!$A:$A="Настроение"),FILTER(Dictionaries!$C:$C,Dictionaries!$A:$A="Настроение"))),IF($P160="","",XLOOKUP($P160,FILTER(Dictionaries!$B:$B,Dictionaries!$A:$A="Энергия"),FILTER(Dictionaries!$C:$C,Dictionaries!$A:$A="Энергия"))),IF($U160="","",AVERAGE(IF(OR($B160="Ноги",$B160="Верх"),IFS(AND($U160&gt;=1900,$U160&lt;=2050),1,AND($U160&gt;=1850,$U160&lt;1900),0.7,AND($U160&gt;2050,$U160&lt;=2100),0.7,TRUE,0.2),IFS(AND($U160&gt;=1700,$U160&lt;=1850),1,AND($U160&gt;=1650,$U160&lt;1700),0.7,AND($U160&gt;1850,$U160&lt;=1900),0.7,TRUE,0.2)),IF(OR($B160="Ноги",$B160="Верх"),IFS(AND($V160&gt;=125,$V160&lt;=135),1,AND($V160&gt;=115,$V160&lt;125),0.7,AND($V160&gt;135,$V160&lt;=145),0.7,AND($V160&gt;=105,$V160&lt;115),0.4,AND($V160&gt;145,$V160&lt;=155),0.4,TRUE,0.2),IFS(AND($V160&gt;=120,$V160&lt;=130),1,AND($V160&gt;=110,$V160&lt;120),0.7,AND($V160&gt;130,$V160&lt;=140),0.7,AND($V160&gt;=100,$V160&lt;110),0.4,AND($V160&gt;140,$V160&lt;=150),0.4,TRUE,0.2)),IFS(AND($W160&gt;=55,$W160&lt;=65),1,AND($W160&gt;=50,$W160&lt;55),0.7,AND($W160&gt;65,$W160&lt;=70),0.7,AND($W160&gt;=45,$W160&lt;50),0.4,AND($W160&gt;70,$W160&lt;=75),0.4,TRUE,0.2),IF(OR($B160="Ноги",$B160="Верх"),IFS(AND($X160&gt;=180,$X160&lt;=210),1,AND($X160&gt;=160,$X160&lt;180),0.7,AND($X160&gt;210,$X160&lt;=230),0.7,AND($X160&gt;=140,$X160&lt;160),0.4,AND($X160&gt;230,$X160&lt;=250),0.4,TRUE,0.2),IFS(AND($X160&gt;=140,$X160&lt;=170),1,AND($X160&gt;=120,$X160&lt;140),0.7,AND($X160&gt;170,$X160&lt;=190),0.7,AND($X160&gt;=100,$X160&lt;120),0.4,AND($X160&gt;190,$X160&lt;=210),0.4,TRUE,0.2))))),1),""))</f>
        <v/>
      </c>
      <c r="Z160">
        <f>IF($A160="","",TEXTJOIN(", ",TRUE,IF($B160="","Тренировка",""),IF($C160="","Кардио",""),IF($D160="","Шаги",""),IF($E160="","Английский",""),IF($F160="","Код-режим",""),IF($G160="","Код-тема",""),IF($H160="","Чтение",""),IF($L160="","Сон",""),IF($M160="","Режим",""),IF($N160="","Продуктивность",""),IF($O160="","Настроение",""),IF($P160="","Энергия",""),IF($U160="","Еда","")))</f>
        <v/>
      </c>
    </row>
    <row r="161">
      <c r="A161" t="inlineStr"/>
      <c r="U161">
        <f>IF($A161="","",IF(SUMIF(FoodLog!$A:$A,$A161,FoodLog!$I:$I)=0,"",SUMIF(FoodLog!$A:$A,$A161,FoodLog!$I:$I)))</f>
        <v/>
      </c>
      <c r="V161">
        <f>IF($A161="","",IF(SUMIF(FoodLog!$A:$A,$A161,FoodLog!$F:$F)=0,"",SUMIF(FoodLog!$A:$A,$A161,FoodLog!$F:$F)))</f>
        <v/>
      </c>
      <c r="W161">
        <f>IF($A161="","",IF(SUMIF(FoodLog!$A:$A,$A161,FoodLog!$G:$G)=0,"",SUMIF(FoodLog!$A:$A,$A161,FoodLog!$G:$G)))</f>
        <v/>
      </c>
      <c r="X161">
        <f>IF($A161="","",IF(SUMIF(FoodLog!$A:$A,$A161,FoodLog!$H:$H)=0,"",SUMIF(FoodLog!$A:$A,$A161,FoodLog!$H:$H)))</f>
        <v/>
      </c>
      <c r="Y161">
        <f>IF($A161="","",IFERROR(ROUND(100*AVERAGE(IF($B161="","",XLOOKUP($B161,FILTER(Dictionaries!$B:$B,Dictionaries!$A:$A="Тренировка"),FILTER(Dictionaries!$C:$C,Dictionaries!$A:$A="Тренировка"))),IF($C161="","",MIN($C161/40,1)),IF($D161="","",XLOOKUP($D161,FILTER(Dictionaries!$B:$B,Dictionaries!$A:$A="Шаги"),FILTER(Dictionaries!$C:$C,Dictionaries!$A:$A="Шаги"))),IF($E161="","",MIN($E161/120,1)),IF(OR($F161&lt;&gt;"",$G161&lt;&gt;""),1,""),IF($H161="","",MIN($H161/100,1)),IF($L161="","",XLOOKUP($L161,FILTER(Dictionaries!$B:$B,Dictionaries!$A:$A="Сон_часы"),FILTER(Dictionaries!$C:$C,Dictionaries!$A:$A="Сон_часы"))),IF($M161="","",XLOOKUP($M161,FILTER(Dictionaries!$B:$B,Dictionaries!$A:$A="Режим"),FILTER(Dictionaries!$C:$C,Dictionaries!$A:$A="Режим"))),IF($N161="","",MIN($N161/100,1)),IF($O161="","",XLOOKUP($O161,FILTER(Dictionaries!$B:$B,Dictionaries!$A:$A="Настроение"),FILTER(Dictionaries!$C:$C,Dictionaries!$A:$A="Настроение"))),IF($P161="","",XLOOKUP($P161,FILTER(Dictionaries!$B:$B,Dictionaries!$A:$A="Энергия"),FILTER(Dictionaries!$C:$C,Dictionaries!$A:$A="Энергия"))),IF($U161="","",AVERAGE(IF(OR($B161="Ноги",$B161="Верх"),IFS(AND($U161&gt;=1900,$U161&lt;=2050),1,AND($U161&gt;=1850,$U161&lt;1900),0.7,AND($U161&gt;2050,$U161&lt;=2100),0.7,TRUE,0.2),IFS(AND($U161&gt;=1700,$U161&lt;=1850),1,AND($U161&gt;=1650,$U161&lt;1700),0.7,AND($U161&gt;1850,$U161&lt;=1900),0.7,TRUE,0.2)),IF(OR($B161="Ноги",$B161="Верх"),IFS(AND($V161&gt;=125,$V161&lt;=135),1,AND($V161&gt;=115,$V161&lt;125),0.7,AND($V161&gt;135,$V161&lt;=145),0.7,AND($V161&gt;=105,$V161&lt;115),0.4,AND($V161&gt;145,$V161&lt;=155),0.4,TRUE,0.2),IFS(AND($V161&gt;=120,$V161&lt;=130),1,AND($V161&gt;=110,$V161&lt;120),0.7,AND($V161&gt;130,$V161&lt;=140),0.7,AND($V161&gt;=100,$V161&lt;110),0.4,AND($V161&gt;140,$V161&lt;=150),0.4,TRUE,0.2)),IFS(AND($W161&gt;=55,$W161&lt;=65),1,AND($W161&gt;=50,$W161&lt;55),0.7,AND($W161&gt;65,$W161&lt;=70),0.7,AND($W161&gt;=45,$W161&lt;50),0.4,AND($W161&gt;70,$W161&lt;=75),0.4,TRUE,0.2),IF(OR($B161="Ноги",$B161="Верх"),IFS(AND($X161&gt;=180,$X161&lt;=210),1,AND($X161&gt;=160,$X161&lt;180),0.7,AND($X161&gt;210,$X161&lt;=230),0.7,AND($X161&gt;=140,$X161&lt;160),0.4,AND($X161&gt;230,$X161&lt;=250),0.4,TRUE,0.2),IFS(AND($X161&gt;=140,$X161&lt;=170),1,AND($X161&gt;=120,$X161&lt;140),0.7,AND($X161&gt;170,$X161&lt;=190),0.7,AND($X161&gt;=100,$X161&lt;120),0.4,AND($X161&gt;190,$X161&lt;=210),0.4,TRUE,0.2))))),1),""))</f>
        <v/>
      </c>
      <c r="Z161">
        <f>IF($A161="","",TEXTJOIN(", ",TRUE,IF($B161="","Тренировка",""),IF($C161="","Кардио",""),IF($D161="","Шаги",""),IF($E161="","Английский",""),IF($F161="","Код-режим",""),IF($G161="","Код-тема",""),IF($H161="","Чтение",""),IF($L161="","Сон",""),IF($M161="","Режим",""),IF($N161="","Продуктивность",""),IF($O161="","Настроение",""),IF($P161="","Энергия",""),IF($U161="","Еда","")))</f>
        <v/>
      </c>
    </row>
    <row r="162">
      <c r="A162" t="inlineStr"/>
      <c r="U162">
        <f>IF($A162="","",IF(SUMIF(FoodLog!$A:$A,$A162,FoodLog!$I:$I)=0,"",SUMIF(FoodLog!$A:$A,$A162,FoodLog!$I:$I)))</f>
        <v/>
      </c>
      <c r="V162">
        <f>IF($A162="","",IF(SUMIF(FoodLog!$A:$A,$A162,FoodLog!$F:$F)=0,"",SUMIF(FoodLog!$A:$A,$A162,FoodLog!$F:$F)))</f>
        <v/>
      </c>
      <c r="W162">
        <f>IF($A162="","",IF(SUMIF(FoodLog!$A:$A,$A162,FoodLog!$G:$G)=0,"",SUMIF(FoodLog!$A:$A,$A162,FoodLog!$G:$G)))</f>
        <v/>
      </c>
      <c r="X162">
        <f>IF($A162="","",IF(SUMIF(FoodLog!$A:$A,$A162,FoodLog!$H:$H)=0,"",SUMIF(FoodLog!$A:$A,$A162,FoodLog!$H:$H)))</f>
        <v/>
      </c>
      <c r="Y162">
        <f>IF($A162="","",IFERROR(ROUND(100*AVERAGE(IF($B162="","",XLOOKUP($B162,FILTER(Dictionaries!$B:$B,Dictionaries!$A:$A="Тренировка"),FILTER(Dictionaries!$C:$C,Dictionaries!$A:$A="Тренировка"))),IF($C162="","",MIN($C162/40,1)),IF($D162="","",XLOOKUP($D162,FILTER(Dictionaries!$B:$B,Dictionaries!$A:$A="Шаги"),FILTER(Dictionaries!$C:$C,Dictionaries!$A:$A="Шаги"))),IF($E162="","",MIN($E162/120,1)),IF(OR($F162&lt;&gt;"",$G162&lt;&gt;""),1,""),IF($H162="","",MIN($H162/100,1)),IF($L162="","",XLOOKUP($L162,FILTER(Dictionaries!$B:$B,Dictionaries!$A:$A="Сон_часы"),FILTER(Dictionaries!$C:$C,Dictionaries!$A:$A="Сон_часы"))),IF($M162="","",XLOOKUP($M162,FILTER(Dictionaries!$B:$B,Dictionaries!$A:$A="Режим"),FILTER(Dictionaries!$C:$C,Dictionaries!$A:$A="Режим"))),IF($N162="","",MIN($N162/100,1)),IF($O162="","",XLOOKUP($O162,FILTER(Dictionaries!$B:$B,Dictionaries!$A:$A="Настроение"),FILTER(Dictionaries!$C:$C,Dictionaries!$A:$A="Настроение"))),IF($P162="","",XLOOKUP($P162,FILTER(Dictionaries!$B:$B,Dictionaries!$A:$A="Энергия"),FILTER(Dictionaries!$C:$C,Dictionaries!$A:$A="Энергия"))),IF($U162="","",AVERAGE(IF(OR($B162="Ноги",$B162="Верх"),IFS(AND($U162&gt;=1900,$U162&lt;=2050),1,AND($U162&gt;=1850,$U162&lt;1900),0.7,AND($U162&gt;2050,$U162&lt;=2100),0.7,TRUE,0.2),IFS(AND($U162&gt;=1700,$U162&lt;=1850),1,AND($U162&gt;=1650,$U162&lt;1700),0.7,AND($U162&gt;1850,$U162&lt;=1900),0.7,TRUE,0.2)),IF(OR($B162="Ноги",$B162="Верх"),IFS(AND($V162&gt;=125,$V162&lt;=135),1,AND($V162&gt;=115,$V162&lt;125),0.7,AND($V162&gt;135,$V162&lt;=145),0.7,AND($V162&gt;=105,$V162&lt;115),0.4,AND($V162&gt;145,$V162&lt;=155),0.4,TRUE,0.2),IFS(AND($V162&gt;=120,$V162&lt;=130),1,AND($V162&gt;=110,$V162&lt;120),0.7,AND($V162&gt;130,$V162&lt;=140),0.7,AND($V162&gt;=100,$V162&lt;110),0.4,AND($V162&gt;140,$V162&lt;=150),0.4,TRUE,0.2)),IFS(AND($W162&gt;=55,$W162&lt;=65),1,AND($W162&gt;=50,$W162&lt;55),0.7,AND($W162&gt;65,$W162&lt;=70),0.7,AND($W162&gt;=45,$W162&lt;50),0.4,AND($W162&gt;70,$W162&lt;=75),0.4,TRUE,0.2),IF(OR($B162="Ноги",$B162="Верх"),IFS(AND($X162&gt;=180,$X162&lt;=210),1,AND($X162&gt;=160,$X162&lt;180),0.7,AND($X162&gt;210,$X162&lt;=230),0.7,AND($X162&gt;=140,$X162&lt;160),0.4,AND($X162&gt;230,$X162&lt;=250),0.4,TRUE,0.2),IFS(AND($X162&gt;=140,$X162&lt;=170),1,AND($X162&gt;=120,$X162&lt;140),0.7,AND($X162&gt;170,$X162&lt;=190),0.7,AND($X162&gt;=100,$X162&lt;120),0.4,AND($X162&gt;190,$X162&lt;=210),0.4,TRUE,0.2))))),1),""))</f>
        <v/>
      </c>
      <c r="Z162">
        <f>IF($A162="","",TEXTJOIN(", ",TRUE,IF($B162="","Тренировка",""),IF($C162="","Кардио",""),IF($D162="","Шаги",""),IF($E162="","Английский",""),IF($F162="","Код-режим",""),IF($G162="","Код-тема",""),IF($H162="","Чтение",""),IF($L162="","Сон",""),IF($M162="","Режим",""),IF($N162="","Продуктивность",""),IF($O162="","Настроение",""),IF($P162="","Энергия",""),IF($U162="","Еда","")))</f>
        <v/>
      </c>
    </row>
    <row r="163">
      <c r="A163" t="inlineStr"/>
      <c r="U163">
        <f>IF($A163="","",IF(SUMIF(FoodLog!$A:$A,$A163,FoodLog!$I:$I)=0,"",SUMIF(FoodLog!$A:$A,$A163,FoodLog!$I:$I)))</f>
        <v/>
      </c>
      <c r="V163">
        <f>IF($A163="","",IF(SUMIF(FoodLog!$A:$A,$A163,FoodLog!$F:$F)=0,"",SUMIF(FoodLog!$A:$A,$A163,FoodLog!$F:$F)))</f>
        <v/>
      </c>
      <c r="W163">
        <f>IF($A163="","",IF(SUMIF(FoodLog!$A:$A,$A163,FoodLog!$G:$G)=0,"",SUMIF(FoodLog!$A:$A,$A163,FoodLog!$G:$G)))</f>
        <v/>
      </c>
      <c r="X163">
        <f>IF($A163="","",IF(SUMIF(FoodLog!$A:$A,$A163,FoodLog!$H:$H)=0,"",SUMIF(FoodLog!$A:$A,$A163,FoodLog!$H:$H)))</f>
        <v/>
      </c>
      <c r="Y163">
        <f>IF($A163="","",IFERROR(ROUND(100*AVERAGE(IF($B163="","",XLOOKUP($B163,FILTER(Dictionaries!$B:$B,Dictionaries!$A:$A="Тренировка"),FILTER(Dictionaries!$C:$C,Dictionaries!$A:$A="Тренировка"))),IF($C163="","",MIN($C163/40,1)),IF($D163="","",XLOOKUP($D163,FILTER(Dictionaries!$B:$B,Dictionaries!$A:$A="Шаги"),FILTER(Dictionaries!$C:$C,Dictionaries!$A:$A="Шаги"))),IF($E163="","",MIN($E163/120,1)),IF(OR($F163&lt;&gt;"",$G163&lt;&gt;""),1,""),IF($H163="","",MIN($H163/100,1)),IF($L163="","",XLOOKUP($L163,FILTER(Dictionaries!$B:$B,Dictionaries!$A:$A="Сон_часы"),FILTER(Dictionaries!$C:$C,Dictionaries!$A:$A="Сон_часы"))),IF($M163="","",XLOOKUP($M163,FILTER(Dictionaries!$B:$B,Dictionaries!$A:$A="Режим"),FILTER(Dictionaries!$C:$C,Dictionaries!$A:$A="Режим"))),IF($N163="","",MIN($N163/100,1)),IF($O163="","",XLOOKUP($O163,FILTER(Dictionaries!$B:$B,Dictionaries!$A:$A="Настроение"),FILTER(Dictionaries!$C:$C,Dictionaries!$A:$A="Настроение"))),IF($P163="","",XLOOKUP($P163,FILTER(Dictionaries!$B:$B,Dictionaries!$A:$A="Энергия"),FILTER(Dictionaries!$C:$C,Dictionaries!$A:$A="Энергия"))),IF($U163="","",AVERAGE(IF(OR($B163="Ноги",$B163="Верх"),IFS(AND($U163&gt;=1900,$U163&lt;=2050),1,AND($U163&gt;=1850,$U163&lt;1900),0.7,AND($U163&gt;2050,$U163&lt;=2100),0.7,TRUE,0.2),IFS(AND($U163&gt;=1700,$U163&lt;=1850),1,AND($U163&gt;=1650,$U163&lt;1700),0.7,AND($U163&gt;1850,$U163&lt;=1900),0.7,TRUE,0.2)),IF(OR($B163="Ноги",$B163="Верх"),IFS(AND($V163&gt;=125,$V163&lt;=135),1,AND($V163&gt;=115,$V163&lt;125),0.7,AND($V163&gt;135,$V163&lt;=145),0.7,AND($V163&gt;=105,$V163&lt;115),0.4,AND($V163&gt;145,$V163&lt;=155),0.4,TRUE,0.2),IFS(AND($V163&gt;=120,$V163&lt;=130),1,AND($V163&gt;=110,$V163&lt;120),0.7,AND($V163&gt;130,$V163&lt;=140),0.7,AND($V163&gt;=100,$V163&lt;110),0.4,AND($V163&gt;140,$V163&lt;=150),0.4,TRUE,0.2)),IFS(AND($W163&gt;=55,$W163&lt;=65),1,AND($W163&gt;=50,$W163&lt;55),0.7,AND($W163&gt;65,$W163&lt;=70),0.7,AND($W163&gt;=45,$W163&lt;50),0.4,AND($W163&gt;70,$W163&lt;=75),0.4,TRUE,0.2),IF(OR($B163="Ноги",$B163="Верх"),IFS(AND($X163&gt;=180,$X163&lt;=210),1,AND($X163&gt;=160,$X163&lt;180),0.7,AND($X163&gt;210,$X163&lt;=230),0.7,AND($X163&gt;=140,$X163&lt;160),0.4,AND($X163&gt;230,$X163&lt;=250),0.4,TRUE,0.2),IFS(AND($X163&gt;=140,$X163&lt;=170),1,AND($X163&gt;=120,$X163&lt;140),0.7,AND($X163&gt;170,$X163&lt;=190),0.7,AND($X163&gt;=100,$X163&lt;120),0.4,AND($X163&gt;190,$X163&lt;=210),0.4,TRUE,0.2))))),1),""))</f>
        <v/>
      </c>
      <c r="Z163">
        <f>IF($A163="","",TEXTJOIN(", ",TRUE,IF($B163="","Тренировка",""),IF($C163="","Кардио",""),IF($D163="","Шаги",""),IF($E163="","Английский",""),IF($F163="","Код-режим",""),IF($G163="","Код-тема",""),IF($H163="","Чтение",""),IF($L163="","Сон",""),IF($M163="","Режим",""),IF($N163="","Продуктивность",""),IF($O163="","Настроение",""),IF($P163="","Энергия",""),IF($U163="","Еда","")))</f>
        <v/>
      </c>
    </row>
    <row r="164">
      <c r="A164" t="inlineStr"/>
      <c r="U164">
        <f>IF($A164="","",IF(SUMIF(FoodLog!$A:$A,$A164,FoodLog!$I:$I)=0,"",SUMIF(FoodLog!$A:$A,$A164,FoodLog!$I:$I)))</f>
        <v/>
      </c>
      <c r="V164">
        <f>IF($A164="","",IF(SUMIF(FoodLog!$A:$A,$A164,FoodLog!$F:$F)=0,"",SUMIF(FoodLog!$A:$A,$A164,FoodLog!$F:$F)))</f>
        <v/>
      </c>
      <c r="W164">
        <f>IF($A164="","",IF(SUMIF(FoodLog!$A:$A,$A164,FoodLog!$G:$G)=0,"",SUMIF(FoodLog!$A:$A,$A164,FoodLog!$G:$G)))</f>
        <v/>
      </c>
      <c r="X164">
        <f>IF($A164="","",IF(SUMIF(FoodLog!$A:$A,$A164,FoodLog!$H:$H)=0,"",SUMIF(FoodLog!$A:$A,$A164,FoodLog!$H:$H)))</f>
        <v/>
      </c>
      <c r="Y164">
        <f>IF($A164="","",IFERROR(ROUND(100*AVERAGE(IF($B164="","",XLOOKUP($B164,FILTER(Dictionaries!$B:$B,Dictionaries!$A:$A="Тренировка"),FILTER(Dictionaries!$C:$C,Dictionaries!$A:$A="Тренировка"))),IF($C164="","",MIN($C164/40,1)),IF($D164="","",XLOOKUP($D164,FILTER(Dictionaries!$B:$B,Dictionaries!$A:$A="Шаги"),FILTER(Dictionaries!$C:$C,Dictionaries!$A:$A="Шаги"))),IF($E164="","",MIN($E164/120,1)),IF(OR($F164&lt;&gt;"",$G164&lt;&gt;""),1,""),IF($H164="","",MIN($H164/100,1)),IF($L164="","",XLOOKUP($L164,FILTER(Dictionaries!$B:$B,Dictionaries!$A:$A="Сон_часы"),FILTER(Dictionaries!$C:$C,Dictionaries!$A:$A="Сон_часы"))),IF($M164="","",XLOOKUP($M164,FILTER(Dictionaries!$B:$B,Dictionaries!$A:$A="Режим"),FILTER(Dictionaries!$C:$C,Dictionaries!$A:$A="Режим"))),IF($N164="","",MIN($N164/100,1)),IF($O164="","",XLOOKUP($O164,FILTER(Dictionaries!$B:$B,Dictionaries!$A:$A="Настроение"),FILTER(Dictionaries!$C:$C,Dictionaries!$A:$A="Настроение"))),IF($P164="","",XLOOKUP($P164,FILTER(Dictionaries!$B:$B,Dictionaries!$A:$A="Энергия"),FILTER(Dictionaries!$C:$C,Dictionaries!$A:$A="Энергия"))),IF($U164="","",AVERAGE(IF(OR($B164="Ноги",$B164="Верх"),IFS(AND($U164&gt;=1900,$U164&lt;=2050),1,AND($U164&gt;=1850,$U164&lt;1900),0.7,AND($U164&gt;2050,$U164&lt;=2100),0.7,TRUE,0.2),IFS(AND($U164&gt;=1700,$U164&lt;=1850),1,AND($U164&gt;=1650,$U164&lt;1700),0.7,AND($U164&gt;1850,$U164&lt;=1900),0.7,TRUE,0.2)),IF(OR($B164="Ноги",$B164="Верх"),IFS(AND($V164&gt;=125,$V164&lt;=135),1,AND($V164&gt;=115,$V164&lt;125),0.7,AND($V164&gt;135,$V164&lt;=145),0.7,AND($V164&gt;=105,$V164&lt;115),0.4,AND($V164&gt;145,$V164&lt;=155),0.4,TRUE,0.2),IFS(AND($V164&gt;=120,$V164&lt;=130),1,AND($V164&gt;=110,$V164&lt;120),0.7,AND($V164&gt;130,$V164&lt;=140),0.7,AND($V164&gt;=100,$V164&lt;110),0.4,AND($V164&gt;140,$V164&lt;=150),0.4,TRUE,0.2)),IFS(AND($W164&gt;=55,$W164&lt;=65),1,AND($W164&gt;=50,$W164&lt;55),0.7,AND($W164&gt;65,$W164&lt;=70),0.7,AND($W164&gt;=45,$W164&lt;50),0.4,AND($W164&gt;70,$W164&lt;=75),0.4,TRUE,0.2),IF(OR($B164="Ноги",$B164="Верх"),IFS(AND($X164&gt;=180,$X164&lt;=210),1,AND($X164&gt;=160,$X164&lt;180),0.7,AND($X164&gt;210,$X164&lt;=230),0.7,AND($X164&gt;=140,$X164&lt;160),0.4,AND($X164&gt;230,$X164&lt;=250),0.4,TRUE,0.2),IFS(AND($X164&gt;=140,$X164&lt;=170),1,AND($X164&gt;=120,$X164&lt;140),0.7,AND($X164&gt;170,$X164&lt;=190),0.7,AND($X164&gt;=100,$X164&lt;120),0.4,AND($X164&gt;190,$X164&lt;=210),0.4,TRUE,0.2))))),1),""))</f>
        <v/>
      </c>
      <c r="Z164">
        <f>IF($A164="","",TEXTJOIN(", ",TRUE,IF($B164="","Тренировка",""),IF($C164="","Кардио",""),IF($D164="","Шаги",""),IF($E164="","Английский",""),IF($F164="","Код-режим",""),IF($G164="","Код-тема",""),IF($H164="","Чтение",""),IF($L164="","Сон",""),IF($M164="","Режим",""),IF($N164="","Продуктивность",""),IF($O164="","Настроение",""),IF($P164="","Энергия",""),IF($U164="","Еда","")))</f>
        <v/>
      </c>
    </row>
    <row r="165">
      <c r="A165" t="inlineStr"/>
      <c r="U165">
        <f>IF($A165="","",IF(SUMIF(FoodLog!$A:$A,$A165,FoodLog!$I:$I)=0,"",SUMIF(FoodLog!$A:$A,$A165,FoodLog!$I:$I)))</f>
        <v/>
      </c>
      <c r="V165">
        <f>IF($A165="","",IF(SUMIF(FoodLog!$A:$A,$A165,FoodLog!$F:$F)=0,"",SUMIF(FoodLog!$A:$A,$A165,FoodLog!$F:$F)))</f>
        <v/>
      </c>
      <c r="W165">
        <f>IF($A165="","",IF(SUMIF(FoodLog!$A:$A,$A165,FoodLog!$G:$G)=0,"",SUMIF(FoodLog!$A:$A,$A165,FoodLog!$G:$G)))</f>
        <v/>
      </c>
      <c r="X165">
        <f>IF($A165="","",IF(SUMIF(FoodLog!$A:$A,$A165,FoodLog!$H:$H)=0,"",SUMIF(FoodLog!$A:$A,$A165,FoodLog!$H:$H)))</f>
        <v/>
      </c>
      <c r="Y165">
        <f>IF($A165="","",IFERROR(ROUND(100*AVERAGE(IF($B165="","",XLOOKUP($B165,FILTER(Dictionaries!$B:$B,Dictionaries!$A:$A="Тренировка"),FILTER(Dictionaries!$C:$C,Dictionaries!$A:$A="Тренировка"))),IF($C165="","",MIN($C165/40,1)),IF($D165="","",XLOOKUP($D165,FILTER(Dictionaries!$B:$B,Dictionaries!$A:$A="Шаги"),FILTER(Dictionaries!$C:$C,Dictionaries!$A:$A="Шаги"))),IF($E165="","",MIN($E165/120,1)),IF(OR($F165&lt;&gt;"",$G165&lt;&gt;""),1,""),IF($H165="","",MIN($H165/100,1)),IF($L165="","",XLOOKUP($L165,FILTER(Dictionaries!$B:$B,Dictionaries!$A:$A="Сон_часы"),FILTER(Dictionaries!$C:$C,Dictionaries!$A:$A="Сон_часы"))),IF($M165="","",XLOOKUP($M165,FILTER(Dictionaries!$B:$B,Dictionaries!$A:$A="Режим"),FILTER(Dictionaries!$C:$C,Dictionaries!$A:$A="Режим"))),IF($N165="","",MIN($N165/100,1)),IF($O165="","",XLOOKUP($O165,FILTER(Dictionaries!$B:$B,Dictionaries!$A:$A="Настроение"),FILTER(Dictionaries!$C:$C,Dictionaries!$A:$A="Настроение"))),IF($P165="","",XLOOKUP($P165,FILTER(Dictionaries!$B:$B,Dictionaries!$A:$A="Энергия"),FILTER(Dictionaries!$C:$C,Dictionaries!$A:$A="Энергия"))),IF($U165="","",AVERAGE(IF(OR($B165="Ноги",$B165="Верх"),IFS(AND($U165&gt;=1900,$U165&lt;=2050),1,AND($U165&gt;=1850,$U165&lt;1900),0.7,AND($U165&gt;2050,$U165&lt;=2100),0.7,TRUE,0.2),IFS(AND($U165&gt;=1700,$U165&lt;=1850),1,AND($U165&gt;=1650,$U165&lt;1700),0.7,AND($U165&gt;1850,$U165&lt;=1900),0.7,TRUE,0.2)),IF(OR($B165="Ноги",$B165="Верх"),IFS(AND($V165&gt;=125,$V165&lt;=135),1,AND($V165&gt;=115,$V165&lt;125),0.7,AND($V165&gt;135,$V165&lt;=145),0.7,AND($V165&gt;=105,$V165&lt;115),0.4,AND($V165&gt;145,$V165&lt;=155),0.4,TRUE,0.2),IFS(AND($V165&gt;=120,$V165&lt;=130),1,AND($V165&gt;=110,$V165&lt;120),0.7,AND($V165&gt;130,$V165&lt;=140),0.7,AND($V165&gt;=100,$V165&lt;110),0.4,AND($V165&gt;140,$V165&lt;=150),0.4,TRUE,0.2)),IFS(AND($W165&gt;=55,$W165&lt;=65),1,AND($W165&gt;=50,$W165&lt;55),0.7,AND($W165&gt;65,$W165&lt;=70),0.7,AND($W165&gt;=45,$W165&lt;50),0.4,AND($W165&gt;70,$W165&lt;=75),0.4,TRUE,0.2),IF(OR($B165="Ноги",$B165="Верх"),IFS(AND($X165&gt;=180,$X165&lt;=210),1,AND($X165&gt;=160,$X165&lt;180),0.7,AND($X165&gt;210,$X165&lt;=230),0.7,AND($X165&gt;=140,$X165&lt;160),0.4,AND($X165&gt;230,$X165&lt;=250),0.4,TRUE,0.2),IFS(AND($X165&gt;=140,$X165&lt;=170),1,AND($X165&gt;=120,$X165&lt;140),0.7,AND($X165&gt;170,$X165&lt;=190),0.7,AND($X165&gt;=100,$X165&lt;120),0.4,AND($X165&gt;190,$X165&lt;=210),0.4,TRUE,0.2))))),1),""))</f>
        <v/>
      </c>
      <c r="Z165">
        <f>IF($A165="","",TEXTJOIN(", ",TRUE,IF($B165="","Тренировка",""),IF($C165="","Кардио",""),IF($D165="","Шаги",""),IF($E165="","Английский",""),IF($F165="","Код-режим",""),IF($G165="","Код-тема",""),IF($H165="","Чтение",""),IF($L165="","Сон",""),IF($M165="","Режим",""),IF($N165="","Продуктивность",""),IF($O165="","Настроение",""),IF($P165="","Энергия",""),IF($U165="","Еда","")))</f>
        <v/>
      </c>
    </row>
    <row r="166">
      <c r="A166" t="inlineStr"/>
      <c r="U166">
        <f>IF($A166="","",IF(SUMIF(FoodLog!$A:$A,$A166,FoodLog!$I:$I)=0,"",SUMIF(FoodLog!$A:$A,$A166,FoodLog!$I:$I)))</f>
        <v/>
      </c>
      <c r="V166">
        <f>IF($A166="","",IF(SUMIF(FoodLog!$A:$A,$A166,FoodLog!$F:$F)=0,"",SUMIF(FoodLog!$A:$A,$A166,FoodLog!$F:$F)))</f>
        <v/>
      </c>
      <c r="W166">
        <f>IF($A166="","",IF(SUMIF(FoodLog!$A:$A,$A166,FoodLog!$G:$G)=0,"",SUMIF(FoodLog!$A:$A,$A166,FoodLog!$G:$G)))</f>
        <v/>
      </c>
      <c r="X166">
        <f>IF($A166="","",IF(SUMIF(FoodLog!$A:$A,$A166,FoodLog!$H:$H)=0,"",SUMIF(FoodLog!$A:$A,$A166,FoodLog!$H:$H)))</f>
        <v/>
      </c>
      <c r="Y166">
        <f>IF($A166="","",IFERROR(ROUND(100*AVERAGE(IF($B166="","",XLOOKUP($B166,FILTER(Dictionaries!$B:$B,Dictionaries!$A:$A="Тренировка"),FILTER(Dictionaries!$C:$C,Dictionaries!$A:$A="Тренировка"))),IF($C166="","",MIN($C166/40,1)),IF($D166="","",XLOOKUP($D166,FILTER(Dictionaries!$B:$B,Dictionaries!$A:$A="Шаги"),FILTER(Dictionaries!$C:$C,Dictionaries!$A:$A="Шаги"))),IF($E166="","",MIN($E166/120,1)),IF(OR($F166&lt;&gt;"",$G166&lt;&gt;""),1,""),IF($H166="","",MIN($H166/100,1)),IF($L166="","",XLOOKUP($L166,FILTER(Dictionaries!$B:$B,Dictionaries!$A:$A="Сон_часы"),FILTER(Dictionaries!$C:$C,Dictionaries!$A:$A="Сон_часы"))),IF($M166="","",XLOOKUP($M166,FILTER(Dictionaries!$B:$B,Dictionaries!$A:$A="Режим"),FILTER(Dictionaries!$C:$C,Dictionaries!$A:$A="Режим"))),IF($N166="","",MIN($N166/100,1)),IF($O166="","",XLOOKUP($O166,FILTER(Dictionaries!$B:$B,Dictionaries!$A:$A="Настроение"),FILTER(Dictionaries!$C:$C,Dictionaries!$A:$A="Настроение"))),IF($P166="","",XLOOKUP($P166,FILTER(Dictionaries!$B:$B,Dictionaries!$A:$A="Энергия"),FILTER(Dictionaries!$C:$C,Dictionaries!$A:$A="Энергия"))),IF($U166="","",AVERAGE(IF(OR($B166="Ноги",$B166="Верх"),IFS(AND($U166&gt;=1900,$U166&lt;=2050),1,AND($U166&gt;=1850,$U166&lt;1900),0.7,AND($U166&gt;2050,$U166&lt;=2100),0.7,TRUE,0.2),IFS(AND($U166&gt;=1700,$U166&lt;=1850),1,AND($U166&gt;=1650,$U166&lt;1700),0.7,AND($U166&gt;1850,$U166&lt;=1900),0.7,TRUE,0.2)),IF(OR($B166="Ноги",$B166="Верх"),IFS(AND($V166&gt;=125,$V166&lt;=135),1,AND($V166&gt;=115,$V166&lt;125),0.7,AND($V166&gt;135,$V166&lt;=145),0.7,AND($V166&gt;=105,$V166&lt;115),0.4,AND($V166&gt;145,$V166&lt;=155),0.4,TRUE,0.2),IFS(AND($V166&gt;=120,$V166&lt;=130),1,AND($V166&gt;=110,$V166&lt;120),0.7,AND($V166&gt;130,$V166&lt;=140),0.7,AND($V166&gt;=100,$V166&lt;110),0.4,AND($V166&gt;140,$V166&lt;=150),0.4,TRUE,0.2)),IFS(AND($W166&gt;=55,$W166&lt;=65),1,AND($W166&gt;=50,$W166&lt;55),0.7,AND($W166&gt;65,$W166&lt;=70),0.7,AND($W166&gt;=45,$W166&lt;50),0.4,AND($W166&gt;70,$W166&lt;=75),0.4,TRUE,0.2),IF(OR($B166="Ноги",$B166="Верх"),IFS(AND($X166&gt;=180,$X166&lt;=210),1,AND($X166&gt;=160,$X166&lt;180),0.7,AND($X166&gt;210,$X166&lt;=230),0.7,AND($X166&gt;=140,$X166&lt;160),0.4,AND($X166&gt;230,$X166&lt;=250),0.4,TRUE,0.2),IFS(AND($X166&gt;=140,$X166&lt;=170),1,AND($X166&gt;=120,$X166&lt;140),0.7,AND($X166&gt;170,$X166&lt;=190),0.7,AND($X166&gt;=100,$X166&lt;120),0.4,AND($X166&gt;190,$X166&lt;=210),0.4,TRUE,0.2))))),1),""))</f>
        <v/>
      </c>
      <c r="Z166">
        <f>IF($A166="","",TEXTJOIN(", ",TRUE,IF($B166="","Тренировка",""),IF($C166="","Кардио",""),IF($D166="","Шаги",""),IF($E166="","Английский",""),IF($F166="","Код-режим",""),IF($G166="","Код-тема",""),IF($H166="","Чтение",""),IF($L166="","Сон",""),IF($M166="","Режим",""),IF($N166="","Продуктивность",""),IF($O166="","Настроение",""),IF($P166="","Энергия",""),IF($U166="","Еда","")))</f>
        <v/>
      </c>
    </row>
    <row r="167">
      <c r="A167" t="inlineStr"/>
      <c r="U167">
        <f>IF($A167="","",IF(SUMIF(FoodLog!$A:$A,$A167,FoodLog!$I:$I)=0,"",SUMIF(FoodLog!$A:$A,$A167,FoodLog!$I:$I)))</f>
        <v/>
      </c>
      <c r="V167">
        <f>IF($A167="","",IF(SUMIF(FoodLog!$A:$A,$A167,FoodLog!$F:$F)=0,"",SUMIF(FoodLog!$A:$A,$A167,FoodLog!$F:$F)))</f>
        <v/>
      </c>
      <c r="W167">
        <f>IF($A167="","",IF(SUMIF(FoodLog!$A:$A,$A167,FoodLog!$G:$G)=0,"",SUMIF(FoodLog!$A:$A,$A167,FoodLog!$G:$G)))</f>
        <v/>
      </c>
      <c r="X167">
        <f>IF($A167="","",IF(SUMIF(FoodLog!$A:$A,$A167,FoodLog!$H:$H)=0,"",SUMIF(FoodLog!$A:$A,$A167,FoodLog!$H:$H)))</f>
        <v/>
      </c>
      <c r="Y167">
        <f>IF($A167="","",IFERROR(ROUND(100*AVERAGE(IF($B167="","",XLOOKUP($B167,FILTER(Dictionaries!$B:$B,Dictionaries!$A:$A="Тренировка"),FILTER(Dictionaries!$C:$C,Dictionaries!$A:$A="Тренировка"))),IF($C167="","",MIN($C167/40,1)),IF($D167="","",XLOOKUP($D167,FILTER(Dictionaries!$B:$B,Dictionaries!$A:$A="Шаги"),FILTER(Dictionaries!$C:$C,Dictionaries!$A:$A="Шаги"))),IF($E167="","",MIN($E167/120,1)),IF(OR($F167&lt;&gt;"",$G167&lt;&gt;""),1,""),IF($H167="","",MIN($H167/100,1)),IF($L167="","",XLOOKUP($L167,FILTER(Dictionaries!$B:$B,Dictionaries!$A:$A="Сон_часы"),FILTER(Dictionaries!$C:$C,Dictionaries!$A:$A="Сон_часы"))),IF($M167="","",XLOOKUP($M167,FILTER(Dictionaries!$B:$B,Dictionaries!$A:$A="Режим"),FILTER(Dictionaries!$C:$C,Dictionaries!$A:$A="Режим"))),IF($N167="","",MIN($N167/100,1)),IF($O167="","",XLOOKUP($O167,FILTER(Dictionaries!$B:$B,Dictionaries!$A:$A="Настроение"),FILTER(Dictionaries!$C:$C,Dictionaries!$A:$A="Настроение"))),IF($P167="","",XLOOKUP($P167,FILTER(Dictionaries!$B:$B,Dictionaries!$A:$A="Энергия"),FILTER(Dictionaries!$C:$C,Dictionaries!$A:$A="Энергия"))),IF($U167="","",AVERAGE(IF(OR($B167="Ноги",$B167="Верх"),IFS(AND($U167&gt;=1900,$U167&lt;=2050),1,AND($U167&gt;=1850,$U167&lt;1900),0.7,AND($U167&gt;2050,$U167&lt;=2100),0.7,TRUE,0.2),IFS(AND($U167&gt;=1700,$U167&lt;=1850),1,AND($U167&gt;=1650,$U167&lt;1700),0.7,AND($U167&gt;1850,$U167&lt;=1900),0.7,TRUE,0.2)),IF(OR($B167="Ноги",$B167="Верх"),IFS(AND($V167&gt;=125,$V167&lt;=135),1,AND($V167&gt;=115,$V167&lt;125),0.7,AND($V167&gt;135,$V167&lt;=145),0.7,AND($V167&gt;=105,$V167&lt;115),0.4,AND($V167&gt;145,$V167&lt;=155),0.4,TRUE,0.2),IFS(AND($V167&gt;=120,$V167&lt;=130),1,AND($V167&gt;=110,$V167&lt;120),0.7,AND($V167&gt;130,$V167&lt;=140),0.7,AND($V167&gt;=100,$V167&lt;110),0.4,AND($V167&gt;140,$V167&lt;=150),0.4,TRUE,0.2)),IFS(AND($W167&gt;=55,$W167&lt;=65),1,AND($W167&gt;=50,$W167&lt;55),0.7,AND($W167&gt;65,$W167&lt;=70),0.7,AND($W167&gt;=45,$W167&lt;50),0.4,AND($W167&gt;70,$W167&lt;=75),0.4,TRUE,0.2),IF(OR($B167="Ноги",$B167="Верх"),IFS(AND($X167&gt;=180,$X167&lt;=210),1,AND($X167&gt;=160,$X167&lt;180),0.7,AND($X167&gt;210,$X167&lt;=230),0.7,AND($X167&gt;=140,$X167&lt;160),0.4,AND($X167&gt;230,$X167&lt;=250),0.4,TRUE,0.2),IFS(AND($X167&gt;=140,$X167&lt;=170),1,AND($X167&gt;=120,$X167&lt;140),0.7,AND($X167&gt;170,$X167&lt;=190),0.7,AND($X167&gt;=100,$X167&lt;120),0.4,AND($X167&gt;190,$X167&lt;=210),0.4,TRUE,0.2))))),1),""))</f>
        <v/>
      </c>
      <c r="Z167">
        <f>IF($A167="","",TEXTJOIN(", ",TRUE,IF($B167="","Тренировка",""),IF($C167="","Кардио",""),IF($D167="","Шаги",""),IF($E167="","Английский",""),IF($F167="","Код-режим",""),IF($G167="","Код-тема",""),IF($H167="","Чтение",""),IF($L167="","Сон",""),IF($M167="","Режим",""),IF($N167="","Продуктивность",""),IF($O167="","Настроение",""),IF($P167="","Энергия",""),IF($U167="","Еда","")))</f>
        <v/>
      </c>
    </row>
    <row r="168">
      <c r="A168" t="inlineStr"/>
      <c r="U168">
        <f>IF($A168="","",IF(SUMIF(FoodLog!$A:$A,$A168,FoodLog!$I:$I)=0,"",SUMIF(FoodLog!$A:$A,$A168,FoodLog!$I:$I)))</f>
        <v/>
      </c>
      <c r="V168">
        <f>IF($A168="","",IF(SUMIF(FoodLog!$A:$A,$A168,FoodLog!$F:$F)=0,"",SUMIF(FoodLog!$A:$A,$A168,FoodLog!$F:$F)))</f>
        <v/>
      </c>
      <c r="W168">
        <f>IF($A168="","",IF(SUMIF(FoodLog!$A:$A,$A168,FoodLog!$G:$G)=0,"",SUMIF(FoodLog!$A:$A,$A168,FoodLog!$G:$G)))</f>
        <v/>
      </c>
      <c r="X168">
        <f>IF($A168="","",IF(SUMIF(FoodLog!$A:$A,$A168,FoodLog!$H:$H)=0,"",SUMIF(FoodLog!$A:$A,$A168,FoodLog!$H:$H)))</f>
        <v/>
      </c>
      <c r="Y168">
        <f>IF($A168="","",IFERROR(ROUND(100*AVERAGE(IF($B168="","",XLOOKUP($B168,FILTER(Dictionaries!$B:$B,Dictionaries!$A:$A="Тренировка"),FILTER(Dictionaries!$C:$C,Dictionaries!$A:$A="Тренировка"))),IF($C168="","",MIN($C168/40,1)),IF($D168="","",XLOOKUP($D168,FILTER(Dictionaries!$B:$B,Dictionaries!$A:$A="Шаги"),FILTER(Dictionaries!$C:$C,Dictionaries!$A:$A="Шаги"))),IF($E168="","",MIN($E168/120,1)),IF(OR($F168&lt;&gt;"",$G168&lt;&gt;""),1,""),IF($H168="","",MIN($H168/100,1)),IF($L168="","",XLOOKUP($L168,FILTER(Dictionaries!$B:$B,Dictionaries!$A:$A="Сон_часы"),FILTER(Dictionaries!$C:$C,Dictionaries!$A:$A="Сон_часы"))),IF($M168="","",XLOOKUP($M168,FILTER(Dictionaries!$B:$B,Dictionaries!$A:$A="Режим"),FILTER(Dictionaries!$C:$C,Dictionaries!$A:$A="Режим"))),IF($N168="","",MIN($N168/100,1)),IF($O168="","",XLOOKUP($O168,FILTER(Dictionaries!$B:$B,Dictionaries!$A:$A="Настроение"),FILTER(Dictionaries!$C:$C,Dictionaries!$A:$A="Настроение"))),IF($P168="","",XLOOKUP($P168,FILTER(Dictionaries!$B:$B,Dictionaries!$A:$A="Энергия"),FILTER(Dictionaries!$C:$C,Dictionaries!$A:$A="Энергия"))),IF($U168="","",AVERAGE(IF(OR($B168="Ноги",$B168="Верх"),IFS(AND($U168&gt;=1900,$U168&lt;=2050),1,AND($U168&gt;=1850,$U168&lt;1900),0.7,AND($U168&gt;2050,$U168&lt;=2100),0.7,TRUE,0.2),IFS(AND($U168&gt;=1700,$U168&lt;=1850),1,AND($U168&gt;=1650,$U168&lt;1700),0.7,AND($U168&gt;1850,$U168&lt;=1900),0.7,TRUE,0.2)),IF(OR($B168="Ноги",$B168="Верх"),IFS(AND($V168&gt;=125,$V168&lt;=135),1,AND($V168&gt;=115,$V168&lt;125),0.7,AND($V168&gt;135,$V168&lt;=145),0.7,AND($V168&gt;=105,$V168&lt;115),0.4,AND($V168&gt;145,$V168&lt;=155),0.4,TRUE,0.2),IFS(AND($V168&gt;=120,$V168&lt;=130),1,AND($V168&gt;=110,$V168&lt;120),0.7,AND($V168&gt;130,$V168&lt;=140),0.7,AND($V168&gt;=100,$V168&lt;110),0.4,AND($V168&gt;140,$V168&lt;=150),0.4,TRUE,0.2)),IFS(AND($W168&gt;=55,$W168&lt;=65),1,AND($W168&gt;=50,$W168&lt;55),0.7,AND($W168&gt;65,$W168&lt;=70),0.7,AND($W168&gt;=45,$W168&lt;50),0.4,AND($W168&gt;70,$W168&lt;=75),0.4,TRUE,0.2),IF(OR($B168="Ноги",$B168="Верх"),IFS(AND($X168&gt;=180,$X168&lt;=210),1,AND($X168&gt;=160,$X168&lt;180),0.7,AND($X168&gt;210,$X168&lt;=230),0.7,AND($X168&gt;=140,$X168&lt;160),0.4,AND($X168&gt;230,$X168&lt;=250),0.4,TRUE,0.2),IFS(AND($X168&gt;=140,$X168&lt;=170),1,AND($X168&gt;=120,$X168&lt;140),0.7,AND($X168&gt;170,$X168&lt;=190),0.7,AND($X168&gt;=100,$X168&lt;120),0.4,AND($X168&gt;190,$X168&lt;=210),0.4,TRUE,0.2))))),1),""))</f>
        <v/>
      </c>
      <c r="Z168">
        <f>IF($A168="","",TEXTJOIN(", ",TRUE,IF($B168="","Тренировка",""),IF($C168="","Кардио",""),IF($D168="","Шаги",""),IF($E168="","Английский",""),IF($F168="","Код-режим",""),IF($G168="","Код-тема",""),IF($H168="","Чтение",""),IF($L168="","Сон",""),IF($M168="","Режим",""),IF($N168="","Продуктивность",""),IF($O168="","Настроение",""),IF($P168="","Энергия",""),IF($U168="","Еда","")))</f>
        <v/>
      </c>
    </row>
    <row r="169">
      <c r="A169" t="inlineStr"/>
      <c r="U169">
        <f>IF($A169="","",IF(SUMIF(FoodLog!$A:$A,$A169,FoodLog!$I:$I)=0,"",SUMIF(FoodLog!$A:$A,$A169,FoodLog!$I:$I)))</f>
        <v/>
      </c>
      <c r="V169">
        <f>IF($A169="","",IF(SUMIF(FoodLog!$A:$A,$A169,FoodLog!$F:$F)=0,"",SUMIF(FoodLog!$A:$A,$A169,FoodLog!$F:$F)))</f>
        <v/>
      </c>
      <c r="W169">
        <f>IF($A169="","",IF(SUMIF(FoodLog!$A:$A,$A169,FoodLog!$G:$G)=0,"",SUMIF(FoodLog!$A:$A,$A169,FoodLog!$G:$G)))</f>
        <v/>
      </c>
      <c r="X169">
        <f>IF($A169="","",IF(SUMIF(FoodLog!$A:$A,$A169,FoodLog!$H:$H)=0,"",SUMIF(FoodLog!$A:$A,$A169,FoodLog!$H:$H)))</f>
        <v/>
      </c>
      <c r="Y169">
        <f>IF($A169="","",IFERROR(ROUND(100*AVERAGE(IF($B169="","",XLOOKUP($B169,FILTER(Dictionaries!$B:$B,Dictionaries!$A:$A="Тренировка"),FILTER(Dictionaries!$C:$C,Dictionaries!$A:$A="Тренировка"))),IF($C169="","",MIN($C169/40,1)),IF($D169="","",XLOOKUP($D169,FILTER(Dictionaries!$B:$B,Dictionaries!$A:$A="Шаги"),FILTER(Dictionaries!$C:$C,Dictionaries!$A:$A="Шаги"))),IF($E169="","",MIN($E169/120,1)),IF(OR($F169&lt;&gt;"",$G169&lt;&gt;""),1,""),IF($H169="","",MIN($H169/100,1)),IF($L169="","",XLOOKUP($L169,FILTER(Dictionaries!$B:$B,Dictionaries!$A:$A="Сон_часы"),FILTER(Dictionaries!$C:$C,Dictionaries!$A:$A="Сон_часы"))),IF($M169="","",XLOOKUP($M169,FILTER(Dictionaries!$B:$B,Dictionaries!$A:$A="Режим"),FILTER(Dictionaries!$C:$C,Dictionaries!$A:$A="Режим"))),IF($N169="","",MIN($N169/100,1)),IF($O169="","",XLOOKUP($O169,FILTER(Dictionaries!$B:$B,Dictionaries!$A:$A="Настроение"),FILTER(Dictionaries!$C:$C,Dictionaries!$A:$A="Настроение"))),IF($P169="","",XLOOKUP($P169,FILTER(Dictionaries!$B:$B,Dictionaries!$A:$A="Энергия"),FILTER(Dictionaries!$C:$C,Dictionaries!$A:$A="Энергия"))),IF($U169="","",AVERAGE(IF(OR($B169="Ноги",$B169="Верх"),IFS(AND($U169&gt;=1900,$U169&lt;=2050),1,AND($U169&gt;=1850,$U169&lt;1900),0.7,AND($U169&gt;2050,$U169&lt;=2100),0.7,TRUE,0.2),IFS(AND($U169&gt;=1700,$U169&lt;=1850),1,AND($U169&gt;=1650,$U169&lt;1700),0.7,AND($U169&gt;1850,$U169&lt;=1900),0.7,TRUE,0.2)),IF(OR($B169="Ноги",$B169="Верх"),IFS(AND($V169&gt;=125,$V169&lt;=135),1,AND($V169&gt;=115,$V169&lt;125),0.7,AND($V169&gt;135,$V169&lt;=145),0.7,AND($V169&gt;=105,$V169&lt;115),0.4,AND($V169&gt;145,$V169&lt;=155),0.4,TRUE,0.2),IFS(AND($V169&gt;=120,$V169&lt;=130),1,AND($V169&gt;=110,$V169&lt;120),0.7,AND($V169&gt;130,$V169&lt;=140),0.7,AND($V169&gt;=100,$V169&lt;110),0.4,AND($V169&gt;140,$V169&lt;=150),0.4,TRUE,0.2)),IFS(AND($W169&gt;=55,$W169&lt;=65),1,AND($W169&gt;=50,$W169&lt;55),0.7,AND($W169&gt;65,$W169&lt;=70),0.7,AND($W169&gt;=45,$W169&lt;50),0.4,AND($W169&gt;70,$W169&lt;=75),0.4,TRUE,0.2),IF(OR($B169="Ноги",$B169="Верх"),IFS(AND($X169&gt;=180,$X169&lt;=210),1,AND($X169&gt;=160,$X169&lt;180),0.7,AND($X169&gt;210,$X169&lt;=230),0.7,AND($X169&gt;=140,$X169&lt;160),0.4,AND($X169&gt;230,$X169&lt;=250),0.4,TRUE,0.2),IFS(AND($X169&gt;=140,$X169&lt;=170),1,AND($X169&gt;=120,$X169&lt;140),0.7,AND($X169&gt;170,$X169&lt;=190),0.7,AND($X169&gt;=100,$X169&lt;120),0.4,AND($X169&gt;190,$X169&lt;=210),0.4,TRUE,0.2))))),1),""))</f>
        <v/>
      </c>
      <c r="Z169">
        <f>IF($A169="","",TEXTJOIN(", ",TRUE,IF($B169="","Тренировка",""),IF($C169="","Кардио",""),IF($D169="","Шаги",""),IF($E169="","Английский",""),IF($F169="","Код-режим",""),IF($G169="","Код-тема",""),IF($H169="","Чтение",""),IF($L169="","Сон",""),IF($M169="","Режим",""),IF($N169="","Продуктивность",""),IF($O169="","Настроение",""),IF($P169="","Энергия",""),IF($U169="","Еда","")))</f>
        <v/>
      </c>
    </row>
    <row r="170">
      <c r="A170" t="inlineStr"/>
      <c r="U170">
        <f>IF($A170="","",IF(SUMIF(FoodLog!$A:$A,$A170,FoodLog!$I:$I)=0,"",SUMIF(FoodLog!$A:$A,$A170,FoodLog!$I:$I)))</f>
        <v/>
      </c>
      <c r="V170">
        <f>IF($A170="","",IF(SUMIF(FoodLog!$A:$A,$A170,FoodLog!$F:$F)=0,"",SUMIF(FoodLog!$A:$A,$A170,FoodLog!$F:$F)))</f>
        <v/>
      </c>
      <c r="W170">
        <f>IF($A170="","",IF(SUMIF(FoodLog!$A:$A,$A170,FoodLog!$G:$G)=0,"",SUMIF(FoodLog!$A:$A,$A170,FoodLog!$G:$G)))</f>
        <v/>
      </c>
      <c r="X170">
        <f>IF($A170="","",IF(SUMIF(FoodLog!$A:$A,$A170,FoodLog!$H:$H)=0,"",SUMIF(FoodLog!$A:$A,$A170,FoodLog!$H:$H)))</f>
        <v/>
      </c>
      <c r="Y170">
        <f>IF($A170="","",IFERROR(ROUND(100*AVERAGE(IF($B170="","",XLOOKUP($B170,FILTER(Dictionaries!$B:$B,Dictionaries!$A:$A="Тренировка"),FILTER(Dictionaries!$C:$C,Dictionaries!$A:$A="Тренировка"))),IF($C170="","",MIN($C170/40,1)),IF($D170="","",XLOOKUP($D170,FILTER(Dictionaries!$B:$B,Dictionaries!$A:$A="Шаги"),FILTER(Dictionaries!$C:$C,Dictionaries!$A:$A="Шаги"))),IF($E170="","",MIN($E170/120,1)),IF(OR($F170&lt;&gt;"",$G170&lt;&gt;""),1,""),IF($H170="","",MIN($H170/100,1)),IF($L170="","",XLOOKUP($L170,FILTER(Dictionaries!$B:$B,Dictionaries!$A:$A="Сон_часы"),FILTER(Dictionaries!$C:$C,Dictionaries!$A:$A="Сон_часы"))),IF($M170="","",XLOOKUP($M170,FILTER(Dictionaries!$B:$B,Dictionaries!$A:$A="Режим"),FILTER(Dictionaries!$C:$C,Dictionaries!$A:$A="Режим"))),IF($N170="","",MIN($N170/100,1)),IF($O170="","",XLOOKUP($O170,FILTER(Dictionaries!$B:$B,Dictionaries!$A:$A="Настроение"),FILTER(Dictionaries!$C:$C,Dictionaries!$A:$A="Настроение"))),IF($P170="","",XLOOKUP($P170,FILTER(Dictionaries!$B:$B,Dictionaries!$A:$A="Энергия"),FILTER(Dictionaries!$C:$C,Dictionaries!$A:$A="Энергия"))),IF($U170="","",AVERAGE(IF(OR($B170="Ноги",$B170="Верх"),IFS(AND($U170&gt;=1900,$U170&lt;=2050),1,AND($U170&gt;=1850,$U170&lt;1900),0.7,AND($U170&gt;2050,$U170&lt;=2100),0.7,TRUE,0.2),IFS(AND($U170&gt;=1700,$U170&lt;=1850),1,AND($U170&gt;=1650,$U170&lt;1700),0.7,AND($U170&gt;1850,$U170&lt;=1900),0.7,TRUE,0.2)),IF(OR($B170="Ноги",$B170="Верх"),IFS(AND($V170&gt;=125,$V170&lt;=135),1,AND($V170&gt;=115,$V170&lt;125),0.7,AND($V170&gt;135,$V170&lt;=145),0.7,AND($V170&gt;=105,$V170&lt;115),0.4,AND($V170&gt;145,$V170&lt;=155),0.4,TRUE,0.2),IFS(AND($V170&gt;=120,$V170&lt;=130),1,AND($V170&gt;=110,$V170&lt;120),0.7,AND($V170&gt;130,$V170&lt;=140),0.7,AND($V170&gt;=100,$V170&lt;110),0.4,AND($V170&gt;140,$V170&lt;=150),0.4,TRUE,0.2)),IFS(AND($W170&gt;=55,$W170&lt;=65),1,AND($W170&gt;=50,$W170&lt;55),0.7,AND($W170&gt;65,$W170&lt;=70),0.7,AND($W170&gt;=45,$W170&lt;50),0.4,AND($W170&gt;70,$W170&lt;=75),0.4,TRUE,0.2),IF(OR($B170="Ноги",$B170="Верх"),IFS(AND($X170&gt;=180,$X170&lt;=210),1,AND($X170&gt;=160,$X170&lt;180),0.7,AND($X170&gt;210,$X170&lt;=230),0.7,AND($X170&gt;=140,$X170&lt;160),0.4,AND($X170&gt;230,$X170&lt;=250),0.4,TRUE,0.2),IFS(AND($X170&gt;=140,$X170&lt;=170),1,AND($X170&gt;=120,$X170&lt;140),0.7,AND($X170&gt;170,$X170&lt;=190),0.7,AND($X170&gt;=100,$X170&lt;120),0.4,AND($X170&gt;190,$X170&lt;=210),0.4,TRUE,0.2))))),1),""))</f>
        <v/>
      </c>
      <c r="Z170">
        <f>IF($A170="","",TEXTJOIN(", ",TRUE,IF($B170="","Тренировка",""),IF($C170="","Кардио",""),IF($D170="","Шаги",""),IF($E170="","Английский",""),IF($F170="","Код-режим",""),IF($G170="","Код-тема",""),IF($H170="","Чтение",""),IF($L170="","Сон",""),IF($M170="","Режим",""),IF($N170="","Продуктивность",""),IF($O170="","Настроение",""),IF($P170="","Энергия",""),IF($U170="","Еда","")))</f>
        <v/>
      </c>
    </row>
    <row r="171">
      <c r="A171" t="inlineStr"/>
      <c r="U171">
        <f>IF($A171="","",IF(SUMIF(FoodLog!$A:$A,$A171,FoodLog!$I:$I)=0,"",SUMIF(FoodLog!$A:$A,$A171,FoodLog!$I:$I)))</f>
        <v/>
      </c>
      <c r="V171">
        <f>IF($A171="","",IF(SUMIF(FoodLog!$A:$A,$A171,FoodLog!$F:$F)=0,"",SUMIF(FoodLog!$A:$A,$A171,FoodLog!$F:$F)))</f>
        <v/>
      </c>
      <c r="W171">
        <f>IF($A171="","",IF(SUMIF(FoodLog!$A:$A,$A171,FoodLog!$G:$G)=0,"",SUMIF(FoodLog!$A:$A,$A171,FoodLog!$G:$G)))</f>
        <v/>
      </c>
      <c r="X171">
        <f>IF($A171="","",IF(SUMIF(FoodLog!$A:$A,$A171,FoodLog!$H:$H)=0,"",SUMIF(FoodLog!$A:$A,$A171,FoodLog!$H:$H)))</f>
        <v/>
      </c>
      <c r="Y171">
        <f>IF($A171="","",IFERROR(ROUND(100*AVERAGE(IF($B171="","",XLOOKUP($B171,FILTER(Dictionaries!$B:$B,Dictionaries!$A:$A="Тренировка"),FILTER(Dictionaries!$C:$C,Dictionaries!$A:$A="Тренировка"))),IF($C171="","",MIN($C171/40,1)),IF($D171="","",XLOOKUP($D171,FILTER(Dictionaries!$B:$B,Dictionaries!$A:$A="Шаги"),FILTER(Dictionaries!$C:$C,Dictionaries!$A:$A="Шаги"))),IF($E171="","",MIN($E171/120,1)),IF(OR($F171&lt;&gt;"",$G171&lt;&gt;""),1,""),IF($H171="","",MIN($H171/100,1)),IF($L171="","",XLOOKUP($L171,FILTER(Dictionaries!$B:$B,Dictionaries!$A:$A="Сон_часы"),FILTER(Dictionaries!$C:$C,Dictionaries!$A:$A="Сон_часы"))),IF($M171="","",XLOOKUP($M171,FILTER(Dictionaries!$B:$B,Dictionaries!$A:$A="Режим"),FILTER(Dictionaries!$C:$C,Dictionaries!$A:$A="Режим"))),IF($N171="","",MIN($N171/100,1)),IF($O171="","",XLOOKUP($O171,FILTER(Dictionaries!$B:$B,Dictionaries!$A:$A="Настроение"),FILTER(Dictionaries!$C:$C,Dictionaries!$A:$A="Настроение"))),IF($P171="","",XLOOKUP($P171,FILTER(Dictionaries!$B:$B,Dictionaries!$A:$A="Энергия"),FILTER(Dictionaries!$C:$C,Dictionaries!$A:$A="Энергия"))),IF($U171="","",AVERAGE(IF(OR($B171="Ноги",$B171="Верх"),IFS(AND($U171&gt;=1900,$U171&lt;=2050),1,AND($U171&gt;=1850,$U171&lt;1900),0.7,AND($U171&gt;2050,$U171&lt;=2100),0.7,TRUE,0.2),IFS(AND($U171&gt;=1700,$U171&lt;=1850),1,AND($U171&gt;=1650,$U171&lt;1700),0.7,AND($U171&gt;1850,$U171&lt;=1900),0.7,TRUE,0.2)),IF(OR($B171="Ноги",$B171="Верх"),IFS(AND($V171&gt;=125,$V171&lt;=135),1,AND($V171&gt;=115,$V171&lt;125),0.7,AND($V171&gt;135,$V171&lt;=145),0.7,AND($V171&gt;=105,$V171&lt;115),0.4,AND($V171&gt;145,$V171&lt;=155),0.4,TRUE,0.2),IFS(AND($V171&gt;=120,$V171&lt;=130),1,AND($V171&gt;=110,$V171&lt;120),0.7,AND($V171&gt;130,$V171&lt;=140),0.7,AND($V171&gt;=100,$V171&lt;110),0.4,AND($V171&gt;140,$V171&lt;=150),0.4,TRUE,0.2)),IFS(AND($W171&gt;=55,$W171&lt;=65),1,AND($W171&gt;=50,$W171&lt;55),0.7,AND($W171&gt;65,$W171&lt;=70),0.7,AND($W171&gt;=45,$W171&lt;50),0.4,AND($W171&gt;70,$W171&lt;=75),0.4,TRUE,0.2),IF(OR($B171="Ноги",$B171="Верх"),IFS(AND($X171&gt;=180,$X171&lt;=210),1,AND($X171&gt;=160,$X171&lt;180),0.7,AND($X171&gt;210,$X171&lt;=230),0.7,AND($X171&gt;=140,$X171&lt;160),0.4,AND($X171&gt;230,$X171&lt;=250),0.4,TRUE,0.2),IFS(AND($X171&gt;=140,$X171&lt;=170),1,AND($X171&gt;=120,$X171&lt;140),0.7,AND($X171&gt;170,$X171&lt;=190),0.7,AND($X171&gt;=100,$X171&lt;120),0.4,AND($X171&gt;190,$X171&lt;=210),0.4,TRUE,0.2))))),1),""))</f>
        <v/>
      </c>
      <c r="Z171">
        <f>IF($A171="","",TEXTJOIN(", ",TRUE,IF($B171="","Тренировка",""),IF($C171="","Кардио",""),IF($D171="","Шаги",""),IF($E171="","Английский",""),IF($F171="","Код-режим",""),IF($G171="","Код-тема",""),IF($H171="","Чтение",""),IF($L171="","Сон",""),IF($M171="","Режим",""),IF($N171="","Продуктивность",""),IF($O171="","Настроение",""),IF($P171="","Энергия",""),IF($U171="","Еда","")))</f>
        <v/>
      </c>
    </row>
    <row r="172">
      <c r="A172" t="inlineStr"/>
      <c r="U172">
        <f>IF($A172="","",IF(SUMIF(FoodLog!$A:$A,$A172,FoodLog!$I:$I)=0,"",SUMIF(FoodLog!$A:$A,$A172,FoodLog!$I:$I)))</f>
        <v/>
      </c>
      <c r="V172">
        <f>IF($A172="","",IF(SUMIF(FoodLog!$A:$A,$A172,FoodLog!$F:$F)=0,"",SUMIF(FoodLog!$A:$A,$A172,FoodLog!$F:$F)))</f>
        <v/>
      </c>
      <c r="W172">
        <f>IF($A172="","",IF(SUMIF(FoodLog!$A:$A,$A172,FoodLog!$G:$G)=0,"",SUMIF(FoodLog!$A:$A,$A172,FoodLog!$G:$G)))</f>
        <v/>
      </c>
      <c r="X172">
        <f>IF($A172="","",IF(SUMIF(FoodLog!$A:$A,$A172,FoodLog!$H:$H)=0,"",SUMIF(FoodLog!$A:$A,$A172,FoodLog!$H:$H)))</f>
        <v/>
      </c>
      <c r="Y172">
        <f>IF($A172="","",IFERROR(ROUND(100*AVERAGE(IF($B172="","",XLOOKUP($B172,FILTER(Dictionaries!$B:$B,Dictionaries!$A:$A="Тренировка"),FILTER(Dictionaries!$C:$C,Dictionaries!$A:$A="Тренировка"))),IF($C172="","",MIN($C172/40,1)),IF($D172="","",XLOOKUP($D172,FILTER(Dictionaries!$B:$B,Dictionaries!$A:$A="Шаги"),FILTER(Dictionaries!$C:$C,Dictionaries!$A:$A="Шаги"))),IF($E172="","",MIN($E172/120,1)),IF(OR($F172&lt;&gt;"",$G172&lt;&gt;""),1,""),IF($H172="","",MIN($H172/100,1)),IF($L172="","",XLOOKUP($L172,FILTER(Dictionaries!$B:$B,Dictionaries!$A:$A="Сон_часы"),FILTER(Dictionaries!$C:$C,Dictionaries!$A:$A="Сон_часы"))),IF($M172="","",XLOOKUP($M172,FILTER(Dictionaries!$B:$B,Dictionaries!$A:$A="Режим"),FILTER(Dictionaries!$C:$C,Dictionaries!$A:$A="Режим"))),IF($N172="","",MIN($N172/100,1)),IF($O172="","",XLOOKUP($O172,FILTER(Dictionaries!$B:$B,Dictionaries!$A:$A="Настроение"),FILTER(Dictionaries!$C:$C,Dictionaries!$A:$A="Настроение"))),IF($P172="","",XLOOKUP($P172,FILTER(Dictionaries!$B:$B,Dictionaries!$A:$A="Энергия"),FILTER(Dictionaries!$C:$C,Dictionaries!$A:$A="Энергия"))),IF($U172="","",AVERAGE(IF(OR($B172="Ноги",$B172="Верх"),IFS(AND($U172&gt;=1900,$U172&lt;=2050),1,AND($U172&gt;=1850,$U172&lt;1900),0.7,AND($U172&gt;2050,$U172&lt;=2100),0.7,TRUE,0.2),IFS(AND($U172&gt;=1700,$U172&lt;=1850),1,AND($U172&gt;=1650,$U172&lt;1700),0.7,AND($U172&gt;1850,$U172&lt;=1900),0.7,TRUE,0.2)),IF(OR($B172="Ноги",$B172="Верх"),IFS(AND($V172&gt;=125,$V172&lt;=135),1,AND($V172&gt;=115,$V172&lt;125),0.7,AND($V172&gt;135,$V172&lt;=145),0.7,AND($V172&gt;=105,$V172&lt;115),0.4,AND($V172&gt;145,$V172&lt;=155),0.4,TRUE,0.2),IFS(AND($V172&gt;=120,$V172&lt;=130),1,AND($V172&gt;=110,$V172&lt;120),0.7,AND($V172&gt;130,$V172&lt;=140),0.7,AND($V172&gt;=100,$V172&lt;110),0.4,AND($V172&gt;140,$V172&lt;=150),0.4,TRUE,0.2)),IFS(AND($W172&gt;=55,$W172&lt;=65),1,AND($W172&gt;=50,$W172&lt;55),0.7,AND($W172&gt;65,$W172&lt;=70),0.7,AND($W172&gt;=45,$W172&lt;50),0.4,AND($W172&gt;70,$W172&lt;=75),0.4,TRUE,0.2),IF(OR($B172="Ноги",$B172="Верх"),IFS(AND($X172&gt;=180,$X172&lt;=210),1,AND($X172&gt;=160,$X172&lt;180),0.7,AND($X172&gt;210,$X172&lt;=230),0.7,AND($X172&gt;=140,$X172&lt;160),0.4,AND($X172&gt;230,$X172&lt;=250),0.4,TRUE,0.2),IFS(AND($X172&gt;=140,$X172&lt;=170),1,AND($X172&gt;=120,$X172&lt;140),0.7,AND($X172&gt;170,$X172&lt;=190),0.7,AND($X172&gt;=100,$X172&lt;120),0.4,AND($X172&gt;190,$X172&lt;=210),0.4,TRUE,0.2))))),1),""))</f>
        <v/>
      </c>
      <c r="Z172">
        <f>IF($A172="","",TEXTJOIN(", ",TRUE,IF($B172="","Тренировка",""),IF($C172="","Кардио",""),IF($D172="","Шаги",""),IF($E172="","Английский",""),IF($F172="","Код-режим",""),IF($G172="","Код-тема",""),IF($H172="","Чтение",""),IF($L172="","Сон",""),IF($M172="","Режим",""),IF($N172="","Продуктивность",""),IF($O172="","Настроение",""),IF($P172="","Энергия",""),IF($U172="","Еда","")))</f>
        <v/>
      </c>
    </row>
    <row r="173">
      <c r="A173" t="inlineStr"/>
      <c r="U173">
        <f>IF($A173="","",IF(SUMIF(FoodLog!$A:$A,$A173,FoodLog!$I:$I)=0,"",SUMIF(FoodLog!$A:$A,$A173,FoodLog!$I:$I)))</f>
        <v/>
      </c>
      <c r="V173">
        <f>IF($A173="","",IF(SUMIF(FoodLog!$A:$A,$A173,FoodLog!$F:$F)=0,"",SUMIF(FoodLog!$A:$A,$A173,FoodLog!$F:$F)))</f>
        <v/>
      </c>
      <c r="W173">
        <f>IF($A173="","",IF(SUMIF(FoodLog!$A:$A,$A173,FoodLog!$G:$G)=0,"",SUMIF(FoodLog!$A:$A,$A173,FoodLog!$G:$G)))</f>
        <v/>
      </c>
      <c r="X173">
        <f>IF($A173="","",IF(SUMIF(FoodLog!$A:$A,$A173,FoodLog!$H:$H)=0,"",SUMIF(FoodLog!$A:$A,$A173,FoodLog!$H:$H)))</f>
        <v/>
      </c>
      <c r="Y173">
        <f>IF($A173="","",IFERROR(ROUND(100*AVERAGE(IF($B173="","",XLOOKUP($B173,FILTER(Dictionaries!$B:$B,Dictionaries!$A:$A="Тренировка"),FILTER(Dictionaries!$C:$C,Dictionaries!$A:$A="Тренировка"))),IF($C173="","",MIN($C173/40,1)),IF($D173="","",XLOOKUP($D173,FILTER(Dictionaries!$B:$B,Dictionaries!$A:$A="Шаги"),FILTER(Dictionaries!$C:$C,Dictionaries!$A:$A="Шаги"))),IF($E173="","",MIN($E173/120,1)),IF(OR($F173&lt;&gt;"",$G173&lt;&gt;""),1,""),IF($H173="","",MIN($H173/100,1)),IF($L173="","",XLOOKUP($L173,FILTER(Dictionaries!$B:$B,Dictionaries!$A:$A="Сон_часы"),FILTER(Dictionaries!$C:$C,Dictionaries!$A:$A="Сон_часы"))),IF($M173="","",XLOOKUP($M173,FILTER(Dictionaries!$B:$B,Dictionaries!$A:$A="Режим"),FILTER(Dictionaries!$C:$C,Dictionaries!$A:$A="Режим"))),IF($N173="","",MIN($N173/100,1)),IF($O173="","",XLOOKUP($O173,FILTER(Dictionaries!$B:$B,Dictionaries!$A:$A="Настроение"),FILTER(Dictionaries!$C:$C,Dictionaries!$A:$A="Настроение"))),IF($P173="","",XLOOKUP($P173,FILTER(Dictionaries!$B:$B,Dictionaries!$A:$A="Энергия"),FILTER(Dictionaries!$C:$C,Dictionaries!$A:$A="Энергия"))),IF($U173="","",AVERAGE(IF(OR($B173="Ноги",$B173="Верх"),IFS(AND($U173&gt;=1900,$U173&lt;=2050),1,AND($U173&gt;=1850,$U173&lt;1900),0.7,AND($U173&gt;2050,$U173&lt;=2100),0.7,TRUE,0.2),IFS(AND($U173&gt;=1700,$U173&lt;=1850),1,AND($U173&gt;=1650,$U173&lt;1700),0.7,AND($U173&gt;1850,$U173&lt;=1900),0.7,TRUE,0.2)),IF(OR($B173="Ноги",$B173="Верх"),IFS(AND($V173&gt;=125,$V173&lt;=135),1,AND($V173&gt;=115,$V173&lt;125),0.7,AND($V173&gt;135,$V173&lt;=145),0.7,AND($V173&gt;=105,$V173&lt;115),0.4,AND($V173&gt;145,$V173&lt;=155),0.4,TRUE,0.2),IFS(AND($V173&gt;=120,$V173&lt;=130),1,AND($V173&gt;=110,$V173&lt;120),0.7,AND($V173&gt;130,$V173&lt;=140),0.7,AND($V173&gt;=100,$V173&lt;110),0.4,AND($V173&gt;140,$V173&lt;=150),0.4,TRUE,0.2)),IFS(AND($W173&gt;=55,$W173&lt;=65),1,AND($W173&gt;=50,$W173&lt;55),0.7,AND($W173&gt;65,$W173&lt;=70),0.7,AND($W173&gt;=45,$W173&lt;50),0.4,AND($W173&gt;70,$W173&lt;=75),0.4,TRUE,0.2),IF(OR($B173="Ноги",$B173="Верх"),IFS(AND($X173&gt;=180,$X173&lt;=210),1,AND($X173&gt;=160,$X173&lt;180),0.7,AND($X173&gt;210,$X173&lt;=230),0.7,AND($X173&gt;=140,$X173&lt;160),0.4,AND($X173&gt;230,$X173&lt;=250),0.4,TRUE,0.2),IFS(AND($X173&gt;=140,$X173&lt;=170),1,AND($X173&gt;=120,$X173&lt;140),0.7,AND($X173&gt;170,$X173&lt;=190),0.7,AND($X173&gt;=100,$X173&lt;120),0.4,AND($X173&gt;190,$X173&lt;=210),0.4,TRUE,0.2))))),1),""))</f>
        <v/>
      </c>
      <c r="Z173">
        <f>IF($A173="","",TEXTJOIN(", ",TRUE,IF($B173="","Тренировка",""),IF($C173="","Кардио",""),IF($D173="","Шаги",""),IF($E173="","Английский",""),IF($F173="","Код-режим",""),IF($G173="","Код-тема",""),IF($H173="","Чтение",""),IF($L173="","Сон",""),IF($M173="","Режим",""),IF($N173="","Продуктивность",""),IF($O173="","Настроение",""),IF($P173="","Энергия",""),IF($U173="","Еда","")))</f>
        <v/>
      </c>
    </row>
    <row r="174">
      <c r="A174" t="inlineStr"/>
      <c r="U174">
        <f>IF($A174="","",IF(SUMIF(FoodLog!$A:$A,$A174,FoodLog!$I:$I)=0,"",SUMIF(FoodLog!$A:$A,$A174,FoodLog!$I:$I)))</f>
        <v/>
      </c>
      <c r="V174">
        <f>IF($A174="","",IF(SUMIF(FoodLog!$A:$A,$A174,FoodLog!$F:$F)=0,"",SUMIF(FoodLog!$A:$A,$A174,FoodLog!$F:$F)))</f>
        <v/>
      </c>
      <c r="W174">
        <f>IF($A174="","",IF(SUMIF(FoodLog!$A:$A,$A174,FoodLog!$G:$G)=0,"",SUMIF(FoodLog!$A:$A,$A174,FoodLog!$G:$G)))</f>
        <v/>
      </c>
      <c r="X174">
        <f>IF($A174="","",IF(SUMIF(FoodLog!$A:$A,$A174,FoodLog!$H:$H)=0,"",SUMIF(FoodLog!$A:$A,$A174,FoodLog!$H:$H)))</f>
        <v/>
      </c>
      <c r="Y174">
        <f>IF($A174="","",IFERROR(ROUND(100*AVERAGE(IF($B174="","",XLOOKUP($B174,FILTER(Dictionaries!$B:$B,Dictionaries!$A:$A="Тренировка"),FILTER(Dictionaries!$C:$C,Dictionaries!$A:$A="Тренировка"))),IF($C174="","",MIN($C174/40,1)),IF($D174="","",XLOOKUP($D174,FILTER(Dictionaries!$B:$B,Dictionaries!$A:$A="Шаги"),FILTER(Dictionaries!$C:$C,Dictionaries!$A:$A="Шаги"))),IF($E174="","",MIN($E174/120,1)),IF(OR($F174&lt;&gt;"",$G174&lt;&gt;""),1,""),IF($H174="","",MIN($H174/100,1)),IF($L174="","",XLOOKUP($L174,FILTER(Dictionaries!$B:$B,Dictionaries!$A:$A="Сон_часы"),FILTER(Dictionaries!$C:$C,Dictionaries!$A:$A="Сон_часы"))),IF($M174="","",XLOOKUP($M174,FILTER(Dictionaries!$B:$B,Dictionaries!$A:$A="Режим"),FILTER(Dictionaries!$C:$C,Dictionaries!$A:$A="Режим"))),IF($N174="","",MIN($N174/100,1)),IF($O174="","",XLOOKUP($O174,FILTER(Dictionaries!$B:$B,Dictionaries!$A:$A="Настроение"),FILTER(Dictionaries!$C:$C,Dictionaries!$A:$A="Настроение"))),IF($P174="","",XLOOKUP($P174,FILTER(Dictionaries!$B:$B,Dictionaries!$A:$A="Энергия"),FILTER(Dictionaries!$C:$C,Dictionaries!$A:$A="Энергия"))),IF($U174="","",AVERAGE(IF(OR($B174="Ноги",$B174="Верх"),IFS(AND($U174&gt;=1900,$U174&lt;=2050),1,AND($U174&gt;=1850,$U174&lt;1900),0.7,AND($U174&gt;2050,$U174&lt;=2100),0.7,TRUE,0.2),IFS(AND($U174&gt;=1700,$U174&lt;=1850),1,AND($U174&gt;=1650,$U174&lt;1700),0.7,AND($U174&gt;1850,$U174&lt;=1900),0.7,TRUE,0.2)),IF(OR($B174="Ноги",$B174="Верх"),IFS(AND($V174&gt;=125,$V174&lt;=135),1,AND($V174&gt;=115,$V174&lt;125),0.7,AND($V174&gt;135,$V174&lt;=145),0.7,AND($V174&gt;=105,$V174&lt;115),0.4,AND($V174&gt;145,$V174&lt;=155),0.4,TRUE,0.2),IFS(AND($V174&gt;=120,$V174&lt;=130),1,AND($V174&gt;=110,$V174&lt;120),0.7,AND($V174&gt;130,$V174&lt;=140),0.7,AND($V174&gt;=100,$V174&lt;110),0.4,AND($V174&gt;140,$V174&lt;=150),0.4,TRUE,0.2)),IFS(AND($W174&gt;=55,$W174&lt;=65),1,AND($W174&gt;=50,$W174&lt;55),0.7,AND($W174&gt;65,$W174&lt;=70),0.7,AND($W174&gt;=45,$W174&lt;50),0.4,AND($W174&gt;70,$W174&lt;=75),0.4,TRUE,0.2),IF(OR($B174="Ноги",$B174="Верх"),IFS(AND($X174&gt;=180,$X174&lt;=210),1,AND($X174&gt;=160,$X174&lt;180),0.7,AND($X174&gt;210,$X174&lt;=230),0.7,AND($X174&gt;=140,$X174&lt;160),0.4,AND($X174&gt;230,$X174&lt;=250),0.4,TRUE,0.2),IFS(AND($X174&gt;=140,$X174&lt;=170),1,AND($X174&gt;=120,$X174&lt;140),0.7,AND($X174&gt;170,$X174&lt;=190),0.7,AND($X174&gt;=100,$X174&lt;120),0.4,AND($X174&gt;190,$X174&lt;=210),0.4,TRUE,0.2))))),1),""))</f>
        <v/>
      </c>
      <c r="Z174">
        <f>IF($A174="","",TEXTJOIN(", ",TRUE,IF($B174="","Тренировка",""),IF($C174="","Кардио",""),IF($D174="","Шаги",""),IF($E174="","Английский",""),IF($F174="","Код-режим",""),IF($G174="","Код-тема",""),IF($H174="","Чтение",""),IF($L174="","Сон",""),IF($M174="","Режим",""),IF($N174="","Продуктивность",""),IF($O174="","Настроение",""),IF($P174="","Энергия",""),IF($U174="","Еда","")))</f>
        <v/>
      </c>
    </row>
    <row r="175">
      <c r="A175" t="inlineStr"/>
      <c r="U175">
        <f>IF($A175="","",IF(SUMIF(FoodLog!$A:$A,$A175,FoodLog!$I:$I)=0,"",SUMIF(FoodLog!$A:$A,$A175,FoodLog!$I:$I)))</f>
        <v/>
      </c>
      <c r="V175">
        <f>IF($A175="","",IF(SUMIF(FoodLog!$A:$A,$A175,FoodLog!$F:$F)=0,"",SUMIF(FoodLog!$A:$A,$A175,FoodLog!$F:$F)))</f>
        <v/>
      </c>
      <c r="W175">
        <f>IF($A175="","",IF(SUMIF(FoodLog!$A:$A,$A175,FoodLog!$G:$G)=0,"",SUMIF(FoodLog!$A:$A,$A175,FoodLog!$G:$G)))</f>
        <v/>
      </c>
      <c r="X175">
        <f>IF($A175="","",IF(SUMIF(FoodLog!$A:$A,$A175,FoodLog!$H:$H)=0,"",SUMIF(FoodLog!$A:$A,$A175,FoodLog!$H:$H)))</f>
        <v/>
      </c>
      <c r="Y175">
        <f>IF($A175="","",IFERROR(ROUND(100*AVERAGE(IF($B175="","",XLOOKUP($B175,FILTER(Dictionaries!$B:$B,Dictionaries!$A:$A="Тренировка"),FILTER(Dictionaries!$C:$C,Dictionaries!$A:$A="Тренировка"))),IF($C175="","",MIN($C175/40,1)),IF($D175="","",XLOOKUP($D175,FILTER(Dictionaries!$B:$B,Dictionaries!$A:$A="Шаги"),FILTER(Dictionaries!$C:$C,Dictionaries!$A:$A="Шаги"))),IF($E175="","",MIN($E175/120,1)),IF(OR($F175&lt;&gt;"",$G175&lt;&gt;""),1,""),IF($H175="","",MIN($H175/100,1)),IF($L175="","",XLOOKUP($L175,FILTER(Dictionaries!$B:$B,Dictionaries!$A:$A="Сон_часы"),FILTER(Dictionaries!$C:$C,Dictionaries!$A:$A="Сон_часы"))),IF($M175="","",XLOOKUP($M175,FILTER(Dictionaries!$B:$B,Dictionaries!$A:$A="Режим"),FILTER(Dictionaries!$C:$C,Dictionaries!$A:$A="Режим"))),IF($N175="","",MIN($N175/100,1)),IF($O175="","",XLOOKUP($O175,FILTER(Dictionaries!$B:$B,Dictionaries!$A:$A="Настроение"),FILTER(Dictionaries!$C:$C,Dictionaries!$A:$A="Настроение"))),IF($P175="","",XLOOKUP($P175,FILTER(Dictionaries!$B:$B,Dictionaries!$A:$A="Энергия"),FILTER(Dictionaries!$C:$C,Dictionaries!$A:$A="Энергия"))),IF($U175="","",AVERAGE(IF(OR($B175="Ноги",$B175="Верх"),IFS(AND($U175&gt;=1900,$U175&lt;=2050),1,AND($U175&gt;=1850,$U175&lt;1900),0.7,AND($U175&gt;2050,$U175&lt;=2100),0.7,TRUE,0.2),IFS(AND($U175&gt;=1700,$U175&lt;=1850),1,AND($U175&gt;=1650,$U175&lt;1700),0.7,AND($U175&gt;1850,$U175&lt;=1900),0.7,TRUE,0.2)),IF(OR($B175="Ноги",$B175="Верх"),IFS(AND($V175&gt;=125,$V175&lt;=135),1,AND($V175&gt;=115,$V175&lt;125),0.7,AND($V175&gt;135,$V175&lt;=145),0.7,AND($V175&gt;=105,$V175&lt;115),0.4,AND($V175&gt;145,$V175&lt;=155),0.4,TRUE,0.2),IFS(AND($V175&gt;=120,$V175&lt;=130),1,AND($V175&gt;=110,$V175&lt;120),0.7,AND($V175&gt;130,$V175&lt;=140),0.7,AND($V175&gt;=100,$V175&lt;110),0.4,AND($V175&gt;140,$V175&lt;=150),0.4,TRUE,0.2)),IFS(AND($W175&gt;=55,$W175&lt;=65),1,AND($W175&gt;=50,$W175&lt;55),0.7,AND($W175&gt;65,$W175&lt;=70),0.7,AND($W175&gt;=45,$W175&lt;50),0.4,AND($W175&gt;70,$W175&lt;=75),0.4,TRUE,0.2),IF(OR($B175="Ноги",$B175="Верх"),IFS(AND($X175&gt;=180,$X175&lt;=210),1,AND($X175&gt;=160,$X175&lt;180),0.7,AND($X175&gt;210,$X175&lt;=230),0.7,AND($X175&gt;=140,$X175&lt;160),0.4,AND($X175&gt;230,$X175&lt;=250),0.4,TRUE,0.2),IFS(AND($X175&gt;=140,$X175&lt;=170),1,AND($X175&gt;=120,$X175&lt;140),0.7,AND($X175&gt;170,$X175&lt;=190),0.7,AND($X175&gt;=100,$X175&lt;120),0.4,AND($X175&gt;190,$X175&lt;=210),0.4,TRUE,0.2))))),1),""))</f>
        <v/>
      </c>
      <c r="Z175">
        <f>IF($A175="","",TEXTJOIN(", ",TRUE,IF($B175="","Тренировка",""),IF($C175="","Кардио",""),IF($D175="","Шаги",""),IF($E175="","Английский",""),IF($F175="","Код-режим",""),IF($G175="","Код-тема",""),IF($H175="","Чтение",""),IF($L175="","Сон",""),IF($M175="","Режим",""),IF($N175="","Продуктивность",""),IF($O175="","Настроение",""),IF($P175="","Энергия",""),IF($U175="","Еда","")))</f>
        <v/>
      </c>
    </row>
    <row r="176">
      <c r="A176" t="inlineStr"/>
      <c r="U176">
        <f>IF($A176="","",IF(SUMIF(FoodLog!$A:$A,$A176,FoodLog!$I:$I)=0,"",SUMIF(FoodLog!$A:$A,$A176,FoodLog!$I:$I)))</f>
        <v/>
      </c>
      <c r="V176">
        <f>IF($A176="","",IF(SUMIF(FoodLog!$A:$A,$A176,FoodLog!$F:$F)=0,"",SUMIF(FoodLog!$A:$A,$A176,FoodLog!$F:$F)))</f>
        <v/>
      </c>
      <c r="W176">
        <f>IF($A176="","",IF(SUMIF(FoodLog!$A:$A,$A176,FoodLog!$G:$G)=0,"",SUMIF(FoodLog!$A:$A,$A176,FoodLog!$G:$G)))</f>
        <v/>
      </c>
      <c r="X176">
        <f>IF($A176="","",IF(SUMIF(FoodLog!$A:$A,$A176,FoodLog!$H:$H)=0,"",SUMIF(FoodLog!$A:$A,$A176,FoodLog!$H:$H)))</f>
        <v/>
      </c>
      <c r="Y176">
        <f>IF($A176="","",IFERROR(ROUND(100*AVERAGE(IF($B176="","",XLOOKUP($B176,FILTER(Dictionaries!$B:$B,Dictionaries!$A:$A="Тренировка"),FILTER(Dictionaries!$C:$C,Dictionaries!$A:$A="Тренировка"))),IF($C176="","",MIN($C176/40,1)),IF($D176="","",XLOOKUP($D176,FILTER(Dictionaries!$B:$B,Dictionaries!$A:$A="Шаги"),FILTER(Dictionaries!$C:$C,Dictionaries!$A:$A="Шаги"))),IF($E176="","",MIN($E176/120,1)),IF(OR($F176&lt;&gt;"",$G176&lt;&gt;""),1,""),IF($H176="","",MIN($H176/100,1)),IF($L176="","",XLOOKUP($L176,FILTER(Dictionaries!$B:$B,Dictionaries!$A:$A="Сон_часы"),FILTER(Dictionaries!$C:$C,Dictionaries!$A:$A="Сон_часы"))),IF($M176="","",XLOOKUP($M176,FILTER(Dictionaries!$B:$B,Dictionaries!$A:$A="Режим"),FILTER(Dictionaries!$C:$C,Dictionaries!$A:$A="Режим"))),IF($N176="","",MIN($N176/100,1)),IF($O176="","",XLOOKUP($O176,FILTER(Dictionaries!$B:$B,Dictionaries!$A:$A="Настроение"),FILTER(Dictionaries!$C:$C,Dictionaries!$A:$A="Настроение"))),IF($P176="","",XLOOKUP($P176,FILTER(Dictionaries!$B:$B,Dictionaries!$A:$A="Энергия"),FILTER(Dictionaries!$C:$C,Dictionaries!$A:$A="Энергия"))),IF($U176="","",AVERAGE(IF(OR($B176="Ноги",$B176="Верх"),IFS(AND($U176&gt;=1900,$U176&lt;=2050),1,AND($U176&gt;=1850,$U176&lt;1900),0.7,AND($U176&gt;2050,$U176&lt;=2100),0.7,TRUE,0.2),IFS(AND($U176&gt;=1700,$U176&lt;=1850),1,AND($U176&gt;=1650,$U176&lt;1700),0.7,AND($U176&gt;1850,$U176&lt;=1900),0.7,TRUE,0.2)),IF(OR($B176="Ноги",$B176="Верх"),IFS(AND($V176&gt;=125,$V176&lt;=135),1,AND($V176&gt;=115,$V176&lt;125),0.7,AND($V176&gt;135,$V176&lt;=145),0.7,AND($V176&gt;=105,$V176&lt;115),0.4,AND($V176&gt;145,$V176&lt;=155),0.4,TRUE,0.2),IFS(AND($V176&gt;=120,$V176&lt;=130),1,AND($V176&gt;=110,$V176&lt;120),0.7,AND($V176&gt;130,$V176&lt;=140),0.7,AND($V176&gt;=100,$V176&lt;110),0.4,AND($V176&gt;140,$V176&lt;=150),0.4,TRUE,0.2)),IFS(AND($W176&gt;=55,$W176&lt;=65),1,AND($W176&gt;=50,$W176&lt;55),0.7,AND($W176&gt;65,$W176&lt;=70),0.7,AND($W176&gt;=45,$W176&lt;50),0.4,AND($W176&gt;70,$W176&lt;=75),0.4,TRUE,0.2),IF(OR($B176="Ноги",$B176="Верх"),IFS(AND($X176&gt;=180,$X176&lt;=210),1,AND($X176&gt;=160,$X176&lt;180),0.7,AND($X176&gt;210,$X176&lt;=230),0.7,AND($X176&gt;=140,$X176&lt;160),0.4,AND($X176&gt;230,$X176&lt;=250),0.4,TRUE,0.2),IFS(AND($X176&gt;=140,$X176&lt;=170),1,AND($X176&gt;=120,$X176&lt;140),0.7,AND($X176&gt;170,$X176&lt;=190),0.7,AND($X176&gt;=100,$X176&lt;120),0.4,AND($X176&gt;190,$X176&lt;=210),0.4,TRUE,0.2))))),1),""))</f>
        <v/>
      </c>
      <c r="Z176">
        <f>IF($A176="","",TEXTJOIN(", ",TRUE,IF($B176="","Тренировка",""),IF($C176="","Кардио",""),IF($D176="","Шаги",""),IF($E176="","Английский",""),IF($F176="","Код-режим",""),IF($G176="","Код-тема",""),IF($H176="","Чтение",""),IF($L176="","Сон",""),IF($M176="","Режим",""),IF($N176="","Продуктивность",""),IF($O176="","Настроение",""),IF($P176="","Энергия",""),IF($U176="","Еда","")))</f>
        <v/>
      </c>
    </row>
    <row r="177">
      <c r="A177" t="inlineStr"/>
      <c r="U177">
        <f>IF($A177="","",IF(SUMIF(FoodLog!$A:$A,$A177,FoodLog!$I:$I)=0,"",SUMIF(FoodLog!$A:$A,$A177,FoodLog!$I:$I)))</f>
        <v/>
      </c>
      <c r="V177">
        <f>IF($A177="","",IF(SUMIF(FoodLog!$A:$A,$A177,FoodLog!$F:$F)=0,"",SUMIF(FoodLog!$A:$A,$A177,FoodLog!$F:$F)))</f>
        <v/>
      </c>
      <c r="W177">
        <f>IF($A177="","",IF(SUMIF(FoodLog!$A:$A,$A177,FoodLog!$G:$G)=0,"",SUMIF(FoodLog!$A:$A,$A177,FoodLog!$G:$G)))</f>
        <v/>
      </c>
      <c r="X177">
        <f>IF($A177="","",IF(SUMIF(FoodLog!$A:$A,$A177,FoodLog!$H:$H)=0,"",SUMIF(FoodLog!$A:$A,$A177,FoodLog!$H:$H)))</f>
        <v/>
      </c>
      <c r="Y177">
        <f>IF($A177="","",IFERROR(ROUND(100*AVERAGE(IF($B177="","",XLOOKUP($B177,FILTER(Dictionaries!$B:$B,Dictionaries!$A:$A="Тренировка"),FILTER(Dictionaries!$C:$C,Dictionaries!$A:$A="Тренировка"))),IF($C177="","",MIN($C177/40,1)),IF($D177="","",XLOOKUP($D177,FILTER(Dictionaries!$B:$B,Dictionaries!$A:$A="Шаги"),FILTER(Dictionaries!$C:$C,Dictionaries!$A:$A="Шаги"))),IF($E177="","",MIN($E177/120,1)),IF(OR($F177&lt;&gt;"",$G177&lt;&gt;""),1,""),IF($H177="","",MIN($H177/100,1)),IF($L177="","",XLOOKUP($L177,FILTER(Dictionaries!$B:$B,Dictionaries!$A:$A="Сон_часы"),FILTER(Dictionaries!$C:$C,Dictionaries!$A:$A="Сон_часы"))),IF($M177="","",XLOOKUP($M177,FILTER(Dictionaries!$B:$B,Dictionaries!$A:$A="Режим"),FILTER(Dictionaries!$C:$C,Dictionaries!$A:$A="Режим"))),IF($N177="","",MIN($N177/100,1)),IF($O177="","",XLOOKUP($O177,FILTER(Dictionaries!$B:$B,Dictionaries!$A:$A="Настроение"),FILTER(Dictionaries!$C:$C,Dictionaries!$A:$A="Настроение"))),IF($P177="","",XLOOKUP($P177,FILTER(Dictionaries!$B:$B,Dictionaries!$A:$A="Энергия"),FILTER(Dictionaries!$C:$C,Dictionaries!$A:$A="Энергия"))),IF($U177="","",AVERAGE(IF(OR($B177="Ноги",$B177="Верх"),IFS(AND($U177&gt;=1900,$U177&lt;=2050),1,AND($U177&gt;=1850,$U177&lt;1900),0.7,AND($U177&gt;2050,$U177&lt;=2100),0.7,TRUE,0.2),IFS(AND($U177&gt;=1700,$U177&lt;=1850),1,AND($U177&gt;=1650,$U177&lt;1700),0.7,AND($U177&gt;1850,$U177&lt;=1900),0.7,TRUE,0.2)),IF(OR($B177="Ноги",$B177="Верх"),IFS(AND($V177&gt;=125,$V177&lt;=135),1,AND($V177&gt;=115,$V177&lt;125),0.7,AND($V177&gt;135,$V177&lt;=145),0.7,AND($V177&gt;=105,$V177&lt;115),0.4,AND($V177&gt;145,$V177&lt;=155),0.4,TRUE,0.2),IFS(AND($V177&gt;=120,$V177&lt;=130),1,AND($V177&gt;=110,$V177&lt;120),0.7,AND($V177&gt;130,$V177&lt;=140),0.7,AND($V177&gt;=100,$V177&lt;110),0.4,AND($V177&gt;140,$V177&lt;=150),0.4,TRUE,0.2)),IFS(AND($W177&gt;=55,$W177&lt;=65),1,AND($W177&gt;=50,$W177&lt;55),0.7,AND($W177&gt;65,$W177&lt;=70),0.7,AND($W177&gt;=45,$W177&lt;50),0.4,AND($W177&gt;70,$W177&lt;=75),0.4,TRUE,0.2),IF(OR($B177="Ноги",$B177="Верх"),IFS(AND($X177&gt;=180,$X177&lt;=210),1,AND($X177&gt;=160,$X177&lt;180),0.7,AND($X177&gt;210,$X177&lt;=230),0.7,AND($X177&gt;=140,$X177&lt;160),0.4,AND($X177&gt;230,$X177&lt;=250),0.4,TRUE,0.2),IFS(AND($X177&gt;=140,$X177&lt;=170),1,AND($X177&gt;=120,$X177&lt;140),0.7,AND($X177&gt;170,$X177&lt;=190),0.7,AND($X177&gt;=100,$X177&lt;120),0.4,AND($X177&gt;190,$X177&lt;=210),0.4,TRUE,0.2))))),1),""))</f>
        <v/>
      </c>
      <c r="Z177">
        <f>IF($A177="","",TEXTJOIN(", ",TRUE,IF($B177="","Тренировка",""),IF($C177="","Кардио",""),IF($D177="","Шаги",""),IF($E177="","Английский",""),IF($F177="","Код-режим",""),IF($G177="","Код-тема",""),IF($H177="","Чтение",""),IF($L177="","Сон",""),IF($M177="","Режим",""),IF($N177="","Продуктивность",""),IF($O177="","Настроение",""),IF($P177="","Энергия",""),IF($U177="","Еда","")))</f>
        <v/>
      </c>
    </row>
    <row r="178">
      <c r="A178" t="inlineStr"/>
      <c r="U178">
        <f>IF($A178="","",IF(SUMIF(FoodLog!$A:$A,$A178,FoodLog!$I:$I)=0,"",SUMIF(FoodLog!$A:$A,$A178,FoodLog!$I:$I)))</f>
        <v/>
      </c>
      <c r="V178">
        <f>IF($A178="","",IF(SUMIF(FoodLog!$A:$A,$A178,FoodLog!$F:$F)=0,"",SUMIF(FoodLog!$A:$A,$A178,FoodLog!$F:$F)))</f>
        <v/>
      </c>
      <c r="W178">
        <f>IF($A178="","",IF(SUMIF(FoodLog!$A:$A,$A178,FoodLog!$G:$G)=0,"",SUMIF(FoodLog!$A:$A,$A178,FoodLog!$G:$G)))</f>
        <v/>
      </c>
      <c r="X178">
        <f>IF($A178="","",IF(SUMIF(FoodLog!$A:$A,$A178,FoodLog!$H:$H)=0,"",SUMIF(FoodLog!$A:$A,$A178,FoodLog!$H:$H)))</f>
        <v/>
      </c>
      <c r="Y178">
        <f>IF($A178="","",IFERROR(ROUND(100*AVERAGE(IF($B178="","",XLOOKUP($B178,FILTER(Dictionaries!$B:$B,Dictionaries!$A:$A="Тренировка"),FILTER(Dictionaries!$C:$C,Dictionaries!$A:$A="Тренировка"))),IF($C178="","",MIN($C178/40,1)),IF($D178="","",XLOOKUP($D178,FILTER(Dictionaries!$B:$B,Dictionaries!$A:$A="Шаги"),FILTER(Dictionaries!$C:$C,Dictionaries!$A:$A="Шаги"))),IF($E178="","",MIN($E178/120,1)),IF(OR($F178&lt;&gt;"",$G178&lt;&gt;""),1,""),IF($H178="","",MIN($H178/100,1)),IF($L178="","",XLOOKUP($L178,FILTER(Dictionaries!$B:$B,Dictionaries!$A:$A="Сон_часы"),FILTER(Dictionaries!$C:$C,Dictionaries!$A:$A="Сон_часы"))),IF($M178="","",XLOOKUP($M178,FILTER(Dictionaries!$B:$B,Dictionaries!$A:$A="Режим"),FILTER(Dictionaries!$C:$C,Dictionaries!$A:$A="Режим"))),IF($N178="","",MIN($N178/100,1)),IF($O178="","",XLOOKUP($O178,FILTER(Dictionaries!$B:$B,Dictionaries!$A:$A="Настроение"),FILTER(Dictionaries!$C:$C,Dictionaries!$A:$A="Настроение"))),IF($P178="","",XLOOKUP($P178,FILTER(Dictionaries!$B:$B,Dictionaries!$A:$A="Энергия"),FILTER(Dictionaries!$C:$C,Dictionaries!$A:$A="Энергия"))),IF($U178="","",AVERAGE(IF(OR($B178="Ноги",$B178="Верх"),IFS(AND($U178&gt;=1900,$U178&lt;=2050),1,AND($U178&gt;=1850,$U178&lt;1900),0.7,AND($U178&gt;2050,$U178&lt;=2100),0.7,TRUE,0.2),IFS(AND($U178&gt;=1700,$U178&lt;=1850),1,AND($U178&gt;=1650,$U178&lt;1700),0.7,AND($U178&gt;1850,$U178&lt;=1900),0.7,TRUE,0.2)),IF(OR($B178="Ноги",$B178="Верх"),IFS(AND($V178&gt;=125,$V178&lt;=135),1,AND($V178&gt;=115,$V178&lt;125),0.7,AND($V178&gt;135,$V178&lt;=145),0.7,AND($V178&gt;=105,$V178&lt;115),0.4,AND($V178&gt;145,$V178&lt;=155),0.4,TRUE,0.2),IFS(AND($V178&gt;=120,$V178&lt;=130),1,AND($V178&gt;=110,$V178&lt;120),0.7,AND($V178&gt;130,$V178&lt;=140),0.7,AND($V178&gt;=100,$V178&lt;110),0.4,AND($V178&gt;140,$V178&lt;=150),0.4,TRUE,0.2)),IFS(AND($W178&gt;=55,$W178&lt;=65),1,AND($W178&gt;=50,$W178&lt;55),0.7,AND($W178&gt;65,$W178&lt;=70),0.7,AND($W178&gt;=45,$W178&lt;50),0.4,AND($W178&gt;70,$W178&lt;=75),0.4,TRUE,0.2),IF(OR($B178="Ноги",$B178="Верх"),IFS(AND($X178&gt;=180,$X178&lt;=210),1,AND($X178&gt;=160,$X178&lt;180),0.7,AND($X178&gt;210,$X178&lt;=230),0.7,AND($X178&gt;=140,$X178&lt;160),0.4,AND($X178&gt;230,$X178&lt;=250),0.4,TRUE,0.2),IFS(AND($X178&gt;=140,$X178&lt;=170),1,AND($X178&gt;=120,$X178&lt;140),0.7,AND($X178&gt;170,$X178&lt;=190),0.7,AND($X178&gt;=100,$X178&lt;120),0.4,AND($X178&gt;190,$X178&lt;=210),0.4,TRUE,0.2))))),1),""))</f>
        <v/>
      </c>
      <c r="Z178">
        <f>IF($A178="","",TEXTJOIN(", ",TRUE,IF($B178="","Тренировка",""),IF($C178="","Кардио",""),IF($D178="","Шаги",""),IF($E178="","Английский",""),IF($F178="","Код-режим",""),IF($G178="","Код-тема",""),IF($H178="","Чтение",""),IF($L178="","Сон",""),IF($M178="","Режим",""),IF($N178="","Продуктивность",""),IF($O178="","Настроение",""),IF($P178="","Энергия",""),IF($U178="","Еда","")))</f>
        <v/>
      </c>
    </row>
    <row r="179">
      <c r="A179" t="inlineStr"/>
      <c r="U179">
        <f>IF($A179="","",IF(SUMIF(FoodLog!$A:$A,$A179,FoodLog!$I:$I)=0,"",SUMIF(FoodLog!$A:$A,$A179,FoodLog!$I:$I)))</f>
        <v/>
      </c>
      <c r="V179">
        <f>IF($A179="","",IF(SUMIF(FoodLog!$A:$A,$A179,FoodLog!$F:$F)=0,"",SUMIF(FoodLog!$A:$A,$A179,FoodLog!$F:$F)))</f>
        <v/>
      </c>
      <c r="W179">
        <f>IF($A179="","",IF(SUMIF(FoodLog!$A:$A,$A179,FoodLog!$G:$G)=0,"",SUMIF(FoodLog!$A:$A,$A179,FoodLog!$G:$G)))</f>
        <v/>
      </c>
      <c r="X179">
        <f>IF($A179="","",IF(SUMIF(FoodLog!$A:$A,$A179,FoodLog!$H:$H)=0,"",SUMIF(FoodLog!$A:$A,$A179,FoodLog!$H:$H)))</f>
        <v/>
      </c>
      <c r="Y179">
        <f>IF($A179="","",IFERROR(ROUND(100*AVERAGE(IF($B179="","",XLOOKUP($B179,FILTER(Dictionaries!$B:$B,Dictionaries!$A:$A="Тренировка"),FILTER(Dictionaries!$C:$C,Dictionaries!$A:$A="Тренировка"))),IF($C179="","",MIN($C179/40,1)),IF($D179="","",XLOOKUP($D179,FILTER(Dictionaries!$B:$B,Dictionaries!$A:$A="Шаги"),FILTER(Dictionaries!$C:$C,Dictionaries!$A:$A="Шаги"))),IF($E179="","",MIN($E179/120,1)),IF(OR($F179&lt;&gt;"",$G179&lt;&gt;""),1,""),IF($H179="","",MIN($H179/100,1)),IF($L179="","",XLOOKUP($L179,FILTER(Dictionaries!$B:$B,Dictionaries!$A:$A="Сон_часы"),FILTER(Dictionaries!$C:$C,Dictionaries!$A:$A="Сон_часы"))),IF($M179="","",XLOOKUP($M179,FILTER(Dictionaries!$B:$B,Dictionaries!$A:$A="Режим"),FILTER(Dictionaries!$C:$C,Dictionaries!$A:$A="Режим"))),IF($N179="","",MIN($N179/100,1)),IF($O179="","",XLOOKUP($O179,FILTER(Dictionaries!$B:$B,Dictionaries!$A:$A="Настроение"),FILTER(Dictionaries!$C:$C,Dictionaries!$A:$A="Настроение"))),IF($P179="","",XLOOKUP($P179,FILTER(Dictionaries!$B:$B,Dictionaries!$A:$A="Энергия"),FILTER(Dictionaries!$C:$C,Dictionaries!$A:$A="Энергия"))),IF($U179="","",AVERAGE(IF(OR($B179="Ноги",$B179="Верх"),IFS(AND($U179&gt;=1900,$U179&lt;=2050),1,AND($U179&gt;=1850,$U179&lt;1900),0.7,AND($U179&gt;2050,$U179&lt;=2100),0.7,TRUE,0.2),IFS(AND($U179&gt;=1700,$U179&lt;=1850),1,AND($U179&gt;=1650,$U179&lt;1700),0.7,AND($U179&gt;1850,$U179&lt;=1900),0.7,TRUE,0.2)),IF(OR($B179="Ноги",$B179="Верх"),IFS(AND($V179&gt;=125,$V179&lt;=135),1,AND($V179&gt;=115,$V179&lt;125),0.7,AND($V179&gt;135,$V179&lt;=145),0.7,AND($V179&gt;=105,$V179&lt;115),0.4,AND($V179&gt;145,$V179&lt;=155),0.4,TRUE,0.2),IFS(AND($V179&gt;=120,$V179&lt;=130),1,AND($V179&gt;=110,$V179&lt;120),0.7,AND($V179&gt;130,$V179&lt;=140),0.7,AND($V179&gt;=100,$V179&lt;110),0.4,AND($V179&gt;140,$V179&lt;=150),0.4,TRUE,0.2)),IFS(AND($W179&gt;=55,$W179&lt;=65),1,AND($W179&gt;=50,$W179&lt;55),0.7,AND($W179&gt;65,$W179&lt;=70),0.7,AND($W179&gt;=45,$W179&lt;50),0.4,AND($W179&gt;70,$W179&lt;=75),0.4,TRUE,0.2),IF(OR($B179="Ноги",$B179="Верх"),IFS(AND($X179&gt;=180,$X179&lt;=210),1,AND($X179&gt;=160,$X179&lt;180),0.7,AND($X179&gt;210,$X179&lt;=230),0.7,AND($X179&gt;=140,$X179&lt;160),0.4,AND($X179&gt;230,$X179&lt;=250),0.4,TRUE,0.2),IFS(AND($X179&gt;=140,$X179&lt;=170),1,AND($X179&gt;=120,$X179&lt;140),0.7,AND($X179&gt;170,$X179&lt;=190),0.7,AND($X179&gt;=100,$X179&lt;120),0.4,AND($X179&gt;190,$X179&lt;=210),0.4,TRUE,0.2))))),1),""))</f>
        <v/>
      </c>
      <c r="Z179">
        <f>IF($A179="","",TEXTJOIN(", ",TRUE,IF($B179="","Тренировка",""),IF($C179="","Кардио",""),IF($D179="","Шаги",""),IF($E179="","Английский",""),IF($F179="","Код-режим",""),IF($G179="","Код-тема",""),IF($H179="","Чтение",""),IF($L179="","Сон",""),IF($M179="","Режим",""),IF($N179="","Продуктивность",""),IF($O179="","Настроение",""),IF($P179="","Энергия",""),IF($U179="","Еда","")))</f>
        <v/>
      </c>
    </row>
    <row r="180">
      <c r="A180" t="inlineStr"/>
      <c r="U180">
        <f>IF($A180="","",IF(SUMIF(FoodLog!$A:$A,$A180,FoodLog!$I:$I)=0,"",SUMIF(FoodLog!$A:$A,$A180,FoodLog!$I:$I)))</f>
        <v/>
      </c>
      <c r="V180">
        <f>IF($A180="","",IF(SUMIF(FoodLog!$A:$A,$A180,FoodLog!$F:$F)=0,"",SUMIF(FoodLog!$A:$A,$A180,FoodLog!$F:$F)))</f>
        <v/>
      </c>
      <c r="W180">
        <f>IF($A180="","",IF(SUMIF(FoodLog!$A:$A,$A180,FoodLog!$G:$G)=0,"",SUMIF(FoodLog!$A:$A,$A180,FoodLog!$G:$G)))</f>
        <v/>
      </c>
      <c r="X180">
        <f>IF($A180="","",IF(SUMIF(FoodLog!$A:$A,$A180,FoodLog!$H:$H)=0,"",SUMIF(FoodLog!$A:$A,$A180,FoodLog!$H:$H)))</f>
        <v/>
      </c>
      <c r="Y180">
        <f>IF($A180="","",IFERROR(ROUND(100*AVERAGE(IF($B180="","",XLOOKUP($B180,FILTER(Dictionaries!$B:$B,Dictionaries!$A:$A="Тренировка"),FILTER(Dictionaries!$C:$C,Dictionaries!$A:$A="Тренировка"))),IF($C180="","",MIN($C180/40,1)),IF($D180="","",XLOOKUP($D180,FILTER(Dictionaries!$B:$B,Dictionaries!$A:$A="Шаги"),FILTER(Dictionaries!$C:$C,Dictionaries!$A:$A="Шаги"))),IF($E180="","",MIN($E180/120,1)),IF(OR($F180&lt;&gt;"",$G180&lt;&gt;""),1,""),IF($H180="","",MIN($H180/100,1)),IF($L180="","",XLOOKUP($L180,FILTER(Dictionaries!$B:$B,Dictionaries!$A:$A="Сон_часы"),FILTER(Dictionaries!$C:$C,Dictionaries!$A:$A="Сон_часы"))),IF($M180="","",XLOOKUP($M180,FILTER(Dictionaries!$B:$B,Dictionaries!$A:$A="Режим"),FILTER(Dictionaries!$C:$C,Dictionaries!$A:$A="Режим"))),IF($N180="","",MIN($N180/100,1)),IF($O180="","",XLOOKUP($O180,FILTER(Dictionaries!$B:$B,Dictionaries!$A:$A="Настроение"),FILTER(Dictionaries!$C:$C,Dictionaries!$A:$A="Настроение"))),IF($P180="","",XLOOKUP($P180,FILTER(Dictionaries!$B:$B,Dictionaries!$A:$A="Энергия"),FILTER(Dictionaries!$C:$C,Dictionaries!$A:$A="Энергия"))),IF($U180="","",AVERAGE(IF(OR($B180="Ноги",$B180="Верх"),IFS(AND($U180&gt;=1900,$U180&lt;=2050),1,AND($U180&gt;=1850,$U180&lt;1900),0.7,AND($U180&gt;2050,$U180&lt;=2100),0.7,TRUE,0.2),IFS(AND($U180&gt;=1700,$U180&lt;=1850),1,AND($U180&gt;=1650,$U180&lt;1700),0.7,AND($U180&gt;1850,$U180&lt;=1900),0.7,TRUE,0.2)),IF(OR($B180="Ноги",$B180="Верх"),IFS(AND($V180&gt;=125,$V180&lt;=135),1,AND($V180&gt;=115,$V180&lt;125),0.7,AND($V180&gt;135,$V180&lt;=145),0.7,AND($V180&gt;=105,$V180&lt;115),0.4,AND($V180&gt;145,$V180&lt;=155),0.4,TRUE,0.2),IFS(AND($V180&gt;=120,$V180&lt;=130),1,AND($V180&gt;=110,$V180&lt;120),0.7,AND($V180&gt;130,$V180&lt;=140),0.7,AND($V180&gt;=100,$V180&lt;110),0.4,AND($V180&gt;140,$V180&lt;=150),0.4,TRUE,0.2)),IFS(AND($W180&gt;=55,$W180&lt;=65),1,AND($W180&gt;=50,$W180&lt;55),0.7,AND($W180&gt;65,$W180&lt;=70),0.7,AND($W180&gt;=45,$W180&lt;50),0.4,AND($W180&gt;70,$W180&lt;=75),0.4,TRUE,0.2),IF(OR($B180="Ноги",$B180="Верх"),IFS(AND($X180&gt;=180,$X180&lt;=210),1,AND($X180&gt;=160,$X180&lt;180),0.7,AND($X180&gt;210,$X180&lt;=230),0.7,AND($X180&gt;=140,$X180&lt;160),0.4,AND($X180&gt;230,$X180&lt;=250),0.4,TRUE,0.2),IFS(AND($X180&gt;=140,$X180&lt;=170),1,AND($X180&gt;=120,$X180&lt;140),0.7,AND($X180&gt;170,$X180&lt;=190),0.7,AND($X180&gt;=100,$X180&lt;120),0.4,AND($X180&gt;190,$X180&lt;=210),0.4,TRUE,0.2))))),1),""))</f>
        <v/>
      </c>
      <c r="Z180">
        <f>IF($A180="","",TEXTJOIN(", ",TRUE,IF($B180="","Тренировка",""),IF($C180="","Кардио",""),IF($D180="","Шаги",""),IF($E180="","Английский",""),IF($F180="","Код-режим",""),IF($G180="","Код-тема",""),IF($H180="","Чтение",""),IF($L180="","Сон",""),IF($M180="","Режим",""),IF($N180="","Продуктивность",""),IF($O180="","Настроение",""),IF($P180="","Энергия",""),IF($U180="","Еда","")))</f>
        <v/>
      </c>
    </row>
    <row r="181">
      <c r="A181" t="inlineStr"/>
      <c r="U181">
        <f>IF($A181="","",IF(SUMIF(FoodLog!$A:$A,$A181,FoodLog!$I:$I)=0,"",SUMIF(FoodLog!$A:$A,$A181,FoodLog!$I:$I)))</f>
        <v/>
      </c>
      <c r="V181">
        <f>IF($A181="","",IF(SUMIF(FoodLog!$A:$A,$A181,FoodLog!$F:$F)=0,"",SUMIF(FoodLog!$A:$A,$A181,FoodLog!$F:$F)))</f>
        <v/>
      </c>
      <c r="W181">
        <f>IF($A181="","",IF(SUMIF(FoodLog!$A:$A,$A181,FoodLog!$G:$G)=0,"",SUMIF(FoodLog!$A:$A,$A181,FoodLog!$G:$G)))</f>
        <v/>
      </c>
      <c r="X181">
        <f>IF($A181="","",IF(SUMIF(FoodLog!$A:$A,$A181,FoodLog!$H:$H)=0,"",SUMIF(FoodLog!$A:$A,$A181,FoodLog!$H:$H)))</f>
        <v/>
      </c>
      <c r="Y181">
        <f>IF($A181="","",IFERROR(ROUND(100*AVERAGE(IF($B181="","",XLOOKUP($B181,FILTER(Dictionaries!$B:$B,Dictionaries!$A:$A="Тренировка"),FILTER(Dictionaries!$C:$C,Dictionaries!$A:$A="Тренировка"))),IF($C181="","",MIN($C181/40,1)),IF($D181="","",XLOOKUP($D181,FILTER(Dictionaries!$B:$B,Dictionaries!$A:$A="Шаги"),FILTER(Dictionaries!$C:$C,Dictionaries!$A:$A="Шаги"))),IF($E181="","",MIN($E181/120,1)),IF(OR($F181&lt;&gt;"",$G181&lt;&gt;""),1,""),IF($H181="","",MIN($H181/100,1)),IF($L181="","",XLOOKUP($L181,FILTER(Dictionaries!$B:$B,Dictionaries!$A:$A="Сон_часы"),FILTER(Dictionaries!$C:$C,Dictionaries!$A:$A="Сон_часы"))),IF($M181="","",XLOOKUP($M181,FILTER(Dictionaries!$B:$B,Dictionaries!$A:$A="Режим"),FILTER(Dictionaries!$C:$C,Dictionaries!$A:$A="Режим"))),IF($N181="","",MIN($N181/100,1)),IF($O181="","",XLOOKUP($O181,FILTER(Dictionaries!$B:$B,Dictionaries!$A:$A="Настроение"),FILTER(Dictionaries!$C:$C,Dictionaries!$A:$A="Настроение"))),IF($P181="","",XLOOKUP($P181,FILTER(Dictionaries!$B:$B,Dictionaries!$A:$A="Энергия"),FILTER(Dictionaries!$C:$C,Dictionaries!$A:$A="Энергия"))),IF($U181="","",AVERAGE(IF(OR($B181="Ноги",$B181="Верх"),IFS(AND($U181&gt;=1900,$U181&lt;=2050),1,AND($U181&gt;=1850,$U181&lt;1900),0.7,AND($U181&gt;2050,$U181&lt;=2100),0.7,TRUE,0.2),IFS(AND($U181&gt;=1700,$U181&lt;=1850),1,AND($U181&gt;=1650,$U181&lt;1700),0.7,AND($U181&gt;1850,$U181&lt;=1900),0.7,TRUE,0.2)),IF(OR($B181="Ноги",$B181="Верх"),IFS(AND($V181&gt;=125,$V181&lt;=135),1,AND($V181&gt;=115,$V181&lt;125),0.7,AND($V181&gt;135,$V181&lt;=145),0.7,AND($V181&gt;=105,$V181&lt;115),0.4,AND($V181&gt;145,$V181&lt;=155),0.4,TRUE,0.2),IFS(AND($V181&gt;=120,$V181&lt;=130),1,AND($V181&gt;=110,$V181&lt;120),0.7,AND($V181&gt;130,$V181&lt;=140),0.7,AND($V181&gt;=100,$V181&lt;110),0.4,AND($V181&gt;140,$V181&lt;=150),0.4,TRUE,0.2)),IFS(AND($W181&gt;=55,$W181&lt;=65),1,AND($W181&gt;=50,$W181&lt;55),0.7,AND($W181&gt;65,$W181&lt;=70),0.7,AND($W181&gt;=45,$W181&lt;50),0.4,AND($W181&gt;70,$W181&lt;=75),0.4,TRUE,0.2),IF(OR($B181="Ноги",$B181="Верх"),IFS(AND($X181&gt;=180,$X181&lt;=210),1,AND($X181&gt;=160,$X181&lt;180),0.7,AND($X181&gt;210,$X181&lt;=230),0.7,AND($X181&gt;=140,$X181&lt;160),0.4,AND($X181&gt;230,$X181&lt;=250),0.4,TRUE,0.2),IFS(AND($X181&gt;=140,$X181&lt;=170),1,AND($X181&gt;=120,$X181&lt;140),0.7,AND($X181&gt;170,$X181&lt;=190),0.7,AND($X181&gt;=100,$X181&lt;120),0.4,AND($X181&gt;190,$X181&lt;=210),0.4,TRUE,0.2))))),1),""))</f>
        <v/>
      </c>
      <c r="Z181">
        <f>IF($A181="","",TEXTJOIN(", ",TRUE,IF($B181="","Тренировка",""),IF($C181="","Кардио",""),IF($D181="","Шаги",""),IF($E181="","Английский",""),IF($F181="","Код-режим",""),IF($G181="","Код-тема",""),IF($H181="","Чтение",""),IF($L181="","Сон",""),IF($M181="","Режим",""),IF($N181="","Продуктивность",""),IF($O181="","Настроение",""),IF($P181="","Энергия",""),IF($U181="","Еда","")))</f>
        <v/>
      </c>
    </row>
    <row r="182">
      <c r="A182" t="inlineStr"/>
      <c r="U182">
        <f>IF($A182="","",IF(SUMIF(FoodLog!$A:$A,$A182,FoodLog!$I:$I)=0,"",SUMIF(FoodLog!$A:$A,$A182,FoodLog!$I:$I)))</f>
        <v/>
      </c>
      <c r="V182">
        <f>IF($A182="","",IF(SUMIF(FoodLog!$A:$A,$A182,FoodLog!$F:$F)=0,"",SUMIF(FoodLog!$A:$A,$A182,FoodLog!$F:$F)))</f>
        <v/>
      </c>
      <c r="W182">
        <f>IF($A182="","",IF(SUMIF(FoodLog!$A:$A,$A182,FoodLog!$G:$G)=0,"",SUMIF(FoodLog!$A:$A,$A182,FoodLog!$G:$G)))</f>
        <v/>
      </c>
      <c r="X182">
        <f>IF($A182="","",IF(SUMIF(FoodLog!$A:$A,$A182,FoodLog!$H:$H)=0,"",SUMIF(FoodLog!$A:$A,$A182,FoodLog!$H:$H)))</f>
        <v/>
      </c>
      <c r="Y182">
        <f>IF($A182="","",IFERROR(ROUND(100*AVERAGE(IF($B182="","",XLOOKUP($B182,FILTER(Dictionaries!$B:$B,Dictionaries!$A:$A="Тренировка"),FILTER(Dictionaries!$C:$C,Dictionaries!$A:$A="Тренировка"))),IF($C182="","",MIN($C182/40,1)),IF($D182="","",XLOOKUP($D182,FILTER(Dictionaries!$B:$B,Dictionaries!$A:$A="Шаги"),FILTER(Dictionaries!$C:$C,Dictionaries!$A:$A="Шаги"))),IF($E182="","",MIN($E182/120,1)),IF(OR($F182&lt;&gt;"",$G182&lt;&gt;""),1,""),IF($H182="","",MIN($H182/100,1)),IF($L182="","",XLOOKUP($L182,FILTER(Dictionaries!$B:$B,Dictionaries!$A:$A="Сон_часы"),FILTER(Dictionaries!$C:$C,Dictionaries!$A:$A="Сон_часы"))),IF($M182="","",XLOOKUP($M182,FILTER(Dictionaries!$B:$B,Dictionaries!$A:$A="Режим"),FILTER(Dictionaries!$C:$C,Dictionaries!$A:$A="Режим"))),IF($N182="","",MIN($N182/100,1)),IF($O182="","",XLOOKUP($O182,FILTER(Dictionaries!$B:$B,Dictionaries!$A:$A="Настроение"),FILTER(Dictionaries!$C:$C,Dictionaries!$A:$A="Настроение"))),IF($P182="","",XLOOKUP($P182,FILTER(Dictionaries!$B:$B,Dictionaries!$A:$A="Энергия"),FILTER(Dictionaries!$C:$C,Dictionaries!$A:$A="Энергия"))),IF($U182="","",AVERAGE(IF(OR($B182="Ноги",$B182="Верх"),IFS(AND($U182&gt;=1900,$U182&lt;=2050),1,AND($U182&gt;=1850,$U182&lt;1900),0.7,AND($U182&gt;2050,$U182&lt;=2100),0.7,TRUE,0.2),IFS(AND($U182&gt;=1700,$U182&lt;=1850),1,AND($U182&gt;=1650,$U182&lt;1700),0.7,AND($U182&gt;1850,$U182&lt;=1900),0.7,TRUE,0.2)),IF(OR($B182="Ноги",$B182="Верх"),IFS(AND($V182&gt;=125,$V182&lt;=135),1,AND($V182&gt;=115,$V182&lt;125),0.7,AND($V182&gt;135,$V182&lt;=145),0.7,AND($V182&gt;=105,$V182&lt;115),0.4,AND($V182&gt;145,$V182&lt;=155),0.4,TRUE,0.2),IFS(AND($V182&gt;=120,$V182&lt;=130),1,AND($V182&gt;=110,$V182&lt;120),0.7,AND($V182&gt;130,$V182&lt;=140),0.7,AND($V182&gt;=100,$V182&lt;110),0.4,AND($V182&gt;140,$V182&lt;=150),0.4,TRUE,0.2)),IFS(AND($W182&gt;=55,$W182&lt;=65),1,AND($W182&gt;=50,$W182&lt;55),0.7,AND($W182&gt;65,$W182&lt;=70),0.7,AND($W182&gt;=45,$W182&lt;50),0.4,AND($W182&gt;70,$W182&lt;=75),0.4,TRUE,0.2),IF(OR($B182="Ноги",$B182="Верх"),IFS(AND($X182&gt;=180,$X182&lt;=210),1,AND($X182&gt;=160,$X182&lt;180),0.7,AND($X182&gt;210,$X182&lt;=230),0.7,AND($X182&gt;=140,$X182&lt;160),0.4,AND($X182&gt;230,$X182&lt;=250),0.4,TRUE,0.2),IFS(AND($X182&gt;=140,$X182&lt;=170),1,AND($X182&gt;=120,$X182&lt;140),0.7,AND($X182&gt;170,$X182&lt;=190),0.7,AND($X182&gt;=100,$X182&lt;120),0.4,AND($X182&gt;190,$X182&lt;=210),0.4,TRUE,0.2))))),1),""))</f>
        <v/>
      </c>
      <c r="Z182">
        <f>IF($A182="","",TEXTJOIN(", ",TRUE,IF($B182="","Тренировка",""),IF($C182="","Кардио",""),IF($D182="","Шаги",""),IF($E182="","Английский",""),IF($F182="","Код-режим",""),IF($G182="","Код-тема",""),IF($H182="","Чтение",""),IF($L182="","Сон",""),IF($M182="","Режим",""),IF($N182="","Продуктивность",""),IF($O182="","Настроение",""),IF($P182="","Энергия",""),IF($U182="","Еда","")))</f>
        <v/>
      </c>
    </row>
    <row r="183">
      <c r="A183" t="inlineStr"/>
      <c r="U183">
        <f>IF($A183="","",IF(SUMIF(FoodLog!$A:$A,$A183,FoodLog!$I:$I)=0,"",SUMIF(FoodLog!$A:$A,$A183,FoodLog!$I:$I)))</f>
        <v/>
      </c>
      <c r="V183">
        <f>IF($A183="","",IF(SUMIF(FoodLog!$A:$A,$A183,FoodLog!$F:$F)=0,"",SUMIF(FoodLog!$A:$A,$A183,FoodLog!$F:$F)))</f>
        <v/>
      </c>
      <c r="W183">
        <f>IF($A183="","",IF(SUMIF(FoodLog!$A:$A,$A183,FoodLog!$G:$G)=0,"",SUMIF(FoodLog!$A:$A,$A183,FoodLog!$G:$G)))</f>
        <v/>
      </c>
      <c r="X183">
        <f>IF($A183="","",IF(SUMIF(FoodLog!$A:$A,$A183,FoodLog!$H:$H)=0,"",SUMIF(FoodLog!$A:$A,$A183,FoodLog!$H:$H)))</f>
        <v/>
      </c>
      <c r="Y183">
        <f>IF($A183="","",IFERROR(ROUND(100*AVERAGE(IF($B183="","",XLOOKUP($B183,FILTER(Dictionaries!$B:$B,Dictionaries!$A:$A="Тренировка"),FILTER(Dictionaries!$C:$C,Dictionaries!$A:$A="Тренировка"))),IF($C183="","",MIN($C183/40,1)),IF($D183="","",XLOOKUP($D183,FILTER(Dictionaries!$B:$B,Dictionaries!$A:$A="Шаги"),FILTER(Dictionaries!$C:$C,Dictionaries!$A:$A="Шаги"))),IF($E183="","",MIN($E183/120,1)),IF(OR($F183&lt;&gt;"",$G183&lt;&gt;""),1,""),IF($H183="","",MIN($H183/100,1)),IF($L183="","",XLOOKUP($L183,FILTER(Dictionaries!$B:$B,Dictionaries!$A:$A="Сон_часы"),FILTER(Dictionaries!$C:$C,Dictionaries!$A:$A="Сон_часы"))),IF($M183="","",XLOOKUP($M183,FILTER(Dictionaries!$B:$B,Dictionaries!$A:$A="Режим"),FILTER(Dictionaries!$C:$C,Dictionaries!$A:$A="Режим"))),IF($N183="","",MIN($N183/100,1)),IF($O183="","",XLOOKUP($O183,FILTER(Dictionaries!$B:$B,Dictionaries!$A:$A="Настроение"),FILTER(Dictionaries!$C:$C,Dictionaries!$A:$A="Настроение"))),IF($P183="","",XLOOKUP($P183,FILTER(Dictionaries!$B:$B,Dictionaries!$A:$A="Энергия"),FILTER(Dictionaries!$C:$C,Dictionaries!$A:$A="Энергия"))),IF($U183="","",AVERAGE(IF(OR($B183="Ноги",$B183="Верх"),IFS(AND($U183&gt;=1900,$U183&lt;=2050),1,AND($U183&gt;=1850,$U183&lt;1900),0.7,AND($U183&gt;2050,$U183&lt;=2100),0.7,TRUE,0.2),IFS(AND($U183&gt;=1700,$U183&lt;=1850),1,AND($U183&gt;=1650,$U183&lt;1700),0.7,AND($U183&gt;1850,$U183&lt;=1900),0.7,TRUE,0.2)),IF(OR($B183="Ноги",$B183="Верх"),IFS(AND($V183&gt;=125,$V183&lt;=135),1,AND($V183&gt;=115,$V183&lt;125),0.7,AND($V183&gt;135,$V183&lt;=145),0.7,AND($V183&gt;=105,$V183&lt;115),0.4,AND($V183&gt;145,$V183&lt;=155),0.4,TRUE,0.2),IFS(AND($V183&gt;=120,$V183&lt;=130),1,AND($V183&gt;=110,$V183&lt;120),0.7,AND($V183&gt;130,$V183&lt;=140),0.7,AND($V183&gt;=100,$V183&lt;110),0.4,AND($V183&gt;140,$V183&lt;=150),0.4,TRUE,0.2)),IFS(AND($W183&gt;=55,$W183&lt;=65),1,AND($W183&gt;=50,$W183&lt;55),0.7,AND($W183&gt;65,$W183&lt;=70),0.7,AND($W183&gt;=45,$W183&lt;50),0.4,AND($W183&gt;70,$W183&lt;=75),0.4,TRUE,0.2),IF(OR($B183="Ноги",$B183="Верх"),IFS(AND($X183&gt;=180,$X183&lt;=210),1,AND($X183&gt;=160,$X183&lt;180),0.7,AND($X183&gt;210,$X183&lt;=230),0.7,AND($X183&gt;=140,$X183&lt;160),0.4,AND($X183&gt;230,$X183&lt;=250),0.4,TRUE,0.2),IFS(AND($X183&gt;=140,$X183&lt;=170),1,AND($X183&gt;=120,$X183&lt;140),0.7,AND($X183&gt;170,$X183&lt;=190),0.7,AND($X183&gt;=100,$X183&lt;120),0.4,AND($X183&gt;190,$X183&lt;=210),0.4,TRUE,0.2))))),1),""))</f>
        <v/>
      </c>
      <c r="Z183">
        <f>IF($A183="","",TEXTJOIN(", ",TRUE,IF($B183="","Тренировка",""),IF($C183="","Кардио",""),IF($D183="","Шаги",""),IF($E183="","Английский",""),IF($F183="","Код-режим",""),IF($G183="","Код-тема",""),IF($H183="","Чтение",""),IF($L183="","Сон",""),IF($M183="","Режим",""),IF($N183="","Продуктивность",""),IF($O183="","Настроение",""),IF($P183="","Энергия",""),IF($U183="","Еда","")))</f>
        <v/>
      </c>
    </row>
    <row r="184">
      <c r="A184" t="inlineStr"/>
      <c r="U184">
        <f>IF($A184="","",IF(SUMIF(FoodLog!$A:$A,$A184,FoodLog!$I:$I)=0,"",SUMIF(FoodLog!$A:$A,$A184,FoodLog!$I:$I)))</f>
        <v/>
      </c>
      <c r="V184">
        <f>IF($A184="","",IF(SUMIF(FoodLog!$A:$A,$A184,FoodLog!$F:$F)=0,"",SUMIF(FoodLog!$A:$A,$A184,FoodLog!$F:$F)))</f>
        <v/>
      </c>
      <c r="W184">
        <f>IF($A184="","",IF(SUMIF(FoodLog!$A:$A,$A184,FoodLog!$G:$G)=0,"",SUMIF(FoodLog!$A:$A,$A184,FoodLog!$G:$G)))</f>
        <v/>
      </c>
      <c r="X184">
        <f>IF($A184="","",IF(SUMIF(FoodLog!$A:$A,$A184,FoodLog!$H:$H)=0,"",SUMIF(FoodLog!$A:$A,$A184,FoodLog!$H:$H)))</f>
        <v/>
      </c>
      <c r="Y184">
        <f>IF($A184="","",IFERROR(ROUND(100*AVERAGE(IF($B184="","",XLOOKUP($B184,FILTER(Dictionaries!$B:$B,Dictionaries!$A:$A="Тренировка"),FILTER(Dictionaries!$C:$C,Dictionaries!$A:$A="Тренировка"))),IF($C184="","",MIN($C184/40,1)),IF($D184="","",XLOOKUP($D184,FILTER(Dictionaries!$B:$B,Dictionaries!$A:$A="Шаги"),FILTER(Dictionaries!$C:$C,Dictionaries!$A:$A="Шаги"))),IF($E184="","",MIN($E184/120,1)),IF(OR($F184&lt;&gt;"",$G184&lt;&gt;""),1,""),IF($H184="","",MIN($H184/100,1)),IF($L184="","",XLOOKUP($L184,FILTER(Dictionaries!$B:$B,Dictionaries!$A:$A="Сон_часы"),FILTER(Dictionaries!$C:$C,Dictionaries!$A:$A="Сон_часы"))),IF($M184="","",XLOOKUP($M184,FILTER(Dictionaries!$B:$B,Dictionaries!$A:$A="Режим"),FILTER(Dictionaries!$C:$C,Dictionaries!$A:$A="Режим"))),IF($N184="","",MIN($N184/100,1)),IF($O184="","",XLOOKUP($O184,FILTER(Dictionaries!$B:$B,Dictionaries!$A:$A="Настроение"),FILTER(Dictionaries!$C:$C,Dictionaries!$A:$A="Настроение"))),IF($P184="","",XLOOKUP($P184,FILTER(Dictionaries!$B:$B,Dictionaries!$A:$A="Энергия"),FILTER(Dictionaries!$C:$C,Dictionaries!$A:$A="Энергия"))),IF($U184="","",AVERAGE(IF(OR($B184="Ноги",$B184="Верх"),IFS(AND($U184&gt;=1900,$U184&lt;=2050),1,AND($U184&gt;=1850,$U184&lt;1900),0.7,AND($U184&gt;2050,$U184&lt;=2100),0.7,TRUE,0.2),IFS(AND($U184&gt;=1700,$U184&lt;=1850),1,AND($U184&gt;=1650,$U184&lt;1700),0.7,AND($U184&gt;1850,$U184&lt;=1900),0.7,TRUE,0.2)),IF(OR($B184="Ноги",$B184="Верх"),IFS(AND($V184&gt;=125,$V184&lt;=135),1,AND($V184&gt;=115,$V184&lt;125),0.7,AND($V184&gt;135,$V184&lt;=145),0.7,AND($V184&gt;=105,$V184&lt;115),0.4,AND($V184&gt;145,$V184&lt;=155),0.4,TRUE,0.2),IFS(AND($V184&gt;=120,$V184&lt;=130),1,AND($V184&gt;=110,$V184&lt;120),0.7,AND($V184&gt;130,$V184&lt;=140),0.7,AND($V184&gt;=100,$V184&lt;110),0.4,AND($V184&gt;140,$V184&lt;=150),0.4,TRUE,0.2)),IFS(AND($W184&gt;=55,$W184&lt;=65),1,AND($W184&gt;=50,$W184&lt;55),0.7,AND($W184&gt;65,$W184&lt;=70),0.7,AND($W184&gt;=45,$W184&lt;50),0.4,AND($W184&gt;70,$W184&lt;=75),0.4,TRUE,0.2),IF(OR($B184="Ноги",$B184="Верх"),IFS(AND($X184&gt;=180,$X184&lt;=210),1,AND($X184&gt;=160,$X184&lt;180),0.7,AND($X184&gt;210,$X184&lt;=230),0.7,AND($X184&gt;=140,$X184&lt;160),0.4,AND($X184&gt;230,$X184&lt;=250),0.4,TRUE,0.2),IFS(AND($X184&gt;=140,$X184&lt;=170),1,AND($X184&gt;=120,$X184&lt;140),0.7,AND($X184&gt;170,$X184&lt;=190),0.7,AND($X184&gt;=100,$X184&lt;120),0.4,AND($X184&gt;190,$X184&lt;=210),0.4,TRUE,0.2))))),1),""))</f>
        <v/>
      </c>
      <c r="Z184">
        <f>IF($A184="","",TEXTJOIN(", ",TRUE,IF($B184="","Тренировка",""),IF($C184="","Кардио",""),IF($D184="","Шаги",""),IF($E184="","Английский",""),IF($F184="","Код-режим",""),IF($G184="","Код-тема",""),IF($H184="","Чтение",""),IF($L184="","Сон",""),IF($M184="","Режим",""),IF($N184="","Продуктивность",""),IF($O184="","Настроение",""),IF($P184="","Энергия",""),IF($U184="","Еда","")))</f>
        <v/>
      </c>
    </row>
    <row r="185">
      <c r="A185" t="inlineStr"/>
      <c r="U185">
        <f>IF($A185="","",IF(SUMIF(FoodLog!$A:$A,$A185,FoodLog!$I:$I)=0,"",SUMIF(FoodLog!$A:$A,$A185,FoodLog!$I:$I)))</f>
        <v/>
      </c>
      <c r="V185">
        <f>IF($A185="","",IF(SUMIF(FoodLog!$A:$A,$A185,FoodLog!$F:$F)=0,"",SUMIF(FoodLog!$A:$A,$A185,FoodLog!$F:$F)))</f>
        <v/>
      </c>
      <c r="W185">
        <f>IF($A185="","",IF(SUMIF(FoodLog!$A:$A,$A185,FoodLog!$G:$G)=0,"",SUMIF(FoodLog!$A:$A,$A185,FoodLog!$G:$G)))</f>
        <v/>
      </c>
      <c r="X185">
        <f>IF($A185="","",IF(SUMIF(FoodLog!$A:$A,$A185,FoodLog!$H:$H)=0,"",SUMIF(FoodLog!$A:$A,$A185,FoodLog!$H:$H)))</f>
        <v/>
      </c>
      <c r="Y185">
        <f>IF($A185="","",IFERROR(ROUND(100*AVERAGE(IF($B185="","",XLOOKUP($B185,FILTER(Dictionaries!$B:$B,Dictionaries!$A:$A="Тренировка"),FILTER(Dictionaries!$C:$C,Dictionaries!$A:$A="Тренировка"))),IF($C185="","",MIN($C185/40,1)),IF($D185="","",XLOOKUP($D185,FILTER(Dictionaries!$B:$B,Dictionaries!$A:$A="Шаги"),FILTER(Dictionaries!$C:$C,Dictionaries!$A:$A="Шаги"))),IF($E185="","",MIN($E185/120,1)),IF(OR($F185&lt;&gt;"",$G185&lt;&gt;""),1,""),IF($H185="","",MIN($H185/100,1)),IF($L185="","",XLOOKUP($L185,FILTER(Dictionaries!$B:$B,Dictionaries!$A:$A="Сон_часы"),FILTER(Dictionaries!$C:$C,Dictionaries!$A:$A="Сон_часы"))),IF($M185="","",XLOOKUP($M185,FILTER(Dictionaries!$B:$B,Dictionaries!$A:$A="Режим"),FILTER(Dictionaries!$C:$C,Dictionaries!$A:$A="Режим"))),IF($N185="","",MIN($N185/100,1)),IF($O185="","",XLOOKUP($O185,FILTER(Dictionaries!$B:$B,Dictionaries!$A:$A="Настроение"),FILTER(Dictionaries!$C:$C,Dictionaries!$A:$A="Настроение"))),IF($P185="","",XLOOKUP($P185,FILTER(Dictionaries!$B:$B,Dictionaries!$A:$A="Энергия"),FILTER(Dictionaries!$C:$C,Dictionaries!$A:$A="Энергия"))),IF($U185="","",AVERAGE(IF(OR($B185="Ноги",$B185="Верх"),IFS(AND($U185&gt;=1900,$U185&lt;=2050),1,AND($U185&gt;=1850,$U185&lt;1900),0.7,AND($U185&gt;2050,$U185&lt;=2100),0.7,TRUE,0.2),IFS(AND($U185&gt;=1700,$U185&lt;=1850),1,AND($U185&gt;=1650,$U185&lt;1700),0.7,AND($U185&gt;1850,$U185&lt;=1900),0.7,TRUE,0.2)),IF(OR($B185="Ноги",$B185="Верх"),IFS(AND($V185&gt;=125,$V185&lt;=135),1,AND($V185&gt;=115,$V185&lt;125),0.7,AND($V185&gt;135,$V185&lt;=145),0.7,AND($V185&gt;=105,$V185&lt;115),0.4,AND($V185&gt;145,$V185&lt;=155),0.4,TRUE,0.2),IFS(AND($V185&gt;=120,$V185&lt;=130),1,AND($V185&gt;=110,$V185&lt;120),0.7,AND($V185&gt;130,$V185&lt;=140),0.7,AND($V185&gt;=100,$V185&lt;110),0.4,AND($V185&gt;140,$V185&lt;=150),0.4,TRUE,0.2)),IFS(AND($W185&gt;=55,$W185&lt;=65),1,AND($W185&gt;=50,$W185&lt;55),0.7,AND($W185&gt;65,$W185&lt;=70),0.7,AND($W185&gt;=45,$W185&lt;50),0.4,AND($W185&gt;70,$W185&lt;=75),0.4,TRUE,0.2),IF(OR($B185="Ноги",$B185="Верх"),IFS(AND($X185&gt;=180,$X185&lt;=210),1,AND($X185&gt;=160,$X185&lt;180),0.7,AND($X185&gt;210,$X185&lt;=230),0.7,AND($X185&gt;=140,$X185&lt;160),0.4,AND($X185&gt;230,$X185&lt;=250),0.4,TRUE,0.2),IFS(AND($X185&gt;=140,$X185&lt;=170),1,AND($X185&gt;=120,$X185&lt;140),0.7,AND($X185&gt;170,$X185&lt;=190),0.7,AND($X185&gt;=100,$X185&lt;120),0.4,AND($X185&gt;190,$X185&lt;=210),0.4,TRUE,0.2))))),1),""))</f>
        <v/>
      </c>
      <c r="Z185">
        <f>IF($A185="","",TEXTJOIN(", ",TRUE,IF($B185="","Тренировка",""),IF($C185="","Кардио",""),IF($D185="","Шаги",""),IF($E185="","Английский",""),IF($F185="","Код-режим",""),IF($G185="","Код-тема",""),IF($H185="","Чтение",""),IF($L185="","Сон",""),IF($M185="","Режим",""),IF($N185="","Продуктивность",""),IF($O185="","Настроение",""),IF($P185="","Энергия",""),IF($U185="","Еда","")))</f>
        <v/>
      </c>
    </row>
    <row r="186">
      <c r="A186" t="inlineStr"/>
      <c r="U186">
        <f>IF($A186="","",IF(SUMIF(FoodLog!$A:$A,$A186,FoodLog!$I:$I)=0,"",SUMIF(FoodLog!$A:$A,$A186,FoodLog!$I:$I)))</f>
        <v/>
      </c>
      <c r="V186">
        <f>IF($A186="","",IF(SUMIF(FoodLog!$A:$A,$A186,FoodLog!$F:$F)=0,"",SUMIF(FoodLog!$A:$A,$A186,FoodLog!$F:$F)))</f>
        <v/>
      </c>
      <c r="W186">
        <f>IF($A186="","",IF(SUMIF(FoodLog!$A:$A,$A186,FoodLog!$G:$G)=0,"",SUMIF(FoodLog!$A:$A,$A186,FoodLog!$G:$G)))</f>
        <v/>
      </c>
      <c r="X186">
        <f>IF($A186="","",IF(SUMIF(FoodLog!$A:$A,$A186,FoodLog!$H:$H)=0,"",SUMIF(FoodLog!$A:$A,$A186,FoodLog!$H:$H)))</f>
        <v/>
      </c>
      <c r="Y186">
        <f>IF($A186="","",IFERROR(ROUND(100*AVERAGE(IF($B186="","",XLOOKUP($B186,FILTER(Dictionaries!$B:$B,Dictionaries!$A:$A="Тренировка"),FILTER(Dictionaries!$C:$C,Dictionaries!$A:$A="Тренировка"))),IF($C186="","",MIN($C186/40,1)),IF($D186="","",XLOOKUP($D186,FILTER(Dictionaries!$B:$B,Dictionaries!$A:$A="Шаги"),FILTER(Dictionaries!$C:$C,Dictionaries!$A:$A="Шаги"))),IF($E186="","",MIN($E186/120,1)),IF(OR($F186&lt;&gt;"",$G186&lt;&gt;""),1,""),IF($H186="","",MIN($H186/100,1)),IF($L186="","",XLOOKUP($L186,FILTER(Dictionaries!$B:$B,Dictionaries!$A:$A="Сон_часы"),FILTER(Dictionaries!$C:$C,Dictionaries!$A:$A="Сон_часы"))),IF($M186="","",XLOOKUP($M186,FILTER(Dictionaries!$B:$B,Dictionaries!$A:$A="Режим"),FILTER(Dictionaries!$C:$C,Dictionaries!$A:$A="Режим"))),IF($N186="","",MIN($N186/100,1)),IF($O186="","",XLOOKUP($O186,FILTER(Dictionaries!$B:$B,Dictionaries!$A:$A="Настроение"),FILTER(Dictionaries!$C:$C,Dictionaries!$A:$A="Настроение"))),IF($P186="","",XLOOKUP($P186,FILTER(Dictionaries!$B:$B,Dictionaries!$A:$A="Энергия"),FILTER(Dictionaries!$C:$C,Dictionaries!$A:$A="Энергия"))),IF($U186="","",AVERAGE(IF(OR($B186="Ноги",$B186="Верх"),IFS(AND($U186&gt;=1900,$U186&lt;=2050),1,AND($U186&gt;=1850,$U186&lt;1900),0.7,AND($U186&gt;2050,$U186&lt;=2100),0.7,TRUE,0.2),IFS(AND($U186&gt;=1700,$U186&lt;=1850),1,AND($U186&gt;=1650,$U186&lt;1700),0.7,AND($U186&gt;1850,$U186&lt;=1900),0.7,TRUE,0.2)),IF(OR($B186="Ноги",$B186="Верх"),IFS(AND($V186&gt;=125,$V186&lt;=135),1,AND($V186&gt;=115,$V186&lt;125),0.7,AND($V186&gt;135,$V186&lt;=145),0.7,AND($V186&gt;=105,$V186&lt;115),0.4,AND($V186&gt;145,$V186&lt;=155),0.4,TRUE,0.2),IFS(AND($V186&gt;=120,$V186&lt;=130),1,AND($V186&gt;=110,$V186&lt;120),0.7,AND($V186&gt;130,$V186&lt;=140),0.7,AND($V186&gt;=100,$V186&lt;110),0.4,AND($V186&gt;140,$V186&lt;=150),0.4,TRUE,0.2)),IFS(AND($W186&gt;=55,$W186&lt;=65),1,AND($W186&gt;=50,$W186&lt;55),0.7,AND($W186&gt;65,$W186&lt;=70),0.7,AND($W186&gt;=45,$W186&lt;50),0.4,AND($W186&gt;70,$W186&lt;=75),0.4,TRUE,0.2),IF(OR($B186="Ноги",$B186="Верх"),IFS(AND($X186&gt;=180,$X186&lt;=210),1,AND($X186&gt;=160,$X186&lt;180),0.7,AND($X186&gt;210,$X186&lt;=230),0.7,AND($X186&gt;=140,$X186&lt;160),0.4,AND($X186&gt;230,$X186&lt;=250),0.4,TRUE,0.2),IFS(AND($X186&gt;=140,$X186&lt;=170),1,AND($X186&gt;=120,$X186&lt;140),0.7,AND($X186&gt;170,$X186&lt;=190),0.7,AND($X186&gt;=100,$X186&lt;120),0.4,AND($X186&gt;190,$X186&lt;=210),0.4,TRUE,0.2))))),1),""))</f>
        <v/>
      </c>
      <c r="Z186">
        <f>IF($A186="","",TEXTJOIN(", ",TRUE,IF($B186="","Тренировка",""),IF($C186="","Кардио",""),IF($D186="","Шаги",""),IF($E186="","Английский",""),IF($F186="","Код-режим",""),IF($G186="","Код-тема",""),IF($H186="","Чтение",""),IF($L186="","Сон",""),IF($M186="","Режим",""),IF($N186="","Продуктивность",""),IF($O186="","Настроение",""),IF($P186="","Энергия",""),IF($U186="","Еда","")))</f>
        <v/>
      </c>
    </row>
    <row r="187">
      <c r="A187" t="inlineStr"/>
      <c r="U187">
        <f>IF($A187="","",IF(SUMIF(FoodLog!$A:$A,$A187,FoodLog!$I:$I)=0,"",SUMIF(FoodLog!$A:$A,$A187,FoodLog!$I:$I)))</f>
        <v/>
      </c>
      <c r="V187">
        <f>IF($A187="","",IF(SUMIF(FoodLog!$A:$A,$A187,FoodLog!$F:$F)=0,"",SUMIF(FoodLog!$A:$A,$A187,FoodLog!$F:$F)))</f>
        <v/>
      </c>
      <c r="W187">
        <f>IF($A187="","",IF(SUMIF(FoodLog!$A:$A,$A187,FoodLog!$G:$G)=0,"",SUMIF(FoodLog!$A:$A,$A187,FoodLog!$G:$G)))</f>
        <v/>
      </c>
      <c r="X187">
        <f>IF($A187="","",IF(SUMIF(FoodLog!$A:$A,$A187,FoodLog!$H:$H)=0,"",SUMIF(FoodLog!$A:$A,$A187,FoodLog!$H:$H)))</f>
        <v/>
      </c>
      <c r="Y187">
        <f>IF($A187="","",IFERROR(ROUND(100*AVERAGE(IF($B187="","",XLOOKUP($B187,FILTER(Dictionaries!$B:$B,Dictionaries!$A:$A="Тренировка"),FILTER(Dictionaries!$C:$C,Dictionaries!$A:$A="Тренировка"))),IF($C187="","",MIN($C187/40,1)),IF($D187="","",XLOOKUP($D187,FILTER(Dictionaries!$B:$B,Dictionaries!$A:$A="Шаги"),FILTER(Dictionaries!$C:$C,Dictionaries!$A:$A="Шаги"))),IF($E187="","",MIN($E187/120,1)),IF(OR($F187&lt;&gt;"",$G187&lt;&gt;""),1,""),IF($H187="","",MIN($H187/100,1)),IF($L187="","",XLOOKUP($L187,FILTER(Dictionaries!$B:$B,Dictionaries!$A:$A="Сон_часы"),FILTER(Dictionaries!$C:$C,Dictionaries!$A:$A="Сон_часы"))),IF($M187="","",XLOOKUP($M187,FILTER(Dictionaries!$B:$B,Dictionaries!$A:$A="Режим"),FILTER(Dictionaries!$C:$C,Dictionaries!$A:$A="Режим"))),IF($N187="","",MIN($N187/100,1)),IF($O187="","",XLOOKUP($O187,FILTER(Dictionaries!$B:$B,Dictionaries!$A:$A="Настроение"),FILTER(Dictionaries!$C:$C,Dictionaries!$A:$A="Настроение"))),IF($P187="","",XLOOKUP($P187,FILTER(Dictionaries!$B:$B,Dictionaries!$A:$A="Энергия"),FILTER(Dictionaries!$C:$C,Dictionaries!$A:$A="Энергия"))),IF($U187="","",AVERAGE(IF(OR($B187="Ноги",$B187="Верх"),IFS(AND($U187&gt;=1900,$U187&lt;=2050),1,AND($U187&gt;=1850,$U187&lt;1900),0.7,AND($U187&gt;2050,$U187&lt;=2100),0.7,TRUE,0.2),IFS(AND($U187&gt;=1700,$U187&lt;=1850),1,AND($U187&gt;=1650,$U187&lt;1700),0.7,AND($U187&gt;1850,$U187&lt;=1900),0.7,TRUE,0.2)),IF(OR($B187="Ноги",$B187="Верх"),IFS(AND($V187&gt;=125,$V187&lt;=135),1,AND($V187&gt;=115,$V187&lt;125),0.7,AND($V187&gt;135,$V187&lt;=145),0.7,AND($V187&gt;=105,$V187&lt;115),0.4,AND($V187&gt;145,$V187&lt;=155),0.4,TRUE,0.2),IFS(AND($V187&gt;=120,$V187&lt;=130),1,AND($V187&gt;=110,$V187&lt;120),0.7,AND($V187&gt;130,$V187&lt;=140),0.7,AND($V187&gt;=100,$V187&lt;110),0.4,AND($V187&gt;140,$V187&lt;=150),0.4,TRUE,0.2)),IFS(AND($W187&gt;=55,$W187&lt;=65),1,AND($W187&gt;=50,$W187&lt;55),0.7,AND($W187&gt;65,$W187&lt;=70),0.7,AND($W187&gt;=45,$W187&lt;50),0.4,AND($W187&gt;70,$W187&lt;=75),0.4,TRUE,0.2),IF(OR($B187="Ноги",$B187="Верх"),IFS(AND($X187&gt;=180,$X187&lt;=210),1,AND($X187&gt;=160,$X187&lt;180),0.7,AND($X187&gt;210,$X187&lt;=230),0.7,AND($X187&gt;=140,$X187&lt;160),0.4,AND($X187&gt;230,$X187&lt;=250),0.4,TRUE,0.2),IFS(AND($X187&gt;=140,$X187&lt;=170),1,AND($X187&gt;=120,$X187&lt;140),0.7,AND($X187&gt;170,$X187&lt;=190),0.7,AND($X187&gt;=100,$X187&lt;120),0.4,AND($X187&gt;190,$X187&lt;=210),0.4,TRUE,0.2))))),1),""))</f>
        <v/>
      </c>
      <c r="Z187">
        <f>IF($A187="","",TEXTJOIN(", ",TRUE,IF($B187="","Тренировка",""),IF($C187="","Кардио",""),IF($D187="","Шаги",""),IF($E187="","Английский",""),IF($F187="","Код-режим",""),IF($G187="","Код-тема",""),IF($H187="","Чтение",""),IF($L187="","Сон",""),IF($M187="","Режим",""),IF($N187="","Продуктивность",""),IF($O187="","Настроение",""),IF($P187="","Энергия",""),IF($U187="","Еда","")))</f>
        <v/>
      </c>
    </row>
    <row r="188">
      <c r="A188" t="inlineStr"/>
      <c r="U188">
        <f>IF($A188="","",IF(SUMIF(FoodLog!$A:$A,$A188,FoodLog!$I:$I)=0,"",SUMIF(FoodLog!$A:$A,$A188,FoodLog!$I:$I)))</f>
        <v/>
      </c>
      <c r="V188">
        <f>IF($A188="","",IF(SUMIF(FoodLog!$A:$A,$A188,FoodLog!$F:$F)=0,"",SUMIF(FoodLog!$A:$A,$A188,FoodLog!$F:$F)))</f>
        <v/>
      </c>
      <c r="W188">
        <f>IF($A188="","",IF(SUMIF(FoodLog!$A:$A,$A188,FoodLog!$G:$G)=0,"",SUMIF(FoodLog!$A:$A,$A188,FoodLog!$G:$G)))</f>
        <v/>
      </c>
      <c r="X188">
        <f>IF($A188="","",IF(SUMIF(FoodLog!$A:$A,$A188,FoodLog!$H:$H)=0,"",SUMIF(FoodLog!$A:$A,$A188,FoodLog!$H:$H)))</f>
        <v/>
      </c>
      <c r="Y188">
        <f>IF($A188="","",IFERROR(ROUND(100*AVERAGE(IF($B188="","",XLOOKUP($B188,FILTER(Dictionaries!$B:$B,Dictionaries!$A:$A="Тренировка"),FILTER(Dictionaries!$C:$C,Dictionaries!$A:$A="Тренировка"))),IF($C188="","",MIN($C188/40,1)),IF($D188="","",XLOOKUP($D188,FILTER(Dictionaries!$B:$B,Dictionaries!$A:$A="Шаги"),FILTER(Dictionaries!$C:$C,Dictionaries!$A:$A="Шаги"))),IF($E188="","",MIN($E188/120,1)),IF(OR($F188&lt;&gt;"",$G188&lt;&gt;""),1,""),IF($H188="","",MIN($H188/100,1)),IF($L188="","",XLOOKUP($L188,FILTER(Dictionaries!$B:$B,Dictionaries!$A:$A="Сон_часы"),FILTER(Dictionaries!$C:$C,Dictionaries!$A:$A="Сон_часы"))),IF($M188="","",XLOOKUP($M188,FILTER(Dictionaries!$B:$B,Dictionaries!$A:$A="Режим"),FILTER(Dictionaries!$C:$C,Dictionaries!$A:$A="Режим"))),IF($N188="","",MIN($N188/100,1)),IF($O188="","",XLOOKUP($O188,FILTER(Dictionaries!$B:$B,Dictionaries!$A:$A="Настроение"),FILTER(Dictionaries!$C:$C,Dictionaries!$A:$A="Настроение"))),IF($P188="","",XLOOKUP($P188,FILTER(Dictionaries!$B:$B,Dictionaries!$A:$A="Энергия"),FILTER(Dictionaries!$C:$C,Dictionaries!$A:$A="Энергия"))),IF($U188="","",AVERAGE(IF(OR($B188="Ноги",$B188="Верх"),IFS(AND($U188&gt;=1900,$U188&lt;=2050),1,AND($U188&gt;=1850,$U188&lt;1900),0.7,AND($U188&gt;2050,$U188&lt;=2100),0.7,TRUE,0.2),IFS(AND($U188&gt;=1700,$U188&lt;=1850),1,AND($U188&gt;=1650,$U188&lt;1700),0.7,AND($U188&gt;1850,$U188&lt;=1900),0.7,TRUE,0.2)),IF(OR($B188="Ноги",$B188="Верх"),IFS(AND($V188&gt;=125,$V188&lt;=135),1,AND($V188&gt;=115,$V188&lt;125),0.7,AND($V188&gt;135,$V188&lt;=145),0.7,AND($V188&gt;=105,$V188&lt;115),0.4,AND($V188&gt;145,$V188&lt;=155),0.4,TRUE,0.2),IFS(AND($V188&gt;=120,$V188&lt;=130),1,AND($V188&gt;=110,$V188&lt;120),0.7,AND($V188&gt;130,$V188&lt;=140),0.7,AND($V188&gt;=100,$V188&lt;110),0.4,AND($V188&gt;140,$V188&lt;=150),0.4,TRUE,0.2)),IFS(AND($W188&gt;=55,$W188&lt;=65),1,AND($W188&gt;=50,$W188&lt;55),0.7,AND($W188&gt;65,$W188&lt;=70),0.7,AND($W188&gt;=45,$W188&lt;50),0.4,AND($W188&gt;70,$W188&lt;=75),0.4,TRUE,0.2),IF(OR($B188="Ноги",$B188="Верх"),IFS(AND($X188&gt;=180,$X188&lt;=210),1,AND($X188&gt;=160,$X188&lt;180),0.7,AND($X188&gt;210,$X188&lt;=230),0.7,AND($X188&gt;=140,$X188&lt;160),0.4,AND($X188&gt;230,$X188&lt;=250),0.4,TRUE,0.2),IFS(AND($X188&gt;=140,$X188&lt;=170),1,AND($X188&gt;=120,$X188&lt;140),0.7,AND($X188&gt;170,$X188&lt;=190),0.7,AND($X188&gt;=100,$X188&lt;120),0.4,AND($X188&gt;190,$X188&lt;=210),0.4,TRUE,0.2))))),1),""))</f>
        <v/>
      </c>
      <c r="Z188">
        <f>IF($A188="","",TEXTJOIN(", ",TRUE,IF($B188="","Тренировка",""),IF($C188="","Кардио",""),IF($D188="","Шаги",""),IF($E188="","Английский",""),IF($F188="","Код-режим",""),IF($G188="","Код-тема",""),IF($H188="","Чтение",""),IF($L188="","Сон",""),IF($M188="","Режим",""),IF($N188="","Продуктивность",""),IF($O188="","Настроение",""),IF($P188="","Энергия",""),IF($U188="","Еда","")))</f>
        <v/>
      </c>
    </row>
    <row r="189">
      <c r="A189" t="inlineStr"/>
      <c r="U189">
        <f>IF($A189="","",IF(SUMIF(FoodLog!$A:$A,$A189,FoodLog!$I:$I)=0,"",SUMIF(FoodLog!$A:$A,$A189,FoodLog!$I:$I)))</f>
        <v/>
      </c>
      <c r="V189">
        <f>IF($A189="","",IF(SUMIF(FoodLog!$A:$A,$A189,FoodLog!$F:$F)=0,"",SUMIF(FoodLog!$A:$A,$A189,FoodLog!$F:$F)))</f>
        <v/>
      </c>
      <c r="W189">
        <f>IF($A189="","",IF(SUMIF(FoodLog!$A:$A,$A189,FoodLog!$G:$G)=0,"",SUMIF(FoodLog!$A:$A,$A189,FoodLog!$G:$G)))</f>
        <v/>
      </c>
      <c r="X189">
        <f>IF($A189="","",IF(SUMIF(FoodLog!$A:$A,$A189,FoodLog!$H:$H)=0,"",SUMIF(FoodLog!$A:$A,$A189,FoodLog!$H:$H)))</f>
        <v/>
      </c>
      <c r="Y189">
        <f>IF($A189="","",IFERROR(ROUND(100*AVERAGE(IF($B189="","",XLOOKUP($B189,FILTER(Dictionaries!$B:$B,Dictionaries!$A:$A="Тренировка"),FILTER(Dictionaries!$C:$C,Dictionaries!$A:$A="Тренировка"))),IF($C189="","",MIN($C189/40,1)),IF($D189="","",XLOOKUP($D189,FILTER(Dictionaries!$B:$B,Dictionaries!$A:$A="Шаги"),FILTER(Dictionaries!$C:$C,Dictionaries!$A:$A="Шаги"))),IF($E189="","",MIN($E189/120,1)),IF(OR($F189&lt;&gt;"",$G189&lt;&gt;""),1,""),IF($H189="","",MIN($H189/100,1)),IF($L189="","",XLOOKUP($L189,FILTER(Dictionaries!$B:$B,Dictionaries!$A:$A="Сон_часы"),FILTER(Dictionaries!$C:$C,Dictionaries!$A:$A="Сон_часы"))),IF($M189="","",XLOOKUP($M189,FILTER(Dictionaries!$B:$B,Dictionaries!$A:$A="Режим"),FILTER(Dictionaries!$C:$C,Dictionaries!$A:$A="Режим"))),IF($N189="","",MIN($N189/100,1)),IF($O189="","",XLOOKUP($O189,FILTER(Dictionaries!$B:$B,Dictionaries!$A:$A="Настроение"),FILTER(Dictionaries!$C:$C,Dictionaries!$A:$A="Настроение"))),IF($P189="","",XLOOKUP($P189,FILTER(Dictionaries!$B:$B,Dictionaries!$A:$A="Энергия"),FILTER(Dictionaries!$C:$C,Dictionaries!$A:$A="Энергия"))),IF($U189="","",AVERAGE(IF(OR($B189="Ноги",$B189="Верх"),IFS(AND($U189&gt;=1900,$U189&lt;=2050),1,AND($U189&gt;=1850,$U189&lt;1900),0.7,AND($U189&gt;2050,$U189&lt;=2100),0.7,TRUE,0.2),IFS(AND($U189&gt;=1700,$U189&lt;=1850),1,AND($U189&gt;=1650,$U189&lt;1700),0.7,AND($U189&gt;1850,$U189&lt;=1900),0.7,TRUE,0.2)),IF(OR($B189="Ноги",$B189="Верх"),IFS(AND($V189&gt;=125,$V189&lt;=135),1,AND($V189&gt;=115,$V189&lt;125),0.7,AND($V189&gt;135,$V189&lt;=145),0.7,AND($V189&gt;=105,$V189&lt;115),0.4,AND($V189&gt;145,$V189&lt;=155),0.4,TRUE,0.2),IFS(AND($V189&gt;=120,$V189&lt;=130),1,AND($V189&gt;=110,$V189&lt;120),0.7,AND($V189&gt;130,$V189&lt;=140),0.7,AND($V189&gt;=100,$V189&lt;110),0.4,AND($V189&gt;140,$V189&lt;=150),0.4,TRUE,0.2)),IFS(AND($W189&gt;=55,$W189&lt;=65),1,AND($W189&gt;=50,$W189&lt;55),0.7,AND($W189&gt;65,$W189&lt;=70),0.7,AND($W189&gt;=45,$W189&lt;50),0.4,AND($W189&gt;70,$W189&lt;=75),0.4,TRUE,0.2),IF(OR($B189="Ноги",$B189="Верх"),IFS(AND($X189&gt;=180,$X189&lt;=210),1,AND($X189&gt;=160,$X189&lt;180),0.7,AND($X189&gt;210,$X189&lt;=230),0.7,AND($X189&gt;=140,$X189&lt;160),0.4,AND($X189&gt;230,$X189&lt;=250),0.4,TRUE,0.2),IFS(AND($X189&gt;=140,$X189&lt;=170),1,AND($X189&gt;=120,$X189&lt;140),0.7,AND($X189&gt;170,$X189&lt;=190),0.7,AND($X189&gt;=100,$X189&lt;120),0.4,AND($X189&gt;190,$X189&lt;=210),0.4,TRUE,0.2))))),1),""))</f>
        <v/>
      </c>
      <c r="Z189">
        <f>IF($A189="","",TEXTJOIN(", ",TRUE,IF($B189="","Тренировка",""),IF($C189="","Кардио",""),IF($D189="","Шаги",""),IF($E189="","Английский",""),IF($F189="","Код-режим",""),IF($G189="","Код-тема",""),IF($H189="","Чтение",""),IF($L189="","Сон",""),IF($M189="","Режим",""),IF($N189="","Продуктивность",""),IF($O189="","Настроение",""),IF($P189="","Энергия",""),IF($U189="","Еда","")))</f>
        <v/>
      </c>
    </row>
    <row r="190">
      <c r="A190" t="inlineStr"/>
      <c r="U190">
        <f>IF($A190="","",IF(SUMIF(FoodLog!$A:$A,$A190,FoodLog!$I:$I)=0,"",SUMIF(FoodLog!$A:$A,$A190,FoodLog!$I:$I)))</f>
        <v/>
      </c>
      <c r="V190">
        <f>IF($A190="","",IF(SUMIF(FoodLog!$A:$A,$A190,FoodLog!$F:$F)=0,"",SUMIF(FoodLog!$A:$A,$A190,FoodLog!$F:$F)))</f>
        <v/>
      </c>
      <c r="W190">
        <f>IF($A190="","",IF(SUMIF(FoodLog!$A:$A,$A190,FoodLog!$G:$G)=0,"",SUMIF(FoodLog!$A:$A,$A190,FoodLog!$G:$G)))</f>
        <v/>
      </c>
      <c r="X190">
        <f>IF($A190="","",IF(SUMIF(FoodLog!$A:$A,$A190,FoodLog!$H:$H)=0,"",SUMIF(FoodLog!$A:$A,$A190,FoodLog!$H:$H)))</f>
        <v/>
      </c>
      <c r="Y190">
        <f>IF($A190="","",IFERROR(ROUND(100*AVERAGE(IF($B190="","",XLOOKUP($B190,FILTER(Dictionaries!$B:$B,Dictionaries!$A:$A="Тренировка"),FILTER(Dictionaries!$C:$C,Dictionaries!$A:$A="Тренировка"))),IF($C190="","",MIN($C190/40,1)),IF($D190="","",XLOOKUP($D190,FILTER(Dictionaries!$B:$B,Dictionaries!$A:$A="Шаги"),FILTER(Dictionaries!$C:$C,Dictionaries!$A:$A="Шаги"))),IF($E190="","",MIN($E190/120,1)),IF(OR($F190&lt;&gt;"",$G190&lt;&gt;""),1,""),IF($H190="","",MIN($H190/100,1)),IF($L190="","",XLOOKUP($L190,FILTER(Dictionaries!$B:$B,Dictionaries!$A:$A="Сон_часы"),FILTER(Dictionaries!$C:$C,Dictionaries!$A:$A="Сон_часы"))),IF($M190="","",XLOOKUP($M190,FILTER(Dictionaries!$B:$B,Dictionaries!$A:$A="Режим"),FILTER(Dictionaries!$C:$C,Dictionaries!$A:$A="Режим"))),IF($N190="","",MIN($N190/100,1)),IF($O190="","",XLOOKUP($O190,FILTER(Dictionaries!$B:$B,Dictionaries!$A:$A="Настроение"),FILTER(Dictionaries!$C:$C,Dictionaries!$A:$A="Настроение"))),IF($P190="","",XLOOKUP($P190,FILTER(Dictionaries!$B:$B,Dictionaries!$A:$A="Энергия"),FILTER(Dictionaries!$C:$C,Dictionaries!$A:$A="Энергия"))),IF($U190="","",AVERAGE(IF(OR($B190="Ноги",$B190="Верх"),IFS(AND($U190&gt;=1900,$U190&lt;=2050),1,AND($U190&gt;=1850,$U190&lt;1900),0.7,AND($U190&gt;2050,$U190&lt;=2100),0.7,TRUE,0.2),IFS(AND($U190&gt;=1700,$U190&lt;=1850),1,AND($U190&gt;=1650,$U190&lt;1700),0.7,AND($U190&gt;1850,$U190&lt;=1900),0.7,TRUE,0.2)),IF(OR($B190="Ноги",$B190="Верх"),IFS(AND($V190&gt;=125,$V190&lt;=135),1,AND($V190&gt;=115,$V190&lt;125),0.7,AND($V190&gt;135,$V190&lt;=145),0.7,AND($V190&gt;=105,$V190&lt;115),0.4,AND($V190&gt;145,$V190&lt;=155),0.4,TRUE,0.2),IFS(AND($V190&gt;=120,$V190&lt;=130),1,AND($V190&gt;=110,$V190&lt;120),0.7,AND($V190&gt;130,$V190&lt;=140),0.7,AND($V190&gt;=100,$V190&lt;110),0.4,AND($V190&gt;140,$V190&lt;=150),0.4,TRUE,0.2)),IFS(AND($W190&gt;=55,$W190&lt;=65),1,AND($W190&gt;=50,$W190&lt;55),0.7,AND($W190&gt;65,$W190&lt;=70),0.7,AND($W190&gt;=45,$W190&lt;50),0.4,AND($W190&gt;70,$W190&lt;=75),0.4,TRUE,0.2),IF(OR($B190="Ноги",$B190="Верх"),IFS(AND($X190&gt;=180,$X190&lt;=210),1,AND($X190&gt;=160,$X190&lt;180),0.7,AND($X190&gt;210,$X190&lt;=230),0.7,AND($X190&gt;=140,$X190&lt;160),0.4,AND($X190&gt;230,$X190&lt;=250),0.4,TRUE,0.2),IFS(AND($X190&gt;=140,$X190&lt;=170),1,AND($X190&gt;=120,$X190&lt;140),0.7,AND($X190&gt;170,$X190&lt;=190),0.7,AND($X190&gt;=100,$X190&lt;120),0.4,AND($X190&gt;190,$X190&lt;=210),0.4,TRUE,0.2))))),1),""))</f>
        <v/>
      </c>
      <c r="Z190">
        <f>IF($A190="","",TEXTJOIN(", ",TRUE,IF($B190="","Тренировка",""),IF($C190="","Кардио",""),IF($D190="","Шаги",""),IF($E190="","Английский",""),IF($F190="","Код-режим",""),IF($G190="","Код-тема",""),IF($H190="","Чтение",""),IF($L190="","Сон",""),IF($M190="","Режим",""),IF($N190="","Продуктивность",""),IF($O190="","Настроение",""),IF($P190="","Энергия",""),IF($U190="","Еда","")))</f>
        <v/>
      </c>
    </row>
    <row r="191">
      <c r="A191" t="inlineStr"/>
      <c r="U191">
        <f>IF($A191="","",IF(SUMIF(FoodLog!$A:$A,$A191,FoodLog!$I:$I)=0,"",SUMIF(FoodLog!$A:$A,$A191,FoodLog!$I:$I)))</f>
        <v/>
      </c>
      <c r="V191">
        <f>IF($A191="","",IF(SUMIF(FoodLog!$A:$A,$A191,FoodLog!$F:$F)=0,"",SUMIF(FoodLog!$A:$A,$A191,FoodLog!$F:$F)))</f>
        <v/>
      </c>
      <c r="W191">
        <f>IF($A191="","",IF(SUMIF(FoodLog!$A:$A,$A191,FoodLog!$G:$G)=0,"",SUMIF(FoodLog!$A:$A,$A191,FoodLog!$G:$G)))</f>
        <v/>
      </c>
      <c r="X191">
        <f>IF($A191="","",IF(SUMIF(FoodLog!$A:$A,$A191,FoodLog!$H:$H)=0,"",SUMIF(FoodLog!$A:$A,$A191,FoodLog!$H:$H)))</f>
        <v/>
      </c>
      <c r="Y191">
        <f>IF($A191="","",IFERROR(ROUND(100*AVERAGE(IF($B191="","",XLOOKUP($B191,FILTER(Dictionaries!$B:$B,Dictionaries!$A:$A="Тренировка"),FILTER(Dictionaries!$C:$C,Dictionaries!$A:$A="Тренировка"))),IF($C191="","",MIN($C191/40,1)),IF($D191="","",XLOOKUP($D191,FILTER(Dictionaries!$B:$B,Dictionaries!$A:$A="Шаги"),FILTER(Dictionaries!$C:$C,Dictionaries!$A:$A="Шаги"))),IF($E191="","",MIN($E191/120,1)),IF(OR($F191&lt;&gt;"",$G191&lt;&gt;""),1,""),IF($H191="","",MIN($H191/100,1)),IF($L191="","",XLOOKUP($L191,FILTER(Dictionaries!$B:$B,Dictionaries!$A:$A="Сон_часы"),FILTER(Dictionaries!$C:$C,Dictionaries!$A:$A="Сон_часы"))),IF($M191="","",XLOOKUP($M191,FILTER(Dictionaries!$B:$B,Dictionaries!$A:$A="Режим"),FILTER(Dictionaries!$C:$C,Dictionaries!$A:$A="Режим"))),IF($N191="","",MIN($N191/100,1)),IF($O191="","",XLOOKUP($O191,FILTER(Dictionaries!$B:$B,Dictionaries!$A:$A="Настроение"),FILTER(Dictionaries!$C:$C,Dictionaries!$A:$A="Настроение"))),IF($P191="","",XLOOKUP($P191,FILTER(Dictionaries!$B:$B,Dictionaries!$A:$A="Энергия"),FILTER(Dictionaries!$C:$C,Dictionaries!$A:$A="Энергия"))),IF($U191="","",AVERAGE(IF(OR($B191="Ноги",$B191="Верх"),IFS(AND($U191&gt;=1900,$U191&lt;=2050),1,AND($U191&gt;=1850,$U191&lt;1900),0.7,AND($U191&gt;2050,$U191&lt;=2100),0.7,TRUE,0.2),IFS(AND($U191&gt;=1700,$U191&lt;=1850),1,AND($U191&gt;=1650,$U191&lt;1700),0.7,AND($U191&gt;1850,$U191&lt;=1900),0.7,TRUE,0.2)),IF(OR($B191="Ноги",$B191="Верх"),IFS(AND($V191&gt;=125,$V191&lt;=135),1,AND($V191&gt;=115,$V191&lt;125),0.7,AND($V191&gt;135,$V191&lt;=145),0.7,AND($V191&gt;=105,$V191&lt;115),0.4,AND($V191&gt;145,$V191&lt;=155),0.4,TRUE,0.2),IFS(AND($V191&gt;=120,$V191&lt;=130),1,AND($V191&gt;=110,$V191&lt;120),0.7,AND($V191&gt;130,$V191&lt;=140),0.7,AND($V191&gt;=100,$V191&lt;110),0.4,AND($V191&gt;140,$V191&lt;=150),0.4,TRUE,0.2)),IFS(AND($W191&gt;=55,$W191&lt;=65),1,AND($W191&gt;=50,$W191&lt;55),0.7,AND($W191&gt;65,$W191&lt;=70),0.7,AND($W191&gt;=45,$W191&lt;50),0.4,AND($W191&gt;70,$W191&lt;=75),0.4,TRUE,0.2),IF(OR($B191="Ноги",$B191="Верх"),IFS(AND($X191&gt;=180,$X191&lt;=210),1,AND($X191&gt;=160,$X191&lt;180),0.7,AND($X191&gt;210,$X191&lt;=230),0.7,AND($X191&gt;=140,$X191&lt;160),0.4,AND($X191&gt;230,$X191&lt;=250),0.4,TRUE,0.2),IFS(AND($X191&gt;=140,$X191&lt;=170),1,AND($X191&gt;=120,$X191&lt;140),0.7,AND($X191&gt;170,$X191&lt;=190),0.7,AND($X191&gt;=100,$X191&lt;120),0.4,AND($X191&gt;190,$X191&lt;=210),0.4,TRUE,0.2))))),1),""))</f>
        <v/>
      </c>
      <c r="Z191">
        <f>IF($A191="","",TEXTJOIN(", ",TRUE,IF($B191="","Тренировка",""),IF($C191="","Кардио",""),IF($D191="","Шаги",""),IF($E191="","Английский",""),IF($F191="","Код-режим",""),IF($G191="","Код-тема",""),IF($H191="","Чтение",""),IF($L191="","Сон",""),IF($M191="","Режим",""),IF($N191="","Продуктивность",""),IF($O191="","Настроение",""),IF($P191="","Энергия",""),IF($U191="","Еда","")))</f>
        <v/>
      </c>
    </row>
    <row r="192">
      <c r="A192" t="inlineStr"/>
      <c r="U192">
        <f>IF($A192="","",IF(SUMIF(FoodLog!$A:$A,$A192,FoodLog!$I:$I)=0,"",SUMIF(FoodLog!$A:$A,$A192,FoodLog!$I:$I)))</f>
        <v/>
      </c>
      <c r="V192">
        <f>IF($A192="","",IF(SUMIF(FoodLog!$A:$A,$A192,FoodLog!$F:$F)=0,"",SUMIF(FoodLog!$A:$A,$A192,FoodLog!$F:$F)))</f>
        <v/>
      </c>
      <c r="W192">
        <f>IF($A192="","",IF(SUMIF(FoodLog!$A:$A,$A192,FoodLog!$G:$G)=0,"",SUMIF(FoodLog!$A:$A,$A192,FoodLog!$G:$G)))</f>
        <v/>
      </c>
      <c r="X192">
        <f>IF($A192="","",IF(SUMIF(FoodLog!$A:$A,$A192,FoodLog!$H:$H)=0,"",SUMIF(FoodLog!$A:$A,$A192,FoodLog!$H:$H)))</f>
        <v/>
      </c>
      <c r="Y192">
        <f>IF($A192="","",IFERROR(ROUND(100*AVERAGE(IF($B192="","",XLOOKUP($B192,FILTER(Dictionaries!$B:$B,Dictionaries!$A:$A="Тренировка"),FILTER(Dictionaries!$C:$C,Dictionaries!$A:$A="Тренировка"))),IF($C192="","",MIN($C192/40,1)),IF($D192="","",XLOOKUP($D192,FILTER(Dictionaries!$B:$B,Dictionaries!$A:$A="Шаги"),FILTER(Dictionaries!$C:$C,Dictionaries!$A:$A="Шаги"))),IF($E192="","",MIN($E192/120,1)),IF(OR($F192&lt;&gt;"",$G192&lt;&gt;""),1,""),IF($H192="","",MIN($H192/100,1)),IF($L192="","",XLOOKUP($L192,FILTER(Dictionaries!$B:$B,Dictionaries!$A:$A="Сон_часы"),FILTER(Dictionaries!$C:$C,Dictionaries!$A:$A="Сон_часы"))),IF($M192="","",XLOOKUP($M192,FILTER(Dictionaries!$B:$B,Dictionaries!$A:$A="Режим"),FILTER(Dictionaries!$C:$C,Dictionaries!$A:$A="Режим"))),IF($N192="","",MIN($N192/100,1)),IF($O192="","",XLOOKUP($O192,FILTER(Dictionaries!$B:$B,Dictionaries!$A:$A="Настроение"),FILTER(Dictionaries!$C:$C,Dictionaries!$A:$A="Настроение"))),IF($P192="","",XLOOKUP($P192,FILTER(Dictionaries!$B:$B,Dictionaries!$A:$A="Энергия"),FILTER(Dictionaries!$C:$C,Dictionaries!$A:$A="Энергия"))),IF($U192="","",AVERAGE(IF(OR($B192="Ноги",$B192="Верх"),IFS(AND($U192&gt;=1900,$U192&lt;=2050),1,AND($U192&gt;=1850,$U192&lt;1900),0.7,AND($U192&gt;2050,$U192&lt;=2100),0.7,TRUE,0.2),IFS(AND($U192&gt;=1700,$U192&lt;=1850),1,AND($U192&gt;=1650,$U192&lt;1700),0.7,AND($U192&gt;1850,$U192&lt;=1900),0.7,TRUE,0.2)),IF(OR($B192="Ноги",$B192="Верх"),IFS(AND($V192&gt;=125,$V192&lt;=135),1,AND($V192&gt;=115,$V192&lt;125),0.7,AND($V192&gt;135,$V192&lt;=145),0.7,AND($V192&gt;=105,$V192&lt;115),0.4,AND($V192&gt;145,$V192&lt;=155),0.4,TRUE,0.2),IFS(AND($V192&gt;=120,$V192&lt;=130),1,AND($V192&gt;=110,$V192&lt;120),0.7,AND($V192&gt;130,$V192&lt;=140),0.7,AND($V192&gt;=100,$V192&lt;110),0.4,AND($V192&gt;140,$V192&lt;=150),0.4,TRUE,0.2)),IFS(AND($W192&gt;=55,$W192&lt;=65),1,AND($W192&gt;=50,$W192&lt;55),0.7,AND($W192&gt;65,$W192&lt;=70),0.7,AND($W192&gt;=45,$W192&lt;50),0.4,AND($W192&gt;70,$W192&lt;=75),0.4,TRUE,0.2),IF(OR($B192="Ноги",$B192="Верх"),IFS(AND($X192&gt;=180,$X192&lt;=210),1,AND($X192&gt;=160,$X192&lt;180),0.7,AND($X192&gt;210,$X192&lt;=230),0.7,AND($X192&gt;=140,$X192&lt;160),0.4,AND($X192&gt;230,$X192&lt;=250),0.4,TRUE,0.2),IFS(AND($X192&gt;=140,$X192&lt;=170),1,AND($X192&gt;=120,$X192&lt;140),0.7,AND($X192&gt;170,$X192&lt;=190),0.7,AND($X192&gt;=100,$X192&lt;120),0.4,AND($X192&gt;190,$X192&lt;=210),0.4,TRUE,0.2))))),1),""))</f>
        <v/>
      </c>
      <c r="Z192">
        <f>IF($A192="","",TEXTJOIN(", ",TRUE,IF($B192="","Тренировка",""),IF($C192="","Кардио",""),IF($D192="","Шаги",""),IF($E192="","Английский",""),IF($F192="","Код-режим",""),IF($G192="","Код-тема",""),IF($H192="","Чтение",""),IF($L192="","Сон",""),IF($M192="","Режим",""),IF($N192="","Продуктивность",""),IF($O192="","Настроение",""),IF($P192="","Энергия",""),IF($U192="","Еда","")))</f>
        <v/>
      </c>
    </row>
    <row r="193">
      <c r="A193" t="inlineStr"/>
      <c r="U193">
        <f>IF($A193="","",IF(SUMIF(FoodLog!$A:$A,$A193,FoodLog!$I:$I)=0,"",SUMIF(FoodLog!$A:$A,$A193,FoodLog!$I:$I)))</f>
        <v/>
      </c>
      <c r="V193">
        <f>IF($A193="","",IF(SUMIF(FoodLog!$A:$A,$A193,FoodLog!$F:$F)=0,"",SUMIF(FoodLog!$A:$A,$A193,FoodLog!$F:$F)))</f>
        <v/>
      </c>
      <c r="W193">
        <f>IF($A193="","",IF(SUMIF(FoodLog!$A:$A,$A193,FoodLog!$G:$G)=0,"",SUMIF(FoodLog!$A:$A,$A193,FoodLog!$G:$G)))</f>
        <v/>
      </c>
      <c r="X193">
        <f>IF($A193="","",IF(SUMIF(FoodLog!$A:$A,$A193,FoodLog!$H:$H)=0,"",SUMIF(FoodLog!$A:$A,$A193,FoodLog!$H:$H)))</f>
        <v/>
      </c>
      <c r="Y193">
        <f>IF($A193="","",IFERROR(ROUND(100*AVERAGE(IF($B193="","",XLOOKUP($B193,FILTER(Dictionaries!$B:$B,Dictionaries!$A:$A="Тренировка"),FILTER(Dictionaries!$C:$C,Dictionaries!$A:$A="Тренировка"))),IF($C193="","",MIN($C193/40,1)),IF($D193="","",XLOOKUP($D193,FILTER(Dictionaries!$B:$B,Dictionaries!$A:$A="Шаги"),FILTER(Dictionaries!$C:$C,Dictionaries!$A:$A="Шаги"))),IF($E193="","",MIN($E193/120,1)),IF(OR($F193&lt;&gt;"",$G193&lt;&gt;""),1,""),IF($H193="","",MIN($H193/100,1)),IF($L193="","",XLOOKUP($L193,FILTER(Dictionaries!$B:$B,Dictionaries!$A:$A="Сон_часы"),FILTER(Dictionaries!$C:$C,Dictionaries!$A:$A="Сон_часы"))),IF($M193="","",XLOOKUP($M193,FILTER(Dictionaries!$B:$B,Dictionaries!$A:$A="Режим"),FILTER(Dictionaries!$C:$C,Dictionaries!$A:$A="Режим"))),IF($N193="","",MIN($N193/100,1)),IF($O193="","",XLOOKUP($O193,FILTER(Dictionaries!$B:$B,Dictionaries!$A:$A="Настроение"),FILTER(Dictionaries!$C:$C,Dictionaries!$A:$A="Настроение"))),IF($P193="","",XLOOKUP($P193,FILTER(Dictionaries!$B:$B,Dictionaries!$A:$A="Энергия"),FILTER(Dictionaries!$C:$C,Dictionaries!$A:$A="Энергия"))),IF($U193="","",AVERAGE(IF(OR($B193="Ноги",$B193="Верх"),IFS(AND($U193&gt;=1900,$U193&lt;=2050),1,AND($U193&gt;=1850,$U193&lt;1900),0.7,AND($U193&gt;2050,$U193&lt;=2100),0.7,TRUE,0.2),IFS(AND($U193&gt;=1700,$U193&lt;=1850),1,AND($U193&gt;=1650,$U193&lt;1700),0.7,AND($U193&gt;1850,$U193&lt;=1900),0.7,TRUE,0.2)),IF(OR($B193="Ноги",$B193="Верх"),IFS(AND($V193&gt;=125,$V193&lt;=135),1,AND($V193&gt;=115,$V193&lt;125),0.7,AND($V193&gt;135,$V193&lt;=145),0.7,AND($V193&gt;=105,$V193&lt;115),0.4,AND($V193&gt;145,$V193&lt;=155),0.4,TRUE,0.2),IFS(AND($V193&gt;=120,$V193&lt;=130),1,AND($V193&gt;=110,$V193&lt;120),0.7,AND($V193&gt;130,$V193&lt;=140),0.7,AND($V193&gt;=100,$V193&lt;110),0.4,AND($V193&gt;140,$V193&lt;=150),0.4,TRUE,0.2)),IFS(AND($W193&gt;=55,$W193&lt;=65),1,AND($W193&gt;=50,$W193&lt;55),0.7,AND($W193&gt;65,$W193&lt;=70),0.7,AND($W193&gt;=45,$W193&lt;50),0.4,AND($W193&gt;70,$W193&lt;=75),0.4,TRUE,0.2),IF(OR($B193="Ноги",$B193="Верх"),IFS(AND($X193&gt;=180,$X193&lt;=210),1,AND($X193&gt;=160,$X193&lt;180),0.7,AND($X193&gt;210,$X193&lt;=230),0.7,AND($X193&gt;=140,$X193&lt;160),0.4,AND($X193&gt;230,$X193&lt;=250),0.4,TRUE,0.2),IFS(AND($X193&gt;=140,$X193&lt;=170),1,AND($X193&gt;=120,$X193&lt;140),0.7,AND($X193&gt;170,$X193&lt;=190),0.7,AND($X193&gt;=100,$X193&lt;120),0.4,AND($X193&gt;190,$X193&lt;=210),0.4,TRUE,0.2))))),1),""))</f>
        <v/>
      </c>
      <c r="Z193">
        <f>IF($A193="","",TEXTJOIN(", ",TRUE,IF($B193="","Тренировка",""),IF($C193="","Кардио",""),IF($D193="","Шаги",""),IF($E193="","Английский",""),IF($F193="","Код-режим",""),IF($G193="","Код-тема",""),IF($H193="","Чтение",""),IF($L193="","Сон",""),IF($M193="","Режим",""),IF($N193="","Продуктивность",""),IF($O193="","Настроение",""),IF($P193="","Энергия",""),IF($U193="","Еда","")))</f>
        <v/>
      </c>
    </row>
    <row r="194">
      <c r="A194" t="inlineStr"/>
      <c r="U194">
        <f>IF($A194="","",IF(SUMIF(FoodLog!$A:$A,$A194,FoodLog!$I:$I)=0,"",SUMIF(FoodLog!$A:$A,$A194,FoodLog!$I:$I)))</f>
        <v/>
      </c>
      <c r="V194">
        <f>IF($A194="","",IF(SUMIF(FoodLog!$A:$A,$A194,FoodLog!$F:$F)=0,"",SUMIF(FoodLog!$A:$A,$A194,FoodLog!$F:$F)))</f>
        <v/>
      </c>
      <c r="W194">
        <f>IF($A194="","",IF(SUMIF(FoodLog!$A:$A,$A194,FoodLog!$G:$G)=0,"",SUMIF(FoodLog!$A:$A,$A194,FoodLog!$G:$G)))</f>
        <v/>
      </c>
      <c r="X194">
        <f>IF($A194="","",IF(SUMIF(FoodLog!$A:$A,$A194,FoodLog!$H:$H)=0,"",SUMIF(FoodLog!$A:$A,$A194,FoodLog!$H:$H)))</f>
        <v/>
      </c>
      <c r="Y194">
        <f>IF($A194="","",IFERROR(ROUND(100*AVERAGE(IF($B194="","",XLOOKUP($B194,FILTER(Dictionaries!$B:$B,Dictionaries!$A:$A="Тренировка"),FILTER(Dictionaries!$C:$C,Dictionaries!$A:$A="Тренировка"))),IF($C194="","",MIN($C194/40,1)),IF($D194="","",XLOOKUP($D194,FILTER(Dictionaries!$B:$B,Dictionaries!$A:$A="Шаги"),FILTER(Dictionaries!$C:$C,Dictionaries!$A:$A="Шаги"))),IF($E194="","",MIN($E194/120,1)),IF(OR($F194&lt;&gt;"",$G194&lt;&gt;""),1,""),IF($H194="","",MIN($H194/100,1)),IF($L194="","",XLOOKUP($L194,FILTER(Dictionaries!$B:$B,Dictionaries!$A:$A="Сон_часы"),FILTER(Dictionaries!$C:$C,Dictionaries!$A:$A="Сон_часы"))),IF($M194="","",XLOOKUP($M194,FILTER(Dictionaries!$B:$B,Dictionaries!$A:$A="Режим"),FILTER(Dictionaries!$C:$C,Dictionaries!$A:$A="Режим"))),IF($N194="","",MIN($N194/100,1)),IF($O194="","",XLOOKUP($O194,FILTER(Dictionaries!$B:$B,Dictionaries!$A:$A="Настроение"),FILTER(Dictionaries!$C:$C,Dictionaries!$A:$A="Настроение"))),IF($P194="","",XLOOKUP($P194,FILTER(Dictionaries!$B:$B,Dictionaries!$A:$A="Энергия"),FILTER(Dictionaries!$C:$C,Dictionaries!$A:$A="Энергия"))),IF($U194="","",AVERAGE(IF(OR($B194="Ноги",$B194="Верх"),IFS(AND($U194&gt;=1900,$U194&lt;=2050),1,AND($U194&gt;=1850,$U194&lt;1900),0.7,AND($U194&gt;2050,$U194&lt;=2100),0.7,TRUE,0.2),IFS(AND($U194&gt;=1700,$U194&lt;=1850),1,AND($U194&gt;=1650,$U194&lt;1700),0.7,AND($U194&gt;1850,$U194&lt;=1900),0.7,TRUE,0.2)),IF(OR($B194="Ноги",$B194="Верх"),IFS(AND($V194&gt;=125,$V194&lt;=135),1,AND($V194&gt;=115,$V194&lt;125),0.7,AND($V194&gt;135,$V194&lt;=145),0.7,AND($V194&gt;=105,$V194&lt;115),0.4,AND($V194&gt;145,$V194&lt;=155),0.4,TRUE,0.2),IFS(AND($V194&gt;=120,$V194&lt;=130),1,AND($V194&gt;=110,$V194&lt;120),0.7,AND($V194&gt;130,$V194&lt;=140),0.7,AND($V194&gt;=100,$V194&lt;110),0.4,AND($V194&gt;140,$V194&lt;=150),0.4,TRUE,0.2)),IFS(AND($W194&gt;=55,$W194&lt;=65),1,AND($W194&gt;=50,$W194&lt;55),0.7,AND($W194&gt;65,$W194&lt;=70),0.7,AND($W194&gt;=45,$W194&lt;50),0.4,AND($W194&gt;70,$W194&lt;=75),0.4,TRUE,0.2),IF(OR($B194="Ноги",$B194="Верх"),IFS(AND($X194&gt;=180,$X194&lt;=210),1,AND($X194&gt;=160,$X194&lt;180),0.7,AND($X194&gt;210,$X194&lt;=230),0.7,AND($X194&gt;=140,$X194&lt;160),0.4,AND($X194&gt;230,$X194&lt;=250),0.4,TRUE,0.2),IFS(AND($X194&gt;=140,$X194&lt;=170),1,AND($X194&gt;=120,$X194&lt;140),0.7,AND($X194&gt;170,$X194&lt;=190),0.7,AND($X194&gt;=100,$X194&lt;120),0.4,AND($X194&gt;190,$X194&lt;=210),0.4,TRUE,0.2))))),1),""))</f>
        <v/>
      </c>
      <c r="Z194">
        <f>IF($A194="","",TEXTJOIN(", ",TRUE,IF($B194="","Тренировка",""),IF($C194="","Кардио",""),IF($D194="","Шаги",""),IF($E194="","Английский",""),IF($F194="","Код-режим",""),IF($G194="","Код-тема",""),IF($H194="","Чтение",""),IF($L194="","Сон",""),IF($M194="","Режим",""),IF($N194="","Продуктивность",""),IF($O194="","Настроение",""),IF($P194="","Энергия",""),IF($U194="","Еда","")))</f>
        <v/>
      </c>
    </row>
    <row r="195">
      <c r="A195" t="inlineStr"/>
      <c r="U195">
        <f>IF($A195="","",IF(SUMIF(FoodLog!$A:$A,$A195,FoodLog!$I:$I)=0,"",SUMIF(FoodLog!$A:$A,$A195,FoodLog!$I:$I)))</f>
        <v/>
      </c>
      <c r="V195">
        <f>IF($A195="","",IF(SUMIF(FoodLog!$A:$A,$A195,FoodLog!$F:$F)=0,"",SUMIF(FoodLog!$A:$A,$A195,FoodLog!$F:$F)))</f>
        <v/>
      </c>
      <c r="W195">
        <f>IF($A195="","",IF(SUMIF(FoodLog!$A:$A,$A195,FoodLog!$G:$G)=0,"",SUMIF(FoodLog!$A:$A,$A195,FoodLog!$G:$G)))</f>
        <v/>
      </c>
      <c r="X195">
        <f>IF($A195="","",IF(SUMIF(FoodLog!$A:$A,$A195,FoodLog!$H:$H)=0,"",SUMIF(FoodLog!$A:$A,$A195,FoodLog!$H:$H)))</f>
        <v/>
      </c>
      <c r="Y195">
        <f>IF($A195="","",IFERROR(ROUND(100*AVERAGE(IF($B195="","",XLOOKUP($B195,FILTER(Dictionaries!$B:$B,Dictionaries!$A:$A="Тренировка"),FILTER(Dictionaries!$C:$C,Dictionaries!$A:$A="Тренировка"))),IF($C195="","",MIN($C195/40,1)),IF($D195="","",XLOOKUP($D195,FILTER(Dictionaries!$B:$B,Dictionaries!$A:$A="Шаги"),FILTER(Dictionaries!$C:$C,Dictionaries!$A:$A="Шаги"))),IF($E195="","",MIN($E195/120,1)),IF(OR($F195&lt;&gt;"",$G195&lt;&gt;""),1,""),IF($H195="","",MIN($H195/100,1)),IF($L195="","",XLOOKUP($L195,FILTER(Dictionaries!$B:$B,Dictionaries!$A:$A="Сон_часы"),FILTER(Dictionaries!$C:$C,Dictionaries!$A:$A="Сон_часы"))),IF($M195="","",XLOOKUP($M195,FILTER(Dictionaries!$B:$B,Dictionaries!$A:$A="Режим"),FILTER(Dictionaries!$C:$C,Dictionaries!$A:$A="Режим"))),IF($N195="","",MIN($N195/100,1)),IF($O195="","",XLOOKUP($O195,FILTER(Dictionaries!$B:$B,Dictionaries!$A:$A="Настроение"),FILTER(Dictionaries!$C:$C,Dictionaries!$A:$A="Настроение"))),IF($P195="","",XLOOKUP($P195,FILTER(Dictionaries!$B:$B,Dictionaries!$A:$A="Энергия"),FILTER(Dictionaries!$C:$C,Dictionaries!$A:$A="Энергия"))),IF($U195="","",AVERAGE(IF(OR($B195="Ноги",$B195="Верх"),IFS(AND($U195&gt;=1900,$U195&lt;=2050),1,AND($U195&gt;=1850,$U195&lt;1900),0.7,AND($U195&gt;2050,$U195&lt;=2100),0.7,TRUE,0.2),IFS(AND($U195&gt;=1700,$U195&lt;=1850),1,AND($U195&gt;=1650,$U195&lt;1700),0.7,AND($U195&gt;1850,$U195&lt;=1900),0.7,TRUE,0.2)),IF(OR($B195="Ноги",$B195="Верх"),IFS(AND($V195&gt;=125,$V195&lt;=135),1,AND($V195&gt;=115,$V195&lt;125),0.7,AND($V195&gt;135,$V195&lt;=145),0.7,AND($V195&gt;=105,$V195&lt;115),0.4,AND($V195&gt;145,$V195&lt;=155),0.4,TRUE,0.2),IFS(AND($V195&gt;=120,$V195&lt;=130),1,AND($V195&gt;=110,$V195&lt;120),0.7,AND($V195&gt;130,$V195&lt;=140),0.7,AND($V195&gt;=100,$V195&lt;110),0.4,AND($V195&gt;140,$V195&lt;=150),0.4,TRUE,0.2)),IFS(AND($W195&gt;=55,$W195&lt;=65),1,AND($W195&gt;=50,$W195&lt;55),0.7,AND($W195&gt;65,$W195&lt;=70),0.7,AND($W195&gt;=45,$W195&lt;50),0.4,AND($W195&gt;70,$W195&lt;=75),0.4,TRUE,0.2),IF(OR($B195="Ноги",$B195="Верх"),IFS(AND($X195&gt;=180,$X195&lt;=210),1,AND($X195&gt;=160,$X195&lt;180),0.7,AND($X195&gt;210,$X195&lt;=230),0.7,AND($X195&gt;=140,$X195&lt;160),0.4,AND($X195&gt;230,$X195&lt;=250),0.4,TRUE,0.2),IFS(AND($X195&gt;=140,$X195&lt;=170),1,AND($X195&gt;=120,$X195&lt;140),0.7,AND($X195&gt;170,$X195&lt;=190),0.7,AND($X195&gt;=100,$X195&lt;120),0.4,AND($X195&gt;190,$X195&lt;=210),0.4,TRUE,0.2))))),1),""))</f>
        <v/>
      </c>
      <c r="Z195">
        <f>IF($A195="","",TEXTJOIN(", ",TRUE,IF($B195="","Тренировка",""),IF($C195="","Кардио",""),IF($D195="","Шаги",""),IF($E195="","Английский",""),IF($F195="","Код-режим",""),IF($G195="","Код-тема",""),IF($H195="","Чтение",""),IF($L195="","Сон",""),IF($M195="","Режим",""),IF($N195="","Продуктивность",""),IF($O195="","Настроение",""),IF($P195="","Энергия",""),IF($U195="","Еда","")))</f>
        <v/>
      </c>
    </row>
    <row r="196">
      <c r="A196" t="inlineStr"/>
      <c r="U196">
        <f>IF($A196="","",IF(SUMIF(FoodLog!$A:$A,$A196,FoodLog!$I:$I)=0,"",SUMIF(FoodLog!$A:$A,$A196,FoodLog!$I:$I)))</f>
        <v/>
      </c>
      <c r="V196">
        <f>IF($A196="","",IF(SUMIF(FoodLog!$A:$A,$A196,FoodLog!$F:$F)=0,"",SUMIF(FoodLog!$A:$A,$A196,FoodLog!$F:$F)))</f>
        <v/>
      </c>
      <c r="W196">
        <f>IF($A196="","",IF(SUMIF(FoodLog!$A:$A,$A196,FoodLog!$G:$G)=0,"",SUMIF(FoodLog!$A:$A,$A196,FoodLog!$G:$G)))</f>
        <v/>
      </c>
      <c r="X196">
        <f>IF($A196="","",IF(SUMIF(FoodLog!$A:$A,$A196,FoodLog!$H:$H)=0,"",SUMIF(FoodLog!$A:$A,$A196,FoodLog!$H:$H)))</f>
        <v/>
      </c>
      <c r="Y196">
        <f>IF($A196="","",IFERROR(ROUND(100*AVERAGE(IF($B196="","",XLOOKUP($B196,FILTER(Dictionaries!$B:$B,Dictionaries!$A:$A="Тренировка"),FILTER(Dictionaries!$C:$C,Dictionaries!$A:$A="Тренировка"))),IF($C196="","",MIN($C196/40,1)),IF($D196="","",XLOOKUP($D196,FILTER(Dictionaries!$B:$B,Dictionaries!$A:$A="Шаги"),FILTER(Dictionaries!$C:$C,Dictionaries!$A:$A="Шаги"))),IF($E196="","",MIN($E196/120,1)),IF(OR($F196&lt;&gt;"",$G196&lt;&gt;""),1,""),IF($H196="","",MIN($H196/100,1)),IF($L196="","",XLOOKUP($L196,FILTER(Dictionaries!$B:$B,Dictionaries!$A:$A="Сон_часы"),FILTER(Dictionaries!$C:$C,Dictionaries!$A:$A="Сон_часы"))),IF($M196="","",XLOOKUP($M196,FILTER(Dictionaries!$B:$B,Dictionaries!$A:$A="Режим"),FILTER(Dictionaries!$C:$C,Dictionaries!$A:$A="Режим"))),IF($N196="","",MIN($N196/100,1)),IF($O196="","",XLOOKUP($O196,FILTER(Dictionaries!$B:$B,Dictionaries!$A:$A="Настроение"),FILTER(Dictionaries!$C:$C,Dictionaries!$A:$A="Настроение"))),IF($P196="","",XLOOKUP($P196,FILTER(Dictionaries!$B:$B,Dictionaries!$A:$A="Энергия"),FILTER(Dictionaries!$C:$C,Dictionaries!$A:$A="Энергия"))),IF($U196="","",AVERAGE(IF(OR($B196="Ноги",$B196="Верх"),IFS(AND($U196&gt;=1900,$U196&lt;=2050),1,AND($U196&gt;=1850,$U196&lt;1900),0.7,AND($U196&gt;2050,$U196&lt;=2100),0.7,TRUE,0.2),IFS(AND($U196&gt;=1700,$U196&lt;=1850),1,AND($U196&gt;=1650,$U196&lt;1700),0.7,AND($U196&gt;1850,$U196&lt;=1900),0.7,TRUE,0.2)),IF(OR($B196="Ноги",$B196="Верх"),IFS(AND($V196&gt;=125,$V196&lt;=135),1,AND($V196&gt;=115,$V196&lt;125),0.7,AND($V196&gt;135,$V196&lt;=145),0.7,AND($V196&gt;=105,$V196&lt;115),0.4,AND($V196&gt;145,$V196&lt;=155),0.4,TRUE,0.2),IFS(AND($V196&gt;=120,$V196&lt;=130),1,AND($V196&gt;=110,$V196&lt;120),0.7,AND($V196&gt;130,$V196&lt;=140),0.7,AND($V196&gt;=100,$V196&lt;110),0.4,AND($V196&gt;140,$V196&lt;=150),0.4,TRUE,0.2)),IFS(AND($W196&gt;=55,$W196&lt;=65),1,AND($W196&gt;=50,$W196&lt;55),0.7,AND($W196&gt;65,$W196&lt;=70),0.7,AND($W196&gt;=45,$W196&lt;50),0.4,AND($W196&gt;70,$W196&lt;=75),0.4,TRUE,0.2),IF(OR($B196="Ноги",$B196="Верх"),IFS(AND($X196&gt;=180,$X196&lt;=210),1,AND($X196&gt;=160,$X196&lt;180),0.7,AND($X196&gt;210,$X196&lt;=230),0.7,AND($X196&gt;=140,$X196&lt;160),0.4,AND($X196&gt;230,$X196&lt;=250),0.4,TRUE,0.2),IFS(AND($X196&gt;=140,$X196&lt;=170),1,AND($X196&gt;=120,$X196&lt;140),0.7,AND($X196&gt;170,$X196&lt;=190),0.7,AND($X196&gt;=100,$X196&lt;120),0.4,AND($X196&gt;190,$X196&lt;=210),0.4,TRUE,0.2))))),1),""))</f>
        <v/>
      </c>
      <c r="Z196">
        <f>IF($A196="","",TEXTJOIN(", ",TRUE,IF($B196="","Тренировка",""),IF($C196="","Кардио",""),IF($D196="","Шаги",""),IF($E196="","Английский",""),IF($F196="","Код-режим",""),IF($G196="","Код-тема",""),IF($H196="","Чтение",""),IF($L196="","Сон",""),IF($M196="","Режим",""),IF($N196="","Продуктивность",""),IF($O196="","Настроение",""),IF($P196="","Энергия",""),IF($U196="","Еда","")))</f>
        <v/>
      </c>
    </row>
    <row r="197">
      <c r="A197" t="inlineStr"/>
      <c r="U197">
        <f>IF($A197="","",IF(SUMIF(FoodLog!$A:$A,$A197,FoodLog!$I:$I)=0,"",SUMIF(FoodLog!$A:$A,$A197,FoodLog!$I:$I)))</f>
        <v/>
      </c>
      <c r="V197">
        <f>IF($A197="","",IF(SUMIF(FoodLog!$A:$A,$A197,FoodLog!$F:$F)=0,"",SUMIF(FoodLog!$A:$A,$A197,FoodLog!$F:$F)))</f>
        <v/>
      </c>
      <c r="W197">
        <f>IF($A197="","",IF(SUMIF(FoodLog!$A:$A,$A197,FoodLog!$G:$G)=0,"",SUMIF(FoodLog!$A:$A,$A197,FoodLog!$G:$G)))</f>
        <v/>
      </c>
      <c r="X197">
        <f>IF($A197="","",IF(SUMIF(FoodLog!$A:$A,$A197,FoodLog!$H:$H)=0,"",SUMIF(FoodLog!$A:$A,$A197,FoodLog!$H:$H)))</f>
        <v/>
      </c>
      <c r="Y197">
        <f>IF($A197="","",IFERROR(ROUND(100*AVERAGE(IF($B197="","",XLOOKUP($B197,FILTER(Dictionaries!$B:$B,Dictionaries!$A:$A="Тренировка"),FILTER(Dictionaries!$C:$C,Dictionaries!$A:$A="Тренировка"))),IF($C197="","",MIN($C197/40,1)),IF($D197="","",XLOOKUP($D197,FILTER(Dictionaries!$B:$B,Dictionaries!$A:$A="Шаги"),FILTER(Dictionaries!$C:$C,Dictionaries!$A:$A="Шаги"))),IF($E197="","",MIN($E197/120,1)),IF(OR($F197&lt;&gt;"",$G197&lt;&gt;""),1,""),IF($H197="","",MIN($H197/100,1)),IF($L197="","",XLOOKUP($L197,FILTER(Dictionaries!$B:$B,Dictionaries!$A:$A="Сон_часы"),FILTER(Dictionaries!$C:$C,Dictionaries!$A:$A="Сон_часы"))),IF($M197="","",XLOOKUP($M197,FILTER(Dictionaries!$B:$B,Dictionaries!$A:$A="Режим"),FILTER(Dictionaries!$C:$C,Dictionaries!$A:$A="Режим"))),IF($N197="","",MIN($N197/100,1)),IF($O197="","",XLOOKUP($O197,FILTER(Dictionaries!$B:$B,Dictionaries!$A:$A="Настроение"),FILTER(Dictionaries!$C:$C,Dictionaries!$A:$A="Настроение"))),IF($P197="","",XLOOKUP($P197,FILTER(Dictionaries!$B:$B,Dictionaries!$A:$A="Энергия"),FILTER(Dictionaries!$C:$C,Dictionaries!$A:$A="Энергия"))),IF($U197="","",AVERAGE(IF(OR($B197="Ноги",$B197="Верх"),IFS(AND($U197&gt;=1900,$U197&lt;=2050),1,AND($U197&gt;=1850,$U197&lt;1900),0.7,AND($U197&gt;2050,$U197&lt;=2100),0.7,TRUE,0.2),IFS(AND($U197&gt;=1700,$U197&lt;=1850),1,AND($U197&gt;=1650,$U197&lt;1700),0.7,AND($U197&gt;1850,$U197&lt;=1900),0.7,TRUE,0.2)),IF(OR($B197="Ноги",$B197="Верх"),IFS(AND($V197&gt;=125,$V197&lt;=135),1,AND($V197&gt;=115,$V197&lt;125),0.7,AND($V197&gt;135,$V197&lt;=145),0.7,AND($V197&gt;=105,$V197&lt;115),0.4,AND($V197&gt;145,$V197&lt;=155),0.4,TRUE,0.2),IFS(AND($V197&gt;=120,$V197&lt;=130),1,AND($V197&gt;=110,$V197&lt;120),0.7,AND($V197&gt;130,$V197&lt;=140),0.7,AND($V197&gt;=100,$V197&lt;110),0.4,AND($V197&gt;140,$V197&lt;=150),0.4,TRUE,0.2)),IFS(AND($W197&gt;=55,$W197&lt;=65),1,AND($W197&gt;=50,$W197&lt;55),0.7,AND($W197&gt;65,$W197&lt;=70),0.7,AND($W197&gt;=45,$W197&lt;50),0.4,AND($W197&gt;70,$W197&lt;=75),0.4,TRUE,0.2),IF(OR($B197="Ноги",$B197="Верх"),IFS(AND($X197&gt;=180,$X197&lt;=210),1,AND($X197&gt;=160,$X197&lt;180),0.7,AND($X197&gt;210,$X197&lt;=230),0.7,AND($X197&gt;=140,$X197&lt;160),0.4,AND($X197&gt;230,$X197&lt;=250),0.4,TRUE,0.2),IFS(AND($X197&gt;=140,$X197&lt;=170),1,AND($X197&gt;=120,$X197&lt;140),0.7,AND($X197&gt;170,$X197&lt;=190),0.7,AND($X197&gt;=100,$X197&lt;120),0.4,AND($X197&gt;190,$X197&lt;=210),0.4,TRUE,0.2))))),1),""))</f>
        <v/>
      </c>
      <c r="Z197">
        <f>IF($A197="","",TEXTJOIN(", ",TRUE,IF($B197="","Тренировка",""),IF($C197="","Кардио",""),IF($D197="","Шаги",""),IF($E197="","Английский",""),IF($F197="","Код-режим",""),IF($G197="","Код-тема",""),IF($H197="","Чтение",""),IF($L197="","Сон",""),IF($M197="","Режим",""),IF($N197="","Продуктивность",""),IF($O197="","Настроение",""),IF($P197="","Энергия",""),IF($U197="","Еда","")))</f>
        <v/>
      </c>
    </row>
    <row r="198">
      <c r="A198" t="inlineStr"/>
      <c r="U198">
        <f>IF($A198="","",IF(SUMIF(FoodLog!$A:$A,$A198,FoodLog!$I:$I)=0,"",SUMIF(FoodLog!$A:$A,$A198,FoodLog!$I:$I)))</f>
        <v/>
      </c>
      <c r="V198">
        <f>IF($A198="","",IF(SUMIF(FoodLog!$A:$A,$A198,FoodLog!$F:$F)=0,"",SUMIF(FoodLog!$A:$A,$A198,FoodLog!$F:$F)))</f>
        <v/>
      </c>
      <c r="W198">
        <f>IF($A198="","",IF(SUMIF(FoodLog!$A:$A,$A198,FoodLog!$G:$G)=0,"",SUMIF(FoodLog!$A:$A,$A198,FoodLog!$G:$G)))</f>
        <v/>
      </c>
      <c r="X198">
        <f>IF($A198="","",IF(SUMIF(FoodLog!$A:$A,$A198,FoodLog!$H:$H)=0,"",SUMIF(FoodLog!$A:$A,$A198,FoodLog!$H:$H)))</f>
        <v/>
      </c>
      <c r="Y198">
        <f>IF($A198="","",IFERROR(ROUND(100*AVERAGE(IF($B198="","",XLOOKUP($B198,FILTER(Dictionaries!$B:$B,Dictionaries!$A:$A="Тренировка"),FILTER(Dictionaries!$C:$C,Dictionaries!$A:$A="Тренировка"))),IF($C198="","",MIN($C198/40,1)),IF($D198="","",XLOOKUP($D198,FILTER(Dictionaries!$B:$B,Dictionaries!$A:$A="Шаги"),FILTER(Dictionaries!$C:$C,Dictionaries!$A:$A="Шаги"))),IF($E198="","",MIN($E198/120,1)),IF(OR($F198&lt;&gt;"",$G198&lt;&gt;""),1,""),IF($H198="","",MIN($H198/100,1)),IF($L198="","",XLOOKUP($L198,FILTER(Dictionaries!$B:$B,Dictionaries!$A:$A="Сон_часы"),FILTER(Dictionaries!$C:$C,Dictionaries!$A:$A="Сон_часы"))),IF($M198="","",XLOOKUP($M198,FILTER(Dictionaries!$B:$B,Dictionaries!$A:$A="Режим"),FILTER(Dictionaries!$C:$C,Dictionaries!$A:$A="Режим"))),IF($N198="","",MIN($N198/100,1)),IF($O198="","",XLOOKUP($O198,FILTER(Dictionaries!$B:$B,Dictionaries!$A:$A="Настроение"),FILTER(Dictionaries!$C:$C,Dictionaries!$A:$A="Настроение"))),IF($P198="","",XLOOKUP($P198,FILTER(Dictionaries!$B:$B,Dictionaries!$A:$A="Энергия"),FILTER(Dictionaries!$C:$C,Dictionaries!$A:$A="Энергия"))),IF($U198="","",AVERAGE(IF(OR($B198="Ноги",$B198="Верх"),IFS(AND($U198&gt;=1900,$U198&lt;=2050),1,AND($U198&gt;=1850,$U198&lt;1900),0.7,AND($U198&gt;2050,$U198&lt;=2100),0.7,TRUE,0.2),IFS(AND($U198&gt;=1700,$U198&lt;=1850),1,AND($U198&gt;=1650,$U198&lt;1700),0.7,AND($U198&gt;1850,$U198&lt;=1900),0.7,TRUE,0.2)),IF(OR($B198="Ноги",$B198="Верх"),IFS(AND($V198&gt;=125,$V198&lt;=135),1,AND($V198&gt;=115,$V198&lt;125),0.7,AND($V198&gt;135,$V198&lt;=145),0.7,AND($V198&gt;=105,$V198&lt;115),0.4,AND($V198&gt;145,$V198&lt;=155),0.4,TRUE,0.2),IFS(AND($V198&gt;=120,$V198&lt;=130),1,AND($V198&gt;=110,$V198&lt;120),0.7,AND($V198&gt;130,$V198&lt;=140),0.7,AND($V198&gt;=100,$V198&lt;110),0.4,AND($V198&gt;140,$V198&lt;=150),0.4,TRUE,0.2)),IFS(AND($W198&gt;=55,$W198&lt;=65),1,AND($W198&gt;=50,$W198&lt;55),0.7,AND($W198&gt;65,$W198&lt;=70),0.7,AND($W198&gt;=45,$W198&lt;50),0.4,AND($W198&gt;70,$W198&lt;=75),0.4,TRUE,0.2),IF(OR($B198="Ноги",$B198="Верх"),IFS(AND($X198&gt;=180,$X198&lt;=210),1,AND($X198&gt;=160,$X198&lt;180),0.7,AND($X198&gt;210,$X198&lt;=230),0.7,AND($X198&gt;=140,$X198&lt;160),0.4,AND($X198&gt;230,$X198&lt;=250),0.4,TRUE,0.2),IFS(AND($X198&gt;=140,$X198&lt;=170),1,AND($X198&gt;=120,$X198&lt;140),0.7,AND($X198&gt;170,$X198&lt;=190),0.7,AND($X198&gt;=100,$X198&lt;120),0.4,AND($X198&gt;190,$X198&lt;=210),0.4,TRUE,0.2))))),1),""))</f>
        <v/>
      </c>
      <c r="Z198">
        <f>IF($A198="","",TEXTJOIN(", ",TRUE,IF($B198="","Тренировка",""),IF($C198="","Кардио",""),IF($D198="","Шаги",""),IF($E198="","Английский",""),IF($F198="","Код-режим",""),IF($G198="","Код-тема",""),IF($H198="","Чтение",""),IF($L198="","Сон",""),IF($M198="","Режим",""),IF($N198="","Продуктивность",""),IF($O198="","Настроение",""),IF($P198="","Энергия",""),IF($U198="","Еда","")))</f>
        <v/>
      </c>
    </row>
    <row r="199">
      <c r="A199" t="inlineStr"/>
      <c r="U199">
        <f>IF($A199="","",IF(SUMIF(FoodLog!$A:$A,$A199,FoodLog!$I:$I)=0,"",SUMIF(FoodLog!$A:$A,$A199,FoodLog!$I:$I)))</f>
        <v/>
      </c>
      <c r="V199">
        <f>IF($A199="","",IF(SUMIF(FoodLog!$A:$A,$A199,FoodLog!$F:$F)=0,"",SUMIF(FoodLog!$A:$A,$A199,FoodLog!$F:$F)))</f>
        <v/>
      </c>
      <c r="W199">
        <f>IF($A199="","",IF(SUMIF(FoodLog!$A:$A,$A199,FoodLog!$G:$G)=0,"",SUMIF(FoodLog!$A:$A,$A199,FoodLog!$G:$G)))</f>
        <v/>
      </c>
      <c r="X199">
        <f>IF($A199="","",IF(SUMIF(FoodLog!$A:$A,$A199,FoodLog!$H:$H)=0,"",SUMIF(FoodLog!$A:$A,$A199,FoodLog!$H:$H)))</f>
        <v/>
      </c>
      <c r="Y199">
        <f>IF($A199="","",IFERROR(ROUND(100*AVERAGE(IF($B199="","",XLOOKUP($B199,FILTER(Dictionaries!$B:$B,Dictionaries!$A:$A="Тренировка"),FILTER(Dictionaries!$C:$C,Dictionaries!$A:$A="Тренировка"))),IF($C199="","",MIN($C199/40,1)),IF($D199="","",XLOOKUP($D199,FILTER(Dictionaries!$B:$B,Dictionaries!$A:$A="Шаги"),FILTER(Dictionaries!$C:$C,Dictionaries!$A:$A="Шаги"))),IF($E199="","",MIN($E199/120,1)),IF(OR($F199&lt;&gt;"",$G199&lt;&gt;""),1,""),IF($H199="","",MIN($H199/100,1)),IF($L199="","",XLOOKUP($L199,FILTER(Dictionaries!$B:$B,Dictionaries!$A:$A="Сон_часы"),FILTER(Dictionaries!$C:$C,Dictionaries!$A:$A="Сон_часы"))),IF($M199="","",XLOOKUP($M199,FILTER(Dictionaries!$B:$B,Dictionaries!$A:$A="Режим"),FILTER(Dictionaries!$C:$C,Dictionaries!$A:$A="Режим"))),IF($N199="","",MIN($N199/100,1)),IF($O199="","",XLOOKUP($O199,FILTER(Dictionaries!$B:$B,Dictionaries!$A:$A="Настроение"),FILTER(Dictionaries!$C:$C,Dictionaries!$A:$A="Настроение"))),IF($P199="","",XLOOKUP($P199,FILTER(Dictionaries!$B:$B,Dictionaries!$A:$A="Энергия"),FILTER(Dictionaries!$C:$C,Dictionaries!$A:$A="Энергия"))),IF($U199="","",AVERAGE(IF(OR($B199="Ноги",$B199="Верх"),IFS(AND($U199&gt;=1900,$U199&lt;=2050),1,AND($U199&gt;=1850,$U199&lt;1900),0.7,AND($U199&gt;2050,$U199&lt;=2100),0.7,TRUE,0.2),IFS(AND($U199&gt;=1700,$U199&lt;=1850),1,AND($U199&gt;=1650,$U199&lt;1700),0.7,AND($U199&gt;1850,$U199&lt;=1900),0.7,TRUE,0.2)),IF(OR($B199="Ноги",$B199="Верх"),IFS(AND($V199&gt;=125,$V199&lt;=135),1,AND($V199&gt;=115,$V199&lt;125),0.7,AND($V199&gt;135,$V199&lt;=145),0.7,AND($V199&gt;=105,$V199&lt;115),0.4,AND($V199&gt;145,$V199&lt;=155),0.4,TRUE,0.2),IFS(AND($V199&gt;=120,$V199&lt;=130),1,AND($V199&gt;=110,$V199&lt;120),0.7,AND($V199&gt;130,$V199&lt;=140),0.7,AND($V199&gt;=100,$V199&lt;110),0.4,AND($V199&gt;140,$V199&lt;=150),0.4,TRUE,0.2)),IFS(AND($W199&gt;=55,$W199&lt;=65),1,AND($W199&gt;=50,$W199&lt;55),0.7,AND($W199&gt;65,$W199&lt;=70),0.7,AND($W199&gt;=45,$W199&lt;50),0.4,AND($W199&gt;70,$W199&lt;=75),0.4,TRUE,0.2),IF(OR($B199="Ноги",$B199="Верх"),IFS(AND($X199&gt;=180,$X199&lt;=210),1,AND($X199&gt;=160,$X199&lt;180),0.7,AND($X199&gt;210,$X199&lt;=230),0.7,AND($X199&gt;=140,$X199&lt;160),0.4,AND($X199&gt;230,$X199&lt;=250),0.4,TRUE,0.2),IFS(AND($X199&gt;=140,$X199&lt;=170),1,AND($X199&gt;=120,$X199&lt;140),0.7,AND($X199&gt;170,$X199&lt;=190),0.7,AND($X199&gt;=100,$X199&lt;120),0.4,AND($X199&gt;190,$X199&lt;=210),0.4,TRUE,0.2))))),1),""))</f>
        <v/>
      </c>
      <c r="Z199">
        <f>IF($A199="","",TEXTJOIN(", ",TRUE,IF($B199="","Тренировка",""),IF($C199="","Кардио",""),IF($D199="","Шаги",""),IF($E199="","Английский",""),IF($F199="","Код-режим",""),IF($G199="","Код-тема",""),IF($H199="","Чтение",""),IF($L199="","Сон",""),IF($M199="","Режим",""),IF($N199="","Продуктивность",""),IF($O199="","Настроение",""),IF($P199="","Энергия",""),IF($U199="","Еда","")))</f>
        <v/>
      </c>
    </row>
    <row r="200">
      <c r="A200" t="inlineStr"/>
      <c r="U200">
        <f>IF($A200="","",IF(SUMIF(FoodLog!$A:$A,$A200,FoodLog!$I:$I)=0,"",SUMIF(FoodLog!$A:$A,$A200,FoodLog!$I:$I)))</f>
        <v/>
      </c>
      <c r="V200">
        <f>IF($A200="","",IF(SUMIF(FoodLog!$A:$A,$A200,FoodLog!$F:$F)=0,"",SUMIF(FoodLog!$A:$A,$A200,FoodLog!$F:$F)))</f>
        <v/>
      </c>
      <c r="W200">
        <f>IF($A200="","",IF(SUMIF(FoodLog!$A:$A,$A200,FoodLog!$G:$G)=0,"",SUMIF(FoodLog!$A:$A,$A200,FoodLog!$G:$G)))</f>
        <v/>
      </c>
      <c r="X200">
        <f>IF($A200="","",IF(SUMIF(FoodLog!$A:$A,$A200,FoodLog!$H:$H)=0,"",SUMIF(FoodLog!$A:$A,$A200,FoodLog!$H:$H)))</f>
        <v/>
      </c>
      <c r="Y200">
        <f>IF($A200="","",IFERROR(ROUND(100*AVERAGE(IF($B200="","",XLOOKUP($B200,FILTER(Dictionaries!$B:$B,Dictionaries!$A:$A="Тренировка"),FILTER(Dictionaries!$C:$C,Dictionaries!$A:$A="Тренировка"))),IF($C200="","",MIN($C200/40,1)),IF($D200="","",XLOOKUP($D200,FILTER(Dictionaries!$B:$B,Dictionaries!$A:$A="Шаги"),FILTER(Dictionaries!$C:$C,Dictionaries!$A:$A="Шаги"))),IF($E200="","",MIN($E200/120,1)),IF(OR($F200&lt;&gt;"",$G200&lt;&gt;""),1,""),IF($H200="","",MIN($H200/100,1)),IF($L200="","",XLOOKUP($L200,FILTER(Dictionaries!$B:$B,Dictionaries!$A:$A="Сон_часы"),FILTER(Dictionaries!$C:$C,Dictionaries!$A:$A="Сон_часы"))),IF($M200="","",XLOOKUP($M200,FILTER(Dictionaries!$B:$B,Dictionaries!$A:$A="Режим"),FILTER(Dictionaries!$C:$C,Dictionaries!$A:$A="Режим"))),IF($N200="","",MIN($N200/100,1)),IF($O200="","",XLOOKUP($O200,FILTER(Dictionaries!$B:$B,Dictionaries!$A:$A="Настроение"),FILTER(Dictionaries!$C:$C,Dictionaries!$A:$A="Настроение"))),IF($P200="","",XLOOKUP($P200,FILTER(Dictionaries!$B:$B,Dictionaries!$A:$A="Энергия"),FILTER(Dictionaries!$C:$C,Dictionaries!$A:$A="Энергия"))),IF($U200="","",AVERAGE(IF(OR($B200="Ноги",$B200="Верх"),IFS(AND($U200&gt;=1900,$U200&lt;=2050),1,AND($U200&gt;=1850,$U200&lt;1900),0.7,AND($U200&gt;2050,$U200&lt;=2100),0.7,TRUE,0.2),IFS(AND($U200&gt;=1700,$U200&lt;=1850),1,AND($U200&gt;=1650,$U200&lt;1700),0.7,AND($U200&gt;1850,$U200&lt;=1900),0.7,TRUE,0.2)),IF(OR($B200="Ноги",$B200="Верх"),IFS(AND($V200&gt;=125,$V200&lt;=135),1,AND($V200&gt;=115,$V200&lt;125),0.7,AND($V200&gt;135,$V200&lt;=145),0.7,AND($V200&gt;=105,$V200&lt;115),0.4,AND($V200&gt;145,$V200&lt;=155),0.4,TRUE,0.2),IFS(AND($V200&gt;=120,$V200&lt;=130),1,AND($V200&gt;=110,$V200&lt;120),0.7,AND($V200&gt;130,$V200&lt;=140),0.7,AND($V200&gt;=100,$V200&lt;110),0.4,AND($V200&gt;140,$V200&lt;=150),0.4,TRUE,0.2)),IFS(AND($W200&gt;=55,$W200&lt;=65),1,AND($W200&gt;=50,$W200&lt;55),0.7,AND($W200&gt;65,$W200&lt;=70),0.7,AND($W200&gt;=45,$W200&lt;50),0.4,AND($W200&gt;70,$W200&lt;=75),0.4,TRUE,0.2),IF(OR($B200="Ноги",$B200="Верх"),IFS(AND($X200&gt;=180,$X200&lt;=210),1,AND($X200&gt;=160,$X200&lt;180),0.7,AND($X200&gt;210,$X200&lt;=230),0.7,AND($X200&gt;=140,$X200&lt;160),0.4,AND($X200&gt;230,$X200&lt;=250),0.4,TRUE,0.2),IFS(AND($X200&gt;=140,$X200&lt;=170),1,AND($X200&gt;=120,$X200&lt;140),0.7,AND($X200&gt;170,$X200&lt;=190),0.7,AND($X200&gt;=100,$X200&lt;120),0.4,AND($X200&gt;190,$X200&lt;=210),0.4,TRUE,0.2))))),1),""))</f>
        <v/>
      </c>
      <c r="Z200">
        <f>IF($A200="","",TEXTJOIN(", ",TRUE,IF($B200="","Тренировка",""),IF($C200="","Кардио",""),IF($D200="","Шаги",""),IF($E200="","Английский",""),IF($F200="","Код-режим",""),IF($G200="","Код-тема",""),IF($H200="","Чтение",""),IF($L200="","Сон",""),IF($M200="","Режим",""),IF($N200="","Продуктивность",""),IF($O200="","Настроение",""),IF($P200="","Энергия",""),IF($U200="","Еда","")))</f>
        <v/>
      </c>
    </row>
    <row r="201">
      <c r="A201" t="inlineStr"/>
      <c r="U201">
        <f>IF($A201="","",IF(SUMIF(FoodLog!$A:$A,$A201,FoodLog!$I:$I)=0,"",SUMIF(FoodLog!$A:$A,$A201,FoodLog!$I:$I)))</f>
        <v/>
      </c>
      <c r="V201">
        <f>IF($A201="","",IF(SUMIF(FoodLog!$A:$A,$A201,FoodLog!$F:$F)=0,"",SUMIF(FoodLog!$A:$A,$A201,FoodLog!$F:$F)))</f>
        <v/>
      </c>
      <c r="W201">
        <f>IF($A201="","",IF(SUMIF(FoodLog!$A:$A,$A201,FoodLog!$G:$G)=0,"",SUMIF(FoodLog!$A:$A,$A201,FoodLog!$G:$G)))</f>
        <v/>
      </c>
      <c r="X201">
        <f>IF($A201="","",IF(SUMIF(FoodLog!$A:$A,$A201,FoodLog!$H:$H)=0,"",SUMIF(FoodLog!$A:$A,$A201,FoodLog!$H:$H)))</f>
        <v/>
      </c>
      <c r="Y201">
        <f>IF($A201="","",IFERROR(ROUND(100*AVERAGE(IF($B201="","",XLOOKUP($B201,FILTER(Dictionaries!$B:$B,Dictionaries!$A:$A="Тренировка"),FILTER(Dictionaries!$C:$C,Dictionaries!$A:$A="Тренировка"))),IF($C201="","",MIN($C201/40,1)),IF($D201="","",XLOOKUP($D201,FILTER(Dictionaries!$B:$B,Dictionaries!$A:$A="Шаги"),FILTER(Dictionaries!$C:$C,Dictionaries!$A:$A="Шаги"))),IF($E201="","",MIN($E201/120,1)),IF(OR($F201&lt;&gt;"",$G201&lt;&gt;""),1,""),IF($H201="","",MIN($H201/100,1)),IF($L201="","",XLOOKUP($L201,FILTER(Dictionaries!$B:$B,Dictionaries!$A:$A="Сон_часы"),FILTER(Dictionaries!$C:$C,Dictionaries!$A:$A="Сон_часы"))),IF($M201="","",XLOOKUP($M201,FILTER(Dictionaries!$B:$B,Dictionaries!$A:$A="Режим"),FILTER(Dictionaries!$C:$C,Dictionaries!$A:$A="Режим"))),IF($N201="","",MIN($N201/100,1)),IF($O201="","",XLOOKUP($O201,FILTER(Dictionaries!$B:$B,Dictionaries!$A:$A="Настроение"),FILTER(Dictionaries!$C:$C,Dictionaries!$A:$A="Настроение"))),IF($P201="","",XLOOKUP($P201,FILTER(Dictionaries!$B:$B,Dictionaries!$A:$A="Энергия"),FILTER(Dictionaries!$C:$C,Dictionaries!$A:$A="Энергия"))),IF($U201="","",AVERAGE(IF(OR($B201="Ноги",$B201="Верх"),IFS(AND($U201&gt;=1900,$U201&lt;=2050),1,AND($U201&gt;=1850,$U201&lt;1900),0.7,AND($U201&gt;2050,$U201&lt;=2100),0.7,TRUE,0.2),IFS(AND($U201&gt;=1700,$U201&lt;=1850),1,AND($U201&gt;=1650,$U201&lt;1700),0.7,AND($U201&gt;1850,$U201&lt;=1900),0.7,TRUE,0.2)),IF(OR($B201="Ноги",$B201="Верх"),IFS(AND($V201&gt;=125,$V201&lt;=135),1,AND($V201&gt;=115,$V201&lt;125),0.7,AND($V201&gt;135,$V201&lt;=145),0.7,AND($V201&gt;=105,$V201&lt;115),0.4,AND($V201&gt;145,$V201&lt;=155),0.4,TRUE,0.2),IFS(AND($V201&gt;=120,$V201&lt;=130),1,AND($V201&gt;=110,$V201&lt;120),0.7,AND($V201&gt;130,$V201&lt;=140),0.7,AND($V201&gt;=100,$V201&lt;110),0.4,AND($V201&gt;140,$V201&lt;=150),0.4,TRUE,0.2)),IFS(AND($W201&gt;=55,$W201&lt;=65),1,AND($W201&gt;=50,$W201&lt;55),0.7,AND($W201&gt;65,$W201&lt;=70),0.7,AND($W201&gt;=45,$W201&lt;50),0.4,AND($W201&gt;70,$W201&lt;=75),0.4,TRUE,0.2),IF(OR($B201="Ноги",$B201="Верх"),IFS(AND($X201&gt;=180,$X201&lt;=210),1,AND($X201&gt;=160,$X201&lt;180),0.7,AND($X201&gt;210,$X201&lt;=230),0.7,AND($X201&gt;=140,$X201&lt;160),0.4,AND($X201&gt;230,$X201&lt;=250),0.4,TRUE,0.2),IFS(AND($X201&gt;=140,$X201&lt;=170),1,AND($X201&gt;=120,$X201&lt;140),0.7,AND($X201&gt;170,$X201&lt;=190),0.7,AND($X201&gt;=100,$X201&lt;120),0.4,AND($X201&gt;190,$X201&lt;=210),0.4,TRUE,0.2))))),1),""))</f>
        <v/>
      </c>
      <c r="Z201">
        <f>IF($A201="","",TEXTJOIN(", ",TRUE,IF($B201="","Тренировка",""),IF($C201="","Кардио",""),IF($D201="","Шаги",""),IF($E201="","Английский",""),IF($F201="","Код-режим",""),IF($G201="","Код-тема",""),IF($H201="","Чтение",""),IF($L201="","Сон",""),IF($M201="","Режим",""),IF($N201="","Продуктивность",""),IF($O201="","Настроение",""),IF($P201="","Энергия",""),IF($U201="","Еда","")))</f>
        <v/>
      </c>
    </row>
    <row r="202">
      <c r="A202" t="inlineStr"/>
      <c r="U202">
        <f>IF($A202="","",IF(SUMIF(FoodLog!$A:$A,$A202,FoodLog!$I:$I)=0,"",SUMIF(FoodLog!$A:$A,$A202,FoodLog!$I:$I)))</f>
        <v/>
      </c>
      <c r="V202">
        <f>IF($A202="","",IF(SUMIF(FoodLog!$A:$A,$A202,FoodLog!$F:$F)=0,"",SUMIF(FoodLog!$A:$A,$A202,FoodLog!$F:$F)))</f>
        <v/>
      </c>
      <c r="W202">
        <f>IF($A202="","",IF(SUMIF(FoodLog!$A:$A,$A202,FoodLog!$G:$G)=0,"",SUMIF(FoodLog!$A:$A,$A202,FoodLog!$G:$G)))</f>
        <v/>
      </c>
      <c r="X202">
        <f>IF($A202="","",IF(SUMIF(FoodLog!$A:$A,$A202,FoodLog!$H:$H)=0,"",SUMIF(FoodLog!$A:$A,$A202,FoodLog!$H:$H)))</f>
        <v/>
      </c>
      <c r="Y202">
        <f>IF($A202="","",IFERROR(ROUND(100*AVERAGE(IF($B202="","",XLOOKUP($B202,FILTER(Dictionaries!$B:$B,Dictionaries!$A:$A="Тренировка"),FILTER(Dictionaries!$C:$C,Dictionaries!$A:$A="Тренировка"))),IF($C202="","",MIN($C202/40,1)),IF($D202="","",XLOOKUP($D202,FILTER(Dictionaries!$B:$B,Dictionaries!$A:$A="Шаги"),FILTER(Dictionaries!$C:$C,Dictionaries!$A:$A="Шаги"))),IF($E202="","",MIN($E202/120,1)),IF(OR($F202&lt;&gt;"",$G202&lt;&gt;""),1,""),IF($H202="","",MIN($H202/100,1)),IF($L202="","",XLOOKUP($L202,FILTER(Dictionaries!$B:$B,Dictionaries!$A:$A="Сон_часы"),FILTER(Dictionaries!$C:$C,Dictionaries!$A:$A="Сон_часы"))),IF($M202="","",XLOOKUP($M202,FILTER(Dictionaries!$B:$B,Dictionaries!$A:$A="Режим"),FILTER(Dictionaries!$C:$C,Dictionaries!$A:$A="Режим"))),IF($N202="","",MIN($N202/100,1)),IF($O202="","",XLOOKUP($O202,FILTER(Dictionaries!$B:$B,Dictionaries!$A:$A="Настроение"),FILTER(Dictionaries!$C:$C,Dictionaries!$A:$A="Настроение"))),IF($P202="","",XLOOKUP($P202,FILTER(Dictionaries!$B:$B,Dictionaries!$A:$A="Энергия"),FILTER(Dictionaries!$C:$C,Dictionaries!$A:$A="Энергия"))),IF($U202="","",AVERAGE(IF(OR($B202="Ноги",$B202="Верх"),IFS(AND($U202&gt;=1900,$U202&lt;=2050),1,AND($U202&gt;=1850,$U202&lt;1900),0.7,AND($U202&gt;2050,$U202&lt;=2100),0.7,TRUE,0.2),IFS(AND($U202&gt;=1700,$U202&lt;=1850),1,AND($U202&gt;=1650,$U202&lt;1700),0.7,AND($U202&gt;1850,$U202&lt;=1900),0.7,TRUE,0.2)),IF(OR($B202="Ноги",$B202="Верх"),IFS(AND($V202&gt;=125,$V202&lt;=135),1,AND($V202&gt;=115,$V202&lt;125),0.7,AND($V202&gt;135,$V202&lt;=145),0.7,AND($V202&gt;=105,$V202&lt;115),0.4,AND($V202&gt;145,$V202&lt;=155),0.4,TRUE,0.2),IFS(AND($V202&gt;=120,$V202&lt;=130),1,AND($V202&gt;=110,$V202&lt;120),0.7,AND($V202&gt;130,$V202&lt;=140),0.7,AND($V202&gt;=100,$V202&lt;110),0.4,AND($V202&gt;140,$V202&lt;=150),0.4,TRUE,0.2)),IFS(AND($W202&gt;=55,$W202&lt;=65),1,AND($W202&gt;=50,$W202&lt;55),0.7,AND($W202&gt;65,$W202&lt;=70),0.7,AND($W202&gt;=45,$W202&lt;50),0.4,AND($W202&gt;70,$W202&lt;=75),0.4,TRUE,0.2),IF(OR($B202="Ноги",$B202="Верх"),IFS(AND($X202&gt;=180,$X202&lt;=210),1,AND($X202&gt;=160,$X202&lt;180),0.7,AND($X202&gt;210,$X202&lt;=230),0.7,AND($X202&gt;=140,$X202&lt;160),0.4,AND($X202&gt;230,$X202&lt;=250),0.4,TRUE,0.2),IFS(AND($X202&gt;=140,$X202&lt;=170),1,AND($X202&gt;=120,$X202&lt;140),0.7,AND($X202&gt;170,$X202&lt;=190),0.7,AND($X202&gt;=100,$X202&lt;120),0.4,AND($X202&gt;190,$X202&lt;=210),0.4,TRUE,0.2))))),1),""))</f>
        <v/>
      </c>
      <c r="Z202">
        <f>IF($A202="","",TEXTJOIN(", ",TRUE,IF($B202="","Тренировка",""),IF($C202="","Кардио",""),IF($D202="","Шаги",""),IF($E202="","Английский",""),IF($F202="","Код-режим",""),IF($G202="","Код-тема",""),IF($H202="","Чтение",""),IF($L202="","Сон",""),IF($M202="","Режим",""),IF($N202="","Продуктивность",""),IF($O202="","Настроение",""),IF($P202="","Энергия",""),IF($U202="","Еда","")))</f>
        <v/>
      </c>
    </row>
    <row r="203">
      <c r="A203" t="inlineStr"/>
      <c r="U203">
        <f>IF($A203="","",IF(SUMIF(FoodLog!$A:$A,$A203,FoodLog!$I:$I)=0,"",SUMIF(FoodLog!$A:$A,$A203,FoodLog!$I:$I)))</f>
        <v/>
      </c>
      <c r="V203">
        <f>IF($A203="","",IF(SUMIF(FoodLog!$A:$A,$A203,FoodLog!$F:$F)=0,"",SUMIF(FoodLog!$A:$A,$A203,FoodLog!$F:$F)))</f>
        <v/>
      </c>
      <c r="W203">
        <f>IF($A203="","",IF(SUMIF(FoodLog!$A:$A,$A203,FoodLog!$G:$G)=0,"",SUMIF(FoodLog!$A:$A,$A203,FoodLog!$G:$G)))</f>
        <v/>
      </c>
      <c r="X203">
        <f>IF($A203="","",IF(SUMIF(FoodLog!$A:$A,$A203,FoodLog!$H:$H)=0,"",SUMIF(FoodLog!$A:$A,$A203,FoodLog!$H:$H)))</f>
        <v/>
      </c>
      <c r="Y203">
        <f>IF($A203="","",IFERROR(ROUND(100*AVERAGE(IF($B203="","",XLOOKUP($B203,FILTER(Dictionaries!$B:$B,Dictionaries!$A:$A="Тренировка"),FILTER(Dictionaries!$C:$C,Dictionaries!$A:$A="Тренировка"))),IF($C203="","",MIN($C203/40,1)),IF($D203="","",XLOOKUP($D203,FILTER(Dictionaries!$B:$B,Dictionaries!$A:$A="Шаги"),FILTER(Dictionaries!$C:$C,Dictionaries!$A:$A="Шаги"))),IF($E203="","",MIN($E203/120,1)),IF(OR($F203&lt;&gt;"",$G203&lt;&gt;""),1,""),IF($H203="","",MIN($H203/100,1)),IF($L203="","",XLOOKUP($L203,FILTER(Dictionaries!$B:$B,Dictionaries!$A:$A="Сон_часы"),FILTER(Dictionaries!$C:$C,Dictionaries!$A:$A="Сон_часы"))),IF($M203="","",XLOOKUP($M203,FILTER(Dictionaries!$B:$B,Dictionaries!$A:$A="Режим"),FILTER(Dictionaries!$C:$C,Dictionaries!$A:$A="Режим"))),IF($N203="","",MIN($N203/100,1)),IF($O203="","",XLOOKUP($O203,FILTER(Dictionaries!$B:$B,Dictionaries!$A:$A="Настроение"),FILTER(Dictionaries!$C:$C,Dictionaries!$A:$A="Настроение"))),IF($P203="","",XLOOKUP($P203,FILTER(Dictionaries!$B:$B,Dictionaries!$A:$A="Энергия"),FILTER(Dictionaries!$C:$C,Dictionaries!$A:$A="Энергия"))),IF($U203="","",AVERAGE(IF(OR($B203="Ноги",$B203="Верх"),IFS(AND($U203&gt;=1900,$U203&lt;=2050),1,AND($U203&gt;=1850,$U203&lt;1900),0.7,AND($U203&gt;2050,$U203&lt;=2100),0.7,TRUE,0.2),IFS(AND($U203&gt;=1700,$U203&lt;=1850),1,AND($U203&gt;=1650,$U203&lt;1700),0.7,AND($U203&gt;1850,$U203&lt;=1900),0.7,TRUE,0.2)),IF(OR($B203="Ноги",$B203="Верх"),IFS(AND($V203&gt;=125,$V203&lt;=135),1,AND($V203&gt;=115,$V203&lt;125),0.7,AND($V203&gt;135,$V203&lt;=145),0.7,AND($V203&gt;=105,$V203&lt;115),0.4,AND($V203&gt;145,$V203&lt;=155),0.4,TRUE,0.2),IFS(AND($V203&gt;=120,$V203&lt;=130),1,AND($V203&gt;=110,$V203&lt;120),0.7,AND($V203&gt;130,$V203&lt;=140),0.7,AND($V203&gt;=100,$V203&lt;110),0.4,AND($V203&gt;140,$V203&lt;=150),0.4,TRUE,0.2)),IFS(AND($W203&gt;=55,$W203&lt;=65),1,AND($W203&gt;=50,$W203&lt;55),0.7,AND($W203&gt;65,$W203&lt;=70),0.7,AND($W203&gt;=45,$W203&lt;50),0.4,AND($W203&gt;70,$W203&lt;=75),0.4,TRUE,0.2),IF(OR($B203="Ноги",$B203="Верх"),IFS(AND($X203&gt;=180,$X203&lt;=210),1,AND($X203&gt;=160,$X203&lt;180),0.7,AND($X203&gt;210,$X203&lt;=230),0.7,AND($X203&gt;=140,$X203&lt;160),0.4,AND($X203&gt;230,$X203&lt;=250),0.4,TRUE,0.2),IFS(AND($X203&gt;=140,$X203&lt;=170),1,AND($X203&gt;=120,$X203&lt;140),0.7,AND($X203&gt;170,$X203&lt;=190),0.7,AND($X203&gt;=100,$X203&lt;120),0.4,AND($X203&gt;190,$X203&lt;=210),0.4,TRUE,0.2))))),1),""))</f>
        <v/>
      </c>
      <c r="Z203">
        <f>IF($A203="","",TEXTJOIN(", ",TRUE,IF($B203="","Тренировка",""),IF($C203="","Кардио",""),IF($D203="","Шаги",""),IF($E203="","Английский",""),IF($F203="","Код-режим",""),IF($G203="","Код-тема",""),IF($H203="","Чтение",""),IF($L203="","Сон",""),IF($M203="","Режим",""),IF($N203="","Продуктивность",""),IF($O203="","Настроение",""),IF($P203="","Энергия",""),IF($U203="","Еда","")))</f>
        <v/>
      </c>
    </row>
    <row r="204">
      <c r="A204" t="inlineStr"/>
      <c r="U204">
        <f>IF($A204="","",IF(SUMIF(FoodLog!$A:$A,$A204,FoodLog!$I:$I)=0,"",SUMIF(FoodLog!$A:$A,$A204,FoodLog!$I:$I)))</f>
        <v/>
      </c>
      <c r="V204">
        <f>IF($A204="","",IF(SUMIF(FoodLog!$A:$A,$A204,FoodLog!$F:$F)=0,"",SUMIF(FoodLog!$A:$A,$A204,FoodLog!$F:$F)))</f>
        <v/>
      </c>
      <c r="W204">
        <f>IF($A204="","",IF(SUMIF(FoodLog!$A:$A,$A204,FoodLog!$G:$G)=0,"",SUMIF(FoodLog!$A:$A,$A204,FoodLog!$G:$G)))</f>
        <v/>
      </c>
      <c r="X204">
        <f>IF($A204="","",IF(SUMIF(FoodLog!$A:$A,$A204,FoodLog!$H:$H)=0,"",SUMIF(FoodLog!$A:$A,$A204,FoodLog!$H:$H)))</f>
        <v/>
      </c>
      <c r="Y204">
        <f>IF($A204="","",IFERROR(ROUND(100*AVERAGE(IF($B204="","",XLOOKUP($B204,FILTER(Dictionaries!$B:$B,Dictionaries!$A:$A="Тренировка"),FILTER(Dictionaries!$C:$C,Dictionaries!$A:$A="Тренировка"))),IF($C204="","",MIN($C204/40,1)),IF($D204="","",XLOOKUP($D204,FILTER(Dictionaries!$B:$B,Dictionaries!$A:$A="Шаги"),FILTER(Dictionaries!$C:$C,Dictionaries!$A:$A="Шаги"))),IF($E204="","",MIN($E204/120,1)),IF(OR($F204&lt;&gt;"",$G204&lt;&gt;""),1,""),IF($H204="","",MIN($H204/100,1)),IF($L204="","",XLOOKUP($L204,FILTER(Dictionaries!$B:$B,Dictionaries!$A:$A="Сон_часы"),FILTER(Dictionaries!$C:$C,Dictionaries!$A:$A="Сон_часы"))),IF($M204="","",XLOOKUP($M204,FILTER(Dictionaries!$B:$B,Dictionaries!$A:$A="Режим"),FILTER(Dictionaries!$C:$C,Dictionaries!$A:$A="Режим"))),IF($N204="","",MIN($N204/100,1)),IF($O204="","",XLOOKUP($O204,FILTER(Dictionaries!$B:$B,Dictionaries!$A:$A="Настроение"),FILTER(Dictionaries!$C:$C,Dictionaries!$A:$A="Настроение"))),IF($P204="","",XLOOKUP($P204,FILTER(Dictionaries!$B:$B,Dictionaries!$A:$A="Энергия"),FILTER(Dictionaries!$C:$C,Dictionaries!$A:$A="Энергия"))),IF($U204="","",AVERAGE(IF(OR($B204="Ноги",$B204="Верх"),IFS(AND($U204&gt;=1900,$U204&lt;=2050),1,AND($U204&gt;=1850,$U204&lt;1900),0.7,AND($U204&gt;2050,$U204&lt;=2100),0.7,TRUE,0.2),IFS(AND($U204&gt;=1700,$U204&lt;=1850),1,AND($U204&gt;=1650,$U204&lt;1700),0.7,AND($U204&gt;1850,$U204&lt;=1900),0.7,TRUE,0.2)),IF(OR($B204="Ноги",$B204="Верх"),IFS(AND($V204&gt;=125,$V204&lt;=135),1,AND($V204&gt;=115,$V204&lt;125),0.7,AND($V204&gt;135,$V204&lt;=145),0.7,AND($V204&gt;=105,$V204&lt;115),0.4,AND($V204&gt;145,$V204&lt;=155),0.4,TRUE,0.2),IFS(AND($V204&gt;=120,$V204&lt;=130),1,AND($V204&gt;=110,$V204&lt;120),0.7,AND($V204&gt;130,$V204&lt;=140),0.7,AND($V204&gt;=100,$V204&lt;110),0.4,AND($V204&gt;140,$V204&lt;=150),0.4,TRUE,0.2)),IFS(AND($W204&gt;=55,$W204&lt;=65),1,AND($W204&gt;=50,$W204&lt;55),0.7,AND($W204&gt;65,$W204&lt;=70),0.7,AND($W204&gt;=45,$W204&lt;50),0.4,AND($W204&gt;70,$W204&lt;=75),0.4,TRUE,0.2),IF(OR($B204="Ноги",$B204="Верх"),IFS(AND($X204&gt;=180,$X204&lt;=210),1,AND($X204&gt;=160,$X204&lt;180),0.7,AND($X204&gt;210,$X204&lt;=230),0.7,AND($X204&gt;=140,$X204&lt;160),0.4,AND($X204&gt;230,$X204&lt;=250),0.4,TRUE,0.2),IFS(AND($X204&gt;=140,$X204&lt;=170),1,AND($X204&gt;=120,$X204&lt;140),0.7,AND($X204&gt;170,$X204&lt;=190),0.7,AND($X204&gt;=100,$X204&lt;120),0.4,AND($X204&gt;190,$X204&lt;=210),0.4,TRUE,0.2))))),1),""))</f>
        <v/>
      </c>
      <c r="Z204">
        <f>IF($A204="","",TEXTJOIN(", ",TRUE,IF($B204="","Тренировка",""),IF($C204="","Кардио",""),IF($D204="","Шаги",""),IF($E204="","Английский",""),IF($F204="","Код-режим",""),IF($G204="","Код-тема",""),IF($H204="","Чтение",""),IF($L204="","Сон",""),IF($M204="","Режим",""),IF($N204="","Продуктивность",""),IF($O204="","Настроение",""),IF($P204="","Энергия",""),IF($U204="","Еда","")))</f>
        <v/>
      </c>
    </row>
    <row r="205">
      <c r="A205" t="inlineStr"/>
      <c r="U205">
        <f>IF($A205="","",IF(SUMIF(FoodLog!$A:$A,$A205,FoodLog!$I:$I)=0,"",SUMIF(FoodLog!$A:$A,$A205,FoodLog!$I:$I)))</f>
        <v/>
      </c>
      <c r="V205">
        <f>IF($A205="","",IF(SUMIF(FoodLog!$A:$A,$A205,FoodLog!$F:$F)=0,"",SUMIF(FoodLog!$A:$A,$A205,FoodLog!$F:$F)))</f>
        <v/>
      </c>
      <c r="W205">
        <f>IF($A205="","",IF(SUMIF(FoodLog!$A:$A,$A205,FoodLog!$G:$G)=0,"",SUMIF(FoodLog!$A:$A,$A205,FoodLog!$G:$G)))</f>
        <v/>
      </c>
      <c r="X205">
        <f>IF($A205="","",IF(SUMIF(FoodLog!$A:$A,$A205,FoodLog!$H:$H)=0,"",SUMIF(FoodLog!$A:$A,$A205,FoodLog!$H:$H)))</f>
        <v/>
      </c>
      <c r="Y205">
        <f>IF($A205="","",IFERROR(ROUND(100*AVERAGE(IF($B205="","",XLOOKUP($B205,FILTER(Dictionaries!$B:$B,Dictionaries!$A:$A="Тренировка"),FILTER(Dictionaries!$C:$C,Dictionaries!$A:$A="Тренировка"))),IF($C205="","",MIN($C205/40,1)),IF($D205="","",XLOOKUP($D205,FILTER(Dictionaries!$B:$B,Dictionaries!$A:$A="Шаги"),FILTER(Dictionaries!$C:$C,Dictionaries!$A:$A="Шаги"))),IF($E205="","",MIN($E205/120,1)),IF(OR($F205&lt;&gt;"",$G205&lt;&gt;""),1,""),IF($H205="","",MIN($H205/100,1)),IF($L205="","",XLOOKUP($L205,FILTER(Dictionaries!$B:$B,Dictionaries!$A:$A="Сон_часы"),FILTER(Dictionaries!$C:$C,Dictionaries!$A:$A="Сон_часы"))),IF($M205="","",XLOOKUP($M205,FILTER(Dictionaries!$B:$B,Dictionaries!$A:$A="Режим"),FILTER(Dictionaries!$C:$C,Dictionaries!$A:$A="Режим"))),IF($N205="","",MIN($N205/100,1)),IF($O205="","",XLOOKUP($O205,FILTER(Dictionaries!$B:$B,Dictionaries!$A:$A="Настроение"),FILTER(Dictionaries!$C:$C,Dictionaries!$A:$A="Настроение"))),IF($P205="","",XLOOKUP($P205,FILTER(Dictionaries!$B:$B,Dictionaries!$A:$A="Энергия"),FILTER(Dictionaries!$C:$C,Dictionaries!$A:$A="Энергия"))),IF($U205="","",AVERAGE(IF(OR($B205="Ноги",$B205="Верх"),IFS(AND($U205&gt;=1900,$U205&lt;=2050),1,AND($U205&gt;=1850,$U205&lt;1900),0.7,AND($U205&gt;2050,$U205&lt;=2100),0.7,TRUE,0.2),IFS(AND($U205&gt;=1700,$U205&lt;=1850),1,AND($U205&gt;=1650,$U205&lt;1700),0.7,AND($U205&gt;1850,$U205&lt;=1900),0.7,TRUE,0.2)),IF(OR($B205="Ноги",$B205="Верх"),IFS(AND($V205&gt;=125,$V205&lt;=135),1,AND($V205&gt;=115,$V205&lt;125),0.7,AND($V205&gt;135,$V205&lt;=145),0.7,AND($V205&gt;=105,$V205&lt;115),0.4,AND($V205&gt;145,$V205&lt;=155),0.4,TRUE,0.2),IFS(AND($V205&gt;=120,$V205&lt;=130),1,AND($V205&gt;=110,$V205&lt;120),0.7,AND($V205&gt;130,$V205&lt;=140),0.7,AND($V205&gt;=100,$V205&lt;110),0.4,AND($V205&gt;140,$V205&lt;=150),0.4,TRUE,0.2)),IFS(AND($W205&gt;=55,$W205&lt;=65),1,AND($W205&gt;=50,$W205&lt;55),0.7,AND($W205&gt;65,$W205&lt;=70),0.7,AND($W205&gt;=45,$W205&lt;50),0.4,AND($W205&gt;70,$W205&lt;=75),0.4,TRUE,0.2),IF(OR($B205="Ноги",$B205="Верх"),IFS(AND($X205&gt;=180,$X205&lt;=210),1,AND($X205&gt;=160,$X205&lt;180),0.7,AND($X205&gt;210,$X205&lt;=230),0.7,AND($X205&gt;=140,$X205&lt;160),0.4,AND($X205&gt;230,$X205&lt;=250),0.4,TRUE,0.2),IFS(AND($X205&gt;=140,$X205&lt;=170),1,AND($X205&gt;=120,$X205&lt;140),0.7,AND($X205&gt;170,$X205&lt;=190),0.7,AND($X205&gt;=100,$X205&lt;120),0.4,AND($X205&gt;190,$X205&lt;=210),0.4,TRUE,0.2))))),1),""))</f>
        <v/>
      </c>
      <c r="Z205">
        <f>IF($A205="","",TEXTJOIN(", ",TRUE,IF($B205="","Тренировка",""),IF($C205="","Кардио",""),IF($D205="","Шаги",""),IF($E205="","Английский",""),IF($F205="","Код-режим",""),IF($G205="","Код-тема",""),IF($H205="","Чтение",""),IF($L205="","Сон",""),IF($M205="","Режим",""),IF($N205="","Продуктивность",""),IF($O205="","Настроение",""),IF($P205="","Энергия",""),IF($U205="","Еда","")))</f>
        <v/>
      </c>
    </row>
    <row r="206">
      <c r="A206" t="inlineStr"/>
      <c r="U206">
        <f>IF($A206="","",IF(SUMIF(FoodLog!$A:$A,$A206,FoodLog!$I:$I)=0,"",SUMIF(FoodLog!$A:$A,$A206,FoodLog!$I:$I)))</f>
        <v/>
      </c>
      <c r="V206">
        <f>IF($A206="","",IF(SUMIF(FoodLog!$A:$A,$A206,FoodLog!$F:$F)=0,"",SUMIF(FoodLog!$A:$A,$A206,FoodLog!$F:$F)))</f>
        <v/>
      </c>
      <c r="W206">
        <f>IF($A206="","",IF(SUMIF(FoodLog!$A:$A,$A206,FoodLog!$G:$G)=0,"",SUMIF(FoodLog!$A:$A,$A206,FoodLog!$G:$G)))</f>
        <v/>
      </c>
      <c r="X206">
        <f>IF($A206="","",IF(SUMIF(FoodLog!$A:$A,$A206,FoodLog!$H:$H)=0,"",SUMIF(FoodLog!$A:$A,$A206,FoodLog!$H:$H)))</f>
        <v/>
      </c>
      <c r="Y206">
        <f>IF($A206="","",IFERROR(ROUND(100*AVERAGE(IF($B206="","",XLOOKUP($B206,FILTER(Dictionaries!$B:$B,Dictionaries!$A:$A="Тренировка"),FILTER(Dictionaries!$C:$C,Dictionaries!$A:$A="Тренировка"))),IF($C206="","",MIN($C206/40,1)),IF($D206="","",XLOOKUP($D206,FILTER(Dictionaries!$B:$B,Dictionaries!$A:$A="Шаги"),FILTER(Dictionaries!$C:$C,Dictionaries!$A:$A="Шаги"))),IF($E206="","",MIN($E206/120,1)),IF(OR($F206&lt;&gt;"",$G206&lt;&gt;""),1,""),IF($H206="","",MIN($H206/100,1)),IF($L206="","",XLOOKUP($L206,FILTER(Dictionaries!$B:$B,Dictionaries!$A:$A="Сон_часы"),FILTER(Dictionaries!$C:$C,Dictionaries!$A:$A="Сон_часы"))),IF($M206="","",XLOOKUP($M206,FILTER(Dictionaries!$B:$B,Dictionaries!$A:$A="Режим"),FILTER(Dictionaries!$C:$C,Dictionaries!$A:$A="Режим"))),IF($N206="","",MIN($N206/100,1)),IF($O206="","",XLOOKUP($O206,FILTER(Dictionaries!$B:$B,Dictionaries!$A:$A="Настроение"),FILTER(Dictionaries!$C:$C,Dictionaries!$A:$A="Настроение"))),IF($P206="","",XLOOKUP($P206,FILTER(Dictionaries!$B:$B,Dictionaries!$A:$A="Энергия"),FILTER(Dictionaries!$C:$C,Dictionaries!$A:$A="Энергия"))),IF($U206="","",AVERAGE(IF(OR($B206="Ноги",$B206="Верх"),IFS(AND($U206&gt;=1900,$U206&lt;=2050),1,AND($U206&gt;=1850,$U206&lt;1900),0.7,AND($U206&gt;2050,$U206&lt;=2100),0.7,TRUE,0.2),IFS(AND($U206&gt;=1700,$U206&lt;=1850),1,AND($U206&gt;=1650,$U206&lt;1700),0.7,AND($U206&gt;1850,$U206&lt;=1900),0.7,TRUE,0.2)),IF(OR($B206="Ноги",$B206="Верх"),IFS(AND($V206&gt;=125,$V206&lt;=135),1,AND($V206&gt;=115,$V206&lt;125),0.7,AND($V206&gt;135,$V206&lt;=145),0.7,AND($V206&gt;=105,$V206&lt;115),0.4,AND($V206&gt;145,$V206&lt;=155),0.4,TRUE,0.2),IFS(AND($V206&gt;=120,$V206&lt;=130),1,AND($V206&gt;=110,$V206&lt;120),0.7,AND($V206&gt;130,$V206&lt;=140),0.7,AND($V206&gt;=100,$V206&lt;110),0.4,AND($V206&gt;140,$V206&lt;=150),0.4,TRUE,0.2)),IFS(AND($W206&gt;=55,$W206&lt;=65),1,AND($W206&gt;=50,$W206&lt;55),0.7,AND($W206&gt;65,$W206&lt;=70),0.7,AND($W206&gt;=45,$W206&lt;50),0.4,AND($W206&gt;70,$W206&lt;=75),0.4,TRUE,0.2),IF(OR($B206="Ноги",$B206="Верх"),IFS(AND($X206&gt;=180,$X206&lt;=210),1,AND($X206&gt;=160,$X206&lt;180),0.7,AND($X206&gt;210,$X206&lt;=230),0.7,AND($X206&gt;=140,$X206&lt;160),0.4,AND($X206&gt;230,$X206&lt;=250),0.4,TRUE,0.2),IFS(AND($X206&gt;=140,$X206&lt;=170),1,AND($X206&gt;=120,$X206&lt;140),0.7,AND($X206&gt;170,$X206&lt;=190),0.7,AND($X206&gt;=100,$X206&lt;120),0.4,AND($X206&gt;190,$X206&lt;=210),0.4,TRUE,0.2))))),1),""))</f>
        <v/>
      </c>
      <c r="Z206">
        <f>IF($A206="","",TEXTJOIN(", ",TRUE,IF($B206="","Тренировка",""),IF($C206="","Кардио",""),IF($D206="","Шаги",""),IF($E206="","Английский",""),IF($F206="","Код-режим",""),IF($G206="","Код-тема",""),IF($H206="","Чтение",""),IF($L206="","Сон",""),IF($M206="","Режим",""),IF($N206="","Продуктивность",""),IF($O206="","Настроение",""),IF($P206="","Энергия",""),IF($U206="","Еда","")))</f>
        <v/>
      </c>
    </row>
    <row r="207">
      <c r="A207" t="inlineStr"/>
      <c r="U207">
        <f>IF($A207="","",IF(SUMIF(FoodLog!$A:$A,$A207,FoodLog!$I:$I)=0,"",SUMIF(FoodLog!$A:$A,$A207,FoodLog!$I:$I)))</f>
        <v/>
      </c>
      <c r="V207">
        <f>IF($A207="","",IF(SUMIF(FoodLog!$A:$A,$A207,FoodLog!$F:$F)=0,"",SUMIF(FoodLog!$A:$A,$A207,FoodLog!$F:$F)))</f>
        <v/>
      </c>
      <c r="W207">
        <f>IF($A207="","",IF(SUMIF(FoodLog!$A:$A,$A207,FoodLog!$G:$G)=0,"",SUMIF(FoodLog!$A:$A,$A207,FoodLog!$G:$G)))</f>
        <v/>
      </c>
      <c r="X207">
        <f>IF($A207="","",IF(SUMIF(FoodLog!$A:$A,$A207,FoodLog!$H:$H)=0,"",SUMIF(FoodLog!$A:$A,$A207,FoodLog!$H:$H)))</f>
        <v/>
      </c>
      <c r="Y207">
        <f>IF($A207="","",IFERROR(ROUND(100*AVERAGE(IF($B207="","",XLOOKUP($B207,FILTER(Dictionaries!$B:$B,Dictionaries!$A:$A="Тренировка"),FILTER(Dictionaries!$C:$C,Dictionaries!$A:$A="Тренировка"))),IF($C207="","",MIN($C207/40,1)),IF($D207="","",XLOOKUP($D207,FILTER(Dictionaries!$B:$B,Dictionaries!$A:$A="Шаги"),FILTER(Dictionaries!$C:$C,Dictionaries!$A:$A="Шаги"))),IF($E207="","",MIN($E207/120,1)),IF(OR($F207&lt;&gt;"",$G207&lt;&gt;""),1,""),IF($H207="","",MIN($H207/100,1)),IF($L207="","",XLOOKUP($L207,FILTER(Dictionaries!$B:$B,Dictionaries!$A:$A="Сон_часы"),FILTER(Dictionaries!$C:$C,Dictionaries!$A:$A="Сон_часы"))),IF($M207="","",XLOOKUP($M207,FILTER(Dictionaries!$B:$B,Dictionaries!$A:$A="Режим"),FILTER(Dictionaries!$C:$C,Dictionaries!$A:$A="Режим"))),IF($N207="","",MIN($N207/100,1)),IF($O207="","",XLOOKUP($O207,FILTER(Dictionaries!$B:$B,Dictionaries!$A:$A="Настроение"),FILTER(Dictionaries!$C:$C,Dictionaries!$A:$A="Настроение"))),IF($P207="","",XLOOKUP($P207,FILTER(Dictionaries!$B:$B,Dictionaries!$A:$A="Энергия"),FILTER(Dictionaries!$C:$C,Dictionaries!$A:$A="Энергия"))),IF($U207="","",AVERAGE(IF(OR($B207="Ноги",$B207="Верх"),IFS(AND($U207&gt;=1900,$U207&lt;=2050),1,AND($U207&gt;=1850,$U207&lt;1900),0.7,AND($U207&gt;2050,$U207&lt;=2100),0.7,TRUE,0.2),IFS(AND($U207&gt;=1700,$U207&lt;=1850),1,AND($U207&gt;=1650,$U207&lt;1700),0.7,AND($U207&gt;1850,$U207&lt;=1900),0.7,TRUE,0.2)),IF(OR($B207="Ноги",$B207="Верх"),IFS(AND($V207&gt;=125,$V207&lt;=135),1,AND($V207&gt;=115,$V207&lt;125),0.7,AND($V207&gt;135,$V207&lt;=145),0.7,AND($V207&gt;=105,$V207&lt;115),0.4,AND($V207&gt;145,$V207&lt;=155),0.4,TRUE,0.2),IFS(AND($V207&gt;=120,$V207&lt;=130),1,AND($V207&gt;=110,$V207&lt;120),0.7,AND($V207&gt;130,$V207&lt;=140),0.7,AND($V207&gt;=100,$V207&lt;110),0.4,AND($V207&gt;140,$V207&lt;=150),0.4,TRUE,0.2)),IFS(AND($W207&gt;=55,$W207&lt;=65),1,AND($W207&gt;=50,$W207&lt;55),0.7,AND($W207&gt;65,$W207&lt;=70),0.7,AND($W207&gt;=45,$W207&lt;50),0.4,AND($W207&gt;70,$W207&lt;=75),0.4,TRUE,0.2),IF(OR($B207="Ноги",$B207="Верх"),IFS(AND($X207&gt;=180,$X207&lt;=210),1,AND($X207&gt;=160,$X207&lt;180),0.7,AND($X207&gt;210,$X207&lt;=230),0.7,AND($X207&gt;=140,$X207&lt;160),0.4,AND($X207&gt;230,$X207&lt;=250),0.4,TRUE,0.2),IFS(AND($X207&gt;=140,$X207&lt;=170),1,AND($X207&gt;=120,$X207&lt;140),0.7,AND($X207&gt;170,$X207&lt;=190),0.7,AND($X207&gt;=100,$X207&lt;120),0.4,AND($X207&gt;190,$X207&lt;=210),0.4,TRUE,0.2))))),1),""))</f>
        <v/>
      </c>
      <c r="Z207">
        <f>IF($A207="","",TEXTJOIN(", ",TRUE,IF($B207="","Тренировка",""),IF($C207="","Кардио",""),IF($D207="","Шаги",""),IF($E207="","Английский",""),IF($F207="","Код-режим",""),IF($G207="","Код-тема",""),IF($H207="","Чтение",""),IF($L207="","Сон",""),IF($M207="","Режим",""),IF($N207="","Продуктивность",""),IF($O207="","Настроение",""),IF($P207="","Энергия",""),IF($U207="","Еда","")))</f>
        <v/>
      </c>
    </row>
    <row r="208">
      <c r="A208" t="inlineStr"/>
      <c r="U208">
        <f>IF($A208="","",IF(SUMIF(FoodLog!$A:$A,$A208,FoodLog!$I:$I)=0,"",SUMIF(FoodLog!$A:$A,$A208,FoodLog!$I:$I)))</f>
        <v/>
      </c>
      <c r="V208">
        <f>IF($A208="","",IF(SUMIF(FoodLog!$A:$A,$A208,FoodLog!$F:$F)=0,"",SUMIF(FoodLog!$A:$A,$A208,FoodLog!$F:$F)))</f>
        <v/>
      </c>
      <c r="W208">
        <f>IF($A208="","",IF(SUMIF(FoodLog!$A:$A,$A208,FoodLog!$G:$G)=0,"",SUMIF(FoodLog!$A:$A,$A208,FoodLog!$G:$G)))</f>
        <v/>
      </c>
      <c r="X208">
        <f>IF($A208="","",IF(SUMIF(FoodLog!$A:$A,$A208,FoodLog!$H:$H)=0,"",SUMIF(FoodLog!$A:$A,$A208,FoodLog!$H:$H)))</f>
        <v/>
      </c>
      <c r="Y208">
        <f>IF($A208="","",IFERROR(ROUND(100*AVERAGE(IF($B208="","",XLOOKUP($B208,FILTER(Dictionaries!$B:$B,Dictionaries!$A:$A="Тренировка"),FILTER(Dictionaries!$C:$C,Dictionaries!$A:$A="Тренировка"))),IF($C208="","",MIN($C208/40,1)),IF($D208="","",XLOOKUP($D208,FILTER(Dictionaries!$B:$B,Dictionaries!$A:$A="Шаги"),FILTER(Dictionaries!$C:$C,Dictionaries!$A:$A="Шаги"))),IF($E208="","",MIN($E208/120,1)),IF(OR($F208&lt;&gt;"",$G208&lt;&gt;""),1,""),IF($H208="","",MIN($H208/100,1)),IF($L208="","",XLOOKUP($L208,FILTER(Dictionaries!$B:$B,Dictionaries!$A:$A="Сон_часы"),FILTER(Dictionaries!$C:$C,Dictionaries!$A:$A="Сон_часы"))),IF($M208="","",XLOOKUP($M208,FILTER(Dictionaries!$B:$B,Dictionaries!$A:$A="Режим"),FILTER(Dictionaries!$C:$C,Dictionaries!$A:$A="Режим"))),IF($N208="","",MIN($N208/100,1)),IF($O208="","",XLOOKUP($O208,FILTER(Dictionaries!$B:$B,Dictionaries!$A:$A="Настроение"),FILTER(Dictionaries!$C:$C,Dictionaries!$A:$A="Настроение"))),IF($P208="","",XLOOKUP($P208,FILTER(Dictionaries!$B:$B,Dictionaries!$A:$A="Энергия"),FILTER(Dictionaries!$C:$C,Dictionaries!$A:$A="Энергия"))),IF($U208="","",AVERAGE(IF(OR($B208="Ноги",$B208="Верх"),IFS(AND($U208&gt;=1900,$U208&lt;=2050),1,AND($U208&gt;=1850,$U208&lt;1900),0.7,AND($U208&gt;2050,$U208&lt;=2100),0.7,TRUE,0.2),IFS(AND($U208&gt;=1700,$U208&lt;=1850),1,AND($U208&gt;=1650,$U208&lt;1700),0.7,AND($U208&gt;1850,$U208&lt;=1900),0.7,TRUE,0.2)),IF(OR($B208="Ноги",$B208="Верх"),IFS(AND($V208&gt;=125,$V208&lt;=135),1,AND($V208&gt;=115,$V208&lt;125),0.7,AND($V208&gt;135,$V208&lt;=145),0.7,AND($V208&gt;=105,$V208&lt;115),0.4,AND($V208&gt;145,$V208&lt;=155),0.4,TRUE,0.2),IFS(AND($V208&gt;=120,$V208&lt;=130),1,AND($V208&gt;=110,$V208&lt;120),0.7,AND($V208&gt;130,$V208&lt;=140),0.7,AND($V208&gt;=100,$V208&lt;110),0.4,AND($V208&gt;140,$V208&lt;=150),0.4,TRUE,0.2)),IFS(AND($W208&gt;=55,$W208&lt;=65),1,AND($W208&gt;=50,$W208&lt;55),0.7,AND($W208&gt;65,$W208&lt;=70),0.7,AND($W208&gt;=45,$W208&lt;50),0.4,AND($W208&gt;70,$W208&lt;=75),0.4,TRUE,0.2),IF(OR($B208="Ноги",$B208="Верх"),IFS(AND($X208&gt;=180,$X208&lt;=210),1,AND($X208&gt;=160,$X208&lt;180),0.7,AND($X208&gt;210,$X208&lt;=230),0.7,AND($X208&gt;=140,$X208&lt;160),0.4,AND($X208&gt;230,$X208&lt;=250),0.4,TRUE,0.2),IFS(AND($X208&gt;=140,$X208&lt;=170),1,AND($X208&gt;=120,$X208&lt;140),0.7,AND($X208&gt;170,$X208&lt;=190),0.7,AND($X208&gt;=100,$X208&lt;120),0.4,AND($X208&gt;190,$X208&lt;=210),0.4,TRUE,0.2))))),1),""))</f>
        <v/>
      </c>
      <c r="Z208">
        <f>IF($A208="","",TEXTJOIN(", ",TRUE,IF($B208="","Тренировка",""),IF($C208="","Кардио",""),IF($D208="","Шаги",""),IF($E208="","Английский",""),IF($F208="","Код-режим",""),IF($G208="","Код-тема",""),IF($H208="","Чтение",""),IF($L208="","Сон",""),IF($M208="","Режим",""),IF($N208="","Продуктивность",""),IF($O208="","Настроение",""),IF($P208="","Энергия",""),IF($U208="","Еда","")))</f>
        <v/>
      </c>
    </row>
    <row r="209">
      <c r="A209" t="inlineStr"/>
      <c r="U209">
        <f>IF($A209="","",IF(SUMIF(FoodLog!$A:$A,$A209,FoodLog!$I:$I)=0,"",SUMIF(FoodLog!$A:$A,$A209,FoodLog!$I:$I)))</f>
        <v/>
      </c>
      <c r="V209">
        <f>IF($A209="","",IF(SUMIF(FoodLog!$A:$A,$A209,FoodLog!$F:$F)=0,"",SUMIF(FoodLog!$A:$A,$A209,FoodLog!$F:$F)))</f>
        <v/>
      </c>
      <c r="W209">
        <f>IF($A209="","",IF(SUMIF(FoodLog!$A:$A,$A209,FoodLog!$G:$G)=0,"",SUMIF(FoodLog!$A:$A,$A209,FoodLog!$G:$G)))</f>
        <v/>
      </c>
      <c r="X209">
        <f>IF($A209="","",IF(SUMIF(FoodLog!$A:$A,$A209,FoodLog!$H:$H)=0,"",SUMIF(FoodLog!$A:$A,$A209,FoodLog!$H:$H)))</f>
        <v/>
      </c>
      <c r="Y209">
        <f>IF($A209="","",IFERROR(ROUND(100*AVERAGE(IF($B209="","",XLOOKUP($B209,FILTER(Dictionaries!$B:$B,Dictionaries!$A:$A="Тренировка"),FILTER(Dictionaries!$C:$C,Dictionaries!$A:$A="Тренировка"))),IF($C209="","",MIN($C209/40,1)),IF($D209="","",XLOOKUP($D209,FILTER(Dictionaries!$B:$B,Dictionaries!$A:$A="Шаги"),FILTER(Dictionaries!$C:$C,Dictionaries!$A:$A="Шаги"))),IF($E209="","",MIN($E209/120,1)),IF(OR($F209&lt;&gt;"",$G209&lt;&gt;""),1,""),IF($H209="","",MIN($H209/100,1)),IF($L209="","",XLOOKUP($L209,FILTER(Dictionaries!$B:$B,Dictionaries!$A:$A="Сон_часы"),FILTER(Dictionaries!$C:$C,Dictionaries!$A:$A="Сон_часы"))),IF($M209="","",XLOOKUP($M209,FILTER(Dictionaries!$B:$B,Dictionaries!$A:$A="Режим"),FILTER(Dictionaries!$C:$C,Dictionaries!$A:$A="Режим"))),IF($N209="","",MIN($N209/100,1)),IF($O209="","",XLOOKUP($O209,FILTER(Dictionaries!$B:$B,Dictionaries!$A:$A="Настроение"),FILTER(Dictionaries!$C:$C,Dictionaries!$A:$A="Настроение"))),IF($P209="","",XLOOKUP($P209,FILTER(Dictionaries!$B:$B,Dictionaries!$A:$A="Энергия"),FILTER(Dictionaries!$C:$C,Dictionaries!$A:$A="Энергия"))),IF($U209="","",AVERAGE(IF(OR($B209="Ноги",$B209="Верх"),IFS(AND($U209&gt;=1900,$U209&lt;=2050),1,AND($U209&gt;=1850,$U209&lt;1900),0.7,AND($U209&gt;2050,$U209&lt;=2100),0.7,TRUE,0.2),IFS(AND($U209&gt;=1700,$U209&lt;=1850),1,AND($U209&gt;=1650,$U209&lt;1700),0.7,AND($U209&gt;1850,$U209&lt;=1900),0.7,TRUE,0.2)),IF(OR($B209="Ноги",$B209="Верх"),IFS(AND($V209&gt;=125,$V209&lt;=135),1,AND($V209&gt;=115,$V209&lt;125),0.7,AND($V209&gt;135,$V209&lt;=145),0.7,AND($V209&gt;=105,$V209&lt;115),0.4,AND($V209&gt;145,$V209&lt;=155),0.4,TRUE,0.2),IFS(AND($V209&gt;=120,$V209&lt;=130),1,AND($V209&gt;=110,$V209&lt;120),0.7,AND($V209&gt;130,$V209&lt;=140),0.7,AND($V209&gt;=100,$V209&lt;110),0.4,AND($V209&gt;140,$V209&lt;=150),0.4,TRUE,0.2)),IFS(AND($W209&gt;=55,$W209&lt;=65),1,AND($W209&gt;=50,$W209&lt;55),0.7,AND($W209&gt;65,$W209&lt;=70),0.7,AND($W209&gt;=45,$W209&lt;50),0.4,AND($W209&gt;70,$W209&lt;=75),0.4,TRUE,0.2),IF(OR($B209="Ноги",$B209="Верх"),IFS(AND($X209&gt;=180,$X209&lt;=210),1,AND($X209&gt;=160,$X209&lt;180),0.7,AND($X209&gt;210,$X209&lt;=230),0.7,AND($X209&gt;=140,$X209&lt;160),0.4,AND($X209&gt;230,$X209&lt;=250),0.4,TRUE,0.2),IFS(AND($X209&gt;=140,$X209&lt;=170),1,AND($X209&gt;=120,$X209&lt;140),0.7,AND($X209&gt;170,$X209&lt;=190),0.7,AND($X209&gt;=100,$X209&lt;120),0.4,AND($X209&gt;190,$X209&lt;=210),0.4,TRUE,0.2))))),1),""))</f>
        <v/>
      </c>
      <c r="Z209">
        <f>IF($A209="","",TEXTJOIN(", ",TRUE,IF($B209="","Тренировка",""),IF($C209="","Кардио",""),IF($D209="","Шаги",""),IF($E209="","Английский",""),IF($F209="","Код-режим",""),IF($G209="","Код-тема",""),IF($H209="","Чтение",""),IF($L209="","Сон",""),IF($M209="","Режим",""),IF($N209="","Продуктивность",""),IF($O209="","Настроение",""),IF($P209="","Энергия",""),IF($U209="","Еда","")))</f>
        <v/>
      </c>
    </row>
    <row r="210">
      <c r="A210" t="inlineStr"/>
      <c r="U210">
        <f>IF($A210="","",IF(SUMIF(FoodLog!$A:$A,$A210,FoodLog!$I:$I)=0,"",SUMIF(FoodLog!$A:$A,$A210,FoodLog!$I:$I)))</f>
        <v/>
      </c>
      <c r="V210">
        <f>IF($A210="","",IF(SUMIF(FoodLog!$A:$A,$A210,FoodLog!$F:$F)=0,"",SUMIF(FoodLog!$A:$A,$A210,FoodLog!$F:$F)))</f>
        <v/>
      </c>
      <c r="W210">
        <f>IF($A210="","",IF(SUMIF(FoodLog!$A:$A,$A210,FoodLog!$G:$G)=0,"",SUMIF(FoodLog!$A:$A,$A210,FoodLog!$G:$G)))</f>
        <v/>
      </c>
      <c r="X210">
        <f>IF($A210="","",IF(SUMIF(FoodLog!$A:$A,$A210,FoodLog!$H:$H)=0,"",SUMIF(FoodLog!$A:$A,$A210,FoodLog!$H:$H)))</f>
        <v/>
      </c>
      <c r="Y210">
        <f>IF($A210="","",IFERROR(ROUND(100*AVERAGE(IF($B210="","",XLOOKUP($B210,FILTER(Dictionaries!$B:$B,Dictionaries!$A:$A="Тренировка"),FILTER(Dictionaries!$C:$C,Dictionaries!$A:$A="Тренировка"))),IF($C210="","",MIN($C210/40,1)),IF($D210="","",XLOOKUP($D210,FILTER(Dictionaries!$B:$B,Dictionaries!$A:$A="Шаги"),FILTER(Dictionaries!$C:$C,Dictionaries!$A:$A="Шаги"))),IF($E210="","",MIN($E210/120,1)),IF(OR($F210&lt;&gt;"",$G210&lt;&gt;""),1,""),IF($H210="","",MIN($H210/100,1)),IF($L210="","",XLOOKUP($L210,FILTER(Dictionaries!$B:$B,Dictionaries!$A:$A="Сон_часы"),FILTER(Dictionaries!$C:$C,Dictionaries!$A:$A="Сон_часы"))),IF($M210="","",XLOOKUP($M210,FILTER(Dictionaries!$B:$B,Dictionaries!$A:$A="Режим"),FILTER(Dictionaries!$C:$C,Dictionaries!$A:$A="Режим"))),IF($N210="","",MIN($N210/100,1)),IF($O210="","",XLOOKUP($O210,FILTER(Dictionaries!$B:$B,Dictionaries!$A:$A="Настроение"),FILTER(Dictionaries!$C:$C,Dictionaries!$A:$A="Настроение"))),IF($P210="","",XLOOKUP($P210,FILTER(Dictionaries!$B:$B,Dictionaries!$A:$A="Энергия"),FILTER(Dictionaries!$C:$C,Dictionaries!$A:$A="Энергия"))),IF($U210="","",AVERAGE(IF(OR($B210="Ноги",$B210="Верх"),IFS(AND($U210&gt;=1900,$U210&lt;=2050),1,AND($U210&gt;=1850,$U210&lt;1900),0.7,AND($U210&gt;2050,$U210&lt;=2100),0.7,TRUE,0.2),IFS(AND($U210&gt;=1700,$U210&lt;=1850),1,AND($U210&gt;=1650,$U210&lt;1700),0.7,AND($U210&gt;1850,$U210&lt;=1900),0.7,TRUE,0.2)),IF(OR($B210="Ноги",$B210="Верх"),IFS(AND($V210&gt;=125,$V210&lt;=135),1,AND($V210&gt;=115,$V210&lt;125),0.7,AND($V210&gt;135,$V210&lt;=145),0.7,AND($V210&gt;=105,$V210&lt;115),0.4,AND($V210&gt;145,$V210&lt;=155),0.4,TRUE,0.2),IFS(AND($V210&gt;=120,$V210&lt;=130),1,AND($V210&gt;=110,$V210&lt;120),0.7,AND($V210&gt;130,$V210&lt;=140),0.7,AND($V210&gt;=100,$V210&lt;110),0.4,AND($V210&gt;140,$V210&lt;=150),0.4,TRUE,0.2)),IFS(AND($W210&gt;=55,$W210&lt;=65),1,AND($W210&gt;=50,$W210&lt;55),0.7,AND($W210&gt;65,$W210&lt;=70),0.7,AND($W210&gt;=45,$W210&lt;50),0.4,AND($W210&gt;70,$W210&lt;=75),0.4,TRUE,0.2),IF(OR($B210="Ноги",$B210="Верх"),IFS(AND($X210&gt;=180,$X210&lt;=210),1,AND($X210&gt;=160,$X210&lt;180),0.7,AND($X210&gt;210,$X210&lt;=230),0.7,AND($X210&gt;=140,$X210&lt;160),0.4,AND($X210&gt;230,$X210&lt;=250),0.4,TRUE,0.2),IFS(AND($X210&gt;=140,$X210&lt;=170),1,AND($X210&gt;=120,$X210&lt;140),0.7,AND($X210&gt;170,$X210&lt;=190),0.7,AND($X210&gt;=100,$X210&lt;120),0.4,AND($X210&gt;190,$X210&lt;=210),0.4,TRUE,0.2))))),1),""))</f>
        <v/>
      </c>
      <c r="Z210">
        <f>IF($A210="","",TEXTJOIN(", ",TRUE,IF($B210="","Тренировка",""),IF($C210="","Кардио",""),IF($D210="","Шаги",""),IF($E210="","Английский",""),IF($F210="","Код-режим",""),IF($G210="","Код-тема",""),IF($H210="","Чтение",""),IF($L210="","Сон",""),IF($M210="","Режим",""),IF($N210="","Продуктивность",""),IF($O210="","Настроение",""),IF($P210="","Энергия",""),IF($U210="","Еда","")))</f>
        <v/>
      </c>
    </row>
    <row r="211">
      <c r="A211" t="inlineStr"/>
      <c r="U211">
        <f>IF($A211="","",IF(SUMIF(FoodLog!$A:$A,$A211,FoodLog!$I:$I)=0,"",SUMIF(FoodLog!$A:$A,$A211,FoodLog!$I:$I)))</f>
        <v/>
      </c>
      <c r="V211">
        <f>IF($A211="","",IF(SUMIF(FoodLog!$A:$A,$A211,FoodLog!$F:$F)=0,"",SUMIF(FoodLog!$A:$A,$A211,FoodLog!$F:$F)))</f>
        <v/>
      </c>
      <c r="W211">
        <f>IF($A211="","",IF(SUMIF(FoodLog!$A:$A,$A211,FoodLog!$G:$G)=0,"",SUMIF(FoodLog!$A:$A,$A211,FoodLog!$G:$G)))</f>
        <v/>
      </c>
      <c r="X211">
        <f>IF($A211="","",IF(SUMIF(FoodLog!$A:$A,$A211,FoodLog!$H:$H)=0,"",SUMIF(FoodLog!$A:$A,$A211,FoodLog!$H:$H)))</f>
        <v/>
      </c>
      <c r="Y211">
        <f>IF($A211="","",IFERROR(ROUND(100*AVERAGE(IF($B211="","",XLOOKUP($B211,FILTER(Dictionaries!$B:$B,Dictionaries!$A:$A="Тренировка"),FILTER(Dictionaries!$C:$C,Dictionaries!$A:$A="Тренировка"))),IF($C211="","",MIN($C211/40,1)),IF($D211="","",XLOOKUP($D211,FILTER(Dictionaries!$B:$B,Dictionaries!$A:$A="Шаги"),FILTER(Dictionaries!$C:$C,Dictionaries!$A:$A="Шаги"))),IF($E211="","",MIN($E211/120,1)),IF(OR($F211&lt;&gt;"",$G211&lt;&gt;""),1,""),IF($H211="","",MIN($H211/100,1)),IF($L211="","",XLOOKUP($L211,FILTER(Dictionaries!$B:$B,Dictionaries!$A:$A="Сон_часы"),FILTER(Dictionaries!$C:$C,Dictionaries!$A:$A="Сон_часы"))),IF($M211="","",XLOOKUP($M211,FILTER(Dictionaries!$B:$B,Dictionaries!$A:$A="Режим"),FILTER(Dictionaries!$C:$C,Dictionaries!$A:$A="Режим"))),IF($N211="","",MIN($N211/100,1)),IF($O211="","",XLOOKUP($O211,FILTER(Dictionaries!$B:$B,Dictionaries!$A:$A="Настроение"),FILTER(Dictionaries!$C:$C,Dictionaries!$A:$A="Настроение"))),IF($P211="","",XLOOKUP($P211,FILTER(Dictionaries!$B:$B,Dictionaries!$A:$A="Энергия"),FILTER(Dictionaries!$C:$C,Dictionaries!$A:$A="Энергия"))),IF($U211="","",AVERAGE(IF(OR($B211="Ноги",$B211="Верх"),IFS(AND($U211&gt;=1900,$U211&lt;=2050),1,AND($U211&gt;=1850,$U211&lt;1900),0.7,AND($U211&gt;2050,$U211&lt;=2100),0.7,TRUE,0.2),IFS(AND($U211&gt;=1700,$U211&lt;=1850),1,AND($U211&gt;=1650,$U211&lt;1700),0.7,AND($U211&gt;1850,$U211&lt;=1900),0.7,TRUE,0.2)),IF(OR($B211="Ноги",$B211="Верх"),IFS(AND($V211&gt;=125,$V211&lt;=135),1,AND($V211&gt;=115,$V211&lt;125),0.7,AND($V211&gt;135,$V211&lt;=145),0.7,AND($V211&gt;=105,$V211&lt;115),0.4,AND($V211&gt;145,$V211&lt;=155),0.4,TRUE,0.2),IFS(AND($V211&gt;=120,$V211&lt;=130),1,AND($V211&gt;=110,$V211&lt;120),0.7,AND($V211&gt;130,$V211&lt;=140),0.7,AND($V211&gt;=100,$V211&lt;110),0.4,AND($V211&gt;140,$V211&lt;=150),0.4,TRUE,0.2)),IFS(AND($W211&gt;=55,$W211&lt;=65),1,AND($W211&gt;=50,$W211&lt;55),0.7,AND($W211&gt;65,$W211&lt;=70),0.7,AND($W211&gt;=45,$W211&lt;50),0.4,AND($W211&gt;70,$W211&lt;=75),0.4,TRUE,0.2),IF(OR($B211="Ноги",$B211="Верх"),IFS(AND($X211&gt;=180,$X211&lt;=210),1,AND($X211&gt;=160,$X211&lt;180),0.7,AND($X211&gt;210,$X211&lt;=230),0.7,AND($X211&gt;=140,$X211&lt;160),0.4,AND($X211&gt;230,$X211&lt;=250),0.4,TRUE,0.2),IFS(AND($X211&gt;=140,$X211&lt;=170),1,AND($X211&gt;=120,$X211&lt;140),0.7,AND($X211&gt;170,$X211&lt;=190),0.7,AND($X211&gt;=100,$X211&lt;120),0.4,AND($X211&gt;190,$X211&lt;=210),0.4,TRUE,0.2))))),1),""))</f>
        <v/>
      </c>
      <c r="Z211">
        <f>IF($A211="","",TEXTJOIN(", ",TRUE,IF($B211="","Тренировка",""),IF($C211="","Кардио",""),IF($D211="","Шаги",""),IF($E211="","Английский",""),IF($F211="","Код-режим",""),IF($G211="","Код-тема",""),IF($H211="","Чтение",""),IF($L211="","Сон",""),IF($M211="","Режим",""),IF($N211="","Продуктивность",""),IF($O211="","Настроение",""),IF($P211="","Энергия",""),IF($U211="","Еда","")))</f>
        <v/>
      </c>
    </row>
    <row r="212">
      <c r="A212" t="inlineStr"/>
      <c r="U212">
        <f>IF($A212="","",IF(SUMIF(FoodLog!$A:$A,$A212,FoodLog!$I:$I)=0,"",SUMIF(FoodLog!$A:$A,$A212,FoodLog!$I:$I)))</f>
        <v/>
      </c>
      <c r="V212">
        <f>IF($A212="","",IF(SUMIF(FoodLog!$A:$A,$A212,FoodLog!$F:$F)=0,"",SUMIF(FoodLog!$A:$A,$A212,FoodLog!$F:$F)))</f>
        <v/>
      </c>
      <c r="W212">
        <f>IF($A212="","",IF(SUMIF(FoodLog!$A:$A,$A212,FoodLog!$G:$G)=0,"",SUMIF(FoodLog!$A:$A,$A212,FoodLog!$G:$G)))</f>
        <v/>
      </c>
      <c r="X212">
        <f>IF($A212="","",IF(SUMIF(FoodLog!$A:$A,$A212,FoodLog!$H:$H)=0,"",SUMIF(FoodLog!$A:$A,$A212,FoodLog!$H:$H)))</f>
        <v/>
      </c>
      <c r="Y212">
        <f>IF($A212="","",IFERROR(ROUND(100*AVERAGE(IF($B212="","",XLOOKUP($B212,FILTER(Dictionaries!$B:$B,Dictionaries!$A:$A="Тренировка"),FILTER(Dictionaries!$C:$C,Dictionaries!$A:$A="Тренировка"))),IF($C212="","",MIN($C212/40,1)),IF($D212="","",XLOOKUP($D212,FILTER(Dictionaries!$B:$B,Dictionaries!$A:$A="Шаги"),FILTER(Dictionaries!$C:$C,Dictionaries!$A:$A="Шаги"))),IF($E212="","",MIN($E212/120,1)),IF(OR($F212&lt;&gt;"",$G212&lt;&gt;""),1,""),IF($H212="","",MIN($H212/100,1)),IF($L212="","",XLOOKUP($L212,FILTER(Dictionaries!$B:$B,Dictionaries!$A:$A="Сон_часы"),FILTER(Dictionaries!$C:$C,Dictionaries!$A:$A="Сон_часы"))),IF($M212="","",XLOOKUP($M212,FILTER(Dictionaries!$B:$B,Dictionaries!$A:$A="Режим"),FILTER(Dictionaries!$C:$C,Dictionaries!$A:$A="Режим"))),IF($N212="","",MIN($N212/100,1)),IF($O212="","",XLOOKUP($O212,FILTER(Dictionaries!$B:$B,Dictionaries!$A:$A="Настроение"),FILTER(Dictionaries!$C:$C,Dictionaries!$A:$A="Настроение"))),IF($P212="","",XLOOKUP($P212,FILTER(Dictionaries!$B:$B,Dictionaries!$A:$A="Энергия"),FILTER(Dictionaries!$C:$C,Dictionaries!$A:$A="Энергия"))),IF($U212="","",AVERAGE(IF(OR($B212="Ноги",$B212="Верх"),IFS(AND($U212&gt;=1900,$U212&lt;=2050),1,AND($U212&gt;=1850,$U212&lt;1900),0.7,AND($U212&gt;2050,$U212&lt;=2100),0.7,TRUE,0.2),IFS(AND($U212&gt;=1700,$U212&lt;=1850),1,AND($U212&gt;=1650,$U212&lt;1700),0.7,AND($U212&gt;1850,$U212&lt;=1900),0.7,TRUE,0.2)),IF(OR($B212="Ноги",$B212="Верх"),IFS(AND($V212&gt;=125,$V212&lt;=135),1,AND($V212&gt;=115,$V212&lt;125),0.7,AND($V212&gt;135,$V212&lt;=145),0.7,AND($V212&gt;=105,$V212&lt;115),0.4,AND($V212&gt;145,$V212&lt;=155),0.4,TRUE,0.2),IFS(AND($V212&gt;=120,$V212&lt;=130),1,AND($V212&gt;=110,$V212&lt;120),0.7,AND($V212&gt;130,$V212&lt;=140),0.7,AND($V212&gt;=100,$V212&lt;110),0.4,AND($V212&gt;140,$V212&lt;=150),0.4,TRUE,0.2)),IFS(AND($W212&gt;=55,$W212&lt;=65),1,AND($W212&gt;=50,$W212&lt;55),0.7,AND($W212&gt;65,$W212&lt;=70),0.7,AND($W212&gt;=45,$W212&lt;50),0.4,AND($W212&gt;70,$W212&lt;=75),0.4,TRUE,0.2),IF(OR($B212="Ноги",$B212="Верх"),IFS(AND($X212&gt;=180,$X212&lt;=210),1,AND($X212&gt;=160,$X212&lt;180),0.7,AND($X212&gt;210,$X212&lt;=230),0.7,AND($X212&gt;=140,$X212&lt;160),0.4,AND($X212&gt;230,$X212&lt;=250),0.4,TRUE,0.2),IFS(AND($X212&gt;=140,$X212&lt;=170),1,AND($X212&gt;=120,$X212&lt;140),0.7,AND($X212&gt;170,$X212&lt;=190),0.7,AND($X212&gt;=100,$X212&lt;120),0.4,AND($X212&gt;190,$X212&lt;=210),0.4,TRUE,0.2))))),1),""))</f>
        <v/>
      </c>
      <c r="Z212">
        <f>IF($A212="","",TEXTJOIN(", ",TRUE,IF($B212="","Тренировка",""),IF($C212="","Кардио",""),IF($D212="","Шаги",""),IF($E212="","Английский",""),IF($F212="","Код-режим",""),IF($G212="","Код-тема",""),IF($H212="","Чтение",""),IF($L212="","Сон",""),IF($M212="","Режим",""),IF($N212="","Продуктивность",""),IF($O212="","Настроение",""),IF($P212="","Энергия",""),IF($U212="","Еда","")))</f>
        <v/>
      </c>
    </row>
    <row r="213">
      <c r="A213" t="inlineStr"/>
      <c r="U213">
        <f>IF($A213="","",IF(SUMIF(FoodLog!$A:$A,$A213,FoodLog!$I:$I)=0,"",SUMIF(FoodLog!$A:$A,$A213,FoodLog!$I:$I)))</f>
        <v/>
      </c>
      <c r="V213">
        <f>IF($A213="","",IF(SUMIF(FoodLog!$A:$A,$A213,FoodLog!$F:$F)=0,"",SUMIF(FoodLog!$A:$A,$A213,FoodLog!$F:$F)))</f>
        <v/>
      </c>
      <c r="W213">
        <f>IF($A213="","",IF(SUMIF(FoodLog!$A:$A,$A213,FoodLog!$G:$G)=0,"",SUMIF(FoodLog!$A:$A,$A213,FoodLog!$G:$G)))</f>
        <v/>
      </c>
      <c r="X213">
        <f>IF($A213="","",IF(SUMIF(FoodLog!$A:$A,$A213,FoodLog!$H:$H)=0,"",SUMIF(FoodLog!$A:$A,$A213,FoodLog!$H:$H)))</f>
        <v/>
      </c>
      <c r="Y213">
        <f>IF($A213="","",IFERROR(ROUND(100*AVERAGE(IF($B213="","",XLOOKUP($B213,FILTER(Dictionaries!$B:$B,Dictionaries!$A:$A="Тренировка"),FILTER(Dictionaries!$C:$C,Dictionaries!$A:$A="Тренировка"))),IF($C213="","",MIN($C213/40,1)),IF($D213="","",XLOOKUP($D213,FILTER(Dictionaries!$B:$B,Dictionaries!$A:$A="Шаги"),FILTER(Dictionaries!$C:$C,Dictionaries!$A:$A="Шаги"))),IF($E213="","",MIN($E213/120,1)),IF(OR($F213&lt;&gt;"",$G213&lt;&gt;""),1,""),IF($H213="","",MIN($H213/100,1)),IF($L213="","",XLOOKUP($L213,FILTER(Dictionaries!$B:$B,Dictionaries!$A:$A="Сон_часы"),FILTER(Dictionaries!$C:$C,Dictionaries!$A:$A="Сон_часы"))),IF($M213="","",XLOOKUP($M213,FILTER(Dictionaries!$B:$B,Dictionaries!$A:$A="Режим"),FILTER(Dictionaries!$C:$C,Dictionaries!$A:$A="Режим"))),IF($N213="","",MIN($N213/100,1)),IF($O213="","",XLOOKUP($O213,FILTER(Dictionaries!$B:$B,Dictionaries!$A:$A="Настроение"),FILTER(Dictionaries!$C:$C,Dictionaries!$A:$A="Настроение"))),IF($P213="","",XLOOKUP($P213,FILTER(Dictionaries!$B:$B,Dictionaries!$A:$A="Энергия"),FILTER(Dictionaries!$C:$C,Dictionaries!$A:$A="Энергия"))),IF($U213="","",AVERAGE(IF(OR($B213="Ноги",$B213="Верх"),IFS(AND($U213&gt;=1900,$U213&lt;=2050),1,AND($U213&gt;=1850,$U213&lt;1900),0.7,AND($U213&gt;2050,$U213&lt;=2100),0.7,TRUE,0.2),IFS(AND($U213&gt;=1700,$U213&lt;=1850),1,AND($U213&gt;=1650,$U213&lt;1700),0.7,AND($U213&gt;1850,$U213&lt;=1900),0.7,TRUE,0.2)),IF(OR($B213="Ноги",$B213="Верх"),IFS(AND($V213&gt;=125,$V213&lt;=135),1,AND($V213&gt;=115,$V213&lt;125),0.7,AND($V213&gt;135,$V213&lt;=145),0.7,AND($V213&gt;=105,$V213&lt;115),0.4,AND($V213&gt;145,$V213&lt;=155),0.4,TRUE,0.2),IFS(AND($V213&gt;=120,$V213&lt;=130),1,AND($V213&gt;=110,$V213&lt;120),0.7,AND($V213&gt;130,$V213&lt;=140),0.7,AND($V213&gt;=100,$V213&lt;110),0.4,AND($V213&gt;140,$V213&lt;=150),0.4,TRUE,0.2)),IFS(AND($W213&gt;=55,$W213&lt;=65),1,AND($W213&gt;=50,$W213&lt;55),0.7,AND($W213&gt;65,$W213&lt;=70),0.7,AND($W213&gt;=45,$W213&lt;50),0.4,AND($W213&gt;70,$W213&lt;=75),0.4,TRUE,0.2),IF(OR($B213="Ноги",$B213="Верх"),IFS(AND($X213&gt;=180,$X213&lt;=210),1,AND($X213&gt;=160,$X213&lt;180),0.7,AND($X213&gt;210,$X213&lt;=230),0.7,AND($X213&gt;=140,$X213&lt;160),0.4,AND($X213&gt;230,$X213&lt;=250),0.4,TRUE,0.2),IFS(AND($X213&gt;=140,$X213&lt;=170),1,AND($X213&gt;=120,$X213&lt;140),0.7,AND($X213&gt;170,$X213&lt;=190),0.7,AND($X213&gt;=100,$X213&lt;120),0.4,AND($X213&gt;190,$X213&lt;=210),0.4,TRUE,0.2))))),1),""))</f>
        <v/>
      </c>
      <c r="Z213">
        <f>IF($A213="","",TEXTJOIN(", ",TRUE,IF($B213="","Тренировка",""),IF($C213="","Кардио",""),IF($D213="","Шаги",""),IF($E213="","Английский",""),IF($F213="","Код-режим",""),IF($G213="","Код-тема",""),IF($H213="","Чтение",""),IF($L213="","Сон",""),IF($M213="","Режим",""),IF($N213="","Продуктивность",""),IF($O213="","Настроение",""),IF($P213="","Энергия",""),IF($U213="","Еда","")))</f>
        <v/>
      </c>
    </row>
    <row r="214">
      <c r="A214" t="inlineStr"/>
      <c r="U214">
        <f>IF($A214="","",IF(SUMIF(FoodLog!$A:$A,$A214,FoodLog!$I:$I)=0,"",SUMIF(FoodLog!$A:$A,$A214,FoodLog!$I:$I)))</f>
        <v/>
      </c>
      <c r="V214">
        <f>IF($A214="","",IF(SUMIF(FoodLog!$A:$A,$A214,FoodLog!$F:$F)=0,"",SUMIF(FoodLog!$A:$A,$A214,FoodLog!$F:$F)))</f>
        <v/>
      </c>
      <c r="W214">
        <f>IF($A214="","",IF(SUMIF(FoodLog!$A:$A,$A214,FoodLog!$G:$G)=0,"",SUMIF(FoodLog!$A:$A,$A214,FoodLog!$G:$G)))</f>
        <v/>
      </c>
      <c r="X214">
        <f>IF($A214="","",IF(SUMIF(FoodLog!$A:$A,$A214,FoodLog!$H:$H)=0,"",SUMIF(FoodLog!$A:$A,$A214,FoodLog!$H:$H)))</f>
        <v/>
      </c>
      <c r="Y214">
        <f>IF($A214="","",IFERROR(ROUND(100*AVERAGE(IF($B214="","",XLOOKUP($B214,FILTER(Dictionaries!$B:$B,Dictionaries!$A:$A="Тренировка"),FILTER(Dictionaries!$C:$C,Dictionaries!$A:$A="Тренировка"))),IF($C214="","",MIN($C214/40,1)),IF($D214="","",XLOOKUP($D214,FILTER(Dictionaries!$B:$B,Dictionaries!$A:$A="Шаги"),FILTER(Dictionaries!$C:$C,Dictionaries!$A:$A="Шаги"))),IF($E214="","",MIN($E214/120,1)),IF(OR($F214&lt;&gt;"",$G214&lt;&gt;""),1,""),IF($H214="","",MIN($H214/100,1)),IF($L214="","",XLOOKUP($L214,FILTER(Dictionaries!$B:$B,Dictionaries!$A:$A="Сон_часы"),FILTER(Dictionaries!$C:$C,Dictionaries!$A:$A="Сон_часы"))),IF($M214="","",XLOOKUP($M214,FILTER(Dictionaries!$B:$B,Dictionaries!$A:$A="Режим"),FILTER(Dictionaries!$C:$C,Dictionaries!$A:$A="Режим"))),IF($N214="","",MIN($N214/100,1)),IF($O214="","",XLOOKUP($O214,FILTER(Dictionaries!$B:$B,Dictionaries!$A:$A="Настроение"),FILTER(Dictionaries!$C:$C,Dictionaries!$A:$A="Настроение"))),IF($P214="","",XLOOKUP($P214,FILTER(Dictionaries!$B:$B,Dictionaries!$A:$A="Энергия"),FILTER(Dictionaries!$C:$C,Dictionaries!$A:$A="Энергия"))),IF($U214="","",AVERAGE(IF(OR($B214="Ноги",$B214="Верх"),IFS(AND($U214&gt;=1900,$U214&lt;=2050),1,AND($U214&gt;=1850,$U214&lt;1900),0.7,AND($U214&gt;2050,$U214&lt;=2100),0.7,TRUE,0.2),IFS(AND($U214&gt;=1700,$U214&lt;=1850),1,AND($U214&gt;=1650,$U214&lt;1700),0.7,AND($U214&gt;1850,$U214&lt;=1900),0.7,TRUE,0.2)),IF(OR($B214="Ноги",$B214="Верх"),IFS(AND($V214&gt;=125,$V214&lt;=135),1,AND($V214&gt;=115,$V214&lt;125),0.7,AND($V214&gt;135,$V214&lt;=145),0.7,AND($V214&gt;=105,$V214&lt;115),0.4,AND($V214&gt;145,$V214&lt;=155),0.4,TRUE,0.2),IFS(AND($V214&gt;=120,$V214&lt;=130),1,AND($V214&gt;=110,$V214&lt;120),0.7,AND($V214&gt;130,$V214&lt;=140),0.7,AND($V214&gt;=100,$V214&lt;110),0.4,AND($V214&gt;140,$V214&lt;=150),0.4,TRUE,0.2)),IFS(AND($W214&gt;=55,$W214&lt;=65),1,AND($W214&gt;=50,$W214&lt;55),0.7,AND($W214&gt;65,$W214&lt;=70),0.7,AND($W214&gt;=45,$W214&lt;50),0.4,AND($W214&gt;70,$W214&lt;=75),0.4,TRUE,0.2),IF(OR($B214="Ноги",$B214="Верх"),IFS(AND($X214&gt;=180,$X214&lt;=210),1,AND($X214&gt;=160,$X214&lt;180),0.7,AND($X214&gt;210,$X214&lt;=230),0.7,AND($X214&gt;=140,$X214&lt;160),0.4,AND($X214&gt;230,$X214&lt;=250),0.4,TRUE,0.2),IFS(AND($X214&gt;=140,$X214&lt;=170),1,AND($X214&gt;=120,$X214&lt;140),0.7,AND($X214&gt;170,$X214&lt;=190),0.7,AND($X214&gt;=100,$X214&lt;120),0.4,AND($X214&gt;190,$X214&lt;=210),0.4,TRUE,0.2))))),1),""))</f>
        <v/>
      </c>
      <c r="Z214">
        <f>IF($A214="","",TEXTJOIN(", ",TRUE,IF($B214="","Тренировка",""),IF($C214="","Кардио",""),IF($D214="","Шаги",""),IF($E214="","Английский",""),IF($F214="","Код-режим",""),IF($G214="","Код-тема",""),IF($H214="","Чтение",""),IF($L214="","Сон",""),IF($M214="","Режим",""),IF($N214="","Продуктивность",""),IF($O214="","Настроение",""),IF($P214="","Энергия",""),IF($U214="","Еда","")))</f>
        <v/>
      </c>
    </row>
    <row r="215">
      <c r="A215" t="inlineStr"/>
      <c r="U215">
        <f>IF($A215="","",IF(SUMIF(FoodLog!$A:$A,$A215,FoodLog!$I:$I)=0,"",SUMIF(FoodLog!$A:$A,$A215,FoodLog!$I:$I)))</f>
        <v/>
      </c>
      <c r="V215">
        <f>IF($A215="","",IF(SUMIF(FoodLog!$A:$A,$A215,FoodLog!$F:$F)=0,"",SUMIF(FoodLog!$A:$A,$A215,FoodLog!$F:$F)))</f>
        <v/>
      </c>
      <c r="W215">
        <f>IF($A215="","",IF(SUMIF(FoodLog!$A:$A,$A215,FoodLog!$G:$G)=0,"",SUMIF(FoodLog!$A:$A,$A215,FoodLog!$G:$G)))</f>
        <v/>
      </c>
      <c r="X215">
        <f>IF($A215="","",IF(SUMIF(FoodLog!$A:$A,$A215,FoodLog!$H:$H)=0,"",SUMIF(FoodLog!$A:$A,$A215,FoodLog!$H:$H)))</f>
        <v/>
      </c>
      <c r="Y215">
        <f>IF($A215="","",IFERROR(ROUND(100*AVERAGE(IF($B215="","",XLOOKUP($B215,FILTER(Dictionaries!$B:$B,Dictionaries!$A:$A="Тренировка"),FILTER(Dictionaries!$C:$C,Dictionaries!$A:$A="Тренировка"))),IF($C215="","",MIN($C215/40,1)),IF($D215="","",XLOOKUP($D215,FILTER(Dictionaries!$B:$B,Dictionaries!$A:$A="Шаги"),FILTER(Dictionaries!$C:$C,Dictionaries!$A:$A="Шаги"))),IF($E215="","",MIN($E215/120,1)),IF(OR($F215&lt;&gt;"",$G215&lt;&gt;""),1,""),IF($H215="","",MIN($H215/100,1)),IF($L215="","",XLOOKUP($L215,FILTER(Dictionaries!$B:$B,Dictionaries!$A:$A="Сон_часы"),FILTER(Dictionaries!$C:$C,Dictionaries!$A:$A="Сон_часы"))),IF($M215="","",XLOOKUP($M215,FILTER(Dictionaries!$B:$B,Dictionaries!$A:$A="Режим"),FILTER(Dictionaries!$C:$C,Dictionaries!$A:$A="Режим"))),IF($N215="","",MIN($N215/100,1)),IF($O215="","",XLOOKUP($O215,FILTER(Dictionaries!$B:$B,Dictionaries!$A:$A="Настроение"),FILTER(Dictionaries!$C:$C,Dictionaries!$A:$A="Настроение"))),IF($P215="","",XLOOKUP($P215,FILTER(Dictionaries!$B:$B,Dictionaries!$A:$A="Энергия"),FILTER(Dictionaries!$C:$C,Dictionaries!$A:$A="Энергия"))),IF($U215="","",AVERAGE(IF(OR($B215="Ноги",$B215="Верх"),IFS(AND($U215&gt;=1900,$U215&lt;=2050),1,AND($U215&gt;=1850,$U215&lt;1900),0.7,AND($U215&gt;2050,$U215&lt;=2100),0.7,TRUE,0.2),IFS(AND($U215&gt;=1700,$U215&lt;=1850),1,AND($U215&gt;=1650,$U215&lt;1700),0.7,AND($U215&gt;1850,$U215&lt;=1900),0.7,TRUE,0.2)),IF(OR($B215="Ноги",$B215="Верх"),IFS(AND($V215&gt;=125,$V215&lt;=135),1,AND($V215&gt;=115,$V215&lt;125),0.7,AND($V215&gt;135,$V215&lt;=145),0.7,AND($V215&gt;=105,$V215&lt;115),0.4,AND($V215&gt;145,$V215&lt;=155),0.4,TRUE,0.2),IFS(AND($V215&gt;=120,$V215&lt;=130),1,AND($V215&gt;=110,$V215&lt;120),0.7,AND($V215&gt;130,$V215&lt;=140),0.7,AND($V215&gt;=100,$V215&lt;110),0.4,AND($V215&gt;140,$V215&lt;=150),0.4,TRUE,0.2)),IFS(AND($W215&gt;=55,$W215&lt;=65),1,AND($W215&gt;=50,$W215&lt;55),0.7,AND($W215&gt;65,$W215&lt;=70),0.7,AND($W215&gt;=45,$W215&lt;50),0.4,AND($W215&gt;70,$W215&lt;=75),0.4,TRUE,0.2),IF(OR($B215="Ноги",$B215="Верх"),IFS(AND($X215&gt;=180,$X215&lt;=210),1,AND($X215&gt;=160,$X215&lt;180),0.7,AND($X215&gt;210,$X215&lt;=230),0.7,AND($X215&gt;=140,$X215&lt;160),0.4,AND($X215&gt;230,$X215&lt;=250),0.4,TRUE,0.2),IFS(AND($X215&gt;=140,$X215&lt;=170),1,AND($X215&gt;=120,$X215&lt;140),0.7,AND($X215&gt;170,$X215&lt;=190),0.7,AND($X215&gt;=100,$X215&lt;120),0.4,AND($X215&gt;190,$X215&lt;=210),0.4,TRUE,0.2))))),1),""))</f>
        <v/>
      </c>
      <c r="Z215">
        <f>IF($A215="","",TEXTJOIN(", ",TRUE,IF($B215="","Тренировка",""),IF($C215="","Кардио",""),IF($D215="","Шаги",""),IF($E215="","Английский",""),IF($F215="","Код-режим",""),IF($G215="","Код-тема",""),IF($H215="","Чтение",""),IF($L215="","Сон",""),IF($M215="","Режим",""),IF($N215="","Продуктивность",""),IF($O215="","Настроение",""),IF($P215="","Энергия",""),IF($U215="","Еда","")))</f>
        <v/>
      </c>
    </row>
    <row r="216">
      <c r="A216" t="inlineStr"/>
      <c r="U216">
        <f>IF($A216="","",IF(SUMIF(FoodLog!$A:$A,$A216,FoodLog!$I:$I)=0,"",SUMIF(FoodLog!$A:$A,$A216,FoodLog!$I:$I)))</f>
        <v/>
      </c>
      <c r="V216">
        <f>IF($A216="","",IF(SUMIF(FoodLog!$A:$A,$A216,FoodLog!$F:$F)=0,"",SUMIF(FoodLog!$A:$A,$A216,FoodLog!$F:$F)))</f>
        <v/>
      </c>
      <c r="W216">
        <f>IF($A216="","",IF(SUMIF(FoodLog!$A:$A,$A216,FoodLog!$G:$G)=0,"",SUMIF(FoodLog!$A:$A,$A216,FoodLog!$G:$G)))</f>
        <v/>
      </c>
      <c r="X216">
        <f>IF($A216="","",IF(SUMIF(FoodLog!$A:$A,$A216,FoodLog!$H:$H)=0,"",SUMIF(FoodLog!$A:$A,$A216,FoodLog!$H:$H)))</f>
        <v/>
      </c>
      <c r="Y216">
        <f>IF($A216="","",IFERROR(ROUND(100*AVERAGE(IF($B216="","",XLOOKUP($B216,FILTER(Dictionaries!$B:$B,Dictionaries!$A:$A="Тренировка"),FILTER(Dictionaries!$C:$C,Dictionaries!$A:$A="Тренировка"))),IF($C216="","",MIN($C216/40,1)),IF($D216="","",XLOOKUP($D216,FILTER(Dictionaries!$B:$B,Dictionaries!$A:$A="Шаги"),FILTER(Dictionaries!$C:$C,Dictionaries!$A:$A="Шаги"))),IF($E216="","",MIN($E216/120,1)),IF(OR($F216&lt;&gt;"",$G216&lt;&gt;""),1,""),IF($H216="","",MIN($H216/100,1)),IF($L216="","",XLOOKUP($L216,FILTER(Dictionaries!$B:$B,Dictionaries!$A:$A="Сон_часы"),FILTER(Dictionaries!$C:$C,Dictionaries!$A:$A="Сон_часы"))),IF($M216="","",XLOOKUP($M216,FILTER(Dictionaries!$B:$B,Dictionaries!$A:$A="Режим"),FILTER(Dictionaries!$C:$C,Dictionaries!$A:$A="Режим"))),IF($N216="","",MIN($N216/100,1)),IF($O216="","",XLOOKUP($O216,FILTER(Dictionaries!$B:$B,Dictionaries!$A:$A="Настроение"),FILTER(Dictionaries!$C:$C,Dictionaries!$A:$A="Настроение"))),IF($P216="","",XLOOKUP($P216,FILTER(Dictionaries!$B:$B,Dictionaries!$A:$A="Энергия"),FILTER(Dictionaries!$C:$C,Dictionaries!$A:$A="Энергия"))),IF($U216="","",AVERAGE(IF(OR($B216="Ноги",$B216="Верх"),IFS(AND($U216&gt;=1900,$U216&lt;=2050),1,AND($U216&gt;=1850,$U216&lt;1900),0.7,AND($U216&gt;2050,$U216&lt;=2100),0.7,TRUE,0.2),IFS(AND($U216&gt;=1700,$U216&lt;=1850),1,AND($U216&gt;=1650,$U216&lt;1700),0.7,AND($U216&gt;1850,$U216&lt;=1900),0.7,TRUE,0.2)),IF(OR($B216="Ноги",$B216="Верх"),IFS(AND($V216&gt;=125,$V216&lt;=135),1,AND($V216&gt;=115,$V216&lt;125),0.7,AND($V216&gt;135,$V216&lt;=145),0.7,AND($V216&gt;=105,$V216&lt;115),0.4,AND($V216&gt;145,$V216&lt;=155),0.4,TRUE,0.2),IFS(AND($V216&gt;=120,$V216&lt;=130),1,AND($V216&gt;=110,$V216&lt;120),0.7,AND($V216&gt;130,$V216&lt;=140),0.7,AND($V216&gt;=100,$V216&lt;110),0.4,AND($V216&gt;140,$V216&lt;=150),0.4,TRUE,0.2)),IFS(AND($W216&gt;=55,$W216&lt;=65),1,AND($W216&gt;=50,$W216&lt;55),0.7,AND($W216&gt;65,$W216&lt;=70),0.7,AND($W216&gt;=45,$W216&lt;50),0.4,AND($W216&gt;70,$W216&lt;=75),0.4,TRUE,0.2),IF(OR($B216="Ноги",$B216="Верх"),IFS(AND($X216&gt;=180,$X216&lt;=210),1,AND($X216&gt;=160,$X216&lt;180),0.7,AND($X216&gt;210,$X216&lt;=230),0.7,AND($X216&gt;=140,$X216&lt;160),0.4,AND($X216&gt;230,$X216&lt;=250),0.4,TRUE,0.2),IFS(AND($X216&gt;=140,$X216&lt;=170),1,AND($X216&gt;=120,$X216&lt;140),0.7,AND($X216&gt;170,$X216&lt;=190),0.7,AND($X216&gt;=100,$X216&lt;120),0.4,AND($X216&gt;190,$X216&lt;=210),0.4,TRUE,0.2))))),1),""))</f>
        <v/>
      </c>
      <c r="Z216">
        <f>IF($A216="","",TEXTJOIN(", ",TRUE,IF($B216="","Тренировка",""),IF($C216="","Кардио",""),IF($D216="","Шаги",""),IF($E216="","Английский",""),IF($F216="","Код-режим",""),IF($G216="","Код-тема",""),IF($H216="","Чтение",""),IF($L216="","Сон",""),IF($M216="","Режим",""),IF($N216="","Продуктивность",""),IF($O216="","Настроение",""),IF($P216="","Энергия",""),IF($U216="","Еда","")))</f>
        <v/>
      </c>
    </row>
    <row r="217">
      <c r="A217" t="inlineStr"/>
      <c r="U217">
        <f>IF($A217="","",IF(SUMIF(FoodLog!$A:$A,$A217,FoodLog!$I:$I)=0,"",SUMIF(FoodLog!$A:$A,$A217,FoodLog!$I:$I)))</f>
        <v/>
      </c>
      <c r="V217">
        <f>IF($A217="","",IF(SUMIF(FoodLog!$A:$A,$A217,FoodLog!$F:$F)=0,"",SUMIF(FoodLog!$A:$A,$A217,FoodLog!$F:$F)))</f>
        <v/>
      </c>
      <c r="W217">
        <f>IF($A217="","",IF(SUMIF(FoodLog!$A:$A,$A217,FoodLog!$G:$G)=0,"",SUMIF(FoodLog!$A:$A,$A217,FoodLog!$G:$G)))</f>
        <v/>
      </c>
      <c r="X217">
        <f>IF($A217="","",IF(SUMIF(FoodLog!$A:$A,$A217,FoodLog!$H:$H)=0,"",SUMIF(FoodLog!$A:$A,$A217,FoodLog!$H:$H)))</f>
        <v/>
      </c>
      <c r="Y217">
        <f>IF($A217="","",IFERROR(ROUND(100*AVERAGE(IF($B217="","",XLOOKUP($B217,FILTER(Dictionaries!$B:$B,Dictionaries!$A:$A="Тренировка"),FILTER(Dictionaries!$C:$C,Dictionaries!$A:$A="Тренировка"))),IF($C217="","",MIN($C217/40,1)),IF($D217="","",XLOOKUP($D217,FILTER(Dictionaries!$B:$B,Dictionaries!$A:$A="Шаги"),FILTER(Dictionaries!$C:$C,Dictionaries!$A:$A="Шаги"))),IF($E217="","",MIN($E217/120,1)),IF(OR($F217&lt;&gt;"",$G217&lt;&gt;""),1,""),IF($H217="","",MIN($H217/100,1)),IF($L217="","",XLOOKUP($L217,FILTER(Dictionaries!$B:$B,Dictionaries!$A:$A="Сон_часы"),FILTER(Dictionaries!$C:$C,Dictionaries!$A:$A="Сон_часы"))),IF($M217="","",XLOOKUP($M217,FILTER(Dictionaries!$B:$B,Dictionaries!$A:$A="Режим"),FILTER(Dictionaries!$C:$C,Dictionaries!$A:$A="Режим"))),IF($N217="","",MIN($N217/100,1)),IF($O217="","",XLOOKUP($O217,FILTER(Dictionaries!$B:$B,Dictionaries!$A:$A="Настроение"),FILTER(Dictionaries!$C:$C,Dictionaries!$A:$A="Настроение"))),IF($P217="","",XLOOKUP($P217,FILTER(Dictionaries!$B:$B,Dictionaries!$A:$A="Энергия"),FILTER(Dictionaries!$C:$C,Dictionaries!$A:$A="Энергия"))),IF($U217="","",AVERAGE(IF(OR($B217="Ноги",$B217="Верх"),IFS(AND($U217&gt;=1900,$U217&lt;=2050),1,AND($U217&gt;=1850,$U217&lt;1900),0.7,AND($U217&gt;2050,$U217&lt;=2100),0.7,TRUE,0.2),IFS(AND($U217&gt;=1700,$U217&lt;=1850),1,AND($U217&gt;=1650,$U217&lt;1700),0.7,AND($U217&gt;1850,$U217&lt;=1900),0.7,TRUE,0.2)),IF(OR($B217="Ноги",$B217="Верх"),IFS(AND($V217&gt;=125,$V217&lt;=135),1,AND($V217&gt;=115,$V217&lt;125),0.7,AND($V217&gt;135,$V217&lt;=145),0.7,AND($V217&gt;=105,$V217&lt;115),0.4,AND($V217&gt;145,$V217&lt;=155),0.4,TRUE,0.2),IFS(AND($V217&gt;=120,$V217&lt;=130),1,AND($V217&gt;=110,$V217&lt;120),0.7,AND($V217&gt;130,$V217&lt;=140),0.7,AND($V217&gt;=100,$V217&lt;110),0.4,AND($V217&gt;140,$V217&lt;=150),0.4,TRUE,0.2)),IFS(AND($W217&gt;=55,$W217&lt;=65),1,AND($W217&gt;=50,$W217&lt;55),0.7,AND($W217&gt;65,$W217&lt;=70),0.7,AND($W217&gt;=45,$W217&lt;50),0.4,AND($W217&gt;70,$W217&lt;=75),0.4,TRUE,0.2),IF(OR($B217="Ноги",$B217="Верх"),IFS(AND($X217&gt;=180,$X217&lt;=210),1,AND($X217&gt;=160,$X217&lt;180),0.7,AND($X217&gt;210,$X217&lt;=230),0.7,AND($X217&gt;=140,$X217&lt;160),0.4,AND($X217&gt;230,$X217&lt;=250),0.4,TRUE,0.2),IFS(AND($X217&gt;=140,$X217&lt;=170),1,AND($X217&gt;=120,$X217&lt;140),0.7,AND($X217&gt;170,$X217&lt;=190),0.7,AND($X217&gt;=100,$X217&lt;120),0.4,AND($X217&gt;190,$X217&lt;=210),0.4,TRUE,0.2))))),1),""))</f>
        <v/>
      </c>
      <c r="Z217">
        <f>IF($A217="","",TEXTJOIN(", ",TRUE,IF($B217="","Тренировка",""),IF($C217="","Кардио",""),IF($D217="","Шаги",""),IF($E217="","Английский",""),IF($F217="","Код-режим",""),IF($G217="","Код-тема",""),IF($H217="","Чтение",""),IF($L217="","Сон",""),IF($M217="","Режим",""),IF($N217="","Продуктивность",""),IF($O217="","Настроение",""),IF($P217="","Энергия",""),IF($U217="","Еда","")))</f>
        <v/>
      </c>
    </row>
    <row r="218">
      <c r="A218" t="inlineStr"/>
      <c r="U218">
        <f>IF($A218="","",IF(SUMIF(FoodLog!$A:$A,$A218,FoodLog!$I:$I)=0,"",SUMIF(FoodLog!$A:$A,$A218,FoodLog!$I:$I)))</f>
        <v/>
      </c>
      <c r="V218">
        <f>IF($A218="","",IF(SUMIF(FoodLog!$A:$A,$A218,FoodLog!$F:$F)=0,"",SUMIF(FoodLog!$A:$A,$A218,FoodLog!$F:$F)))</f>
        <v/>
      </c>
      <c r="W218">
        <f>IF($A218="","",IF(SUMIF(FoodLog!$A:$A,$A218,FoodLog!$G:$G)=0,"",SUMIF(FoodLog!$A:$A,$A218,FoodLog!$G:$G)))</f>
        <v/>
      </c>
      <c r="X218">
        <f>IF($A218="","",IF(SUMIF(FoodLog!$A:$A,$A218,FoodLog!$H:$H)=0,"",SUMIF(FoodLog!$A:$A,$A218,FoodLog!$H:$H)))</f>
        <v/>
      </c>
      <c r="Y218">
        <f>IF($A218="","",IFERROR(ROUND(100*AVERAGE(IF($B218="","",XLOOKUP($B218,FILTER(Dictionaries!$B:$B,Dictionaries!$A:$A="Тренировка"),FILTER(Dictionaries!$C:$C,Dictionaries!$A:$A="Тренировка"))),IF($C218="","",MIN($C218/40,1)),IF($D218="","",XLOOKUP($D218,FILTER(Dictionaries!$B:$B,Dictionaries!$A:$A="Шаги"),FILTER(Dictionaries!$C:$C,Dictionaries!$A:$A="Шаги"))),IF($E218="","",MIN($E218/120,1)),IF(OR($F218&lt;&gt;"",$G218&lt;&gt;""),1,""),IF($H218="","",MIN($H218/100,1)),IF($L218="","",XLOOKUP($L218,FILTER(Dictionaries!$B:$B,Dictionaries!$A:$A="Сон_часы"),FILTER(Dictionaries!$C:$C,Dictionaries!$A:$A="Сон_часы"))),IF($M218="","",XLOOKUP($M218,FILTER(Dictionaries!$B:$B,Dictionaries!$A:$A="Режим"),FILTER(Dictionaries!$C:$C,Dictionaries!$A:$A="Режим"))),IF($N218="","",MIN($N218/100,1)),IF($O218="","",XLOOKUP($O218,FILTER(Dictionaries!$B:$B,Dictionaries!$A:$A="Настроение"),FILTER(Dictionaries!$C:$C,Dictionaries!$A:$A="Настроение"))),IF($P218="","",XLOOKUP($P218,FILTER(Dictionaries!$B:$B,Dictionaries!$A:$A="Энергия"),FILTER(Dictionaries!$C:$C,Dictionaries!$A:$A="Энергия"))),IF($U218="","",AVERAGE(IF(OR($B218="Ноги",$B218="Верх"),IFS(AND($U218&gt;=1900,$U218&lt;=2050),1,AND($U218&gt;=1850,$U218&lt;1900),0.7,AND($U218&gt;2050,$U218&lt;=2100),0.7,TRUE,0.2),IFS(AND($U218&gt;=1700,$U218&lt;=1850),1,AND($U218&gt;=1650,$U218&lt;1700),0.7,AND($U218&gt;1850,$U218&lt;=1900),0.7,TRUE,0.2)),IF(OR($B218="Ноги",$B218="Верх"),IFS(AND($V218&gt;=125,$V218&lt;=135),1,AND($V218&gt;=115,$V218&lt;125),0.7,AND($V218&gt;135,$V218&lt;=145),0.7,AND($V218&gt;=105,$V218&lt;115),0.4,AND($V218&gt;145,$V218&lt;=155),0.4,TRUE,0.2),IFS(AND($V218&gt;=120,$V218&lt;=130),1,AND($V218&gt;=110,$V218&lt;120),0.7,AND($V218&gt;130,$V218&lt;=140),0.7,AND($V218&gt;=100,$V218&lt;110),0.4,AND($V218&gt;140,$V218&lt;=150),0.4,TRUE,0.2)),IFS(AND($W218&gt;=55,$W218&lt;=65),1,AND($W218&gt;=50,$W218&lt;55),0.7,AND($W218&gt;65,$W218&lt;=70),0.7,AND($W218&gt;=45,$W218&lt;50),0.4,AND($W218&gt;70,$W218&lt;=75),0.4,TRUE,0.2),IF(OR($B218="Ноги",$B218="Верх"),IFS(AND($X218&gt;=180,$X218&lt;=210),1,AND($X218&gt;=160,$X218&lt;180),0.7,AND($X218&gt;210,$X218&lt;=230),0.7,AND($X218&gt;=140,$X218&lt;160),0.4,AND($X218&gt;230,$X218&lt;=250),0.4,TRUE,0.2),IFS(AND($X218&gt;=140,$X218&lt;=170),1,AND($X218&gt;=120,$X218&lt;140),0.7,AND($X218&gt;170,$X218&lt;=190),0.7,AND($X218&gt;=100,$X218&lt;120),0.4,AND($X218&gt;190,$X218&lt;=210),0.4,TRUE,0.2))))),1),""))</f>
        <v/>
      </c>
      <c r="Z218">
        <f>IF($A218="","",TEXTJOIN(", ",TRUE,IF($B218="","Тренировка",""),IF($C218="","Кардио",""),IF($D218="","Шаги",""),IF($E218="","Английский",""),IF($F218="","Код-режим",""),IF($G218="","Код-тема",""),IF($H218="","Чтение",""),IF($L218="","Сон",""),IF($M218="","Режим",""),IF($N218="","Продуктивность",""),IF($O218="","Настроение",""),IF($P218="","Энергия",""),IF($U218="","Еда","")))</f>
        <v/>
      </c>
    </row>
    <row r="219">
      <c r="A219" t="inlineStr"/>
      <c r="U219">
        <f>IF($A219="","",IF(SUMIF(FoodLog!$A:$A,$A219,FoodLog!$I:$I)=0,"",SUMIF(FoodLog!$A:$A,$A219,FoodLog!$I:$I)))</f>
        <v/>
      </c>
      <c r="V219">
        <f>IF($A219="","",IF(SUMIF(FoodLog!$A:$A,$A219,FoodLog!$F:$F)=0,"",SUMIF(FoodLog!$A:$A,$A219,FoodLog!$F:$F)))</f>
        <v/>
      </c>
      <c r="W219">
        <f>IF($A219="","",IF(SUMIF(FoodLog!$A:$A,$A219,FoodLog!$G:$G)=0,"",SUMIF(FoodLog!$A:$A,$A219,FoodLog!$G:$G)))</f>
        <v/>
      </c>
      <c r="X219">
        <f>IF($A219="","",IF(SUMIF(FoodLog!$A:$A,$A219,FoodLog!$H:$H)=0,"",SUMIF(FoodLog!$A:$A,$A219,FoodLog!$H:$H)))</f>
        <v/>
      </c>
      <c r="Y219">
        <f>IF($A219="","",IFERROR(ROUND(100*AVERAGE(IF($B219="","",XLOOKUP($B219,FILTER(Dictionaries!$B:$B,Dictionaries!$A:$A="Тренировка"),FILTER(Dictionaries!$C:$C,Dictionaries!$A:$A="Тренировка"))),IF($C219="","",MIN($C219/40,1)),IF($D219="","",XLOOKUP($D219,FILTER(Dictionaries!$B:$B,Dictionaries!$A:$A="Шаги"),FILTER(Dictionaries!$C:$C,Dictionaries!$A:$A="Шаги"))),IF($E219="","",MIN($E219/120,1)),IF(OR($F219&lt;&gt;"",$G219&lt;&gt;""),1,""),IF($H219="","",MIN($H219/100,1)),IF($L219="","",XLOOKUP($L219,FILTER(Dictionaries!$B:$B,Dictionaries!$A:$A="Сон_часы"),FILTER(Dictionaries!$C:$C,Dictionaries!$A:$A="Сон_часы"))),IF($M219="","",XLOOKUP($M219,FILTER(Dictionaries!$B:$B,Dictionaries!$A:$A="Режим"),FILTER(Dictionaries!$C:$C,Dictionaries!$A:$A="Режим"))),IF($N219="","",MIN($N219/100,1)),IF($O219="","",XLOOKUP($O219,FILTER(Dictionaries!$B:$B,Dictionaries!$A:$A="Настроение"),FILTER(Dictionaries!$C:$C,Dictionaries!$A:$A="Настроение"))),IF($P219="","",XLOOKUP($P219,FILTER(Dictionaries!$B:$B,Dictionaries!$A:$A="Энергия"),FILTER(Dictionaries!$C:$C,Dictionaries!$A:$A="Энергия"))),IF($U219="","",AVERAGE(IF(OR($B219="Ноги",$B219="Верх"),IFS(AND($U219&gt;=1900,$U219&lt;=2050),1,AND($U219&gt;=1850,$U219&lt;1900),0.7,AND($U219&gt;2050,$U219&lt;=2100),0.7,TRUE,0.2),IFS(AND($U219&gt;=1700,$U219&lt;=1850),1,AND($U219&gt;=1650,$U219&lt;1700),0.7,AND($U219&gt;1850,$U219&lt;=1900),0.7,TRUE,0.2)),IF(OR($B219="Ноги",$B219="Верх"),IFS(AND($V219&gt;=125,$V219&lt;=135),1,AND($V219&gt;=115,$V219&lt;125),0.7,AND($V219&gt;135,$V219&lt;=145),0.7,AND($V219&gt;=105,$V219&lt;115),0.4,AND($V219&gt;145,$V219&lt;=155),0.4,TRUE,0.2),IFS(AND($V219&gt;=120,$V219&lt;=130),1,AND($V219&gt;=110,$V219&lt;120),0.7,AND($V219&gt;130,$V219&lt;=140),0.7,AND($V219&gt;=100,$V219&lt;110),0.4,AND($V219&gt;140,$V219&lt;=150),0.4,TRUE,0.2)),IFS(AND($W219&gt;=55,$W219&lt;=65),1,AND($W219&gt;=50,$W219&lt;55),0.7,AND($W219&gt;65,$W219&lt;=70),0.7,AND($W219&gt;=45,$W219&lt;50),0.4,AND($W219&gt;70,$W219&lt;=75),0.4,TRUE,0.2),IF(OR($B219="Ноги",$B219="Верх"),IFS(AND($X219&gt;=180,$X219&lt;=210),1,AND($X219&gt;=160,$X219&lt;180),0.7,AND($X219&gt;210,$X219&lt;=230),0.7,AND($X219&gt;=140,$X219&lt;160),0.4,AND($X219&gt;230,$X219&lt;=250),0.4,TRUE,0.2),IFS(AND($X219&gt;=140,$X219&lt;=170),1,AND($X219&gt;=120,$X219&lt;140),0.7,AND($X219&gt;170,$X219&lt;=190),0.7,AND($X219&gt;=100,$X219&lt;120),0.4,AND($X219&gt;190,$X219&lt;=210),0.4,TRUE,0.2))))),1),""))</f>
        <v/>
      </c>
      <c r="Z219">
        <f>IF($A219="","",TEXTJOIN(", ",TRUE,IF($B219="","Тренировка",""),IF($C219="","Кардио",""),IF($D219="","Шаги",""),IF($E219="","Английский",""),IF($F219="","Код-режим",""),IF($G219="","Код-тема",""),IF($H219="","Чтение",""),IF($L219="","Сон",""),IF($M219="","Режим",""),IF($N219="","Продуктивность",""),IF($O219="","Настроение",""),IF($P219="","Энергия",""),IF($U219="","Еда","")))</f>
        <v/>
      </c>
    </row>
    <row r="220">
      <c r="A220" t="inlineStr"/>
      <c r="U220">
        <f>IF($A220="","",IF(SUMIF(FoodLog!$A:$A,$A220,FoodLog!$I:$I)=0,"",SUMIF(FoodLog!$A:$A,$A220,FoodLog!$I:$I)))</f>
        <v/>
      </c>
      <c r="V220">
        <f>IF($A220="","",IF(SUMIF(FoodLog!$A:$A,$A220,FoodLog!$F:$F)=0,"",SUMIF(FoodLog!$A:$A,$A220,FoodLog!$F:$F)))</f>
        <v/>
      </c>
      <c r="W220">
        <f>IF($A220="","",IF(SUMIF(FoodLog!$A:$A,$A220,FoodLog!$G:$G)=0,"",SUMIF(FoodLog!$A:$A,$A220,FoodLog!$G:$G)))</f>
        <v/>
      </c>
      <c r="X220">
        <f>IF($A220="","",IF(SUMIF(FoodLog!$A:$A,$A220,FoodLog!$H:$H)=0,"",SUMIF(FoodLog!$A:$A,$A220,FoodLog!$H:$H)))</f>
        <v/>
      </c>
      <c r="Y220">
        <f>IF($A220="","",IFERROR(ROUND(100*AVERAGE(IF($B220="","",XLOOKUP($B220,FILTER(Dictionaries!$B:$B,Dictionaries!$A:$A="Тренировка"),FILTER(Dictionaries!$C:$C,Dictionaries!$A:$A="Тренировка"))),IF($C220="","",MIN($C220/40,1)),IF($D220="","",XLOOKUP($D220,FILTER(Dictionaries!$B:$B,Dictionaries!$A:$A="Шаги"),FILTER(Dictionaries!$C:$C,Dictionaries!$A:$A="Шаги"))),IF($E220="","",MIN($E220/120,1)),IF(OR($F220&lt;&gt;"",$G220&lt;&gt;""),1,""),IF($H220="","",MIN($H220/100,1)),IF($L220="","",XLOOKUP($L220,FILTER(Dictionaries!$B:$B,Dictionaries!$A:$A="Сон_часы"),FILTER(Dictionaries!$C:$C,Dictionaries!$A:$A="Сон_часы"))),IF($M220="","",XLOOKUP($M220,FILTER(Dictionaries!$B:$B,Dictionaries!$A:$A="Режим"),FILTER(Dictionaries!$C:$C,Dictionaries!$A:$A="Режим"))),IF($N220="","",MIN($N220/100,1)),IF($O220="","",XLOOKUP($O220,FILTER(Dictionaries!$B:$B,Dictionaries!$A:$A="Настроение"),FILTER(Dictionaries!$C:$C,Dictionaries!$A:$A="Настроение"))),IF($P220="","",XLOOKUP($P220,FILTER(Dictionaries!$B:$B,Dictionaries!$A:$A="Энергия"),FILTER(Dictionaries!$C:$C,Dictionaries!$A:$A="Энергия"))),IF($U220="","",AVERAGE(IF(OR($B220="Ноги",$B220="Верх"),IFS(AND($U220&gt;=1900,$U220&lt;=2050),1,AND($U220&gt;=1850,$U220&lt;1900),0.7,AND($U220&gt;2050,$U220&lt;=2100),0.7,TRUE,0.2),IFS(AND($U220&gt;=1700,$U220&lt;=1850),1,AND($U220&gt;=1650,$U220&lt;1700),0.7,AND($U220&gt;1850,$U220&lt;=1900),0.7,TRUE,0.2)),IF(OR($B220="Ноги",$B220="Верх"),IFS(AND($V220&gt;=125,$V220&lt;=135),1,AND($V220&gt;=115,$V220&lt;125),0.7,AND($V220&gt;135,$V220&lt;=145),0.7,AND($V220&gt;=105,$V220&lt;115),0.4,AND($V220&gt;145,$V220&lt;=155),0.4,TRUE,0.2),IFS(AND($V220&gt;=120,$V220&lt;=130),1,AND($V220&gt;=110,$V220&lt;120),0.7,AND($V220&gt;130,$V220&lt;=140),0.7,AND($V220&gt;=100,$V220&lt;110),0.4,AND($V220&gt;140,$V220&lt;=150),0.4,TRUE,0.2)),IFS(AND($W220&gt;=55,$W220&lt;=65),1,AND($W220&gt;=50,$W220&lt;55),0.7,AND($W220&gt;65,$W220&lt;=70),0.7,AND($W220&gt;=45,$W220&lt;50),0.4,AND($W220&gt;70,$W220&lt;=75),0.4,TRUE,0.2),IF(OR($B220="Ноги",$B220="Верх"),IFS(AND($X220&gt;=180,$X220&lt;=210),1,AND($X220&gt;=160,$X220&lt;180),0.7,AND($X220&gt;210,$X220&lt;=230),0.7,AND($X220&gt;=140,$X220&lt;160),0.4,AND($X220&gt;230,$X220&lt;=250),0.4,TRUE,0.2),IFS(AND($X220&gt;=140,$X220&lt;=170),1,AND($X220&gt;=120,$X220&lt;140),0.7,AND($X220&gt;170,$X220&lt;=190),0.7,AND($X220&gt;=100,$X220&lt;120),0.4,AND($X220&gt;190,$X220&lt;=210),0.4,TRUE,0.2))))),1),""))</f>
        <v/>
      </c>
      <c r="Z220">
        <f>IF($A220="","",TEXTJOIN(", ",TRUE,IF($B220="","Тренировка",""),IF($C220="","Кардио",""),IF($D220="","Шаги",""),IF($E220="","Английский",""),IF($F220="","Код-режим",""),IF($G220="","Код-тема",""),IF($H220="","Чтение",""),IF($L220="","Сон",""),IF($M220="","Режим",""),IF($N220="","Продуктивность",""),IF($O220="","Настроение",""),IF($P220="","Энергия",""),IF($U220="","Еда","")))</f>
        <v/>
      </c>
    </row>
    <row r="221">
      <c r="A221" t="inlineStr"/>
      <c r="U221">
        <f>IF($A221="","",IF(SUMIF(FoodLog!$A:$A,$A221,FoodLog!$I:$I)=0,"",SUMIF(FoodLog!$A:$A,$A221,FoodLog!$I:$I)))</f>
        <v/>
      </c>
      <c r="V221">
        <f>IF($A221="","",IF(SUMIF(FoodLog!$A:$A,$A221,FoodLog!$F:$F)=0,"",SUMIF(FoodLog!$A:$A,$A221,FoodLog!$F:$F)))</f>
        <v/>
      </c>
      <c r="W221">
        <f>IF($A221="","",IF(SUMIF(FoodLog!$A:$A,$A221,FoodLog!$G:$G)=0,"",SUMIF(FoodLog!$A:$A,$A221,FoodLog!$G:$G)))</f>
        <v/>
      </c>
      <c r="X221">
        <f>IF($A221="","",IF(SUMIF(FoodLog!$A:$A,$A221,FoodLog!$H:$H)=0,"",SUMIF(FoodLog!$A:$A,$A221,FoodLog!$H:$H)))</f>
        <v/>
      </c>
      <c r="Y221">
        <f>IF($A221="","",IFERROR(ROUND(100*AVERAGE(IF($B221="","",XLOOKUP($B221,FILTER(Dictionaries!$B:$B,Dictionaries!$A:$A="Тренировка"),FILTER(Dictionaries!$C:$C,Dictionaries!$A:$A="Тренировка"))),IF($C221="","",MIN($C221/40,1)),IF($D221="","",XLOOKUP($D221,FILTER(Dictionaries!$B:$B,Dictionaries!$A:$A="Шаги"),FILTER(Dictionaries!$C:$C,Dictionaries!$A:$A="Шаги"))),IF($E221="","",MIN($E221/120,1)),IF(OR($F221&lt;&gt;"",$G221&lt;&gt;""),1,""),IF($H221="","",MIN($H221/100,1)),IF($L221="","",XLOOKUP($L221,FILTER(Dictionaries!$B:$B,Dictionaries!$A:$A="Сон_часы"),FILTER(Dictionaries!$C:$C,Dictionaries!$A:$A="Сон_часы"))),IF($M221="","",XLOOKUP($M221,FILTER(Dictionaries!$B:$B,Dictionaries!$A:$A="Режим"),FILTER(Dictionaries!$C:$C,Dictionaries!$A:$A="Режим"))),IF($N221="","",MIN($N221/100,1)),IF($O221="","",XLOOKUP($O221,FILTER(Dictionaries!$B:$B,Dictionaries!$A:$A="Настроение"),FILTER(Dictionaries!$C:$C,Dictionaries!$A:$A="Настроение"))),IF($P221="","",XLOOKUP($P221,FILTER(Dictionaries!$B:$B,Dictionaries!$A:$A="Энергия"),FILTER(Dictionaries!$C:$C,Dictionaries!$A:$A="Энергия"))),IF($U221="","",AVERAGE(IF(OR($B221="Ноги",$B221="Верх"),IFS(AND($U221&gt;=1900,$U221&lt;=2050),1,AND($U221&gt;=1850,$U221&lt;1900),0.7,AND($U221&gt;2050,$U221&lt;=2100),0.7,TRUE,0.2),IFS(AND($U221&gt;=1700,$U221&lt;=1850),1,AND($U221&gt;=1650,$U221&lt;1700),0.7,AND($U221&gt;1850,$U221&lt;=1900),0.7,TRUE,0.2)),IF(OR($B221="Ноги",$B221="Верх"),IFS(AND($V221&gt;=125,$V221&lt;=135),1,AND($V221&gt;=115,$V221&lt;125),0.7,AND($V221&gt;135,$V221&lt;=145),0.7,AND($V221&gt;=105,$V221&lt;115),0.4,AND($V221&gt;145,$V221&lt;=155),0.4,TRUE,0.2),IFS(AND($V221&gt;=120,$V221&lt;=130),1,AND($V221&gt;=110,$V221&lt;120),0.7,AND($V221&gt;130,$V221&lt;=140),0.7,AND($V221&gt;=100,$V221&lt;110),0.4,AND($V221&gt;140,$V221&lt;=150),0.4,TRUE,0.2)),IFS(AND($W221&gt;=55,$W221&lt;=65),1,AND($W221&gt;=50,$W221&lt;55),0.7,AND($W221&gt;65,$W221&lt;=70),0.7,AND($W221&gt;=45,$W221&lt;50),0.4,AND($W221&gt;70,$W221&lt;=75),0.4,TRUE,0.2),IF(OR($B221="Ноги",$B221="Верх"),IFS(AND($X221&gt;=180,$X221&lt;=210),1,AND($X221&gt;=160,$X221&lt;180),0.7,AND($X221&gt;210,$X221&lt;=230),0.7,AND($X221&gt;=140,$X221&lt;160),0.4,AND($X221&gt;230,$X221&lt;=250),0.4,TRUE,0.2),IFS(AND($X221&gt;=140,$X221&lt;=170),1,AND($X221&gt;=120,$X221&lt;140),0.7,AND($X221&gt;170,$X221&lt;=190),0.7,AND($X221&gt;=100,$X221&lt;120),0.4,AND($X221&gt;190,$X221&lt;=210),0.4,TRUE,0.2))))),1),""))</f>
        <v/>
      </c>
      <c r="Z221">
        <f>IF($A221="","",TEXTJOIN(", ",TRUE,IF($B221="","Тренировка",""),IF($C221="","Кардио",""),IF($D221="","Шаги",""),IF($E221="","Английский",""),IF($F221="","Код-режим",""),IF($G221="","Код-тема",""),IF($H221="","Чтение",""),IF($L221="","Сон",""),IF($M221="","Режим",""),IF($N221="","Продуктивность",""),IF($O221="","Настроение",""),IF($P221="","Энергия",""),IF($U221="","Еда","")))</f>
        <v/>
      </c>
    </row>
    <row r="222">
      <c r="A222" t="inlineStr"/>
      <c r="U222">
        <f>IF($A222="","",IF(SUMIF(FoodLog!$A:$A,$A222,FoodLog!$I:$I)=0,"",SUMIF(FoodLog!$A:$A,$A222,FoodLog!$I:$I)))</f>
        <v/>
      </c>
      <c r="V222">
        <f>IF($A222="","",IF(SUMIF(FoodLog!$A:$A,$A222,FoodLog!$F:$F)=0,"",SUMIF(FoodLog!$A:$A,$A222,FoodLog!$F:$F)))</f>
        <v/>
      </c>
      <c r="W222">
        <f>IF($A222="","",IF(SUMIF(FoodLog!$A:$A,$A222,FoodLog!$G:$G)=0,"",SUMIF(FoodLog!$A:$A,$A222,FoodLog!$G:$G)))</f>
        <v/>
      </c>
      <c r="X222">
        <f>IF($A222="","",IF(SUMIF(FoodLog!$A:$A,$A222,FoodLog!$H:$H)=0,"",SUMIF(FoodLog!$A:$A,$A222,FoodLog!$H:$H)))</f>
        <v/>
      </c>
      <c r="Y222">
        <f>IF($A222="","",IFERROR(ROUND(100*AVERAGE(IF($B222="","",XLOOKUP($B222,FILTER(Dictionaries!$B:$B,Dictionaries!$A:$A="Тренировка"),FILTER(Dictionaries!$C:$C,Dictionaries!$A:$A="Тренировка"))),IF($C222="","",MIN($C222/40,1)),IF($D222="","",XLOOKUP($D222,FILTER(Dictionaries!$B:$B,Dictionaries!$A:$A="Шаги"),FILTER(Dictionaries!$C:$C,Dictionaries!$A:$A="Шаги"))),IF($E222="","",MIN($E222/120,1)),IF(OR($F222&lt;&gt;"",$G222&lt;&gt;""),1,""),IF($H222="","",MIN($H222/100,1)),IF($L222="","",XLOOKUP($L222,FILTER(Dictionaries!$B:$B,Dictionaries!$A:$A="Сон_часы"),FILTER(Dictionaries!$C:$C,Dictionaries!$A:$A="Сон_часы"))),IF($M222="","",XLOOKUP($M222,FILTER(Dictionaries!$B:$B,Dictionaries!$A:$A="Режим"),FILTER(Dictionaries!$C:$C,Dictionaries!$A:$A="Режим"))),IF($N222="","",MIN($N222/100,1)),IF($O222="","",XLOOKUP($O222,FILTER(Dictionaries!$B:$B,Dictionaries!$A:$A="Настроение"),FILTER(Dictionaries!$C:$C,Dictionaries!$A:$A="Настроение"))),IF($P222="","",XLOOKUP($P222,FILTER(Dictionaries!$B:$B,Dictionaries!$A:$A="Энергия"),FILTER(Dictionaries!$C:$C,Dictionaries!$A:$A="Энергия"))),IF($U222="","",AVERAGE(IF(OR($B222="Ноги",$B222="Верх"),IFS(AND($U222&gt;=1900,$U222&lt;=2050),1,AND($U222&gt;=1850,$U222&lt;1900),0.7,AND($U222&gt;2050,$U222&lt;=2100),0.7,TRUE,0.2),IFS(AND($U222&gt;=1700,$U222&lt;=1850),1,AND($U222&gt;=1650,$U222&lt;1700),0.7,AND($U222&gt;1850,$U222&lt;=1900),0.7,TRUE,0.2)),IF(OR($B222="Ноги",$B222="Верх"),IFS(AND($V222&gt;=125,$V222&lt;=135),1,AND($V222&gt;=115,$V222&lt;125),0.7,AND($V222&gt;135,$V222&lt;=145),0.7,AND($V222&gt;=105,$V222&lt;115),0.4,AND($V222&gt;145,$V222&lt;=155),0.4,TRUE,0.2),IFS(AND($V222&gt;=120,$V222&lt;=130),1,AND($V222&gt;=110,$V222&lt;120),0.7,AND($V222&gt;130,$V222&lt;=140),0.7,AND($V222&gt;=100,$V222&lt;110),0.4,AND($V222&gt;140,$V222&lt;=150),0.4,TRUE,0.2)),IFS(AND($W222&gt;=55,$W222&lt;=65),1,AND($W222&gt;=50,$W222&lt;55),0.7,AND($W222&gt;65,$W222&lt;=70),0.7,AND($W222&gt;=45,$W222&lt;50),0.4,AND($W222&gt;70,$W222&lt;=75),0.4,TRUE,0.2),IF(OR($B222="Ноги",$B222="Верх"),IFS(AND($X222&gt;=180,$X222&lt;=210),1,AND($X222&gt;=160,$X222&lt;180),0.7,AND($X222&gt;210,$X222&lt;=230),0.7,AND($X222&gt;=140,$X222&lt;160),0.4,AND($X222&gt;230,$X222&lt;=250),0.4,TRUE,0.2),IFS(AND($X222&gt;=140,$X222&lt;=170),1,AND($X222&gt;=120,$X222&lt;140),0.7,AND($X222&gt;170,$X222&lt;=190),0.7,AND($X222&gt;=100,$X222&lt;120),0.4,AND($X222&gt;190,$X222&lt;=210),0.4,TRUE,0.2))))),1),""))</f>
        <v/>
      </c>
      <c r="Z222">
        <f>IF($A222="","",TEXTJOIN(", ",TRUE,IF($B222="","Тренировка",""),IF($C222="","Кардио",""),IF($D222="","Шаги",""),IF($E222="","Английский",""),IF($F222="","Код-режим",""),IF($G222="","Код-тема",""),IF($H222="","Чтение",""),IF($L222="","Сон",""),IF($M222="","Режим",""),IF($N222="","Продуктивность",""),IF($O222="","Настроение",""),IF($P222="","Энергия",""),IF($U222="","Еда","")))</f>
        <v/>
      </c>
    </row>
    <row r="223">
      <c r="A223" t="inlineStr"/>
      <c r="U223">
        <f>IF($A223="","",IF(SUMIF(FoodLog!$A:$A,$A223,FoodLog!$I:$I)=0,"",SUMIF(FoodLog!$A:$A,$A223,FoodLog!$I:$I)))</f>
        <v/>
      </c>
      <c r="V223">
        <f>IF($A223="","",IF(SUMIF(FoodLog!$A:$A,$A223,FoodLog!$F:$F)=0,"",SUMIF(FoodLog!$A:$A,$A223,FoodLog!$F:$F)))</f>
        <v/>
      </c>
      <c r="W223">
        <f>IF($A223="","",IF(SUMIF(FoodLog!$A:$A,$A223,FoodLog!$G:$G)=0,"",SUMIF(FoodLog!$A:$A,$A223,FoodLog!$G:$G)))</f>
        <v/>
      </c>
      <c r="X223">
        <f>IF($A223="","",IF(SUMIF(FoodLog!$A:$A,$A223,FoodLog!$H:$H)=0,"",SUMIF(FoodLog!$A:$A,$A223,FoodLog!$H:$H)))</f>
        <v/>
      </c>
      <c r="Y223">
        <f>IF($A223="","",IFERROR(ROUND(100*AVERAGE(IF($B223="","",XLOOKUP($B223,FILTER(Dictionaries!$B:$B,Dictionaries!$A:$A="Тренировка"),FILTER(Dictionaries!$C:$C,Dictionaries!$A:$A="Тренировка"))),IF($C223="","",MIN($C223/40,1)),IF($D223="","",XLOOKUP($D223,FILTER(Dictionaries!$B:$B,Dictionaries!$A:$A="Шаги"),FILTER(Dictionaries!$C:$C,Dictionaries!$A:$A="Шаги"))),IF($E223="","",MIN($E223/120,1)),IF(OR($F223&lt;&gt;"",$G223&lt;&gt;""),1,""),IF($H223="","",MIN($H223/100,1)),IF($L223="","",XLOOKUP($L223,FILTER(Dictionaries!$B:$B,Dictionaries!$A:$A="Сон_часы"),FILTER(Dictionaries!$C:$C,Dictionaries!$A:$A="Сон_часы"))),IF($M223="","",XLOOKUP($M223,FILTER(Dictionaries!$B:$B,Dictionaries!$A:$A="Режим"),FILTER(Dictionaries!$C:$C,Dictionaries!$A:$A="Режим"))),IF($N223="","",MIN($N223/100,1)),IF($O223="","",XLOOKUP($O223,FILTER(Dictionaries!$B:$B,Dictionaries!$A:$A="Настроение"),FILTER(Dictionaries!$C:$C,Dictionaries!$A:$A="Настроение"))),IF($P223="","",XLOOKUP($P223,FILTER(Dictionaries!$B:$B,Dictionaries!$A:$A="Энергия"),FILTER(Dictionaries!$C:$C,Dictionaries!$A:$A="Энергия"))),IF($U223="","",AVERAGE(IF(OR($B223="Ноги",$B223="Верх"),IFS(AND($U223&gt;=1900,$U223&lt;=2050),1,AND($U223&gt;=1850,$U223&lt;1900),0.7,AND($U223&gt;2050,$U223&lt;=2100),0.7,TRUE,0.2),IFS(AND($U223&gt;=1700,$U223&lt;=1850),1,AND($U223&gt;=1650,$U223&lt;1700),0.7,AND($U223&gt;1850,$U223&lt;=1900),0.7,TRUE,0.2)),IF(OR($B223="Ноги",$B223="Верх"),IFS(AND($V223&gt;=125,$V223&lt;=135),1,AND($V223&gt;=115,$V223&lt;125),0.7,AND($V223&gt;135,$V223&lt;=145),0.7,AND($V223&gt;=105,$V223&lt;115),0.4,AND($V223&gt;145,$V223&lt;=155),0.4,TRUE,0.2),IFS(AND($V223&gt;=120,$V223&lt;=130),1,AND($V223&gt;=110,$V223&lt;120),0.7,AND($V223&gt;130,$V223&lt;=140),0.7,AND($V223&gt;=100,$V223&lt;110),0.4,AND($V223&gt;140,$V223&lt;=150),0.4,TRUE,0.2)),IFS(AND($W223&gt;=55,$W223&lt;=65),1,AND($W223&gt;=50,$W223&lt;55),0.7,AND($W223&gt;65,$W223&lt;=70),0.7,AND($W223&gt;=45,$W223&lt;50),0.4,AND($W223&gt;70,$W223&lt;=75),0.4,TRUE,0.2),IF(OR($B223="Ноги",$B223="Верх"),IFS(AND($X223&gt;=180,$X223&lt;=210),1,AND($X223&gt;=160,$X223&lt;180),0.7,AND($X223&gt;210,$X223&lt;=230),0.7,AND($X223&gt;=140,$X223&lt;160),0.4,AND($X223&gt;230,$X223&lt;=250),0.4,TRUE,0.2),IFS(AND($X223&gt;=140,$X223&lt;=170),1,AND($X223&gt;=120,$X223&lt;140),0.7,AND($X223&gt;170,$X223&lt;=190),0.7,AND($X223&gt;=100,$X223&lt;120),0.4,AND($X223&gt;190,$X223&lt;=210),0.4,TRUE,0.2))))),1),""))</f>
        <v/>
      </c>
      <c r="Z223">
        <f>IF($A223="","",TEXTJOIN(", ",TRUE,IF($B223="","Тренировка",""),IF($C223="","Кардио",""),IF($D223="","Шаги",""),IF($E223="","Английский",""),IF($F223="","Код-режим",""),IF($G223="","Код-тема",""),IF($H223="","Чтение",""),IF($L223="","Сон",""),IF($M223="","Режим",""),IF($N223="","Продуктивность",""),IF($O223="","Настроение",""),IF($P223="","Энергия",""),IF($U223="","Еда","")))</f>
        <v/>
      </c>
    </row>
    <row r="224">
      <c r="A224" t="inlineStr"/>
      <c r="U224">
        <f>IF($A224="","",IF(SUMIF(FoodLog!$A:$A,$A224,FoodLog!$I:$I)=0,"",SUMIF(FoodLog!$A:$A,$A224,FoodLog!$I:$I)))</f>
        <v/>
      </c>
      <c r="V224">
        <f>IF($A224="","",IF(SUMIF(FoodLog!$A:$A,$A224,FoodLog!$F:$F)=0,"",SUMIF(FoodLog!$A:$A,$A224,FoodLog!$F:$F)))</f>
        <v/>
      </c>
      <c r="W224">
        <f>IF($A224="","",IF(SUMIF(FoodLog!$A:$A,$A224,FoodLog!$G:$G)=0,"",SUMIF(FoodLog!$A:$A,$A224,FoodLog!$G:$G)))</f>
        <v/>
      </c>
      <c r="X224">
        <f>IF($A224="","",IF(SUMIF(FoodLog!$A:$A,$A224,FoodLog!$H:$H)=0,"",SUMIF(FoodLog!$A:$A,$A224,FoodLog!$H:$H)))</f>
        <v/>
      </c>
      <c r="Y224">
        <f>IF($A224="","",IFERROR(ROUND(100*AVERAGE(IF($B224="","",XLOOKUP($B224,FILTER(Dictionaries!$B:$B,Dictionaries!$A:$A="Тренировка"),FILTER(Dictionaries!$C:$C,Dictionaries!$A:$A="Тренировка"))),IF($C224="","",MIN($C224/40,1)),IF($D224="","",XLOOKUP($D224,FILTER(Dictionaries!$B:$B,Dictionaries!$A:$A="Шаги"),FILTER(Dictionaries!$C:$C,Dictionaries!$A:$A="Шаги"))),IF($E224="","",MIN($E224/120,1)),IF(OR($F224&lt;&gt;"",$G224&lt;&gt;""),1,""),IF($H224="","",MIN($H224/100,1)),IF($L224="","",XLOOKUP($L224,FILTER(Dictionaries!$B:$B,Dictionaries!$A:$A="Сон_часы"),FILTER(Dictionaries!$C:$C,Dictionaries!$A:$A="Сон_часы"))),IF($M224="","",XLOOKUP($M224,FILTER(Dictionaries!$B:$B,Dictionaries!$A:$A="Режим"),FILTER(Dictionaries!$C:$C,Dictionaries!$A:$A="Режим"))),IF($N224="","",MIN($N224/100,1)),IF($O224="","",XLOOKUP($O224,FILTER(Dictionaries!$B:$B,Dictionaries!$A:$A="Настроение"),FILTER(Dictionaries!$C:$C,Dictionaries!$A:$A="Настроение"))),IF($P224="","",XLOOKUP($P224,FILTER(Dictionaries!$B:$B,Dictionaries!$A:$A="Энергия"),FILTER(Dictionaries!$C:$C,Dictionaries!$A:$A="Энергия"))),IF($U224="","",AVERAGE(IF(OR($B224="Ноги",$B224="Верх"),IFS(AND($U224&gt;=1900,$U224&lt;=2050),1,AND($U224&gt;=1850,$U224&lt;1900),0.7,AND($U224&gt;2050,$U224&lt;=2100),0.7,TRUE,0.2),IFS(AND($U224&gt;=1700,$U224&lt;=1850),1,AND($U224&gt;=1650,$U224&lt;1700),0.7,AND($U224&gt;1850,$U224&lt;=1900),0.7,TRUE,0.2)),IF(OR($B224="Ноги",$B224="Верх"),IFS(AND($V224&gt;=125,$V224&lt;=135),1,AND($V224&gt;=115,$V224&lt;125),0.7,AND($V224&gt;135,$V224&lt;=145),0.7,AND($V224&gt;=105,$V224&lt;115),0.4,AND($V224&gt;145,$V224&lt;=155),0.4,TRUE,0.2),IFS(AND($V224&gt;=120,$V224&lt;=130),1,AND($V224&gt;=110,$V224&lt;120),0.7,AND($V224&gt;130,$V224&lt;=140),0.7,AND($V224&gt;=100,$V224&lt;110),0.4,AND($V224&gt;140,$V224&lt;=150),0.4,TRUE,0.2)),IFS(AND($W224&gt;=55,$W224&lt;=65),1,AND($W224&gt;=50,$W224&lt;55),0.7,AND($W224&gt;65,$W224&lt;=70),0.7,AND($W224&gt;=45,$W224&lt;50),0.4,AND($W224&gt;70,$W224&lt;=75),0.4,TRUE,0.2),IF(OR($B224="Ноги",$B224="Верх"),IFS(AND($X224&gt;=180,$X224&lt;=210),1,AND($X224&gt;=160,$X224&lt;180),0.7,AND($X224&gt;210,$X224&lt;=230),0.7,AND($X224&gt;=140,$X224&lt;160),0.4,AND($X224&gt;230,$X224&lt;=250),0.4,TRUE,0.2),IFS(AND($X224&gt;=140,$X224&lt;=170),1,AND($X224&gt;=120,$X224&lt;140),0.7,AND($X224&gt;170,$X224&lt;=190),0.7,AND($X224&gt;=100,$X224&lt;120),0.4,AND($X224&gt;190,$X224&lt;=210),0.4,TRUE,0.2))))),1),""))</f>
        <v/>
      </c>
      <c r="Z224">
        <f>IF($A224="","",TEXTJOIN(", ",TRUE,IF($B224="","Тренировка",""),IF($C224="","Кардио",""),IF($D224="","Шаги",""),IF($E224="","Английский",""),IF($F224="","Код-режим",""),IF($G224="","Код-тема",""),IF($H224="","Чтение",""),IF($L224="","Сон",""),IF($M224="","Режим",""),IF($N224="","Продуктивность",""),IF($O224="","Настроение",""),IF($P224="","Энергия",""),IF($U224="","Еда","")))</f>
        <v/>
      </c>
    </row>
    <row r="225">
      <c r="A225" t="inlineStr"/>
      <c r="U225">
        <f>IF($A225="","",IF(SUMIF(FoodLog!$A:$A,$A225,FoodLog!$I:$I)=0,"",SUMIF(FoodLog!$A:$A,$A225,FoodLog!$I:$I)))</f>
        <v/>
      </c>
      <c r="V225">
        <f>IF($A225="","",IF(SUMIF(FoodLog!$A:$A,$A225,FoodLog!$F:$F)=0,"",SUMIF(FoodLog!$A:$A,$A225,FoodLog!$F:$F)))</f>
        <v/>
      </c>
      <c r="W225">
        <f>IF($A225="","",IF(SUMIF(FoodLog!$A:$A,$A225,FoodLog!$G:$G)=0,"",SUMIF(FoodLog!$A:$A,$A225,FoodLog!$G:$G)))</f>
        <v/>
      </c>
      <c r="X225">
        <f>IF($A225="","",IF(SUMIF(FoodLog!$A:$A,$A225,FoodLog!$H:$H)=0,"",SUMIF(FoodLog!$A:$A,$A225,FoodLog!$H:$H)))</f>
        <v/>
      </c>
      <c r="Y225">
        <f>IF($A225="","",IFERROR(ROUND(100*AVERAGE(IF($B225="","",XLOOKUP($B225,FILTER(Dictionaries!$B:$B,Dictionaries!$A:$A="Тренировка"),FILTER(Dictionaries!$C:$C,Dictionaries!$A:$A="Тренировка"))),IF($C225="","",MIN($C225/40,1)),IF($D225="","",XLOOKUP($D225,FILTER(Dictionaries!$B:$B,Dictionaries!$A:$A="Шаги"),FILTER(Dictionaries!$C:$C,Dictionaries!$A:$A="Шаги"))),IF($E225="","",MIN($E225/120,1)),IF(OR($F225&lt;&gt;"",$G225&lt;&gt;""),1,""),IF($H225="","",MIN($H225/100,1)),IF($L225="","",XLOOKUP($L225,FILTER(Dictionaries!$B:$B,Dictionaries!$A:$A="Сон_часы"),FILTER(Dictionaries!$C:$C,Dictionaries!$A:$A="Сон_часы"))),IF($M225="","",XLOOKUP($M225,FILTER(Dictionaries!$B:$B,Dictionaries!$A:$A="Режим"),FILTER(Dictionaries!$C:$C,Dictionaries!$A:$A="Режим"))),IF($N225="","",MIN($N225/100,1)),IF($O225="","",XLOOKUP($O225,FILTER(Dictionaries!$B:$B,Dictionaries!$A:$A="Настроение"),FILTER(Dictionaries!$C:$C,Dictionaries!$A:$A="Настроение"))),IF($P225="","",XLOOKUP($P225,FILTER(Dictionaries!$B:$B,Dictionaries!$A:$A="Энергия"),FILTER(Dictionaries!$C:$C,Dictionaries!$A:$A="Энергия"))),IF($U225="","",AVERAGE(IF(OR($B225="Ноги",$B225="Верх"),IFS(AND($U225&gt;=1900,$U225&lt;=2050),1,AND($U225&gt;=1850,$U225&lt;1900),0.7,AND($U225&gt;2050,$U225&lt;=2100),0.7,TRUE,0.2),IFS(AND($U225&gt;=1700,$U225&lt;=1850),1,AND($U225&gt;=1650,$U225&lt;1700),0.7,AND($U225&gt;1850,$U225&lt;=1900),0.7,TRUE,0.2)),IF(OR($B225="Ноги",$B225="Верх"),IFS(AND($V225&gt;=125,$V225&lt;=135),1,AND($V225&gt;=115,$V225&lt;125),0.7,AND($V225&gt;135,$V225&lt;=145),0.7,AND($V225&gt;=105,$V225&lt;115),0.4,AND($V225&gt;145,$V225&lt;=155),0.4,TRUE,0.2),IFS(AND($V225&gt;=120,$V225&lt;=130),1,AND($V225&gt;=110,$V225&lt;120),0.7,AND($V225&gt;130,$V225&lt;=140),0.7,AND($V225&gt;=100,$V225&lt;110),0.4,AND($V225&gt;140,$V225&lt;=150),0.4,TRUE,0.2)),IFS(AND($W225&gt;=55,$W225&lt;=65),1,AND($W225&gt;=50,$W225&lt;55),0.7,AND($W225&gt;65,$W225&lt;=70),0.7,AND($W225&gt;=45,$W225&lt;50),0.4,AND($W225&gt;70,$W225&lt;=75),0.4,TRUE,0.2),IF(OR($B225="Ноги",$B225="Верх"),IFS(AND($X225&gt;=180,$X225&lt;=210),1,AND($X225&gt;=160,$X225&lt;180),0.7,AND($X225&gt;210,$X225&lt;=230),0.7,AND($X225&gt;=140,$X225&lt;160),0.4,AND($X225&gt;230,$X225&lt;=250),0.4,TRUE,0.2),IFS(AND($X225&gt;=140,$X225&lt;=170),1,AND($X225&gt;=120,$X225&lt;140),0.7,AND($X225&gt;170,$X225&lt;=190),0.7,AND($X225&gt;=100,$X225&lt;120),0.4,AND($X225&gt;190,$X225&lt;=210),0.4,TRUE,0.2))))),1),""))</f>
        <v/>
      </c>
      <c r="Z225">
        <f>IF($A225="","",TEXTJOIN(", ",TRUE,IF($B225="","Тренировка",""),IF($C225="","Кардио",""),IF($D225="","Шаги",""),IF($E225="","Английский",""),IF($F225="","Код-режим",""),IF($G225="","Код-тема",""),IF($H225="","Чтение",""),IF($L225="","Сон",""),IF($M225="","Режим",""),IF($N225="","Продуктивность",""),IF($O225="","Настроение",""),IF($P225="","Энергия",""),IF($U225="","Еда","")))</f>
        <v/>
      </c>
    </row>
    <row r="226">
      <c r="A226" t="inlineStr"/>
      <c r="U226">
        <f>IF($A226="","",IF(SUMIF(FoodLog!$A:$A,$A226,FoodLog!$I:$I)=0,"",SUMIF(FoodLog!$A:$A,$A226,FoodLog!$I:$I)))</f>
        <v/>
      </c>
      <c r="V226">
        <f>IF($A226="","",IF(SUMIF(FoodLog!$A:$A,$A226,FoodLog!$F:$F)=0,"",SUMIF(FoodLog!$A:$A,$A226,FoodLog!$F:$F)))</f>
        <v/>
      </c>
      <c r="W226">
        <f>IF($A226="","",IF(SUMIF(FoodLog!$A:$A,$A226,FoodLog!$G:$G)=0,"",SUMIF(FoodLog!$A:$A,$A226,FoodLog!$G:$G)))</f>
        <v/>
      </c>
      <c r="X226">
        <f>IF($A226="","",IF(SUMIF(FoodLog!$A:$A,$A226,FoodLog!$H:$H)=0,"",SUMIF(FoodLog!$A:$A,$A226,FoodLog!$H:$H)))</f>
        <v/>
      </c>
      <c r="Y226">
        <f>IF($A226="","",IFERROR(ROUND(100*AVERAGE(IF($B226="","",XLOOKUP($B226,FILTER(Dictionaries!$B:$B,Dictionaries!$A:$A="Тренировка"),FILTER(Dictionaries!$C:$C,Dictionaries!$A:$A="Тренировка"))),IF($C226="","",MIN($C226/40,1)),IF($D226="","",XLOOKUP($D226,FILTER(Dictionaries!$B:$B,Dictionaries!$A:$A="Шаги"),FILTER(Dictionaries!$C:$C,Dictionaries!$A:$A="Шаги"))),IF($E226="","",MIN($E226/120,1)),IF(OR($F226&lt;&gt;"",$G226&lt;&gt;""),1,""),IF($H226="","",MIN($H226/100,1)),IF($L226="","",XLOOKUP($L226,FILTER(Dictionaries!$B:$B,Dictionaries!$A:$A="Сон_часы"),FILTER(Dictionaries!$C:$C,Dictionaries!$A:$A="Сон_часы"))),IF($M226="","",XLOOKUP($M226,FILTER(Dictionaries!$B:$B,Dictionaries!$A:$A="Режим"),FILTER(Dictionaries!$C:$C,Dictionaries!$A:$A="Режим"))),IF($N226="","",MIN($N226/100,1)),IF($O226="","",XLOOKUP($O226,FILTER(Dictionaries!$B:$B,Dictionaries!$A:$A="Настроение"),FILTER(Dictionaries!$C:$C,Dictionaries!$A:$A="Настроение"))),IF($P226="","",XLOOKUP($P226,FILTER(Dictionaries!$B:$B,Dictionaries!$A:$A="Энергия"),FILTER(Dictionaries!$C:$C,Dictionaries!$A:$A="Энергия"))),IF($U226="","",AVERAGE(IF(OR($B226="Ноги",$B226="Верх"),IFS(AND($U226&gt;=1900,$U226&lt;=2050),1,AND($U226&gt;=1850,$U226&lt;1900),0.7,AND($U226&gt;2050,$U226&lt;=2100),0.7,TRUE,0.2),IFS(AND($U226&gt;=1700,$U226&lt;=1850),1,AND($U226&gt;=1650,$U226&lt;1700),0.7,AND($U226&gt;1850,$U226&lt;=1900),0.7,TRUE,0.2)),IF(OR($B226="Ноги",$B226="Верх"),IFS(AND($V226&gt;=125,$V226&lt;=135),1,AND($V226&gt;=115,$V226&lt;125),0.7,AND($V226&gt;135,$V226&lt;=145),0.7,AND($V226&gt;=105,$V226&lt;115),0.4,AND($V226&gt;145,$V226&lt;=155),0.4,TRUE,0.2),IFS(AND($V226&gt;=120,$V226&lt;=130),1,AND($V226&gt;=110,$V226&lt;120),0.7,AND($V226&gt;130,$V226&lt;=140),0.7,AND($V226&gt;=100,$V226&lt;110),0.4,AND($V226&gt;140,$V226&lt;=150),0.4,TRUE,0.2)),IFS(AND($W226&gt;=55,$W226&lt;=65),1,AND($W226&gt;=50,$W226&lt;55),0.7,AND($W226&gt;65,$W226&lt;=70),0.7,AND($W226&gt;=45,$W226&lt;50),0.4,AND($W226&gt;70,$W226&lt;=75),0.4,TRUE,0.2),IF(OR($B226="Ноги",$B226="Верх"),IFS(AND($X226&gt;=180,$X226&lt;=210),1,AND($X226&gt;=160,$X226&lt;180),0.7,AND($X226&gt;210,$X226&lt;=230),0.7,AND($X226&gt;=140,$X226&lt;160),0.4,AND($X226&gt;230,$X226&lt;=250),0.4,TRUE,0.2),IFS(AND($X226&gt;=140,$X226&lt;=170),1,AND($X226&gt;=120,$X226&lt;140),0.7,AND($X226&gt;170,$X226&lt;=190),0.7,AND($X226&gt;=100,$X226&lt;120),0.4,AND($X226&gt;190,$X226&lt;=210),0.4,TRUE,0.2))))),1),""))</f>
        <v/>
      </c>
      <c r="Z226">
        <f>IF($A226="","",TEXTJOIN(", ",TRUE,IF($B226="","Тренировка",""),IF($C226="","Кардио",""),IF($D226="","Шаги",""),IF($E226="","Английский",""),IF($F226="","Код-режим",""),IF($G226="","Код-тема",""),IF($H226="","Чтение",""),IF($L226="","Сон",""),IF($M226="","Режим",""),IF($N226="","Продуктивность",""),IF($O226="","Настроение",""),IF($P226="","Энергия",""),IF($U226="","Еда","")))</f>
        <v/>
      </c>
    </row>
    <row r="227">
      <c r="A227" t="inlineStr"/>
      <c r="U227">
        <f>IF($A227="","",IF(SUMIF(FoodLog!$A:$A,$A227,FoodLog!$I:$I)=0,"",SUMIF(FoodLog!$A:$A,$A227,FoodLog!$I:$I)))</f>
        <v/>
      </c>
      <c r="V227">
        <f>IF($A227="","",IF(SUMIF(FoodLog!$A:$A,$A227,FoodLog!$F:$F)=0,"",SUMIF(FoodLog!$A:$A,$A227,FoodLog!$F:$F)))</f>
        <v/>
      </c>
      <c r="W227">
        <f>IF($A227="","",IF(SUMIF(FoodLog!$A:$A,$A227,FoodLog!$G:$G)=0,"",SUMIF(FoodLog!$A:$A,$A227,FoodLog!$G:$G)))</f>
        <v/>
      </c>
      <c r="X227">
        <f>IF($A227="","",IF(SUMIF(FoodLog!$A:$A,$A227,FoodLog!$H:$H)=0,"",SUMIF(FoodLog!$A:$A,$A227,FoodLog!$H:$H)))</f>
        <v/>
      </c>
      <c r="Y227">
        <f>IF($A227="","",IFERROR(ROUND(100*AVERAGE(IF($B227="","",XLOOKUP($B227,FILTER(Dictionaries!$B:$B,Dictionaries!$A:$A="Тренировка"),FILTER(Dictionaries!$C:$C,Dictionaries!$A:$A="Тренировка"))),IF($C227="","",MIN($C227/40,1)),IF($D227="","",XLOOKUP($D227,FILTER(Dictionaries!$B:$B,Dictionaries!$A:$A="Шаги"),FILTER(Dictionaries!$C:$C,Dictionaries!$A:$A="Шаги"))),IF($E227="","",MIN($E227/120,1)),IF(OR($F227&lt;&gt;"",$G227&lt;&gt;""),1,""),IF($H227="","",MIN($H227/100,1)),IF($L227="","",XLOOKUP($L227,FILTER(Dictionaries!$B:$B,Dictionaries!$A:$A="Сон_часы"),FILTER(Dictionaries!$C:$C,Dictionaries!$A:$A="Сон_часы"))),IF($M227="","",XLOOKUP($M227,FILTER(Dictionaries!$B:$B,Dictionaries!$A:$A="Режим"),FILTER(Dictionaries!$C:$C,Dictionaries!$A:$A="Режим"))),IF($N227="","",MIN($N227/100,1)),IF($O227="","",XLOOKUP($O227,FILTER(Dictionaries!$B:$B,Dictionaries!$A:$A="Настроение"),FILTER(Dictionaries!$C:$C,Dictionaries!$A:$A="Настроение"))),IF($P227="","",XLOOKUP($P227,FILTER(Dictionaries!$B:$B,Dictionaries!$A:$A="Энергия"),FILTER(Dictionaries!$C:$C,Dictionaries!$A:$A="Энергия"))),IF($U227="","",AVERAGE(IF(OR($B227="Ноги",$B227="Верх"),IFS(AND($U227&gt;=1900,$U227&lt;=2050),1,AND($U227&gt;=1850,$U227&lt;1900),0.7,AND($U227&gt;2050,$U227&lt;=2100),0.7,TRUE,0.2),IFS(AND($U227&gt;=1700,$U227&lt;=1850),1,AND($U227&gt;=1650,$U227&lt;1700),0.7,AND($U227&gt;1850,$U227&lt;=1900),0.7,TRUE,0.2)),IF(OR($B227="Ноги",$B227="Верх"),IFS(AND($V227&gt;=125,$V227&lt;=135),1,AND($V227&gt;=115,$V227&lt;125),0.7,AND($V227&gt;135,$V227&lt;=145),0.7,AND($V227&gt;=105,$V227&lt;115),0.4,AND($V227&gt;145,$V227&lt;=155),0.4,TRUE,0.2),IFS(AND($V227&gt;=120,$V227&lt;=130),1,AND($V227&gt;=110,$V227&lt;120),0.7,AND($V227&gt;130,$V227&lt;=140),0.7,AND($V227&gt;=100,$V227&lt;110),0.4,AND($V227&gt;140,$V227&lt;=150),0.4,TRUE,0.2)),IFS(AND($W227&gt;=55,$W227&lt;=65),1,AND($W227&gt;=50,$W227&lt;55),0.7,AND($W227&gt;65,$W227&lt;=70),0.7,AND($W227&gt;=45,$W227&lt;50),0.4,AND($W227&gt;70,$W227&lt;=75),0.4,TRUE,0.2),IF(OR($B227="Ноги",$B227="Верх"),IFS(AND($X227&gt;=180,$X227&lt;=210),1,AND($X227&gt;=160,$X227&lt;180),0.7,AND($X227&gt;210,$X227&lt;=230),0.7,AND($X227&gt;=140,$X227&lt;160),0.4,AND($X227&gt;230,$X227&lt;=250),0.4,TRUE,0.2),IFS(AND($X227&gt;=140,$X227&lt;=170),1,AND($X227&gt;=120,$X227&lt;140),0.7,AND($X227&gt;170,$X227&lt;=190),0.7,AND($X227&gt;=100,$X227&lt;120),0.4,AND($X227&gt;190,$X227&lt;=210),0.4,TRUE,0.2))))),1),""))</f>
        <v/>
      </c>
      <c r="Z227">
        <f>IF($A227="","",TEXTJOIN(", ",TRUE,IF($B227="","Тренировка",""),IF($C227="","Кардио",""),IF($D227="","Шаги",""),IF($E227="","Английский",""),IF($F227="","Код-режим",""),IF($G227="","Код-тема",""),IF($H227="","Чтение",""),IF($L227="","Сон",""),IF($M227="","Режим",""),IF($N227="","Продуктивность",""),IF($O227="","Настроение",""),IF($P227="","Энергия",""),IF($U227="","Еда","")))</f>
        <v/>
      </c>
    </row>
    <row r="228">
      <c r="A228" t="inlineStr"/>
      <c r="U228">
        <f>IF($A228="","",IF(SUMIF(FoodLog!$A:$A,$A228,FoodLog!$I:$I)=0,"",SUMIF(FoodLog!$A:$A,$A228,FoodLog!$I:$I)))</f>
        <v/>
      </c>
      <c r="V228">
        <f>IF($A228="","",IF(SUMIF(FoodLog!$A:$A,$A228,FoodLog!$F:$F)=0,"",SUMIF(FoodLog!$A:$A,$A228,FoodLog!$F:$F)))</f>
        <v/>
      </c>
      <c r="W228">
        <f>IF($A228="","",IF(SUMIF(FoodLog!$A:$A,$A228,FoodLog!$G:$G)=0,"",SUMIF(FoodLog!$A:$A,$A228,FoodLog!$G:$G)))</f>
        <v/>
      </c>
      <c r="X228">
        <f>IF($A228="","",IF(SUMIF(FoodLog!$A:$A,$A228,FoodLog!$H:$H)=0,"",SUMIF(FoodLog!$A:$A,$A228,FoodLog!$H:$H)))</f>
        <v/>
      </c>
      <c r="Y228">
        <f>IF($A228="","",IFERROR(ROUND(100*AVERAGE(IF($B228="","",XLOOKUP($B228,FILTER(Dictionaries!$B:$B,Dictionaries!$A:$A="Тренировка"),FILTER(Dictionaries!$C:$C,Dictionaries!$A:$A="Тренировка"))),IF($C228="","",MIN($C228/40,1)),IF($D228="","",XLOOKUP($D228,FILTER(Dictionaries!$B:$B,Dictionaries!$A:$A="Шаги"),FILTER(Dictionaries!$C:$C,Dictionaries!$A:$A="Шаги"))),IF($E228="","",MIN($E228/120,1)),IF(OR($F228&lt;&gt;"",$G228&lt;&gt;""),1,""),IF($H228="","",MIN($H228/100,1)),IF($L228="","",XLOOKUP($L228,FILTER(Dictionaries!$B:$B,Dictionaries!$A:$A="Сон_часы"),FILTER(Dictionaries!$C:$C,Dictionaries!$A:$A="Сон_часы"))),IF($M228="","",XLOOKUP($M228,FILTER(Dictionaries!$B:$B,Dictionaries!$A:$A="Режим"),FILTER(Dictionaries!$C:$C,Dictionaries!$A:$A="Режим"))),IF($N228="","",MIN($N228/100,1)),IF($O228="","",XLOOKUP($O228,FILTER(Dictionaries!$B:$B,Dictionaries!$A:$A="Настроение"),FILTER(Dictionaries!$C:$C,Dictionaries!$A:$A="Настроение"))),IF($P228="","",XLOOKUP($P228,FILTER(Dictionaries!$B:$B,Dictionaries!$A:$A="Энергия"),FILTER(Dictionaries!$C:$C,Dictionaries!$A:$A="Энергия"))),IF($U228="","",AVERAGE(IF(OR($B228="Ноги",$B228="Верх"),IFS(AND($U228&gt;=1900,$U228&lt;=2050),1,AND($U228&gt;=1850,$U228&lt;1900),0.7,AND($U228&gt;2050,$U228&lt;=2100),0.7,TRUE,0.2),IFS(AND($U228&gt;=1700,$U228&lt;=1850),1,AND($U228&gt;=1650,$U228&lt;1700),0.7,AND($U228&gt;1850,$U228&lt;=1900),0.7,TRUE,0.2)),IF(OR($B228="Ноги",$B228="Верх"),IFS(AND($V228&gt;=125,$V228&lt;=135),1,AND($V228&gt;=115,$V228&lt;125),0.7,AND($V228&gt;135,$V228&lt;=145),0.7,AND($V228&gt;=105,$V228&lt;115),0.4,AND($V228&gt;145,$V228&lt;=155),0.4,TRUE,0.2),IFS(AND($V228&gt;=120,$V228&lt;=130),1,AND($V228&gt;=110,$V228&lt;120),0.7,AND($V228&gt;130,$V228&lt;=140),0.7,AND($V228&gt;=100,$V228&lt;110),0.4,AND($V228&gt;140,$V228&lt;=150),0.4,TRUE,0.2)),IFS(AND($W228&gt;=55,$W228&lt;=65),1,AND($W228&gt;=50,$W228&lt;55),0.7,AND($W228&gt;65,$W228&lt;=70),0.7,AND($W228&gt;=45,$W228&lt;50),0.4,AND($W228&gt;70,$W228&lt;=75),0.4,TRUE,0.2),IF(OR($B228="Ноги",$B228="Верх"),IFS(AND($X228&gt;=180,$X228&lt;=210),1,AND($X228&gt;=160,$X228&lt;180),0.7,AND($X228&gt;210,$X228&lt;=230),0.7,AND($X228&gt;=140,$X228&lt;160),0.4,AND($X228&gt;230,$X228&lt;=250),0.4,TRUE,0.2),IFS(AND($X228&gt;=140,$X228&lt;=170),1,AND($X228&gt;=120,$X228&lt;140),0.7,AND($X228&gt;170,$X228&lt;=190),0.7,AND($X228&gt;=100,$X228&lt;120),0.4,AND($X228&gt;190,$X228&lt;=210),0.4,TRUE,0.2))))),1),""))</f>
        <v/>
      </c>
      <c r="Z228">
        <f>IF($A228="","",TEXTJOIN(", ",TRUE,IF($B228="","Тренировка",""),IF($C228="","Кардио",""),IF($D228="","Шаги",""),IF($E228="","Английский",""),IF($F228="","Код-режим",""),IF($G228="","Код-тема",""),IF($H228="","Чтение",""),IF($L228="","Сон",""),IF($M228="","Режим",""),IF($N228="","Продуктивность",""),IF($O228="","Настроение",""),IF($P228="","Энергия",""),IF($U228="","Еда","")))</f>
        <v/>
      </c>
    </row>
    <row r="229">
      <c r="A229" t="inlineStr"/>
      <c r="U229">
        <f>IF($A229="","",IF(SUMIF(FoodLog!$A:$A,$A229,FoodLog!$I:$I)=0,"",SUMIF(FoodLog!$A:$A,$A229,FoodLog!$I:$I)))</f>
        <v/>
      </c>
      <c r="V229">
        <f>IF($A229="","",IF(SUMIF(FoodLog!$A:$A,$A229,FoodLog!$F:$F)=0,"",SUMIF(FoodLog!$A:$A,$A229,FoodLog!$F:$F)))</f>
        <v/>
      </c>
      <c r="W229">
        <f>IF($A229="","",IF(SUMIF(FoodLog!$A:$A,$A229,FoodLog!$G:$G)=0,"",SUMIF(FoodLog!$A:$A,$A229,FoodLog!$G:$G)))</f>
        <v/>
      </c>
      <c r="X229">
        <f>IF($A229="","",IF(SUMIF(FoodLog!$A:$A,$A229,FoodLog!$H:$H)=0,"",SUMIF(FoodLog!$A:$A,$A229,FoodLog!$H:$H)))</f>
        <v/>
      </c>
      <c r="Y229">
        <f>IF($A229="","",IFERROR(ROUND(100*AVERAGE(IF($B229="","",XLOOKUP($B229,FILTER(Dictionaries!$B:$B,Dictionaries!$A:$A="Тренировка"),FILTER(Dictionaries!$C:$C,Dictionaries!$A:$A="Тренировка"))),IF($C229="","",MIN($C229/40,1)),IF($D229="","",XLOOKUP($D229,FILTER(Dictionaries!$B:$B,Dictionaries!$A:$A="Шаги"),FILTER(Dictionaries!$C:$C,Dictionaries!$A:$A="Шаги"))),IF($E229="","",MIN($E229/120,1)),IF(OR($F229&lt;&gt;"",$G229&lt;&gt;""),1,""),IF($H229="","",MIN($H229/100,1)),IF($L229="","",XLOOKUP($L229,FILTER(Dictionaries!$B:$B,Dictionaries!$A:$A="Сон_часы"),FILTER(Dictionaries!$C:$C,Dictionaries!$A:$A="Сон_часы"))),IF($M229="","",XLOOKUP($M229,FILTER(Dictionaries!$B:$B,Dictionaries!$A:$A="Режим"),FILTER(Dictionaries!$C:$C,Dictionaries!$A:$A="Режим"))),IF($N229="","",MIN($N229/100,1)),IF($O229="","",XLOOKUP($O229,FILTER(Dictionaries!$B:$B,Dictionaries!$A:$A="Настроение"),FILTER(Dictionaries!$C:$C,Dictionaries!$A:$A="Настроение"))),IF($P229="","",XLOOKUP($P229,FILTER(Dictionaries!$B:$B,Dictionaries!$A:$A="Энергия"),FILTER(Dictionaries!$C:$C,Dictionaries!$A:$A="Энергия"))),IF($U229="","",AVERAGE(IF(OR($B229="Ноги",$B229="Верх"),IFS(AND($U229&gt;=1900,$U229&lt;=2050),1,AND($U229&gt;=1850,$U229&lt;1900),0.7,AND($U229&gt;2050,$U229&lt;=2100),0.7,TRUE,0.2),IFS(AND($U229&gt;=1700,$U229&lt;=1850),1,AND($U229&gt;=1650,$U229&lt;1700),0.7,AND($U229&gt;1850,$U229&lt;=1900),0.7,TRUE,0.2)),IF(OR($B229="Ноги",$B229="Верх"),IFS(AND($V229&gt;=125,$V229&lt;=135),1,AND($V229&gt;=115,$V229&lt;125),0.7,AND($V229&gt;135,$V229&lt;=145),0.7,AND($V229&gt;=105,$V229&lt;115),0.4,AND($V229&gt;145,$V229&lt;=155),0.4,TRUE,0.2),IFS(AND($V229&gt;=120,$V229&lt;=130),1,AND($V229&gt;=110,$V229&lt;120),0.7,AND($V229&gt;130,$V229&lt;=140),0.7,AND($V229&gt;=100,$V229&lt;110),0.4,AND($V229&gt;140,$V229&lt;=150),0.4,TRUE,0.2)),IFS(AND($W229&gt;=55,$W229&lt;=65),1,AND($W229&gt;=50,$W229&lt;55),0.7,AND($W229&gt;65,$W229&lt;=70),0.7,AND($W229&gt;=45,$W229&lt;50),0.4,AND($W229&gt;70,$W229&lt;=75),0.4,TRUE,0.2),IF(OR($B229="Ноги",$B229="Верх"),IFS(AND($X229&gt;=180,$X229&lt;=210),1,AND($X229&gt;=160,$X229&lt;180),0.7,AND($X229&gt;210,$X229&lt;=230),0.7,AND($X229&gt;=140,$X229&lt;160),0.4,AND($X229&gt;230,$X229&lt;=250),0.4,TRUE,0.2),IFS(AND($X229&gt;=140,$X229&lt;=170),1,AND($X229&gt;=120,$X229&lt;140),0.7,AND($X229&gt;170,$X229&lt;=190),0.7,AND($X229&gt;=100,$X229&lt;120),0.4,AND($X229&gt;190,$X229&lt;=210),0.4,TRUE,0.2))))),1),""))</f>
        <v/>
      </c>
      <c r="Z229">
        <f>IF($A229="","",TEXTJOIN(", ",TRUE,IF($B229="","Тренировка",""),IF($C229="","Кардио",""),IF($D229="","Шаги",""),IF($E229="","Английский",""),IF($F229="","Код-режим",""),IF($G229="","Код-тема",""),IF($H229="","Чтение",""),IF($L229="","Сон",""),IF($M229="","Режим",""),IF($N229="","Продуктивность",""),IF($O229="","Настроение",""),IF($P229="","Энергия",""),IF($U229="","Еда","")))</f>
        <v/>
      </c>
    </row>
    <row r="230">
      <c r="A230" t="inlineStr"/>
      <c r="U230">
        <f>IF($A230="","",IF(SUMIF(FoodLog!$A:$A,$A230,FoodLog!$I:$I)=0,"",SUMIF(FoodLog!$A:$A,$A230,FoodLog!$I:$I)))</f>
        <v/>
      </c>
      <c r="V230">
        <f>IF($A230="","",IF(SUMIF(FoodLog!$A:$A,$A230,FoodLog!$F:$F)=0,"",SUMIF(FoodLog!$A:$A,$A230,FoodLog!$F:$F)))</f>
        <v/>
      </c>
      <c r="W230">
        <f>IF($A230="","",IF(SUMIF(FoodLog!$A:$A,$A230,FoodLog!$G:$G)=0,"",SUMIF(FoodLog!$A:$A,$A230,FoodLog!$G:$G)))</f>
        <v/>
      </c>
      <c r="X230">
        <f>IF($A230="","",IF(SUMIF(FoodLog!$A:$A,$A230,FoodLog!$H:$H)=0,"",SUMIF(FoodLog!$A:$A,$A230,FoodLog!$H:$H)))</f>
        <v/>
      </c>
      <c r="Y230">
        <f>IF($A230="","",IFERROR(ROUND(100*AVERAGE(IF($B230="","",XLOOKUP($B230,FILTER(Dictionaries!$B:$B,Dictionaries!$A:$A="Тренировка"),FILTER(Dictionaries!$C:$C,Dictionaries!$A:$A="Тренировка"))),IF($C230="","",MIN($C230/40,1)),IF($D230="","",XLOOKUP($D230,FILTER(Dictionaries!$B:$B,Dictionaries!$A:$A="Шаги"),FILTER(Dictionaries!$C:$C,Dictionaries!$A:$A="Шаги"))),IF($E230="","",MIN($E230/120,1)),IF(OR($F230&lt;&gt;"",$G230&lt;&gt;""),1,""),IF($H230="","",MIN($H230/100,1)),IF($L230="","",XLOOKUP($L230,FILTER(Dictionaries!$B:$B,Dictionaries!$A:$A="Сон_часы"),FILTER(Dictionaries!$C:$C,Dictionaries!$A:$A="Сон_часы"))),IF($M230="","",XLOOKUP($M230,FILTER(Dictionaries!$B:$B,Dictionaries!$A:$A="Режим"),FILTER(Dictionaries!$C:$C,Dictionaries!$A:$A="Режим"))),IF($N230="","",MIN($N230/100,1)),IF($O230="","",XLOOKUP($O230,FILTER(Dictionaries!$B:$B,Dictionaries!$A:$A="Настроение"),FILTER(Dictionaries!$C:$C,Dictionaries!$A:$A="Настроение"))),IF($P230="","",XLOOKUP($P230,FILTER(Dictionaries!$B:$B,Dictionaries!$A:$A="Энергия"),FILTER(Dictionaries!$C:$C,Dictionaries!$A:$A="Энергия"))),IF($U230="","",AVERAGE(IF(OR($B230="Ноги",$B230="Верх"),IFS(AND($U230&gt;=1900,$U230&lt;=2050),1,AND($U230&gt;=1850,$U230&lt;1900),0.7,AND($U230&gt;2050,$U230&lt;=2100),0.7,TRUE,0.2),IFS(AND($U230&gt;=1700,$U230&lt;=1850),1,AND($U230&gt;=1650,$U230&lt;1700),0.7,AND($U230&gt;1850,$U230&lt;=1900),0.7,TRUE,0.2)),IF(OR($B230="Ноги",$B230="Верх"),IFS(AND($V230&gt;=125,$V230&lt;=135),1,AND($V230&gt;=115,$V230&lt;125),0.7,AND($V230&gt;135,$V230&lt;=145),0.7,AND($V230&gt;=105,$V230&lt;115),0.4,AND($V230&gt;145,$V230&lt;=155),0.4,TRUE,0.2),IFS(AND($V230&gt;=120,$V230&lt;=130),1,AND($V230&gt;=110,$V230&lt;120),0.7,AND($V230&gt;130,$V230&lt;=140),0.7,AND($V230&gt;=100,$V230&lt;110),0.4,AND($V230&gt;140,$V230&lt;=150),0.4,TRUE,0.2)),IFS(AND($W230&gt;=55,$W230&lt;=65),1,AND($W230&gt;=50,$W230&lt;55),0.7,AND($W230&gt;65,$W230&lt;=70),0.7,AND($W230&gt;=45,$W230&lt;50),0.4,AND($W230&gt;70,$W230&lt;=75),0.4,TRUE,0.2),IF(OR($B230="Ноги",$B230="Верх"),IFS(AND($X230&gt;=180,$X230&lt;=210),1,AND($X230&gt;=160,$X230&lt;180),0.7,AND($X230&gt;210,$X230&lt;=230),0.7,AND($X230&gt;=140,$X230&lt;160),0.4,AND($X230&gt;230,$X230&lt;=250),0.4,TRUE,0.2),IFS(AND($X230&gt;=140,$X230&lt;=170),1,AND($X230&gt;=120,$X230&lt;140),0.7,AND($X230&gt;170,$X230&lt;=190),0.7,AND($X230&gt;=100,$X230&lt;120),0.4,AND($X230&gt;190,$X230&lt;=210),0.4,TRUE,0.2))))),1),""))</f>
        <v/>
      </c>
      <c r="Z230">
        <f>IF($A230="","",TEXTJOIN(", ",TRUE,IF($B230="","Тренировка",""),IF($C230="","Кардио",""),IF($D230="","Шаги",""),IF($E230="","Английский",""),IF($F230="","Код-режим",""),IF($G230="","Код-тема",""),IF($H230="","Чтение",""),IF($L230="","Сон",""),IF($M230="","Режим",""),IF($N230="","Продуктивность",""),IF($O230="","Настроение",""),IF($P230="","Энергия",""),IF($U230="","Еда","")))</f>
        <v/>
      </c>
    </row>
    <row r="231">
      <c r="A231" t="inlineStr"/>
      <c r="U231">
        <f>IF($A231="","",IF(SUMIF(FoodLog!$A:$A,$A231,FoodLog!$I:$I)=0,"",SUMIF(FoodLog!$A:$A,$A231,FoodLog!$I:$I)))</f>
        <v/>
      </c>
      <c r="V231">
        <f>IF($A231="","",IF(SUMIF(FoodLog!$A:$A,$A231,FoodLog!$F:$F)=0,"",SUMIF(FoodLog!$A:$A,$A231,FoodLog!$F:$F)))</f>
        <v/>
      </c>
      <c r="W231">
        <f>IF($A231="","",IF(SUMIF(FoodLog!$A:$A,$A231,FoodLog!$G:$G)=0,"",SUMIF(FoodLog!$A:$A,$A231,FoodLog!$G:$G)))</f>
        <v/>
      </c>
      <c r="X231">
        <f>IF($A231="","",IF(SUMIF(FoodLog!$A:$A,$A231,FoodLog!$H:$H)=0,"",SUMIF(FoodLog!$A:$A,$A231,FoodLog!$H:$H)))</f>
        <v/>
      </c>
      <c r="Y231">
        <f>IF($A231="","",IFERROR(ROUND(100*AVERAGE(IF($B231="","",XLOOKUP($B231,FILTER(Dictionaries!$B:$B,Dictionaries!$A:$A="Тренировка"),FILTER(Dictionaries!$C:$C,Dictionaries!$A:$A="Тренировка"))),IF($C231="","",MIN($C231/40,1)),IF($D231="","",XLOOKUP($D231,FILTER(Dictionaries!$B:$B,Dictionaries!$A:$A="Шаги"),FILTER(Dictionaries!$C:$C,Dictionaries!$A:$A="Шаги"))),IF($E231="","",MIN($E231/120,1)),IF(OR($F231&lt;&gt;"",$G231&lt;&gt;""),1,""),IF($H231="","",MIN($H231/100,1)),IF($L231="","",XLOOKUP($L231,FILTER(Dictionaries!$B:$B,Dictionaries!$A:$A="Сон_часы"),FILTER(Dictionaries!$C:$C,Dictionaries!$A:$A="Сон_часы"))),IF($M231="","",XLOOKUP($M231,FILTER(Dictionaries!$B:$B,Dictionaries!$A:$A="Режим"),FILTER(Dictionaries!$C:$C,Dictionaries!$A:$A="Режим"))),IF($N231="","",MIN($N231/100,1)),IF($O231="","",XLOOKUP($O231,FILTER(Dictionaries!$B:$B,Dictionaries!$A:$A="Настроение"),FILTER(Dictionaries!$C:$C,Dictionaries!$A:$A="Настроение"))),IF($P231="","",XLOOKUP($P231,FILTER(Dictionaries!$B:$B,Dictionaries!$A:$A="Энергия"),FILTER(Dictionaries!$C:$C,Dictionaries!$A:$A="Энергия"))),IF($U231="","",AVERAGE(IF(OR($B231="Ноги",$B231="Верх"),IFS(AND($U231&gt;=1900,$U231&lt;=2050),1,AND($U231&gt;=1850,$U231&lt;1900),0.7,AND($U231&gt;2050,$U231&lt;=2100),0.7,TRUE,0.2),IFS(AND($U231&gt;=1700,$U231&lt;=1850),1,AND($U231&gt;=1650,$U231&lt;1700),0.7,AND($U231&gt;1850,$U231&lt;=1900),0.7,TRUE,0.2)),IF(OR($B231="Ноги",$B231="Верх"),IFS(AND($V231&gt;=125,$V231&lt;=135),1,AND($V231&gt;=115,$V231&lt;125),0.7,AND($V231&gt;135,$V231&lt;=145),0.7,AND($V231&gt;=105,$V231&lt;115),0.4,AND($V231&gt;145,$V231&lt;=155),0.4,TRUE,0.2),IFS(AND($V231&gt;=120,$V231&lt;=130),1,AND($V231&gt;=110,$V231&lt;120),0.7,AND($V231&gt;130,$V231&lt;=140),0.7,AND($V231&gt;=100,$V231&lt;110),0.4,AND($V231&gt;140,$V231&lt;=150),0.4,TRUE,0.2)),IFS(AND($W231&gt;=55,$W231&lt;=65),1,AND($W231&gt;=50,$W231&lt;55),0.7,AND($W231&gt;65,$W231&lt;=70),0.7,AND($W231&gt;=45,$W231&lt;50),0.4,AND($W231&gt;70,$W231&lt;=75),0.4,TRUE,0.2),IF(OR($B231="Ноги",$B231="Верх"),IFS(AND($X231&gt;=180,$X231&lt;=210),1,AND($X231&gt;=160,$X231&lt;180),0.7,AND($X231&gt;210,$X231&lt;=230),0.7,AND($X231&gt;=140,$X231&lt;160),0.4,AND($X231&gt;230,$X231&lt;=250),0.4,TRUE,0.2),IFS(AND($X231&gt;=140,$X231&lt;=170),1,AND($X231&gt;=120,$X231&lt;140),0.7,AND($X231&gt;170,$X231&lt;=190),0.7,AND($X231&gt;=100,$X231&lt;120),0.4,AND($X231&gt;190,$X231&lt;=210),0.4,TRUE,0.2))))),1),""))</f>
        <v/>
      </c>
      <c r="Z231">
        <f>IF($A231="","",TEXTJOIN(", ",TRUE,IF($B231="","Тренировка",""),IF($C231="","Кардио",""),IF($D231="","Шаги",""),IF($E231="","Английский",""),IF($F231="","Код-режим",""),IF($G231="","Код-тема",""),IF($H231="","Чтение",""),IF($L231="","Сон",""),IF($M231="","Режим",""),IF($N231="","Продуктивность",""),IF($O231="","Настроение",""),IF($P231="","Энергия",""),IF($U231="","Еда","")))</f>
        <v/>
      </c>
    </row>
    <row r="232">
      <c r="A232" t="inlineStr"/>
      <c r="U232">
        <f>IF($A232="","",IF(SUMIF(FoodLog!$A:$A,$A232,FoodLog!$I:$I)=0,"",SUMIF(FoodLog!$A:$A,$A232,FoodLog!$I:$I)))</f>
        <v/>
      </c>
      <c r="V232">
        <f>IF($A232="","",IF(SUMIF(FoodLog!$A:$A,$A232,FoodLog!$F:$F)=0,"",SUMIF(FoodLog!$A:$A,$A232,FoodLog!$F:$F)))</f>
        <v/>
      </c>
      <c r="W232">
        <f>IF($A232="","",IF(SUMIF(FoodLog!$A:$A,$A232,FoodLog!$G:$G)=0,"",SUMIF(FoodLog!$A:$A,$A232,FoodLog!$G:$G)))</f>
        <v/>
      </c>
      <c r="X232">
        <f>IF($A232="","",IF(SUMIF(FoodLog!$A:$A,$A232,FoodLog!$H:$H)=0,"",SUMIF(FoodLog!$A:$A,$A232,FoodLog!$H:$H)))</f>
        <v/>
      </c>
      <c r="Y232">
        <f>IF($A232="","",IFERROR(ROUND(100*AVERAGE(IF($B232="","",XLOOKUP($B232,FILTER(Dictionaries!$B:$B,Dictionaries!$A:$A="Тренировка"),FILTER(Dictionaries!$C:$C,Dictionaries!$A:$A="Тренировка"))),IF($C232="","",MIN($C232/40,1)),IF($D232="","",XLOOKUP($D232,FILTER(Dictionaries!$B:$B,Dictionaries!$A:$A="Шаги"),FILTER(Dictionaries!$C:$C,Dictionaries!$A:$A="Шаги"))),IF($E232="","",MIN($E232/120,1)),IF(OR($F232&lt;&gt;"",$G232&lt;&gt;""),1,""),IF($H232="","",MIN($H232/100,1)),IF($L232="","",XLOOKUP($L232,FILTER(Dictionaries!$B:$B,Dictionaries!$A:$A="Сон_часы"),FILTER(Dictionaries!$C:$C,Dictionaries!$A:$A="Сон_часы"))),IF($M232="","",XLOOKUP($M232,FILTER(Dictionaries!$B:$B,Dictionaries!$A:$A="Режим"),FILTER(Dictionaries!$C:$C,Dictionaries!$A:$A="Режим"))),IF($N232="","",MIN($N232/100,1)),IF($O232="","",XLOOKUP($O232,FILTER(Dictionaries!$B:$B,Dictionaries!$A:$A="Настроение"),FILTER(Dictionaries!$C:$C,Dictionaries!$A:$A="Настроение"))),IF($P232="","",XLOOKUP($P232,FILTER(Dictionaries!$B:$B,Dictionaries!$A:$A="Энергия"),FILTER(Dictionaries!$C:$C,Dictionaries!$A:$A="Энергия"))),IF($U232="","",AVERAGE(IF(OR($B232="Ноги",$B232="Верх"),IFS(AND($U232&gt;=1900,$U232&lt;=2050),1,AND($U232&gt;=1850,$U232&lt;1900),0.7,AND($U232&gt;2050,$U232&lt;=2100),0.7,TRUE,0.2),IFS(AND($U232&gt;=1700,$U232&lt;=1850),1,AND($U232&gt;=1650,$U232&lt;1700),0.7,AND($U232&gt;1850,$U232&lt;=1900),0.7,TRUE,0.2)),IF(OR($B232="Ноги",$B232="Верх"),IFS(AND($V232&gt;=125,$V232&lt;=135),1,AND($V232&gt;=115,$V232&lt;125),0.7,AND($V232&gt;135,$V232&lt;=145),0.7,AND($V232&gt;=105,$V232&lt;115),0.4,AND($V232&gt;145,$V232&lt;=155),0.4,TRUE,0.2),IFS(AND($V232&gt;=120,$V232&lt;=130),1,AND($V232&gt;=110,$V232&lt;120),0.7,AND($V232&gt;130,$V232&lt;=140),0.7,AND($V232&gt;=100,$V232&lt;110),0.4,AND($V232&gt;140,$V232&lt;=150),0.4,TRUE,0.2)),IFS(AND($W232&gt;=55,$W232&lt;=65),1,AND($W232&gt;=50,$W232&lt;55),0.7,AND($W232&gt;65,$W232&lt;=70),0.7,AND($W232&gt;=45,$W232&lt;50),0.4,AND($W232&gt;70,$W232&lt;=75),0.4,TRUE,0.2),IF(OR($B232="Ноги",$B232="Верх"),IFS(AND($X232&gt;=180,$X232&lt;=210),1,AND($X232&gt;=160,$X232&lt;180),0.7,AND($X232&gt;210,$X232&lt;=230),0.7,AND($X232&gt;=140,$X232&lt;160),0.4,AND($X232&gt;230,$X232&lt;=250),0.4,TRUE,0.2),IFS(AND($X232&gt;=140,$X232&lt;=170),1,AND($X232&gt;=120,$X232&lt;140),0.7,AND($X232&gt;170,$X232&lt;=190),0.7,AND($X232&gt;=100,$X232&lt;120),0.4,AND($X232&gt;190,$X232&lt;=210),0.4,TRUE,0.2))))),1),""))</f>
        <v/>
      </c>
      <c r="Z232">
        <f>IF($A232="","",TEXTJOIN(", ",TRUE,IF($B232="","Тренировка",""),IF($C232="","Кардио",""),IF($D232="","Шаги",""),IF($E232="","Английский",""),IF($F232="","Код-режим",""),IF($G232="","Код-тема",""),IF($H232="","Чтение",""),IF($L232="","Сон",""),IF($M232="","Режим",""),IF($N232="","Продуктивность",""),IF($O232="","Настроение",""),IF($P232="","Энергия",""),IF($U232="","Еда","")))</f>
        <v/>
      </c>
    </row>
    <row r="233">
      <c r="A233" t="inlineStr"/>
      <c r="U233">
        <f>IF($A233="","",IF(SUMIF(FoodLog!$A:$A,$A233,FoodLog!$I:$I)=0,"",SUMIF(FoodLog!$A:$A,$A233,FoodLog!$I:$I)))</f>
        <v/>
      </c>
      <c r="V233">
        <f>IF($A233="","",IF(SUMIF(FoodLog!$A:$A,$A233,FoodLog!$F:$F)=0,"",SUMIF(FoodLog!$A:$A,$A233,FoodLog!$F:$F)))</f>
        <v/>
      </c>
      <c r="W233">
        <f>IF($A233="","",IF(SUMIF(FoodLog!$A:$A,$A233,FoodLog!$G:$G)=0,"",SUMIF(FoodLog!$A:$A,$A233,FoodLog!$G:$G)))</f>
        <v/>
      </c>
      <c r="X233">
        <f>IF($A233="","",IF(SUMIF(FoodLog!$A:$A,$A233,FoodLog!$H:$H)=0,"",SUMIF(FoodLog!$A:$A,$A233,FoodLog!$H:$H)))</f>
        <v/>
      </c>
      <c r="Y233">
        <f>IF($A233="","",IFERROR(ROUND(100*AVERAGE(IF($B233="","",XLOOKUP($B233,FILTER(Dictionaries!$B:$B,Dictionaries!$A:$A="Тренировка"),FILTER(Dictionaries!$C:$C,Dictionaries!$A:$A="Тренировка"))),IF($C233="","",MIN($C233/40,1)),IF($D233="","",XLOOKUP($D233,FILTER(Dictionaries!$B:$B,Dictionaries!$A:$A="Шаги"),FILTER(Dictionaries!$C:$C,Dictionaries!$A:$A="Шаги"))),IF($E233="","",MIN($E233/120,1)),IF(OR($F233&lt;&gt;"",$G233&lt;&gt;""),1,""),IF($H233="","",MIN($H233/100,1)),IF($L233="","",XLOOKUP($L233,FILTER(Dictionaries!$B:$B,Dictionaries!$A:$A="Сон_часы"),FILTER(Dictionaries!$C:$C,Dictionaries!$A:$A="Сон_часы"))),IF($M233="","",XLOOKUP($M233,FILTER(Dictionaries!$B:$B,Dictionaries!$A:$A="Режим"),FILTER(Dictionaries!$C:$C,Dictionaries!$A:$A="Режим"))),IF($N233="","",MIN($N233/100,1)),IF($O233="","",XLOOKUP($O233,FILTER(Dictionaries!$B:$B,Dictionaries!$A:$A="Настроение"),FILTER(Dictionaries!$C:$C,Dictionaries!$A:$A="Настроение"))),IF($P233="","",XLOOKUP($P233,FILTER(Dictionaries!$B:$B,Dictionaries!$A:$A="Энергия"),FILTER(Dictionaries!$C:$C,Dictionaries!$A:$A="Энергия"))),IF($U233="","",AVERAGE(IF(OR($B233="Ноги",$B233="Верх"),IFS(AND($U233&gt;=1900,$U233&lt;=2050),1,AND($U233&gt;=1850,$U233&lt;1900),0.7,AND($U233&gt;2050,$U233&lt;=2100),0.7,TRUE,0.2),IFS(AND($U233&gt;=1700,$U233&lt;=1850),1,AND($U233&gt;=1650,$U233&lt;1700),0.7,AND($U233&gt;1850,$U233&lt;=1900),0.7,TRUE,0.2)),IF(OR($B233="Ноги",$B233="Верх"),IFS(AND($V233&gt;=125,$V233&lt;=135),1,AND($V233&gt;=115,$V233&lt;125),0.7,AND($V233&gt;135,$V233&lt;=145),0.7,AND($V233&gt;=105,$V233&lt;115),0.4,AND($V233&gt;145,$V233&lt;=155),0.4,TRUE,0.2),IFS(AND($V233&gt;=120,$V233&lt;=130),1,AND($V233&gt;=110,$V233&lt;120),0.7,AND($V233&gt;130,$V233&lt;=140),0.7,AND($V233&gt;=100,$V233&lt;110),0.4,AND($V233&gt;140,$V233&lt;=150),0.4,TRUE,0.2)),IFS(AND($W233&gt;=55,$W233&lt;=65),1,AND($W233&gt;=50,$W233&lt;55),0.7,AND($W233&gt;65,$W233&lt;=70),0.7,AND($W233&gt;=45,$W233&lt;50),0.4,AND($W233&gt;70,$W233&lt;=75),0.4,TRUE,0.2),IF(OR($B233="Ноги",$B233="Верх"),IFS(AND($X233&gt;=180,$X233&lt;=210),1,AND($X233&gt;=160,$X233&lt;180),0.7,AND($X233&gt;210,$X233&lt;=230),0.7,AND($X233&gt;=140,$X233&lt;160),0.4,AND($X233&gt;230,$X233&lt;=250),0.4,TRUE,0.2),IFS(AND($X233&gt;=140,$X233&lt;=170),1,AND($X233&gt;=120,$X233&lt;140),0.7,AND($X233&gt;170,$X233&lt;=190),0.7,AND($X233&gt;=100,$X233&lt;120),0.4,AND($X233&gt;190,$X233&lt;=210),0.4,TRUE,0.2))))),1),""))</f>
        <v/>
      </c>
      <c r="Z233">
        <f>IF($A233="","",TEXTJOIN(", ",TRUE,IF($B233="","Тренировка",""),IF($C233="","Кардио",""),IF($D233="","Шаги",""),IF($E233="","Английский",""),IF($F233="","Код-режим",""),IF($G233="","Код-тема",""),IF($H233="","Чтение",""),IF($L233="","Сон",""),IF($M233="","Режим",""),IF($N233="","Продуктивность",""),IF($O233="","Настроение",""),IF($P233="","Энергия",""),IF($U233="","Еда","")))</f>
        <v/>
      </c>
    </row>
    <row r="234">
      <c r="A234" t="inlineStr"/>
      <c r="U234">
        <f>IF($A234="","",IF(SUMIF(FoodLog!$A:$A,$A234,FoodLog!$I:$I)=0,"",SUMIF(FoodLog!$A:$A,$A234,FoodLog!$I:$I)))</f>
        <v/>
      </c>
      <c r="V234">
        <f>IF($A234="","",IF(SUMIF(FoodLog!$A:$A,$A234,FoodLog!$F:$F)=0,"",SUMIF(FoodLog!$A:$A,$A234,FoodLog!$F:$F)))</f>
        <v/>
      </c>
      <c r="W234">
        <f>IF($A234="","",IF(SUMIF(FoodLog!$A:$A,$A234,FoodLog!$G:$G)=0,"",SUMIF(FoodLog!$A:$A,$A234,FoodLog!$G:$G)))</f>
        <v/>
      </c>
      <c r="X234">
        <f>IF($A234="","",IF(SUMIF(FoodLog!$A:$A,$A234,FoodLog!$H:$H)=0,"",SUMIF(FoodLog!$A:$A,$A234,FoodLog!$H:$H)))</f>
        <v/>
      </c>
      <c r="Y234">
        <f>IF($A234="","",IFERROR(ROUND(100*AVERAGE(IF($B234="","",XLOOKUP($B234,FILTER(Dictionaries!$B:$B,Dictionaries!$A:$A="Тренировка"),FILTER(Dictionaries!$C:$C,Dictionaries!$A:$A="Тренировка"))),IF($C234="","",MIN($C234/40,1)),IF($D234="","",XLOOKUP($D234,FILTER(Dictionaries!$B:$B,Dictionaries!$A:$A="Шаги"),FILTER(Dictionaries!$C:$C,Dictionaries!$A:$A="Шаги"))),IF($E234="","",MIN($E234/120,1)),IF(OR($F234&lt;&gt;"",$G234&lt;&gt;""),1,""),IF($H234="","",MIN($H234/100,1)),IF($L234="","",XLOOKUP($L234,FILTER(Dictionaries!$B:$B,Dictionaries!$A:$A="Сон_часы"),FILTER(Dictionaries!$C:$C,Dictionaries!$A:$A="Сон_часы"))),IF($M234="","",XLOOKUP($M234,FILTER(Dictionaries!$B:$B,Dictionaries!$A:$A="Режим"),FILTER(Dictionaries!$C:$C,Dictionaries!$A:$A="Режим"))),IF($N234="","",MIN($N234/100,1)),IF($O234="","",XLOOKUP($O234,FILTER(Dictionaries!$B:$B,Dictionaries!$A:$A="Настроение"),FILTER(Dictionaries!$C:$C,Dictionaries!$A:$A="Настроение"))),IF($P234="","",XLOOKUP($P234,FILTER(Dictionaries!$B:$B,Dictionaries!$A:$A="Энергия"),FILTER(Dictionaries!$C:$C,Dictionaries!$A:$A="Энергия"))),IF($U234="","",AVERAGE(IF(OR($B234="Ноги",$B234="Верх"),IFS(AND($U234&gt;=1900,$U234&lt;=2050),1,AND($U234&gt;=1850,$U234&lt;1900),0.7,AND($U234&gt;2050,$U234&lt;=2100),0.7,TRUE,0.2),IFS(AND($U234&gt;=1700,$U234&lt;=1850),1,AND($U234&gt;=1650,$U234&lt;1700),0.7,AND($U234&gt;1850,$U234&lt;=1900),0.7,TRUE,0.2)),IF(OR($B234="Ноги",$B234="Верх"),IFS(AND($V234&gt;=125,$V234&lt;=135),1,AND($V234&gt;=115,$V234&lt;125),0.7,AND($V234&gt;135,$V234&lt;=145),0.7,AND($V234&gt;=105,$V234&lt;115),0.4,AND($V234&gt;145,$V234&lt;=155),0.4,TRUE,0.2),IFS(AND($V234&gt;=120,$V234&lt;=130),1,AND($V234&gt;=110,$V234&lt;120),0.7,AND($V234&gt;130,$V234&lt;=140),0.7,AND($V234&gt;=100,$V234&lt;110),0.4,AND($V234&gt;140,$V234&lt;=150),0.4,TRUE,0.2)),IFS(AND($W234&gt;=55,$W234&lt;=65),1,AND($W234&gt;=50,$W234&lt;55),0.7,AND($W234&gt;65,$W234&lt;=70),0.7,AND($W234&gt;=45,$W234&lt;50),0.4,AND($W234&gt;70,$W234&lt;=75),0.4,TRUE,0.2),IF(OR($B234="Ноги",$B234="Верх"),IFS(AND($X234&gt;=180,$X234&lt;=210),1,AND($X234&gt;=160,$X234&lt;180),0.7,AND($X234&gt;210,$X234&lt;=230),0.7,AND($X234&gt;=140,$X234&lt;160),0.4,AND($X234&gt;230,$X234&lt;=250),0.4,TRUE,0.2),IFS(AND($X234&gt;=140,$X234&lt;=170),1,AND($X234&gt;=120,$X234&lt;140),0.7,AND($X234&gt;170,$X234&lt;=190),0.7,AND($X234&gt;=100,$X234&lt;120),0.4,AND($X234&gt;190,$X234&lt;=210),0.4,TRUE,0.2))))),1),""))</f>
        <v/>
      </c>
      <c r="Z234">
        <f>IF($A234="","",TEXTJOIN(", ",TRUE,IF($B234="","Тренировка",""),IF($C234="","Кардио",""),IF($D234="","Шаги",""),IF($E234="","Английский",""),IF($F234="","Код-режим",""),IF($G234="","Код-тема",""),IF($H234="","Чтение",""),IF($L234="","Сон",""),IF($M234="","Режим",""),IF($N234="","Продуктивность",""),IF($O234="","Настроение",""),IF($P234="","Энергия",""),IF($U234="","Еда","")))</f>
        <v/>
      </c>
    </row>
    <row r="235">
      <c r="A235" t="inlineStr"/>
      <c r="U235">
        <f>IF($A235="","",IF(SUMIF(FoodLog!$A:$A,$A235,FoodLog!$I:$I)=0,"",SUMIF(FoodLog!$A:$A,$A235,FoodLog!$I:$I)))</f>
        <v/>
      </c>
      <c r="V235">
        <f>IF($A235="","",IF(SUMIF(FoodLog!$A:$A,$A235,FoodLog!$F:$F)=0,"",SUMIF(FoodLog!$A:$A,$A235,FoodLog!$F:$F)))</f>
        <v/>
      </c>
      <c r="W235">
        <f>IF($A235="","",IF(SUMIF(FoodLog!$A:$A,$A235,FoodLog!$G:$G)=0,"",SUMIF(FoodLog!$A:$A,$A235,FoodLog!$G:$G)))</f>
        <v/>
      </c>
      <c r="X235">
        <f>IF($A235="","",IF(SUMIF(FoodLog!$A:$A,$A235,FoodLog!$H:$H)=0,"",SUMIF(FoodLog!$A:$A,$A235,FoodLog!$H:$H)))</f>
        <v/>
      </c>
      <c r="Y235">
        <f>IF($A235="","",IFERROR(ROUND(100*AVERAGE(IF($B235="","",XLOOKUP($B235,FILTER(Dictionaries!$B:$B,Dictionaries!$A:$A="Тренировка"),FILTER(Dictionaries!$C:$C,Dictionaries!$A:$A="Тренировка"))),IF($C235="","",MIN($C235/40,1)),IF($D235="","",XLOOKUP($D235,FILTER(Dictionaries!$B:$B,Dictionaries!$A:$A="Шаги"),FILTER(Dictionaries!$C:$C,Dictionaries!$A:$A="Шаги"))),IF($E235="","",MIN($E235/120,1)),IF(OR($F235&lt;&gt;"",$G235&lt;&gt;""),1,""),IF($H235="","",MIN($H235/100,1)),IF($L235="","",XLOOKUP($L235,FILTER(Dictionaries!$B:$B,Dictionaries!$A:$A="Сон_часы"),FILTER(Dictionaries!$C:$C,Dictionaries!$A:$A="Сон_часы"))),IF($M235="","",XLOOKUP($M235,FILTER(Dictionaries!$B:$B,Dictionaries!$A:$A="Режим"),FILTER(Dictionaries!$C:$C,Dictionaries!$A:$A="Режим"))),IF($N235="","",MIN($N235/100,1)),IF($O235="","",XLOOKUP($O235,FILTER(Dictionaries!$B:$B,Dictionaries!$A:$A="Настроение"),FILTER(Dictionaries!$C:$C,Dictionaries!$A:$A="Настроение"))),IF($P235="","",XLOOKUP($P235,FILTER(Dictionaries!$B:$B,Dictionaries!$A:$A="Энергия"),FILTER(Dictionaries!$C:$C,Dictionaries!$A:$A="Энергия"))),IF($U235="","",AVERAGE(IF(OR($B235="Ноги",$B235="Верх"),IFS(AND($U235&gt;=1900,$U235&lt;=2050),1,AND($U235&gt;=1850,$U235&lt;1900),0.7,AND($U235&gt;2050,$U235&lt;=2100),0.7,TRUE,0.2),IFS(AND($U235&gt;=1700,$U235&lt;=1850),1,AND($U235&gt;=1650,$U235&lt;1700),0.7,AND($U235&gt;1850,$U235&lt;=1900),0.7,TRUE,0.2)),IF(OR($B235="Ноги",$B235="Верх"),IFS(AND($V235&gt;=125,$V235&lt;=135),1,AND($V235&gt;=115,$V235&lt;125),0.7,AND($V235&gt;135,$V235&lt;=145),0.7,AND($V235&gt;=105,$V235&lt;115),0.4,AND($V235&gt;145,$V235&lt;=155),0.4,TRUE,0.2),IFS(AND($V235&gt;=120,$V235&lt;=130),1,AND($V235&gt;=110,$V235&lt;120),0.7,AND($V235&gt;130,$V235&lt;=140),0.7,AND($V235&gt;=100,$V235&lt;110),0.4,AND($V235&gt;140,$V235&lt;=150),0.4,TRUE,0.2)),IFS(AND($W235&gt;=55,$W235&lt;=65),1,AND($W235&gt;=50,$W235&lt;55),0.7,AND($W235&gt;65,$W235&lt;=70),0.7,AND($W235&gt;=45,$W235&lt;50),0.4,AND($W235&gt;70,$W235&lt;=75),0.4,TRUE,0.2),IF(OR($B235="Ноги",$B235="Верх"),IFS(AND($X235&gt;=180,$X235&lt;=210),1,AND($X235&gt;=160,$X235&lt;180),0.7,AND($X235&gt;210,$X235&lt;=230),0.7,AND($X235&gt;=140,$X235&lt;160),0.4,AND($X235&gt;230,$X235&lt;=250),0.4,TRUE,0.2),IFS(AND($X235&gt;=140,$X235&lt;=170),1,AND($X235&gt;=120,$X235&lt;140),0.7,AND($X235&gt;170,$X235&lt;=190),0.7,AND($X235&gt;=100,$X235&lt;120),0.4,AND($X235&gt;190,$X235&lt;=210),0.4,TRUE,0.2))))),1),""))</f>
        <v/>
      </c>
      <c r="Z235">
        <f>IF($A235="","",TEXTJOIN(", ",TRUE,IF($B235="","Тренировка",""),IF($C235="","Кардио",""),IF($D235="","Шаги",""),IF($E235="","Английский",""),IF($F235="","Код-режим",""),IF($G235="","Код-тема",""),IF($H235="","Чтение",""),IF($L235="","Сон",""),IF($M235="","Режим",""),IF($N235="","Продуктивность",""),IF($O235="","Настроение",""),IF($P235="","Энергия",""),IF($U235="","Еда","")))</f>
        <v/>
      </c>
    </row>
    <row r="236">
      <c r="A236" t="inlineStr"/>
      <c r="U236">
        <f>IF($A236="","",IF(SUMIF(FoodLog!$A:$A,$A236,FoodLog!$I:$I)=0,"",SUMIF(FoodLog!$A:$A,$A236,FoodLog!$I:$I)))</f>
        <v/>
      </c>
      <c r="V236">
        <f>IF($A236="","",IF(SUMIF(FoodLog!$A:$A,$A236,FoodLog!$F:$F)=0,"",SUMIF(FoodLog!$A:$A,$A236,FoodLog!$F:$F)))</f>
        <v/>
      </c>
      <c r="W236">
        <f>IF($A236="","",IF(SUMIF(FoodLog!$A:$A,$A236,FoodLog!$G:$G)=0,"",SUMIF(FoodLog!$A:$A,$A236,FoodLog!$G:$G)))</f>
        <v/>
      </c>
      <c r="X236">
        <f>IF($A236="","",IF(SUMIF(FoodLog!$A:$A,$A236,FoodLog!$H:$H)=0,"",SUMIF(FoodLog!$A:$A,$A236,FoodLog!$H:$H)))</f>
        <v/>
      </c>
      <c r="Y236">
        <f>IF($A236="","",IFERROR(ROUND(100*AVERAGE(IF($B236="","",XLOOKUP($B236,FILTER(Dictionaries!$B:$B,Dictionaries!$A:$A="Тренировка"),FILTER(Dictionaries!$C:$C,Dictionaries!$A:$A="Тренировка"))),IF($C236="","",MIN($C236/40,1)),IF($D236="","",XLOOKUP($D236,FILTER(Dictionaries!$B:$B,Dictionaries!$A:$A="Шаги"),FILTER(Dictionaries!$C:$C,Dictionaries!$A:$A="Шаги"))),IF($E236="","",MIN($E236/120,1)),IF(OR($F236&lt;&gt;"",$G236&lt;&gt;""),1,""),IF($H236="","",MIN($H236/100,1)),IF($L236="","",XLOOKUP($L236,FILTER(Dictionaries!$B:$B,Dictionaries!$A:$A="Сон_часы"),FILTER(Dictionaries!$C:$C,Dictionaries!$A:$A="Сон_часы"))),IF($M236="","",XLOOKUP($M236,FILTER(Dictionaries!$B:$B,Dictionaries!$A:$A="Режим"),FILTER(Dictionaries!$C:$C,Dictionaries!$A:$A="Режим"))),IF($N236="","",MIN($N236/100,1)),IF($O236="","",XLOOKUP($O236,FILTER(Dictionaries!$B:$B,Dictionaries!$A:$A="Настроение"),FILTER(Dictionaries!$C:$C,Dictionaries!$A:$A="Настроение"))),IF($P236="","",XLOOKUP($P236,FILTER(Dictionaries!$B:$B,Dictionaries!$A:$A="Энергия"),FILTER(Dictionaries!$C:$C,Dictionaries!$A:$A="Энергия"))),IF($U236="","",AVERAGE(IF(OR($B236="Ноги",$B236="Верх"),IFS(AND($U236&gt;=1900,$U236&lt;=2050),1,AND($U236&gt;=1850,$U236&lt;1900),0.7,AND($U236&gt;2050,$U236&lt;=2100),0.7,TRUE,0.2),IFS(AND($U236&gt;=1700,$U236&lt;=1850),1,AND($U236&gt;=1650,$U236&lt;1700),0.7,AND($U236&gt;1850,$U236&lt;=1900),0.7,TRUE,0.2)),IF(OR($B236="Ноги",$B236="Верх"),IFS(AND($V236&gt;=125,$V236&lt;=135),1,AND($V236&gt;=115,$V236&lt;125),0.7,AND($V236&gt;135,$V236&lt;=145),0.7,AND($V236&gt;=105,$V236&lt;115),0.4,AND($V236&gt;145,$V236&lt;=155),0.4,TRUE,0.2),IFS(AND($V236&gt;=120,$V236&lt;=130),1,AND($V236&gt;=110,$V236&lt;120),0.7,AND($V236&gt;130,$V236&lt;=140),0.7,AND($V236&gt;=100,$V236&lt;110),0.4,AND($V236&gt;140,$V236&lt;=150),0.4,TRUE,0.2)),IFS(AND($W236&gt;=55,$W236&lt;=65),1,AND($W236&gt;=50,$W236&lt;55),0.7,AND($W236&gt;65,$W236&lt;=70),0.7,AND($W236&gt;=45,$W236&lt;50),0.4,AND($W236&gt;70,$W236&lt;=75),0.4,TRUE,0.2),IF(OR($B236="Ноги",$B236="Верх"),IFS(AND($X236&gt;=180,$X236&lt;=210),1,AND($X236&gt;=160,$X236&lt;180),0.7,AND($X236&gt;210,$X236&lt;=230),0.7,AND($X236&gt;=140,$X236&lt;160),0.4,AND($X236&gt;230,$X236&lt;=250),0.4,TRUE,0.2),IFS(AND($X236&gt;=140,$X236&lt;=170),1,AND($X236&gt;=120,$X236&lt;140),0.7,AND($X236&gt;170,$X236&lt;=190),0.7,AND($X236&gt;=100,$X236&lt;120),0.4,AND($X236&gt;190,$X236&lt;=210),0.4,TRUE,0.2))))),1),""))</f>
        <v/>
      </c>
      <c r="Z236">
        <f>IF($A236="","",TEXTJOIN(", ",TRUE,IF($B236="","Тренировка",""),IF($C236="","Кардио",""),IF($D236="","Шаги",""),IF($E236="","Английский",""),IF($F236="","Код-режим",""),IF($G236="","Код-тема",""),IF($H236="","Чтение",""),IF($L236="","Сон",""),IF($M236="","Режим",""),IF($N236="","Продуктивность",""),IF($O236="","Настроение",""),IF($P236="","Энергия",""),IF($U236="","Еда","")))</f>
        <v/>
      </c>
    </row>
    <row r="237">
      <c r="A237" t="inlineStr"/>
      <c r="U237">
        <f>IF($A237="","",IF(SUMIF(FoodLog!$A:$A,$A237,FoodLog!$I:$I)=0,"",SUMIF(FoodLog!$A:$A,$A237,FoodLog!$I:$I)))</f>
        <v/>
      </c>
      <c r="V237">
        <f>IF($A237="","",IF(SUMIF(FoodLog!$A:$A,$A237,FoodLog!$F:$F)=0,"",SUMIF(FoodLog!$A:$A,$A237,FoodLog!$F:$F)))</f>
        <v/>
      </c>
      <c r="W237">
        <f>IF($A237="","",IF(SUMIF(FoodLog!$A:$A,$A237,FoodLog!$G:$G)=0,"",SUMIF(FoodLog!$A:$A,$A237,FoodLog!$G:$G)))</f>
        <v/>
      </c>
      <c r="X237">
        <f>IF($A237="","",IF(SUMIF(FoodLog!$A:$A,$A237,FoodLog!$H:$H)=0,"",SUMIF(FoodLog!$A:$A,$A237,FoodLog!$H:$H)))</f>
        <v/>
      </c>
      <c r="Y237">
        <f>IF($A237="","",IFERROR(ROUND(100*AVERAGE(IF($B237="","",XLOOKUP($B237,FILTER(Dictionaries!$B:$B,Dictionaries!$A:$A="Тренировка"),FILTER(Dictionaries!$C:$C,Dictionaries!$A:$A="Тренировка"))),IF($C237="","",MIN($C237/40,1)),IF($D237="","",XLOOKUP($D237,FILTER(Dictionaries!$B:$B,Dictionaries!$A:$A="Шаги"),FILTER(Dictionaries!$C:$C,Dictionaries!$A:$A="Шаги"))),IF($E237="","",MIN($E237/120,1)),IF(OR($F237&lt;&gt;"",$G237&lt;&gt;""),1,""),IF($H237="","",MIN($H237/100,1)),IF($L237="","",XLOOKUP($L237,FILTER(Dictionaries!$B:$B,Dictionaries!$A:$A="Сон_часы"),FILTER(Dictionaries!$C:$C,Dictionaries!$A:$A="Сон_часы"))),IF($M237="","",XLOOKUP($M237,FILTER(Dictionaries!$B:$B,Dictionaries!$A:$A="Режим"),FILTER(Dictionaries!$C:$C,Dictionaries!$A:$A="Режим"))),IF($N237="","",MIN($N237/100,1)),IF($O237="","",XLOOKUP($O237,FILTER(Dictionaries!$B:$B,Dictionaries!$A:$A="Настроение"),FILTER(Dictionaries!$C:$C,Dictionaries!$A:$A="Настроение"))),IF($P237="","",XLOOKUP($P237,FILTER(Dictionaries!$B:$B,Dictionaries!$A:$A="Энергия"),FILTER(Dictionaries!$C:$C,Dictionaries!$A:$A="Энергия"))),IF($U237="","",AVERAGE(IF(OR($B237="Ноги",$B237="Верх"),IFS(AND($U237&gt;=1900,$U237&lt;=2050),1,AND($U237&gt;=1850,$U237&lt;1900),0.7,AND($U237&gt;2050,$U237&lt;=2100),0.7,TRUE,0.2),IFS(AND($U237&gt;=1700,$U237&lt;=1850),1,AND($U237&gt;=1650,$U237&lt;1700),0.7,AND($U237&gt;1850,$U237&lt;=1900),0.7,TRUE,0.2)),IF(OR($B237="Ноги",$B237="Верх"),IFS(AND($V237&gt;=125,$V237&lt;=135),1,AND($V237&gt;=115,$V237&lt;125),0.7,AND($V237&gt;135,$V237&lt;=145),0.7,AND($V237&gt;=105,$V237&lt;115),0.4,AND($V237&gt;145,$V237&lt;=155),0.4,TRUE,0.2),IFS(AND($V237&gt;=120,$V237&lt;=130),1,AND($V237&gt;=110,$V237&lt;120),0.7,AND($V237&gt;130,$V237&lt;=140),0.7,AND($V237&gt;=100,$V237&lt;110),0.4,AND($V237&gt;140,$V237&lt;=150),0.4,TRUE,0.2)),IFS(AND($W237&gt;=55,$W237&lt;=65),1,AND($W237&gt;=50,$W237&lt;55),0.7,AND($W237&gt;65,$W237&lt;=70),0.7,AND($W237&gt;=45,$W237&lt;50),0.4,AND($W237&gt;70,$W237&lt;=75),0.4,TRUE,0.2),IF(OR($B237="Ноги",$B237="Верх"),IFS(AND($X237&gt;=180,$X237&lt;=210),1,AND($X237&gt;=160,$X237&lt;180),0.7,AND($X237&gt;210,$X237&lt;=230),0.7,AND($X237&gt;=140,$X237&lt;160),0.4,AND($X237&gt;230,$X237&lt;=250),0.4,TRUE,0.2),IFS(AND($X237&gt;=140,$X237&lt;=170),1,AND($X237&gt;=120,$X237&lt;140),0.7,AND($X237&gt;170,$X237&lt;=190),0.7,AND($X237&gt;=100,$X237&lt;120),0.4,AND($X237&gt;190,$X237&lt;=210),0.4,TRUE,0.2))))),1),""))</f>
        <v/>
      </c>
      <c r="Z237">
        <f>IF($A237="","",TEXTJOIN(", ",TRUE,IF($B237="","Тренировка",""),IF($C237="","Кардио",""),IF($D237="","Шаги",""),IF($E237="","Английский",""),IF($F237="","Код-режим",""),IF($G237="","Код-тема",""),IF($H237="","Чтение",""),IF($L237="","Сон",""),IF($M237="","Режим",""),IF($N237="","Продуктивность",""),IF($O237="","Настроение",""),IF($P237="","Энергия",""),IF($U237="","Еда","")))</f>
        <v/>
      </c>
    </row>
    <row r="238">
      <c r="A238" t="inlineStr"/>
      <c r="U238">
        <f>IF($A238="","",IF(SUMIF(FoodLog!$A:$A,$A238,FoodLog!$I:$I)=0,"",SUMIF(FoodLog!$A:$A,$A238,FoodLog!$I:$I)))</f>
        <v/>
      </c>
      <c r="V238">
        <f>IF($A238="","",IF(SUMIF(FoodLog!$A:$A,$A238,FoodLog!$F:$F)=0,"",SUMIF(FoodLog!$A:$A,$A238,FoodLog!$F:$F)))</f>
        <v/>
      </c>
      <c r="W238">
        <f>IF($A238="","",IF(SUMIF(FoodLog!$A:$A,$A238,FoodLog!$G:$G)=0,"",SUMIF(FoodLog!$A:$A,$A238,FoodLog!$G:$G)))</f>
        <v/>
      </c>
      <c r="X238">
        <f>IF($A238="","",IF(SUMIF(FoodLog!$A:$A,$A238,FoodLog!$H:$H)=0,"",SUMIF(FoodLog!$A:$A,$A238,FoodLog!$H:$H)))</f>
        <v/>
      </c>
      <c r="Y238">
        <f>IF($A238="","",IFERROR(ROUND(100*AVERAGE(IF($B238="","",XLOOKUP($B238,FILTER(Dictionaries!$B:$B,Dictionaries!$A:$A="Тренировка"),FILTER(Dictionaries!$C:$C,Dictionaries!$A:$A="Тренировка"))),IF($C238="","",MIN($C238/40,1)),IF($D238="","",XLOOKUP($D238,FILTER(Dictionaries!$B:$B,Dictionaries!$A:$A="Шаги"),FILTER(Dictionaries!$C:$C,Dictionaries!$A:$A="Шаги"))),IF($E238="","",MIN($E238/120,1)),IF(OR($F238&lt;&gt;"",$G238&lt;&gt;""),1,""),IF($H238="","",MIN($H238/100,1)),IF($L238="","",XLOOKUP($L238,FILTER(Dictionaries!$B:$B,Dictionaries!$A:$A="Сон_часы"),FILTER(Dictionaries!$C:$C,Dictionaries!$A:$A="Сон_часы"))),IF($M238="","",XLOOKUP($M238,FILTER(Dictionaries!$B:$B,Dictionaries!$A:$A="Режим"),FILTER(Dictionaries!$C:$C,Dictionaries!$A:$A="Режим"))),IF($N238="","",MIN($N238/100,1)),IF($O238="","",XLOOKUP($O238,FILTER(Dictionaries!$B:$B,Dictionaries!$A:$A="Настроение"),FILTER(Dictionaries!$C:$C,Dictionaries!$A:$A="Настроение"))),IF($P238="","",XLOOKUP($P238,FILTER(Dictionaries!$B:$B,Dictionaries!$A:$A="Энергия"),FILTER(Dictionaries!$C:$C,Dictionaries!$A:$A="Энергия"))),IF($U238="","",AVERAGE(IF(OR($B238="Ноги",$B238="Верх"),IFS(AND($U238&gt;=1900,$U238&lt;=2050),1,AND($U238&gt;=1850,$U238&lt;1900),0.7,AND($U238&gt;2050,$U238&lt;=2100),0.7,TRUE,0.2),IFS(AND($U238&gt;=1700,$U238&lt;=1850),1,AND($U238&gt;=1650,$U238&lt;1700),0.7,AND($U238&gt;1850,$U238&lt;=1900),0.7,TRUE,0.2)),IF(OR($B238="Ноги",$B238="Верх"),IFS(AND($V238&gt;=125,$V238&lt;=135),1,AND($V238&gt;=115,$V238&lt;125),0.7,AND($V238&gt;135,$V238&lt;=145),0.7,AND($V238&gt;=105,$V238&lt;115),0.4,AND($V238&gt;145,$V238&lt;=155),0.4,TRUE,0.2),IFS(AND($V238&gt;=120,$V238&lt;=130),1,AND($V238&gt;=110,$V238&lt;120),0.7,AND($V238&gt;130,$V238&lt;=140),0.7,AND($V238&gt;=100,$V238&lt;110),0.4,AND($V238&gt;140,$V238&lt;=150),0.4,TRUE,0.2)),IFS(AND($W238&gt;=55,$W238&lt;=65),1,AND($W238&gt;=50,$W238&lt;55),0.7,AND($W238&gt;65,$W238&lt;=70),0.7,AND($W238&gt;=45,$W238&lt;50),0.4,AND($W238&gt;70,$W238&lt;=75),0.4,TRUE,0.2),IF(OR($B238="Ноги",$B238="Верх"),IFS(AND($X238&gt;=180,$X238&lt;=210),1,AND($X238&gt;=160,$X238&lt;180),0.7,AND($X238&gt;210,$X238&lt;=230),0.7,AND($X238&gt;=140,$X238&lt;160),0.4,AND($X238&gt;230,$X238&lt;=250),0.4,TRUE,0.2),IFS(AND($X238&gt;=140,$X238&lt;=170),1,AND($X238&gt;=120,$X238&lt;140),0.7,AND($X238&gt;170,$X238&lt;=190),0.7,AND($X238&gt;=100,$X238&lt;120),0.4,AND($X238&gt;190,$X238&lt;=210),0.4,TRUE,0.2))))),1),""))</f>
        <v/>
      </c>
      <c r="Z238">
        <f>IF($A238="","",TEXTJOIN(", ",TRUE,IF($B238="","Тренировка",""),IF($C238="","Кардио",""),IF($D238="","Шаги",""),IF($E238="","Английский",""),IF($F238="","Код-режим",""),IF($G238="","Код-тема",""),IF($H238="","Чтение",""),IF($L238="","Сон",""),IF($M238="","Режим",""),IF($N238="","Продуктивность",""),IF($O238="","Настроение",""),IF($P238="","Энергия",""),IF($U238="","Еда","")))</f>
        <v/>
      </c>
    </row>
    <row r="239">
      <c r="A239" t="inlineStr"/>
      <c r="U239">
        <f>IF($A239="","",IF(SUMIF(FoodLog!$A:$A,$A239,FoodLog!$I:$I)=0,"",SUMIF(FoodLog!$A:$A,$A239,FoodLog!$I:$I)))</f>
        <v/>
      </c>
      <c r="V239">
        <f>IF($A239="","",IF(SUMIF(FoodLog!$A:$A,$A239,FoodLog!$F:$F)=0,"",SUMIF(FoodLog!$A:$A,$A239,FoodLog!$F:$F)))</f>
        <v/>
      </c>
      <c r="W239">
        <f>IF($A239="","",IF(SUMIF(FoodLog!$A:$A,$A239,FoodLog!$G:$G)=0,"",SUMIF(FoodLog!$A:$A,$A239,FoodLog!$G:$G)))</f>
        <v/>
      </c>
      <c r="X239">
        <f>IF($A239="","",IF(SUMIF(FoodLog!$A:$A,$A239,FoodLog!$H:$H)=0,"",SUMIF(FoodLog!$A:$A,$A239,FoodLog!$H:$H)))</f>
        <v/>
      </c>
      <c r="Y239">
        <f>IF($A239="","",IFERROR(ROUND(100*AVERAGE(IF($B239="","",XLOOKUP($B239,FILTER(Dictionaries!$B:$B,Dictionaries!$A:$A="Тренировка"),FILTER(Dictionaries!$C:$C,Dictionaries!$A:$A="Тренировка"))),IF($C239="","",MIN($C239/40,1)),IF($D239="","",XLOOKUP($D239,FILTER(Dictionaries!$B:$B,Dictionaries!$A:$A="Шаги"),FILTER(Dictionaries!$C:$C,Dictionaries!$A:$A="Шаги"))),IF($E239="","",MIN($E239/120,1)),IF(OR($F239&lt;&gt;"",$G239&lt;&gt;""),1,""),IF($H239="","",MIN($H239/100,1)),IF($L239="","",XLOOKUP($L239,FILTER(Dictionaries!$B:$B,Dictionaries!$A:$A="Сон_часы"),FILTER(Dictionaries!$C:$C,Dictionaries!$A:$A="Сон_часы"))),IF($M239="","",XLOOKUP($M239,FILTER(Dictionaries!$B:$B,Dictionaries!$A:$A="Режим"),FILTER(Dictionaries!$C:$C,Dictionaries!$A:$A="Режим"))),IF($N239="","",MIN($N239/100,1)),IF($O239="","",XLOOKUP($O239,FILTER(Dictionaries!$B:$B,Dictionaries!$A:$A="Настроение"),FILTER(Dictionaries!$C:$C,Dictionaries!$A:$A="Настроение"))),IF($P239="","",XLOOKUP($P239,FILTER(Dictionaries!$B:$B,Dictionaries!$A:$A="Энергия"),FILTER(Dictionaries!$C:$C,Dictionaries!$A:$A="Энергия"))),IF($U239="","",AVERAGE(IF(OR($B239="Ноги",$B239="Верх"),IFS(AND($U239&gt;=1900,$U239&lt;=2050),1,AND($U239&gt;=1850,$U239&lt;1900),0.7,AND($U239&gt;2050,$U239&lt;=2100),0.7,TRUE,0.2),IFS(AND($U239&gt;=1700,$U239&lt;=1850),1,AND($U239&gt;=1650,$U239&lt;1700),0.7,AND($U239&gt;1850,$U239&lt;=1900),0.7,TRUE,0.2)),IF(OR($B239="Ноги",$B239="Верх"),IFS(AND($V239&gt;=125,$V239&lt;=135),1,AND($V239&gt;=115,$V239&lt;125),0.7,AND($V239&gt;135,$V239&lt;=145),0.7,AND($V239&gt;=105,$V239&lt;115),0.4,AND($V239&gt;145,$V239&lt;=155),0.4,TRUE,0.2),IFS(AND($V239&gt;=120,$V239&lt;=130),1,AND($V239&gt;=110,$V239&lt;120),0.7,AND($V239&gt;130,$V239&lt;=140),0.7,AND($V239&gt;=100,$V239&lt;110),0.4,AND($V239&gt;140,$V239&lt;=150),0.4,TRUE,0.2)),IFS(AND($W239&gt;=55,$W239&lt;=65),1,AND($W239&gt;=50,$W239&lt;55),0.7,AND($W239&gt;65,$W239&lt;=70),0.7,AND($W239&gt;=45,$W239&lt;50),0.4,AND($W239&gt;70,$W239&lt;=75),0.4,TRUE,0.2),IF(OR($B239="Ноги",$B239="Верх"),IFS(AND($X239&gt;=180,$X239&lt;=210),1,AND($X239&gt;=160,$X239&lt;180),0.7,AND($X239&gt;210,$X239&lt;=230),0.7,AND($X239&gt;=140,$X239&lt;160),0.4,AND($X239&gt;230,$X239&lt;=250),0.4,TRUE,0.2),IFS(AND($X239&gt;=140,$X239&lt;=170),1,AND($X239&gt;=120,$X239&lt;140),0.7,AND($X239&gt;170,$X239&lt;=190),0.7,AND($X239&gt;=100,$X239&lt;120),0.4,AND($X239&gt;190,$X239&lt;=210),0.4,TRUE,0.2))))),1),""))</f>
        <v/>
      </c>
      <c r="Z239">
        <f>IF($A239="","",TEXTJOIN(", ",TRUE,IF($B239="","Тренировка",""),IF($C239="","Кардио",""),IF($D239="","Шаги",""),IF($E239="","Английский",""),IF($F239="","Код-режим",""),IF($G239="","Код-тема",""),IF($H239="","Чтение",""),IF($L239="","Сон",""),IF($M239="","Режим",""),IF($N239="","Продуктивность",""),IF($O239="","Настроение",""),IF($P239="","Энергия",""),IF($U239="","Еда","")))</f>
        <v/>
      </c>
    </row>
    <row r="240">
      <c r="A240" t="inlineStr"/>
      <c r="U240">
        <f>IF($A240="","",IF(SUMIF(FoodLog!$A:$A,$A240,FoodLog!$I:$I)=0,"",SUMIF(FoodLog!$A:$A,$A240,FoodLog!$I:$I)))</f>
        <v/>
      </c>
      <c r="V240">
        <f>IF($A240="","",IF(SUMIF(FoodLog!$A:$A,$A240,FoodLog!$F:$F)=0,"",SUMIF(FoodLog!$A:$A,$A240,FoodLog!$F:$F)))</f>
        <v/>
      </c>
      <c r="W240">
        <f>IF($A240="","",IF(SUMIF(FoodLog!$A:$A,$A240,FoodLog!$G:$G)=0,"",SUMIF(FoodLog!$A:$A,$A240,FoodLog!$G:$G)))</f>
        <v/>
      </c>
      <c r="X240">
        <f>IF($A240="","",IF(SUMIF(FoodLog!$A:$A,$A240,FoodLog!$H:$H)=0,"",SUMIF(FoodLog!$A:$A,$A240,FoodLog!$H:$H)))</f>
        <v/>
      </c>
      <c r="Y240">
        <f>IF($A240="","",IFERROR(ROUND(100*AVERAGE(IF($B240="","",XLOOKUP($B240,FILTER(Dictionaries!$B:$B,Dictionaries!$A:$A="Тренировка"),FILTER(Dictionaries!$C:$C,Dictionaries!$A:$A="Тренировка"))),IF($C240="","",MIN($C240/40,1)),IF($D240="","",XLOOKUP($D240,FILTER(Dictionaries!$B:$B,Dictionaries!$A:$A="Шаги"),FILTER(Dictionaries!$C:$C,Dictionaries!$A:$A="Шаги"))),IF($E240="","",MIN($E240/120,1)),IF(OR($F240&lt;&gt;"",$G240&lt;&gt;""),1,""),IF($H240="","",MIN($H240/100,1)),IF($L240="","",XLOOKUP($L240,FILTER(Dictionaries!$B:$B,Dictionaries!$A:$A="Сон_часы"),FILTER(Dictionaries!$C:$C,Dictionaries!$A:$A="Сон_часы"))),IF($M240="","",XLOOKUP($M240,FILTER(Dictionaries!$B:$B,Dictionaries!$A:$A="Режим"),FILTER(Dictionaries!$C:$C,Dictionaries!$A:$A="Режим"))),IF($N240="","",MIN($N240/100,1)),IF($O240="","",XLOOKUP($O240,FILTER(Dictionaries!$B:$B,Dictionaries!$A:$A="Настроение"),FILTER(Dictionaries!$C:$C,Dictionaries!$A:$A="Настроение"))),IF($P240="","",XLOOKUP($P240,FILTER(Dictionaries!$B:$B,Dictionaries!$A:$A="Энергия"),FILTER(Dictionaries!$C:$C,Dictionaries!$A:$A="Энергия"))),IF($U240="","",AVERAGE(IF(OR($B240="Ноги",$B240="Верх"),IFS(AND($U240&gt;=1900,$U240&lt;=2050),1,AND($U240&gt;=1850,$U240&lt;1900),0.7,AND($U240&gt;2050,$U240&lt;=2100),0.7,TRUE,0.2),IFS(AND($U240&gt;=1700,$U240&lt;=1850),1,AND($U240&gt;=1650,$U240&lt;1700),0.7,AND($U240&gt;1850,$U240&lt;=1900),0.7,TRUE,0.2)),IF(OR($B240="Ноги",$B240="Верх"),IFS(AND($V240&gt;=125,$V240&lt;=135),1,AND($V240&gt;=115,$V240&lt;125),0.7,AND($V240&gt;135,$V240&lt;=145),0.7,AND($V240&gt;=105,$V240&lt;115),0.4,AND($V240&gt;145,$V240&lt;=155),0.4,TRUE,0.2),IFS(AND($V240&gt;=120,$V240&lt;=130),1,AND($V240&gt;=110,$V240&lt;120),0.7,AND($V240&gt;130,$V240&lt;=140),0.7,AND($V240&gt;=100,$V240&lt;110),0.4,AND($V240&gt;140,$V240&lt;=150),0.4,TRUE,0.2)),IFS(AND($W240&gt;=55,$W240&lt;=65),1,AND($W240&gt;=50,$W240&lt;55),0.7,AND($W240&gt;65,$W240&lt;=70),0.7,AND($W240&gt;=45,$W240&lt;50),0.4,AND($W240&gt;70,$W240&lt;=75),0.4,TRUE,0.2),IF(OR($B240="Ноги",$B240="Верх"),IFS(AND($X240&gt;=180,$X240&lt;=210),1,AND($X240&gt;=160,$X240&lt;180),0.7,AND($X240&gt;210,$X240&lt;=230),0.7,AND($X240&gt;=140,$X240&lt;160),0.4,AND($X240&gt;230,$X240&lt;=250),0.4,TRUE,0.2),IFS(AND($X240&gt;=140,$X240&lt;=170),1,AND($X240&gt;=120,$X240&lt;140),0.7,AND($X240&gt;170,$X240&lt;=190),0.7,AND($X240&gt;=100,$X240&lt;120),0.4,AND($X240&gt;190,$X240&lt;=210),0.4,TRUE,0.2))))),1),""))</f>
        <v/>
      </c>
      <c r="Z240">
        <f>IF($A240="","",TEXTJOIN(", ",TRUE,IF($B240="","Тренировка",""),IF($C240="","Кардио",""),IF($D240="","Шаги",""),IF($E240="","Английский",""),IF($F240="","Код-режим",""),IF($G240="","Код-тема",""),IF($H240="","Чтение",""),IF($L240="","Сон",""),IF($M240="","Режим",""),IF($N240="","Продуктивность",""),IF($O240="","Настроение",""),IF($P240="","Энергия",""),IF($U240="","Еда","")))</f>
        <v/>
      </c>
    </row>
    <row r="241">
      <c r="A241" t="inlineStr"/>
      <c r="U241">
        <f>IF($A241="","",IF(SUMIF(FoodLog!$A:$A,$A241,FoodLog!$I:$I)=0,"",SUMIF(FoodLog!$A:$A,$A241,FoodLog!$I:$I)))</f>
        <v/>
      </c>
      <c r="V241">
        <f>IF($A241="","",IF(SUMIF(FoodLog!$A:$A,$A241,FoodLog!$F:$F)=0,"",SUMIF(FoodLog!$A:$A,$A241,FoodLog!$F:$F)))</f>
        <v/>
      </c>
      <c r="W241">
        <f>IF($A241="","",IF(SUMIF(FoodLog!$A:$A,$A241,FoodLog!$G:$G)=0,"",SUMIF(FoodLog!$A:$A,$A241,FoodLog!$G:$G)))</f>
        <v/>
      </c>
      <c r="X241">
        <f>IF($A241="","",IF(SUMIF(FoodLog!$A:$A,$A241,FoodLog!$H:$H)=0,"",SUMIF(FoodLog!$A:$A,$A241,FoodLog!$H:$H)))</f>
        <v/>
      </c>
      <c r="Y241">
        <f>IF($A241="","",IFERROR(ROUND(100*AVERAGE(IF($B241="","",XLOOKUP($B241,FILTER(Dictionaries!$B:$B,Dictionaries!$A:$A="Тренировка"),FILTER(Dictionaries!$C:$C,Dictionaries!$A:$A="Тренировка"))),IF($C241="","",MIN($C241/40,1)),IF($D241="","",XLOOKUP($D241,FILTER(Dictionaries!$B:$B,Dictionaries!$A:$A="Шаги"),FILTER(Dictionaries!$C:$C,Dictionaries!$A:$A="Шаги"))),IF($E241="","",MIN($E241/120,1)),IF(OR($F241&lt;&gt;"",$G241&lt;&gt;""),1,""),IF($H241="","",MIN($H241/100,1)),IF($L241="","",XLOOKUP($L241,FILTER(Dictionaries!$B:$B,Dictionaries!$A:$A="Сон_часы"),FILTER(Dictionaries!$C:$C,Dictionaries!$A:$A="Сон_часы"))),IF($M241="","",XLOOKUP($M241,FILTER(Dictionaries!$B:$B,Dictionaries!$A:$A="Режим"),FILTER(Dictionaries!$C:$C,Dictionaries!$A:$A="Режим"))),IF($N241="","",MIN($N241/100,1)),IF($O241="","",XLOOKUP($O241,FILTER(Dictionaries!$B:$B,Dictionaries!$A:$A="Настроение"),FILTER(Dictionaries!$C:$C,Dictionaries!$A:$A="Настроение"))),IF($P241="","",XLOOKUP($P241,FILTER(Dictionaries!$B:$B,Dictionaries!$A:$A="Энергия"),FILTER(Dictionaries!$C:$C,Dictionaries!$A:$A="Энергия"))),IF($U241="","",AVERAGE(IF(OR($B241="Ноги",$B241="Верх"),IFS(AND($U241&gt;=1900,$U241&lt;=2050),1,AND($U241&gt;=1850,$U241&lt;1900),0.7,AND($U241&gt;2050,$U241&lt;=2100),0.7,TRUE,0.2),IFS(AND($U241&gt;=1700,$U241&lt;=1850),1,AND($U241&gt;=1650,$U241&lt;1700),0.7,AND($U241&gt;1850,$U241&lt;=1900),0.7,TRUE,0.2)),IF(OR($B241="Ноги",$B241="Верх"),IFS(AND($V241&gt;=125,$V241&lt;=135),1,AND($V241&gt;=115,$V241&lt;125),0.7,AND($V241&gt;135,$V241&lt;=145),0.7,AND($V241&gt;=105,$V241&lt;115),0.4,AND($V241&gt;145,$V241&lt;=155),0.4,TRUE,0.2),IFS(AND($V241&gt;=120,$V241&lt;=130),1,AND($V241&gt;=110,$V241&lt;120),0.7,AND($V241&gt;130,$V241&lt;=140),0.7,AND($V241&gt;=100,$V241&lt;110),0.4,AND($V241&gt;140,$V241&lt;=150),0.4,TRUE,0.2)),IFS(AND($W241&gt;=55,$W241&lt;=65),1,AND($W241&gt;=50,$W241&lt;55),0.7,AND($W241&gt;65,$W241&lt;=70),0.7,AND($W241&gt;=45,$W241&lt;50),0.4,AND($W241&gt;70,$W241&lt;=75),0.4,TRUE,0.2),IF(OR($B241="Ноги",$B241="Верх"),IFS(AND($X241&gt;=180,$X241&lt;=210),1,AND($X241&gt;=160,$X241&lt;180),0.7,AND($X241&gt;210,$X241&lt;=230),0.7,AND($X241&gt;=140,$X241&lt;160),0.4,AND($X241&gt;230,$X241&lt;=250),0.4,TRUE,0.2),IFS(AND($X241&gt;=140,$X241&lt;=170),1,AND($X241&gt;=120,$X241&lt;140),0.7,AND($X241&gt;170,$X241&lt;=190),0.7,AND($X241&gt;=100,$X241&lt;120),0.4,AND($X241&gt;190,$X241&lt;=210),0.4,TRUE,0.2))))),1),""))</f>
        <v/>
      </c>
      <c r="Z241">
        <f>IF($A241="","",TEXTJOIN(", ",TRUE,IF($B241="","Тренировка",""),IF($C241="","Кардио",""),IF($D241="","Шаги",""),IF($E241="","Английский",""),IF($F241="","Код-режим",""),IF($G241="","Код-тема",""),IF($H241="","Чтение",""),IF($L241="","Сон",""),IF($M241="","Режим",""),IF($N241="","Продуктивность",""),IF($O241="","Настроение",""),IF($P241="","Энергия",""),IF($U241="","Еда","")))</f>
        <v/>
      </c>
    </row>
    <row r="242">
      <c r="A242" t="inlineStr"/>
      <c r="U242">
        <f>IF($A242="","",IF(SUMIF(FoodLog!$A:$A,$A242,FoodLog!$I:$I)=0,"",SUMIF(FoodLog!$A:$A,$A242,FoodLog!$I:$I)))</f>
        <v/>
      </c>
      <c r="V242">
        <f>IF($A242="","",IF(SUMIF(FoodLog!$A:$A,$A242,FoodLog!$F:$F)=0,"",SUMIF(FoodLog!$A:$A,$A242,FoodLog!$F:$F)))</f>
        <v/>
      </c>
      <c r="W242">
        <f>IF($A242="","",IF(SUMIF(FoodLog!$A:$A,$A242,FoodLog!$G:$G)=0,"",SUMIF(FoodLog!$A:$A,$A242,FoodLog!$G:$G)))</f>
        <v/>
      </c>
      <c r="X242">
        <f>IF($A242="","",IF(SUMIF(FoodLog!$A:$A,$A242,FoodLog!$H:$H)=0,"",SUMIF(FoodLog!$A:$A,$A242,FoodLog!$H:$H)))</f>
        <v/>
      </c>
      <c r="Y242">
        <f>IF($A242="","",IFERROR(ROUND(100*AVERAGE(IF($B242="","",XLOOKUP($B242,FILTER(Dictionaries!$B:$B,Dictionaries!$A:$A="Тренировка"),FILTER(Dictionaries!$C:$C,Dictionaries!$A:$A="Тренировка"))),IF($C242="","",MIN($C242/40,1)),IF($D242="","",XLOOKUP($D242,FILTER(Dictionaries!$B:$B,Dictionaries!$A:$A="Шаги"),FILTER(Dictionaries!$C:$C,Dictionaries!$A:$A="Шаги"))),IF($E242="","",MIN($E242/120,1)),IF(OR($F242&lt;&gt;"",$G242&lt;&gt;""),1,""),IF($H242="","",MIN($H242/100,1)),IF($L242="","",XLOOKUP($L242,FILTER(Dictionaries!$B:$B,Dictionaries!$A:$A="Сон_часы"),FILTER(Dictionaries!$C:$C,Dictionaries!$A:$A="Сон_часы"))),IF($M242="","",XLOOKUP($M242,FILTER(Dictionaries!$B:$B,Dictionaries!$A:$A="Режим"),FILTER(Dictionaries!$C:$C,Dictionaries!$A:$A="Режим"))),IF($N242="","",MIN($N242/100,1)),IF($O242="","",XLOOKUP($O242,FILTER(Dictionaries!$B:$B,Dictionaries!$A:$A="Настроение"),FILTER(Dictionaries!$C:$C,Dictionaries!$A:$A="Настроение"))),IF($P242="","",XLOOKUP($P242,FILTER(Dictionaries!$B:$B,Dictionaries!$A:$A="Энергия"),FILTER(Dictionaries!$C:$C,Dictionaries!$A:$A="Энергия"))),IF($U242="","",AVERAGE(IF(OR($B242="Ноги",$B242="Верх"),IFS(AND($U242&gt;=1900,$U242&lt;=2050),1,AND($U242&gt;=1850,$U242&lt;1900),0.7,AND($U242&gt;2050,$U242&lt;=2100),0.7,TRUE,0.2),IFS(AND($U242&gt;=1700,$U242&lt;=1850),1,AND($U242&gt;=1650,$U242&lt;1700),0.7,AND($U242&gt;1850,$U242&lt;=1900),0.7,TRUE,0.2)),IF(OR($B242="Ноги",$B242="Верх"),IFS(AND($V242&gt;=125,$V242&lt;=135),1,AND($V242&gt;=115,$V242&lt;125),0.7,AND($V242&gt;135,$V242&lt;=145),0.7,AND($V242&gt;=105,$V242&lt;115),0.4,AND($V242&gt;145,$V242&lt;=155),0.4,TRUE,0.2),IFS(AND($V242&gt;=120,$V242&lt;=130),1,AND($V242&gt;=110,$V242&lt;120),0.7,AND($V242&gt;130,$V242&lt;=140),0.7,AND($V242&gt;=100,$V242&lt;110),0.4,AND($V242&gt;140,$V242&lt;=150),0.4,TRUE,0.2)),IFS(AND($W242&gt;=55,$W242&lt;=65),1,AND($W242&gt;=50,$W242&lt;55),0.7,AND($W242&gt;65,$W242&lt;=70),0.7,AND($W242&gt;=45,$W242&lt;50),0.4,AND($W242&gt;70,$W242&lt;=75),0.4,TRUE,0.2),IF(OR($B242="Ноги",$B242="Верх"),IFS(AND($X242&gt;=180,$X242&lt;=210),1,AND($X242&gt;=160,$X242&lt;180),0.7,AND($X242&gt;210,$X242&lt;=230),0.7,AND($X242&gt;=140,$X242&lt;160),0.4,AND($X242&gt;230,$X242&lt;=250),0.4,TRUE,0.2),IFS(AND($X242&gt;=140,$X242&lt;=170),1,AND($X242&gt;=120,$X242&lt;140),0.7,AND($X242&gt;170,$X242&lt;=190),0.7,AND($X242&gt;=100,$X242&lt;120),0.4,AND($X242&gt;190,$X242&lt;=210),0.4,TRUE,0.2))))),1),""))</f>
        <v/>
      </c>
      <c r="Z242">
        <f>IF($A242="","",TEXTJOIN(", ",TRUE,IF($B242="","Тренировка",""),IF($C242="","Кардио",""),IF($D242="","Шаги",""),IF($E242="","Английский",""),IF($F242="","Код-режим",""),IF($G242="","Код-тема",""),IF($H242="","Чтение",""),IF($L242="","Сон",""),IF($M242="","Режим",""),IF($N242="","Продуктивность",""),IF($O242="","Настроение",""),IF($P242="","Энергия",""),IF($U242="","Еда","")))</f>
        <v/>
      </c>
    </row>
    <row r="243">
      <c r="A243" t="inlineStr"/>
      <c r="U243">
        <f>IF($A243="","",IF(SUMIF(FoodLog!$A:$A,$A243,FoodLog!$I:$I)=0,"",SUMIF(FoodLog!$A:$A,$A243,FoodLog!$I:$I)))</f>
        <v/>
      </c>
      <c r="V243">
        <f>IF($A243="","",IF(SUMIF(FoodLog!$A:$A,$A243,FoodLog!$F:$F)=0,"",SUMIF(FoodLog!$A:$A,$A243,FoodLog!$F:$F)))</f>
        <v/>
      </c>
      <c r="W243">
        <f>IF($A243="","",IF(SUMIF(FoodLog!$A:$A,$A243,FoodLog!$G:$G)=0,"",SUMIF(FoodLog!$A:$A,$A243,FoodLog!$G:$G)))</f>
        <v/>
      </c>
      <c r="X243">
        <f>IF($A243="","",IF(SUMIF(FoodLog!$A:$A,$A243,FoodLog!$H:$H)=0,"",SUMIF(FoodLog!$A:$A,$A243,FoodLog!$H:$H)))</f>
        <v/>
      </c>
      <c r="Y243">
        <f>IF($A243="","",IFERROR(ROUND(100*AVERAGE(IF($B243="","",XLOOKUP($B243,FILTER(Dictionaries!$B:$B,Dictionaries!$A:$A="Тренировка"),FILTER(Dictionaries!$C:$C,Dictionaries!$A:$A="Тренировка"))),IF($C243="","",MIN($C243/40,1)),IF($D243="","",XLOOKUP($D243,FILTER(Dictionaries!$B:$B,Dictionaries!$A:$A="Шаги"),FILTER(Dictionaries!$C:$C,Dictionaries!$A:$A="Шаги"))),IF($E243="","",MIN($E243/120,1)),IF(OR($F243&lt;&gt;"",$G243&lt;&gt;""),1,""),IF($H243="","",MIN($H243/100,1)),IF($L243="","",XLOOKUP($L243,FILTER(Dictionaries!$B:$B,Dictionaries!$A:$A="Сон_часы"),FILTER(Dictionaries!$C:$C,Dictionaries!$A:$A="Сон_часы"))),IF($M243="","",XLOOKUP($M243,FILTER(Dictionaries!$B:$B,Dictionaries!$A:$A="Режим"),FILTER(Dictionaries!$C:$C,Dictionaries!$A:$A="Режим"))),IF($N243="","",MIN($N243/100,1)),IF($O243="","",XLOOKUP($O243,FILTER(Dictionaries!$B:$B,Dictionaries!$A:$A="Настроение"),FILTER(Dictionaries!$C:$C,Dictionaries!$A:$A="Настроение"))),IF($P243="","",XLOOKUP($P243,FILTER(Dictionaries!$B:$B,Dictionaries!$A:$A="Энергия"),FILTER(Dictionaries!$C:$C,Dictionaries!$A:$A="Энергия"))),IF($U243="","",AVERAGE(IF(OR($B243="Ноги",$B243="Верх"),IFS(AND($U243&gt;=1900,$U243&lt;=2050),1,AND($U243&gt;=1850,$U243&lt;1900),0.7,AND($U243&gt;2050,$U243&lt;=2100),0.7,TRUE,0.2),IFS(AND($U243&gt;=1700,$U243&lt;=1850),1,AND($U243&gt;=1650,$U243&lt;1700),0.7,AND($U243&gt;1850,$U243&lt;=1900),0.7,TRUE,0.2)),IF(OR($B243="Ноги",$B243="Верх"),IFS(AND($V243&gt;=125,$V243&lt;=135),1,AND($V243&gt;=115,$V243&lt;125),0.7,AND($V243&gt;135,$V243&lt;=145),0.7,AND($V243&gt;=105,$V243&lt;115),0.4,AND($V243&gt;145,$V243&lt;=155),0.4,TRUE,0.2),IFS(AND($V243&gt;=120,$V243&lt;=130),1,AND($V243&gt;=110,$V243&lt;120),0.7,AND($V243&gt;130,$V243&lt;=140),0.7,AND($V243&gt;=100,$V243&lt;110),0.4,AND($V243&gt;140,$V243&lt;=150),0.4,TRUE,0.2)),IFS(AND($W243&gt;=55,$W243&lt;=65),1,AND($W243&gt;=50,$W243&lt;55),0.7,AND($W243&gt;65,$W243&lt;=70),0.7,AND($W243&gt;=45,$W243&lt;50),0.4,AND($W243&gt;70,$W243&lt;=75),0.4,TRUE,0.2),IF(OR($B243="Ноги",$B243="Верх"),IFS(AND($X243&gt;=180,$X243&lt;=210),1,AND($X243&gt;=160,$X243&lt;180),0.7,AND($X243&gt;210,$X243&lt;=230),0.7,AND($X243&gt;=140,$X243&lt;160),0.4,AND($X243&gt;230,$X243&lt;=250),0.4,TRUE,0.2),IFS(AND($X243&gt;=140,$X243&lt;=170),1,AND($X243&gt;=120,$X243&lt;140),0.7,AND($X243&gt;170,$X243&lt;=190),0.7,AND($X243&gt;=100,$X243&lt;120),0.4,AND($X243&gt;190,$X243&lt;=210),0.4,TRUE,0.2))))),1),""))</f>
        <v/>
      </c>
      <c r="Z243">
        <f>IF($A243="","",TEXTJOIN(", ",TRUE,IF($B243="","Тренировка",""),IF($C243="","Кардио",""),IF($D243="","Шаги",""),IF($E243="","Английский",""),IF($F243="","Код-режим",""),IF($G243="","Код-тема",""),IF($H243="","Чтение",""),IF($L243="","Сон",""),IF($M243="","Режим",""),IF($N243="","Продуктивность",""),IF($O243="","Настроение",""),IF($P243="","Энергия",""),IF($U243="","Еда","")))</f>
        <v/>
      </c>
    </row>
    <row r="244">
      <c r="A244" t="inlineStr"/>
      <c r="U244">
        <f>IF($A244="","",IF(SUMIF(FoodLog!$A:$A,$A244,FoodLog!$I:$I)=0,"",SUMIF(FoodLog!$A:$A,$A244,FoodLog!$I:$I)))</f>
        <v/>
      </c>
      <c r="V244">
        <f>IF($A244="","",IF(SUMIF(FoodLog!$A:$A,$A244,FoodLog!$F:$F)=0,"",SUMIF(FoodLog!$A:$A,$A244,FoodLog!$F:$F)))</f>
        <v/>
      </c>
      <c r="W244">
        <f>IF($A244="","",IF(SUMIF(FoodLog!$A:$A,$A244,FoodLog!$G:$G)=0,"",SUMIF(FoodLog!$A:$A,$A244,FoodLog!$G:$G)))</f>
        <v/>
      </c>
      <c r="X244">
        <f>IF($A244="","",IF(SUMIF(FoodLog!$A:$A,$A244,FoodLog!$H:$H)=0,"",SUMIF(FoodLog!$A:$A,$A244,FoodLog!$H:$H)))</f>
        <v/>
      </c>
      <c r="Y244">
        <f>IF($A244="","",IFERROR(ROUND(100*AVERAGE(IF($B244="","",XLOOKUP($B244,FILTER(Dictionaries!$B:$B,Dictionaries!$A:$A="Тренировка"),FILTER(Dictionaries!$C:$C,Dictionaries!$A:$A="Тренировка"))),IF($C244="","",MIN($C244/40,1)),IF($D244="","",XLOOKUP($D244,FILTER(Dictionaries!$B:$B,Dictionaries!$A:$A="Шаги"),FILTER(Dictionaries!$C:$C,Dictionaries!$A:$A="Шаги"))),IF($E244="","",MIN($E244/120,1)),IF(OR($F244&lt;&gt;"",$G244&lt;&gt;""),1,""),IF($H244="","",MIN($H244/100,1)),IF($L244="","",XLOOKUP($L244,FILTER(Dictionaries!$B:$B,Dictionaries!$A:$A="Сон_часы"),FILTER(Dictionaries!$C:$C,Dictionaries!$A:$A="Сон_часы"))),IF($M244="","",XLOOKUP($M244,FILTER(Dictionaries!$B:$B,Dictionaries!$A:$A="Режим"),FILTER(Dictionaries!$C:$C,Dictionaries!$A:$A="Режим"))),IF($N244="","",MIN($N244/100,1)),IF($O244="","",XLOOKUP($O244,FILTER(Dictionaries!$B:$B,Dictionaries!$A:$A="Настроение"),FILTER(Dictionaries!$C:$C,Dictionaries!$A:$A="Настроение"))),IF($P244="","",XLOOKUP($P244,FILTER(Dictionaries!$B:$B,Dictionaries!$A:$A="Энергия"),FILTER(Dictionaries!$C:$C,Dictionaries!$A:$A="Энергия"))),IF($U244="","",AVERAGE(IF(OR($B244="Ноги",$B244="Верх"),IFS(AND($U244&gt;=1900,$U244&lt;=2050),1,AND($U244&gt;=1850,$U244&lt;1900),0.7,AND($U244&gt;2050,$U244&lt;=2100),0.7,TRUE,0.2),IFS(AND($U244&gt;=1700,$U244&lt;=1850),1,AND($U244&gt;=1650,$U244&lt;1700),0.7,AND($U244&gt;1850,$U244&lt;=1900),0.7,TRUE,0.2)),IF(OR($B244="Ноги",$B244="Верх"),IFS(AND($V244&gt;=125,$V244&lt;=135),1,AND($V244&gt;=115,$V244&lt;125),0.7,AND($V244&gt;135,$V244&lt;=145),0.7,AND($V244&gt;=105,$V244&lt;115),0.4,AND($V244&gt;145,$V244&lt;=155),0.4,TRUE,0.2),IFS(AND($V244&gt;=120,$V244&lt;=130),1,AND($V244&gt;=110,$V244&lt;120),0.7,AND($V244&gt;130,$V244&lt;=140),0.7,AND($V244&gt;=100,$V244&lt;110),0.4,AND($V244&gt;140,$V244&lt;=150),0.4,TRUE,0.2)),IFS(AND($W244&gt;=55,$W244&lt;=65),1,AND($W244&gt;=50,$W244&lt;55),0.7,AND($W244&gt;65,$W244&lt;=70),0.7,AND($W244&gt;=45,$W244&lt;50),0.4,AND($W244&gt;70,$W244&lt;=75),0.4,TRUE,0.2),IF(OR($B244="Ноги",$B244="Верх"),IFS(AND($X244&gt;=180,$X244&lt;=210),1,AND($X244&gt;=160,$X244&lt;180),0.7,AND($X244&gt;210,$X244&lt;=230),0.7,AND($X244&gt;=140,$X244&lt;160),0.4,AND($X244&gt;230,$X244&lt;=250),0.4,TRUE,0.2),IFS(AND($X244&gt;=140,$X244&lt;=170),1,AND($X244&gt;=120,$X244&lt;140),0.7,AND($X244&gt;170,$X244&lt;=190),0.7,AND($X244&gt;=100,$X244&lt;120),0.4,AND($X244&gt;190,$X244&lt;=210),0.4,TRUE,0.2))))),1),""))</f>
        <v/>
      </c>
      <c r="Z244">
        <f>IF($A244="","",TEXTJOIN(", ",TRUE,IF($B244="","Тренировка",""),IF($C244="","Кардио",""),IF($D244="","Шаги",""),IF($E244="","Английский",""),IF($F244="","Код-режим",""),IF($G244="","Код-тема",""),IF($H244="","Чтение",""),IF($L244="","Сон",""),IF($M244="","Режим",""),IF($N244="","Продуктивность",""),IF($O244="","Настроение",""),IF($P244="","Энергия",""),IF($U244="","Еда","")))</f>
        <v/>
      </c>
    </row>
    <row r="245">
      <c r="A245" t="inlineStr"/>
      <c r="U245">
        <f>IF($A245="","",IF(SUMIF(FoodLog!$A:$A,$A245,FoodLog!$I:$I)=0,"",SUMIF(FoodLog!$A:$A,$A245,FoodLog!$I:$I)))</f>
        <v/>
      </c>
      <c r="V245">
        <f>IF($A245="","",IF(SUMIF(FoodLog!$A:$A,$A245,FoodLog!$F:$F)=0,"",SUMIF(FoodLog!$A:$A,$A245,FoodLog!$F:$F)))</f>
        <v/>
      </c>
      <c r="W245">
        <f>IF($A245="","",IF(SUMIF(FoodLog!$A:$A,$A245,FoodLog!$G:$G)=0,"",SUMIF(FoodLog!$A:$A,$A245,FoodLog!$G:$G)))</f>
        <v/>
      </c>
      <c r="X245">
        <f>IF($A245="","",IF(SUMIF(FoodLog!$A:$A,$A245,FoodLog!$H:$H)=0,"",SUMIF(FoodLog!$A:$A,$A245,FoodLog!$H:$H)))</f>
        <v/>
      </c>
      <c r="Y245">
        <f>IF($A245="","",IFERROR(ROUND(100*AVERAGE(IF($B245="","",XLOOKUP($B245,FILTER(Dictionaries!$B:$B,Dictionaries!$A:$A="Тренировка"),FILTER(Dictionaries!$C:$C,Dictionaries!$A:$A="Тренировка"))),IF($C245="","",MIN($C245/40,1)),IF($D245="","",XLOOKUP($D245,FILTER(Dictionaries!$B:$B,Dictionaries!$A:$A="Шаги"),FILTER(Dictionaries!$C:$C,Dictionaries!$A:$A="Шаги"))),IF($E245="","",MIN($E245/120,1)),IF(OR($F245&lt;&gt;"",$G245&lt;&gt;""),1,""),IF($H245="","",MIN($H245/100,1)),IF($L245="","",XLOOKUP($L245,FILTER(Dictionaries!$B:$B,Dictionaries!$A:$A="Сон_часы"),FILTER(Dictionaries!$C:$C,Dictionaries!$A:$A="Сон_часы"))),IF($M245="","",XLOOKUP($M245,FILTER(Dictionaries!$B:$B,Dictionaries!$A:$A="Режим"),FILTER(Dictionaries!$C:$C,Dictionaries!$A:$A="Режим"))),IF($N245="","",MIN($N245/100,1)),IF($O245="","",XLOOKUP($O245,FILTER(Dictionaries!$B:$B,Dictionaries!$A:$A="Настроение"),FILTER(Dictionaries!$C:$C,Dictionaries!$A:$A="Настроение"))),IF($P245="","",XLOOKUP($P245,FILTER(Dictionaries!$B:$B,Dictionaries!$A:$A="Энергия"),FILTER(Dictionaries!$C:$C,Dictionaries!$A:$A="Энергия"))),IF($U245="","",AVERAGE(IF(OR($B245="Ноги",$B245="Верх"),IFS(AND($U245&gt;=1900,$U245&lt;=2050),1,AND($U245&gt;=1850,$U245&lt;1900),0.7,AND($U245&gt;2050,$U245&lt;=2100),0.7,TRUE,0.2),IFS(AND($U245&gt;=1700,$U245&lt;=1850),1,AND($U245&gt;=1650,$U245&lt;1700),0.7,AND($U245&gt;1850,$U245&lt;=1900),0.7,TRUE,0.2)),IF(OR($B245="Ноги",$B245="Верх"),IFS(AND($V245&gt;=125,$V245&lt;=135),1,AND($V245&gt;=115,$V245&lt;125),0.7,AND($V245&gt;135,$V245&lt;=145),0.7,AND($V245&gt;=105,$V245&lt;115),0.4,AND($V245&gt;145,$V245&lt;=155),0.4,TRUE,0.2),IFS(AND($V245&gt;=120,$V245&lt;=130),1,AND($V245&gt;=110,$V245&lt;120),0.7,AND($V245&gt;130,$V245&lt;=140),0.7,AND($V245&gt;=100,$V245&lt;110),0.4,AND($V245&gt;140,$V245&lt;=150),0.4,TRUE,0.2)),IFS(AND($W245&gt;=55,$W245&lt;=65),1,AND($W245&gt;=50,$W245&lt;55),0.7,AND($W245&gt;65,$W245&lt;=70),0.7,AND($W245&gt;=45,$W245&lt;50),0.4,AND($W245&gt;70,$W245&lt;=75),0.4,TRUE,0.2),IF(OR($B245="Ноги",$B245="Верх"),IFS(AND($X245&gt;=180,$X245&lt;=210),1,AND($X245&gt;=160,$X245&lt;180),0.7,AND($X245&gt;210,$X245&lt;=230),0.7,AND($X245&gt;=140,$X245&lt;160),0.4,AND($X245&gt;230,$X245&lt;=250),0.4,TRUE,0.2),IFS(AND($X245&gt;=140,$X245&lt;=170),1,AND($X245&gt;=120,$X245&lt;140),0.7,AND($X245&gt;170,$X245&lt;=190),0.7,AND($X245&gt;=100,$X245&lt;120),0.4,AND($X245&gt;190,$X245&lt;=210),0.4,TRUE,0.2))))),1),""))</f>
        <v/>
      </c>
      <c r="Z245">
        <f>IF($A245="","",TEXTJOIN(", ",TRUE,IF($B245="","Тренировка",""),IF($C245="","Кардио",""),IF($D245="","Шаги",""),IF($E245="","Английский",""),IF($F245="","Код-режим",""),IF($G245="","Код-тема",""),IF($H245="","Чтение",""),IF($L245="","Сон",""),IF($M245="","Режим",""),IF($N245="","Продуктивность",""),IF($O245="","Настроение",""),IF($P245="","Энергия",""),IF($U245="","Еда","")))</f>
        <v/>
      </c>
    </row>
    <row r="246">
      <c r="A246" t="inlineStr"/>
      <c r="U246">
        <f>IF($A246="","",IF(SUMIF(FoodLog!$A:$A,$A246,FoodLog!$I:$I)=0,"",SUMIF(FoodLog!$A:$A,$A246,FoodLog!$I:$I)))</f>
        <v/>
      </c>
      <c r="V246">
        <f>IF($A246="","",IF(SUMIF(FoodLog!$A:$A,$A246,FoodLog!$F:$F)=0,"",SUMIF(FoodLog!$A:$A,$A246,FoodLog!$F:$F)))</f>
        <v/>
      </c>
      <c r="W246">
        <f>IF($A246="","",IF(SUMIF(FoodLog!$A:$A,$A246,FoodLog!$G:$G)=0,"",SUMIF(FoodLog!$A:$A,$A246,FoodLog!$G:$G)))</f>
        <v/>
      </c>
      <c r="X246">
        <f>IF($A246="","",IF(SUMIF(FoodLog!$A:$A,$A246,FoodLog!$H:$H)=0,"",SUMIF(FoodLog!$A:$A,$A246,FoodLog!$H:$H)))</f>
        <v/>
      </c>
      <c r="Y246">
        <f>IF($A246="","",IFERROR(ROUND(100*AVERAGE(IF($B246="","",XLOOKUP($B246,FILTER(Dictionaries!$B:$B,Dictionaries!$A:$A="Тренировка"),FILTER(Dictionaries!$C:$C,Dictionaries!$A:$A="Тренировка"))),IF($C246="","",MIN($C246/40,1)),IF($D246="","",XLOOKUP($D246,FILTER(Dictionaries!$B:$B,Dictionaries!$A:$A="Шаги"),FILTER(Dictionaries!$C:$C,Dictionaries!$A:$A="Шаги"))),IF($E246="","",MIN($E246/120,1)),IF(OR($F246&lt;&gt;"",$G246&lt;&gt;""),1,""),IF($H246="","",MIN($H246/100,1)),IF($L246="","",XLOOKUP($L246,FILTER(Dictionaries!$B:$B,Dictionaries!$A:$A="Сон_часы"),FILTER(Dictionaries!$C:$C,Dictionaries!$A:$A="Сон_часы"))),IF($M246="","",XLOOKUP($M246,FILTER(Dictionaries!$B:$B,Dictionaries!$A:$A="Режим"),FILTER(Dictionaries!$C:$C,Dictionaries!$A:$A="Режим"))),IF($N246="","",MIN($N246/100,1)),IF($O246="","",XLOOKUP($O246,FILTER(Dictionaries!$B:$B,Dictionaries!$A:$A="Настроение"),FILTER(Dictionaries!$C:$C,Dictionaries!$A:$A="Настроение"))),IF($P246="","",XLOOKUP($P246,FILTER(Dictionaries!$B:$B,Dictionaries!$A:$A="Энергия"),FILTER(Dictionaries!$C:$C,Dictionaries!$A:$A="Энергия"))),IF($U246="","",AVERAGE(IF(OR($B246="Ноги",$B246="Верх"),IFS(AND($U246&gt;=1900,$U246&lt;=2050),1,AND($U246&gt;=1850,$U246&lt;1900),0.7,AND($U246&gt;2050,$U246&lt;=2100),0.7,TRUE,0.2),IFS(AND($U246&gt;=1700,$U246&lt;=1850),1,AND($U246&gt;=1650,$U246&lt;1700),0.7,AND($U246&gt;1850,$U246&lt;=1900),0.7,TRUE,0.2)),IF(OR($B246="Ноги",$B246="Верх"),IFS(AND($V246&gt;=125,$V246&lt;=135),1,AND($V246&gt;=115,$V246&lt;125),0.7,AND($V246&gt;135,$V246&lt;=145),0.7,AND($V246&gt;=105,$V246&lt;115),0.4,AND($V246&gt;145,$V246&lt;=155),0.4,TRUE,0.2),IFS(AND($V246&gt;=120,$V246&lt;=130),1,AND($V246&gt;=110,$V246&lt;120),0.7,AND($V246&gt;130,$V246&lt;=140),0.7,AND($V246&gt;=100,$V246&lt;110),0.4,AND($V246&gt;140,$V246&lt;=150),0.4,TRUE,0.2)),IFS(AND($W246&gt;=55,$W246&lt;=65),1,AND($W246&gt;=50,$W246&lt;55),0.7,AND($W246&gt;65,$W246&lt;=70),0.7,AND($W246&gt;=45,$W246&lt;50),0.4,AND($W246&gt;70,$W246&lt;=75),0.4,TRUE,0.2),IF(OR($B246="Ноги",$B246="Верх"),IFS(AND($X246&gt;=180,$X246&lt;=210),1,AND($X246&gt;=160,$X246&lt;180),0.7,AND($X246&gt;210,$X246&lt;=230),0.7,AND($X246&gt;=140,$X246&lt;160),0.4,AND($X246&gt;230,$X246&lt;=250),0.4,TRUE,0.2),IFS(AND($X246&gt;=140,$X246&lt;=170),1,AND($X246&gt;=120,$X246&lt;140),0.7,AND($X246&gt;170,$X246&lt;=190),0.7,AND($X246&gt;=100,$X246&lt;120),0.4,AND($X246&gt;190,$X246&lt;=210),0.4,TRUE,0.2))))),1),""))</f>
        <v/>
      </c>
      <c r="Z246">
        <f>IF($A246="","",TEXTJOIN(", ",TRUE,IF($B246="","Тренировка",""),IF($C246="","Кардио",""),IF($D246="","Шаги",""),IF($E246="","Английский",""),IF($F246="","Код-режим",""),IF($G246="","Код-тема",""),IF($H246="","Чтение",""),IF($L246="","Сон",""),IF($M246="","Режим",""),IF($N246="","Продуктивность",""),IF($O246="","Настроение",""),IF($P246="","Энергия",""),IF($U246="","Еда","")))</f>
        <v/>
      </c>
    </row>
    <row r="247">
      <c r="A247" t="inlineStr"/>
      <c r="U247">
        <f>IF($A247="","",IF(SUMIF(FoodLog!$A:$A,$A247,FoodLog!$I:$I)=0,"",SUMIF(FoodLog!$A:$A,$A247,FoodLog!$I:$I)))</f>
        <v/>
      </c>
      <c r="V247">
        <f>IF($A247="","",IF(SUMIF(FoodLog!$A:$A,$A247,FoodLog!$F:$F)=0,"",SUMIF(FoodLog!$A:$A,$A247,FoodLog!$F:$F)))</f>
        <v/>
      </c>
      <c r="W247">
        <f>IF($A247="","",IF(SUMIF(FoodLog!$A:$A,$A247,FoodLog!$G:$G)=0,"",SUMIF(FoodLog!$A:$A,$A247,FoodLog!$G:$G)))</f>
        <v/>
      </c>
      <c r="X247">
        <f>IF($A247="","",IF(SUMIF(FoodLog!$A:$A,$A247,FoodLog!$H:$H)=0,"",SUMIF(FoodLog!$A:$A,$A247,FoodLog!$H:$H)))</f>
        <v/>
      </c>
      <c r="Y247">
        <f>IF($A247="","",IFERROR(ROUND(100*AVERAGE(IF($B247="","",XLOOKUP($B247,FILTER(Dictionaries!$B:$B,Dictionaries!$A:$A="Тренировка"),FILTER(Dictionaries!$C:$C,Dictionaries!$A:$A="Тренировка"))),IF($C247="","",MIN($C247/40,1)),IF($D247="","",XLOOKUP($D247,FILTER(Dictionaries!$B:$B,Dictionaries!$A:$A="Шаги"),FILTER(Dictionaries!$C:$C,Dictionaries!$A:$A="Шаги"))),IF($E247="","",MIN($E247/120,1)),IF(OR($F247&lt;&gt;"",$G247&lt;&gt;""),1,""),IF($H247="","",MIN($H247/100,1)),IF($L247="","",XLOOKUP($L247,FILTER(Dictionaries!$B:$B,Dictionaries!$A:$A="Сон_часы"),FILTER(Dictionaries!$C:$C,Dictionaries!$A:$A="Сон_часы"))),IF($M247="","",XLOOKUP($M247,FILTER(Dictionaries!$B:$B,Dictionaries!$A:$A="Режим"),FILTER(Dictionaries!$C:$C,Dictionaries!$A:$A="Режим"))),IF($N247="","",MIN($N247/100,1)),IF($O247="","",XLOOKUP($O247,FILTER(Dictionaries!$B:$B,Dictionaries!$A:$A="Настроение"),FILTER(Dictionaries!$C:$C,Dictionaries!$A:$A="Настроение"))),IF($P247="","",XLOOKUP($P247,FILTER(Dictionaries!$B:$B,Dictionaries!$A:$A="Энергия"),FILTER(Dictionaries!$C:$C,Dictionaries!$A:$A="Энергия"))),IF($U247="","",AVERAGE(IF(OR($B247="Ноги",$B247="Верх"),IFS(AND($U247&gt;=1900,$U247&lt;=2050),1,AND($U247&gt;=1850,$U247&lt;1900),0.7,AND($U247&gt;2050,$U247&lt;=2100),0.7,TRUE,0.2),IFS(AND($U247&gt;=1700,$U247&lt;=1850),1,AND($U247&gt;=1650,$U247&lt;1700),0.7,AND($U247&gt;1850,$U247&lt;=1900),0.7,TRUE,0.2)),IF(OR($B247="Ноги",$B247="Верх"),IFS(AND($V247&gt;=125,$V247&lt;=135),1,AND($V247&gt;=115,$V247&lt;125),0.7,AND($V247&gt;135,$V247&lt;=145),0.7,AND($V247&gt;=105,$V247&lt;115),0.4,AND($V247&gt;145,$V247&lt;=155),0.4,TRUE,0.2),IFS(AND($V247&gt;=120,$V247&lt;=130),1,AND($V247&gt;=110,$V247&lt;120),0.7,AND($V247&gt;130,$V247&lt;=140),0.7,AND($V247&gt;=100,$V247&lt;110),0.4,AND($V247&gt;140,$V247&lt;=150),0.4,TRUE,0.2)),IFS(AND($W247&gt;=55,$W247&lt;=65),1,AND($W247&gt;=50,$W247&lt;55),0.7,AND($W247&gt;65,$W247&lt;=70),0.7,AND($W247&gt;=45,$W247&lt;50),0.4,AND($W247&gt;70,$W247&lt;=75),0.4,TRUE,0.2),IF(OR($B247="Ноги",$B247="Верх"),IFS(AND($X247&gt;=180,$X247&lt;=210),1,AND($X247&gt;=160,$X247&lt;180),0.7,AND($X247&gt;210,$X247&lt;=230),0.7,AND($X247&gt;=140,$X247&lt;160),0.4,AND($X247&gt;230,$X247&lt;=250),0.4,TRUE,0.2),IFS(AND($X247&gt;=140,$X247&lt;=170),1,AND($X247&gt;=120,$X247&lt;140),0.7,AND($X247&gt;170,$X247&lt;=190),0.7,AND($X247&gt;=100,$X247&lt;120),0.4,AND($X247&gt;190,$X247&lt;=210),0.4,TRUE,0.2))))),1),""))</f>
        <v/>
      </c>
      <c r="Z247">
        <f>IF($A247="","",TEXTJOIN(", ",TRUE,IF($B247="","Тренировка",""),IF($C247="","Кардио",""),IF($D247="","Шаги",""),IF($E247="","Английский",""),IF($F247="","Код-режим",""),IF($G247="","Код-тема",""),IF($H247="","Чтение",""),IF($L247="","Сон",""),IF($M247="","Режим",""),IF($N247="","Продуктивность",""),IF($O247="","Настроение",""),IF($P247="","Энергия",""),IF($U247="","Еда","")))</f>
        <v/>
      </c>
    </row>
    <row r="248">
      <c r="A248" t="inlineStr"/>
      <c r="U248">
        <f>IF($A248="","",IF(SUMIF(FoodLog!$A:$A,$A248,FoodLog!$I:$I)=0,"",SUMIF(FoodLog!$A:$A,$A248,FoodLog!$I:$I)))</f>
        <v/>
      </c>
      <c r="V248">
        <f>IF($A248="","",IF(SUMIF(FoodLog!$A:$A,$A248,FoodLog!$F:$F)=0,"",SUMIF(FoodLog!$A:$A,$A248,FoodLog!$F:$F)))</f>
        <v/>
      </c>
      <c r="W248">
        <f>IF($A248="","",IF(SUMIF(FoodLog!$A:$A,$A248,FoodLog!$G:$G)=0,"",SUMIF(FoodLog!$A:$A,$A248,FoodLog!$G:$G)))</f>
        <v/>
      </c>
      <c r="X248">
        <f>IF($A248="","",IF(SUMIF(FoodLog!$A:$A,$A248,FoodLog!$H:$H)=0,"",SUMIF(FoodLog!$A:$A,$A248,FoodLog!$H:$H)))</f>
        <v/>
      </c>
      <c r="Y248">
        <f>IF($A248="","",IFERROR(ROUND(100*AVERAGE(IF($B248="","",XLOOKUP($B248,FILTER(Dictionaries!$B:$B,Dictionaries!$A:$A="Тренировка"),FILTER(Dictionaries!$C:$C,Dictionaries!$A:$A="Тренировка"))),IF($C248="","",MIN($C248/40,1)),IF($D248="","",XLOOKUP($D248,FILTER(Dictionaries!$B:$B,Dictionaries!$A:$A="Шаги"),FILTER(Dictionaries!$C:$C,Dictionaries!$A:$A="Шаги"))),IF($E248="","",MIN($E248/120,1)),IF(OR($F248&lt;&gt;"",$G248&lt;&gt;""),1,""),IF($H248="","",MIN($H248/100,1)),IF($L248="","",XLOOKUP($L248,FILTER(Dictionaries!$B:$B,Dictionaries!$A:$A="Сон_часы"),FILTER(Dictionaries!$C:$C,Dictionaries!$A:$A="Сон_часы"))),IF($M248="","",XLOOKUP($M248,FILTER(Dictionaries!$B:$B,Dictionaries!$A:$A="Режим"),FILTER(Dictionaries!$C:$C,Dictionaries!$A:$A="Режим"))),IF($N248="","",MIN($N248/100,1)),IF($O248="","",XLOOKUP($O248,FILTER(Dictionaries!$B:$B,Dictionaries!$A:$A="Настроение"),FILTER(Dictionaries!$C:$C,Dictionaries!$A:$A="Настроение"))),IF($P248="","",XLOOKUP($P248,FILTER(Dictionaries!$B:$B,Dictionaries!$A:$A="Энергия"),FILTER(Dictionaries!$C:$C,Dictionaries!$A:$A="Энергия"))),IF($U248="","",AVERAGE(IF(OR($B248="Ноги",$B248="Верх"),IFS(AND($U248&gt;=1900,$U248&lt;=2050),1,AND($U248&gt;=1850,$U248&lt;1900),0.7,AND($U248&gt;2050,$U248&lt;=2100),0.7,TRUE,0.2),IFS(AND($U248&gt;=1700,$U248&lt;=1850),1,AND($U248&gt;=1650,$U248&lt;1700),0.7,AND($U248&gt;1850,$U248&lt;=1900),0.7,TRUE,0.2)),IF(OR($B248="Ноги",$B248="Верх"),IFS(AND($V248&gt;=125,$V248&lt;=135),1,AND($V248&gt;=115,$V248&lt;125),0.7,AND($V248&gt;135,$V248&lt;=145),0.7,AND($V248&gt;=105,$V248&lt;115),0.4,AND($V248&gt;145,$V248&lt;=155),0.4,TRUE,0.2),IFS(AND($V248&gt;=120,$V248&lt;=130),1,AND($V248&gt;=110,$V248&lt;120),0.7,AND($V248&gt;130,$V248&lt;=140),0.7,AND($V248&gt;=100,$V248&lt;110),0.4,AND($V248&gt;140,$V248&lt;=150),0.4,TRUE,0.2)),IFS(AND($W248&gt;=55,$W248&lt;=65),1,AND($W248&gt;=50,$W248&lt;55),0.7,AND($W248&gt;65,$W248&lt;=70),0.7,AND($W248&gt;=45,$W248&lt;50),0.4,AND($W248&gt;70,$W248&lt;=75),0.4,TRUE,0.2),IF(OR($B248="Ноги",$B248="Верх"),IFS(AND($X248&gt;=180,$X248&lt;=210),1,AND($X248&gt;=160,$X248&lt;180),0.7,AND($X248&gt;210,$X248&lt;=230),0.7,AND($X248&gt;=140,$X248&lt;160),0.4,AND($X248&gt;230,$X248&lt;=250),0.4,TRUE,0.2),IFS(AND($X248&gt;=140,$X248&lt;=170),1,AND($X248&gt;=120,$X248&lt;140),0.7,AND($X248&gt;170,$X248&lt;=190),0.7,AND($X248&gt;=100,$X248&lt;120),0.4,AND($X248&gt;190,$X248&lt;=210),0.4,TRUE,0.2))))),1),""))</f>
        <v/>
      </c>
      <c r="Z248">
        <f>IF($A248="","",TEXTJOIN(", ",TRUE,IF($B248="","Тренировка",""),IF($C248="","Кардио",""),IF($D248="","Шаги",""),IF($E248="","Английский",""),IF($F248="","Код-режим",""),IF($G248="","Код-тема",""),IF($H248="","Чтение",""),IF($L248="","Сон",""),IF($M248="","Режим",""),IF($N248="","Продуктивность",""),IF($O248="","Настроение",""),IF($P248="","Энергия",""),IF($U248="","Еда","")))</f>
        <v/>
      </c>
    </row>
    <row r="249">
      <c r="A249" t="inlineStr"/>
      <c r="U249">
        <f>IF($A249="","",IF(SUMIF(FoodLog!$A:$A,$A249,FoodLog!$I:$I)=0,"",SUMIF(FoodLog!$A:$A,$A249,FoodLog!$I:$I)))</f>
        <v/>
      </c>
      <c r="V249">
        <f>IF($A249="","",IF(SUMIF(FoodLog!$A:$A,$A249,FoodLog!$F:$F)=0,"",SUMIF(FoodLog!$A:$A,$A249,FoodLog!$F:$F)))</f>
        <v/>
      </c>
      <c r="W249">
        <f>IF($A249="","",IF(SUMIF(FoodLog!$A:$A,$A249,FoodLog!$G:$G)=0,"",SUMIF(FoodLog!$A:$A,$A249,FoodLog!$G:$G)))</f>
        <v/>
      </c>
      <c r="X249">
        <f>IF($A249="","",IF(SUMIF(FoodLog!$A:$A,$A249,FoodLog!$H:$H)=0,"",SUMIF(FoodLog!$A:$A,$A249,FoodLog!$H:$H)))</f>
        <v/>
      </c>
      <c r="Y249">
        <f>IF($A249="","",IFERROR(ROUND(100*AVERAGE(IF($B249="","",XLOOKUP($B249,FILTER(Dictionaries!$B:$B,Dictionaries!$A:$A="Тренировка"),FILTER(Dictionaries!$C:$C,Dictionaries!$A:$A="Тренировка"))),IF($C249="","",MIN($C249/40,1)),IF($D249="","",XLOOKUP($D249,FILTER(Dictionaries!$B:$B,Dictionaries!$A:$A="Шаги"),FILTER(Dictionaries!$C:$C,Dictionaries!$A:$A="Шаги"))),IF($E249="","",MIN($E249/120,1)),IF(OR($F249&lt;&gt;"",$G249&lt;&gt;""),1,""),IF($H249="","",MIN($H249/100,1)),IF($L249="","",XLOOKUP($L249,FILTER(Dictionaries!$B:$B,Dictionaries!$A:$A="Сон_часы"),FILTER(Dictionaries!$C:$C,Dictionaries!$A:$A="Сон_часы"))),IF($M249="","",XLOOKUP($M249,FILTER(Dictionaries!$B:$B,Dictionaries!$A:$A="Режим"),FILTER(Dictionaries!$C:$C,Dictionaries!$A:$A="Режим"))),IF($N249="","",MIN($N249/100,1)),IF($O249="","",XLOOKUP($O249,FILTER(Dictionaries!$B:$B,Dictionaries!$A:$A="Настроение"),FILTER(Dictionaries!$C:$C,Dictionaries!$A:$A="Настроение"))),IF($P249="","",XLOOKUP($P249,FILTER(Dictionaries!$B:$B,Dictionaries!$A:$A="Энергия"),FILTER(Dictionaries!$C:$C,Dictionaries!$A:$A="Энергия"))),IF($U249="","",AVERAGE(IF(OR($B249="Ноги",$B249="Верх"),IFS(AND($U249&gt;=1900,$U249&lt;=2050),1,AND($U249&gt;=1850,$U249&lt;1900),0.7,AND($U249&gt;2050,$U249&lt;=2100),0.7,TRUE,0.2),IFS(AND($U249&gt;=1700,$U249&lt;=1850),1,AND($U249&gt;=1650,$U249&lt;1700),0.7,AND($U249&gt;1850,$U249&lt;=1900),0.7,TRUE,0.2)),IF(OR($B249="Ноги",$B249="Верх"),IFS(AND($V249&gt;=125,$V249&lt;=135),1,AND($V249&gt;=115,$V249&lt;125),0.7,AND($V249&gt;135,$V249&lt;=145),0.7,AND($V249&gt;=105,$V249&lt;115),0.4,AND($V249&gt;145,$V249&lt;=155),0.4,TRUE,0.2),IFS(AND($V249&gt;=120,$V249&lt;=130),1,AND($V249&gt;=110,$V249&lt;120),0.7,AND($V249&gt;130,$V249&lt;=140),0.7,AND($V249&gt;=100,$V249&lt;110),0.4,AND($V249&gt;140,$V249&lt;=150),0.4,TRUE,0.2)),IFS(AND($W249&gt;=55,$W249&lt;=65),1,AND($W249&gt;=50,$W249&lt;55),0.7,AND($W249&gt;65,$W249&lt;=70),0.7,AND($W249&gt;=45,$W249&lt;50),0.4,AND($W249&gt;70,$W249&lt;=75),0.4,TRUE,0.2),IF(OR($B249="Ноги",$B249="Верх"),IFS(AND($X249&gt;=180,$X249&lt;=210),1,AND($X249&gt;=160,$X249&lt;180),0.7,AND($X249&gt;210,$X249&lt;=230),0.7,AND($X249&gt;=140,$X249&lt;160),0.4,AND($X249&gt;230,$X249&lt;=250),0.4,TRUE,0.2),IFS(AND($X249&gt;=140,$X249&lt;=170),1,AND($X249&gt;=120,$X249&lt;140),0.7,AND($X249&gt;170,$X249&lt;=190),0.7,AND($X249&gt;=100,$X249&lt;120),0.4,AND($X249&gt;190,$X249&lt;=210),0.4,TRUE,0.2))))),1),""))</f>
        <v/>
      </c>
      <c r="Z249">
        <f>IF($A249="","",TEXTJOIN(", ",TRUE,IF($B249="","Тренировка",""),IF($C249="","Кардио",""),IF($D249="","Шаги",""),IF($E249="","Английский",""),IF($F249="","Код-режим",""),IF($G249="","Код-тема",""),IF($H249="","Чтение",""),IF($L249="","Сон",""),IF($M249="","Режим",""),IF($N249="","Продуктивность",""),IF($O249="","Настроение",""),IF($P249="","Энергия",""),IF($U249="","Еда","")))</f>
        <v/>
      </c>
    </row>
    <row r="250">
      <c r="A250" t="inlineStr"/>
      <c r="U250">
        <f>IF($A250="","",IF(SUMIF(FoodLog!$A:$A,$A250,FoodLog!$I:$I)=0,"",SUMIF(FoodLog!$A:$A,$A250,FoodLog!$I:$I)))</f>
        <v/>
      </c>
      <c r="V250">
        <f>IF($A250="","",IF(SUMIF(FoodLog!$A:$A,$A250,FoodLog!$F:$F)=0,"",SUMIF(FoodLog!$A:$A,$A250,FoodLog!$F:$F)))</f>
        <v/>
      </c>
      <c r="W250">
        <f>IF($A250="","",IF(SUMIF(FoodLog!$A:$A,$A250,FoodLog!$G:$G)=0,"",SUMIF(FoodLog!$A:$A,$A250,FoodLog!$G:$G)))</f>
        <v/>
      </c>
      <c r="X250">
        <f>IF($A250="","",IF(SUMIF(FoodLog!$A:$A,$A250,FoodLog!$H:$H)=0,"",SUMIF(FoodLog!$A:$A,$A250,FoodLog!$H:$H)))</f>
        <v/>
      </c>
      <c r="Y250">
        <f>IF($A250="","",IFERROR(ROUND(100*AVERAGE(IF($B250="","",XLOOKUP($B250,FILTER(Dictionaries!$B:$B,Dictionaries!$A:$A="Тренировка"),FILTER(Dictionaries!$C:$C,Dictionaries!$A:$A="Тренировка"))),IF($C250="","",MIN($C250/40,1)),IF($D250="","",XLOOKUP($D250,FILTER(Dictionaries!$B:$B,Dictionaries!$A:$A="Шаги"),FILTER(Dictionaries!$C:$C,Dictionaries!$A:$A="Шаги"))),IF($E250="","",MIN($E250/120,1)),IF(OR($F250&lt;&gt;"",$G250&lt;&gt;""),1,""),IF($H250="","",MIN($H250/100,1)),IF($L250="","",XLOOKUP($L250,FILTER(Dictionaries!$B:$B,Dictionaries!$A:$A="Сон_часы"),FILTER(Dictionaries!$C:$C,Dictionaries!$A:$A="Сон_часы"))),IF($M250="","",XLOOKUP($M250,FILTER(Dictionaries!$B:$B,Dictionaries!$A:$A="Режим"),FILTER(Dictionaries!$C:$C,Dictionaries!$A:$A="Режим"))),IF($N250="","",MIN($N250/100,1)),IF($O250="","",XLOOKUP($O250,FILTER(Dictionaries!$B:$B,Dictionaries!$A:$A="Настроение"),FILTER(Dictionaries!$C:$C,Dictionaries!$A:$A="Настроение"))),IF($P250="","",XLOOKUP($P250,FILTER(Dictionaries!$B:$B,Dictionaries!$A:$A="Энергия"),FILTER(Dictionaries!$C:$C,Dictionaries!$A:$A="Энергия"))),IF($U250="","",AVERAGE(IF(OR($B250="Ноги",$B250="Верх"),IFS(AND($U250&gt;=1900,$U250&lt;=2050),1,AND($U250&gt;=1850,$U250&lt;1900),0.7,AND($U250&gt;2050,$U250&lt;=2100),0.7,TRUE,0.2),IFS(AND($U250&gt;=1700,$U250&lt;=1850),1,AND($U250&gt;=1650,$U250&lt;1700),0.7,AND($U250&gt;1850,$U250&lt;=1900),0.7,TRUE,0.2)),IF(OR($B250="Ноги",$B250="Верх"),IFS(AND($V250&gt;=125,$V250&lt;=135),1,AND($V250&gt;=115,$V250&lt;125),0.7,AND($V250&gt;135,$V250&lt;=145),0.7,AND($V250&gt;=105,$V250&lt;115),0.4,AND($V250&gt;145,$V250&lt;=155),0.4,TRUE,0.2),IFS(AND($V250&gt;=120,$V250&lt;=130),1,AND($V250&gt;=110,$V250&lt;120),0.7,AND($V250&gt;130,$V250&lt;=140),0.7,AND($V250&gt;=100,$V250&lt;110),0.4,AND($V250&gt;140,$V250&lt;=150),0.4,TRUE,0.2)),IFS(AND($W250&gt;=55,$W250&lt;=65),1,AND($W250&gt;=50,$W250&lt;55),0.7,AND($W250&gt;65,$W250&lt;=70),0.7,AND($W250&gt;=45,$W250&lt;50),0.4,AND($W250&gt;70,$W250&lt;=75),0.4,TRUE,0.2),IF(OR($B250="Ноги",$B250="Верх"),IFS(AND($X250&gt;=180,$X250&lt;=210),1,AND($X250&gt;=160,$X250&lt;180),0.7,AND($X250&gt;210,$X250&lt;=230),0.7,AND($X250&gt;=140,$X250&lt;160),0.4,AND($X250&gt;230,$X250&lt;=250),0.4,TRUE,0.2),IFS(AND($X250&gt;=140,$X250&lt;=170),1,AND($X250&gt;=120,$X250&lt;140),0.7,AND($X250&gt;170,$X250&lt;=190),0.7,AND($X250&gt;=100,$X250&lt;120),0.4,AND($X250&gt;190,$X250&lt;=210),0.4,TRUE,0.2))))),1),""))</f>
        <v/>
      </c>
      <c r="Z250">
        <f>IF($A250="","",TEXTJOIN(", ",TRUE,IF($B250="","Тренировка",""),IF($C250="","Кардио",""),IF($D250="","Шаги",""),IF($E250="","Английский",""),IF($F250="","Код-режим",""),IF($G250="","Код-тема",""),IF($H250="","Чтение",""),IF($L250="","Сон",""),IF($M250="","Режим",""),IF($N250="","Продуктивность",""),IF($O250="","Настроение",""),IF($P250="","Энергия",""),IF($U250="","Еда","")))</f>
        <v/>
      </c>
    </row>
    <row r="251">
      <c r="A251" t="inlineStr"/>
      <c r="U251">
        <f>IF($A251="","",IF(SUMIF(FoodLog!$A:$A,$A251,FoodLog!$I:$I)=0,"",SUMIF(FoodLog!$A:$A,$A251,FoodLog!$I:$I)))</f>
        <v/>
      </c>
      <c r="V251">
        <f>IF($A251="","",IF(SUMIF(FoodLog!$A:$A,$A251,FoodLog!$F:$F)=0,"",SUMIF(FoodLog!$A:$A,$A251,FoodLog!$F:$F)))</f>
        <v/>
      </c>
      <c r="W251">
        <f>IF($A251="","",IF(SUMIF(FoodLog!$A:$A,$A251,FoodLog!$G:$G)=0,"",SUMIF(FoodLog!$A:$A,$A251,FoodLog!$G:$G)))</f>
        <v/>
      </c>
      <c r="X251">
        <f>IF($A251="","",IF(SUMIF(FoodLog!$A:$A,$A251,FoodLog!$H:$H)=0,"",SUMIF(FoodLog!$A:$A,$A251,FoodLog!$H:$H)))</f>
        <v/>
      </c>
      <c r="Y251">
        <f>IF($A251="","",IFERROR(ROUND(100*AVERAGE(IF($B251="","",XLOOKUP($B251,FILTER(Dictionaries!$B:$B,Dictionaries!$A:$A="Тренировка"),FILTER(Dictionaries!$C:$C,Dictionaries!$A:$A="Тренировка"))),IF($C251="","",MIN($C251/40,1)),IF($D251="","",XLOOKUP($D251,FILTER(Dictionaries!$B:$B,Dictionaries!$A:$A="Шаги"),FILTER(Dictionaries!$C:$C,Dictionaries!$A:$A="Шаги"))),IF($E251="","",MIN($E251/120,1)),IF(OR($F251&lt;&gt;"",$G251&lt;&gt;""),1,""),IF($H251="","",MIN($H251/100,1)),IF($L251="","",XLOOKUP($L251,FILTER(Dictionaries!$B:$B,Dictionaries!$A:$A="Сон_часы"),FILTER(Dictionaries!$C:$C,Dictionaries!$A:$A="Сон_часы"))),IF($M251="","",XLOOKUP($M251,FILTER(Dictionaries!$B:$B,Dictionaries!$A:$A="Режим"),FILTER(Dictionaries!$C:$C,Dictionaries!$A:$A="Режим"))),IF($N251="","",MIN($N251/100,1)),IF($O251="","",XLOOKUP($O251,FILTER(Dictionaries!$B:$B,Dictionaries!$A:$A="Настроение"),FILTER(Dictionaries!$C:$C,Dictionaries!$A:$A="Настроение"))),IF($P251="","",XLOOKUP($P251,FILTER(Dictionaries!$B:$B,Dictionaries!$A:$A="Энергия"),FILTER(Dictionaries!$C:$C,Dictionaries!$A:$A="Энергия"))),IF($U251="","",AVERAGE(IF(OR($B251="Ноги",$B251="Верх"),IFS(AND($U251&gt;=1900,$U251&lt;=2050),1,AND($U251&gt;=1850,$U251&lt;1900),0.7,AND($U251&gt;2050,$U251&lt;=2100),0.7,TRUE,0.2),IFS(AND($U251&gt;=1700,$U251&lt;=1850),1,AND($U251&gt;=1650,$U251&lt;1700),0.7,AND($U251&gt;1850,$U251&lt;=1900),0.7,TRUE,0.2)),IF(OR($B251="Ноги",$B251="Верх"),IFS(AND($V251&gt;=125,$V251&lt;=135),1,AND($V251&gt;=115,$V251&lt;125),0.7,AND($V251&gt;135,$V251&lt;=145),0.7,AND($V251&gt;=105,$V251&lt;115),0.4,AND($V251&gt;145,$V251&lt;=155),0.4,TRUE,0.2),IFS(AND($V251&gt;=120,$V251&lt;=130),1,AND($V251&gt;=110,$V251&lt;120),0.7,AND($V251&gt;130,$V251&lt;=140),0.7,AND($V251&gt;=100,$V251&lt;110),0.4,AND($V251&gt;140,$V251&lt;=150),0.4,TRUE,0.2)),IFS(AND($W251&gt;=55,$W251&lt;=65),1,AND($W251&gt;=50,$W251&lt;55),0.7,AND($W251&gt;65,$W251&lt;=70),0.7,AND($W251&gt;=45,$W251&lt;50),0.4,AND($W251&gt;70,$W251&lt;=75),0.4,TRUE,0.2),IF(OR($B251="Ноги",$B251="Верх"),IFS(AND($X251&gt;=180,$X251&lt;=210),1,AND($X251&gt;=160,$X251&lt;180),0.7,AND($X251&gt;210,$X251&lt;=230),0.7,AND($X251&gt;=140,$X251&lt;160),0.4,AND($X251&gt;230,$X251&lt;=250),0.4,TRUE,0.2),IFS(AND($X251&gt;=140,$X251&lt;=170),1,AND($X251&gt;=120,$X251&lt;140),0.7,AND($X251&gt;170,$X251&lt;=190),0.7,AND($X251&gt;=100,$X251&lt;120),0.4,AND($X251&gt;190,$X251&lt;=210),0.4,TRUE,0.2))))),1),""))</f>
        <v/>
      </c>
      <c r="Z251">
        <f>IF($A251="","",TEXTJOIN(", ",TRUE,IF($B251="","Тренировка",""),IF($C251="","Кардио",""),IF($D251="","Шаги",""),IF($E251="","Английский",""),IF($F251="","Код-режим",""),IF($G251="","Код-тема",""),IF($H251="","Чтение",""),IF($L251="","Сон",""),IF($M251="","Режим",""),IF($N251="","Продуктивность",""),IF($O251="","Настроение",""),IF($P251="","Энергия",""),IF($U251="","Еда","")))</f>
        <v/>
      </c>
    </row>
    <row r="252">
      <c r="A252" t="inlineStr"/>
      <c r="U252">
        <f>IF($A252="","",IF(SUMIF(FoodLog!$A:$A,$A252,FoodLog!$I:$I)=0,"",SUMIF(FoodLog!$A:$A,$A252,FoodLog!$I:$I)))</f>
        <v/>
      </c>
      <c r="V252">
        <f>IF($A252="","",IF(SUMIF(FoodLog!$A:$A,$A252,FoodLog!$F:$F)=0,"",SUMIF(FoodLog!$A:$A,$A252,FoodLog!$F:$F)))</f>
        <v/>
      </c>
      <c r="W252">
        <f>IF($A252="","",IF(SUMIF(FoodLog!$A:$A,$A252,FoodLog!$G:$G)=0,"",SUMIF(FoodLog!$A:$A,$A252,FoodLog!$G:$G)))</f>
        <v/>
      </c>
      <c r="X252">
        <f>IF($A252="","",IF(SUMIF(FoodLog!$A:$A,$A252,FoodLog!$H:$H)=0,"",SUMIF(FoodLog!$A:$A,$A252,FoodLog!$H:$H)))</f>
        <v/>
      </c>
      <c r="Y252">
        <f>IF($A252="","",IFERROR(ROUND(100*AVERAGE(IF($B252="","",XLOOKUP($B252,FILTER(Dictionaries!$B:$B,Dictionaries!$A:$A="Тренировка"),FILTER(Dictionaries!$C:$C,Dictionaries!$A:$A="Тренировка"))),IF($C252="","",MIN($C252/40,1)),IF($D252="","",XLOOKUP($D252,FILTER(Dictionaries!$B:$B,Dictionaries!$A:$A="Шаги"),FILTER(Dictionaries!$C:$C,Dictionaries!$A:$A="Шаги"))),IF($E252="","",MIN($E252/120,1)),IF(OR($F252&lt;&gt;"",$G252&lt;&gt;""),1,""),IF($H252="","",MIN($H252/100,1)),IF($L252="","",XLOOKUP($L252,FILTER(Dictionaries!$B:$B,Dictionaries!$A:$A="Сон_часы"),FILTER(Dictionaries!$C:$C,Dictionaries!$A:$A="Сон_часы"))),IF($M252="","",XLOOKUP($M252,FILTER(Dictionaries!$B:$B,Dictionaries!$A:$A="Режим"),FILTER(Dictionaries!$C:$C,Dictionaries!$A:$A="Режим"))),IF($N252="","",MIN($N252/100,1)),IF($O252="","",XLOOKUP($O252,FILTER(Dictionaries!$B:$B,Dictionaries!$A:$A="Настроение"),FILTER(Dictionaries!$C:$C,Dictionaries!$A:$A="Настроение"))),IF($P252="","",XLOOKUP($P252,FILTER(Dictionaries!$B:$B,Dictionaries!$A:$A="Энергия"),FILTER(Dictionaries!$C:$C,Dictionaries!$A:$A="Энергия"))),IF($U252="","",AVERAGE(IF(OR($B252="Ноги",$B252="Верх"),IFS(AND($U252&gt;=1900,$U252&lt;=2050),1,AND($U252&gt;=1850,$U252&lt;1900),0.7,AND($U252&gt;2050,$U252&lt;=2100),0.7,TRUE,0.2),IFS(AND($U252&gt;=1700,$U252&lt;=1850),1,AND($U252&gt;=1650,$U252&lt;1700),0.7,AND($U252&gt;1850,$U252&lt;=1900),0.7,TRUE,0.2)),IF(OR($B252="Ноги",$B252="Верх"),IFS(AND($V252&gt;=125,$V252&lt;=135),1,AND($V252&gt;=115,$V252&lt;125),0.7,AND($V252&gt;135,$V252&lt;=145),0.7,AND($V252&gt;=105,$V252&lt;115),0.4,AND($V252&gt;145,$V252&lt;=155),0.4,TRUE,0.2),IFS(AND($V252&gt;=120,$V252&lt;=130),1,AND($V252&gt;=110,$V252&lt;120),0.7,AND($V252&gt;130,$V252&lt;=140),0.7,AND($V252&gt;=100,$V252&lt;110),0.4,AND($V252&gt;140,$V252&lt;=150),0.4,TRUE,0.2)),IFS(AND($W252&gt;=55,$W252&lt;=65),1,AND($W252&gt;=50,$W252&lt;55),0.7,AND($W252&gt;65,$W252&lt;=70),0.7,AND($W252&gt;=45,$W252&lt;50),0.4,AND($W252&gt;70,$W252&lt;=75),0.4,TRUE,0.2),IF(OR($B252="Ноги",$B252="Верх"),IFS(AND($X252&gt;=180,$X252&lt;=210),1,AND($X252&gt;=160,$X252&lt;180),0.7,AND($X252&gt;210,$X252&lt;=230),0.7,AND($X252&gt;=140,$X252&lt;160),0.4,AND($X252&gt;230,$X252&lt;=250),0.4,TRUE,0.2),IFS(AND($X252&gt;=140,$X252&lt;=170),1,AND($X252&gt;=120,$X252&lt;140),0.7,AND($X252&gt;170,$X252&lt;=190),0.7,AND($X252&gt;=100,$X252&lt;120),0.4,AND($X252&gt;190,$X252&lt;=210),0.4,TRUE,0.2))))),1),""))</f>
        <v/>
      </c>
      <c r="Z252">
        <f>IF($A252="","",TEXTJOIN(", ",TRUE,IF($B252="","Тренировка",""),IF($C252="","Кардио",""),IF($D252="","Шаги",""),IF($E252="","Английский",""),IF($F252="","Код-режим",""),IF($G252="","Код-тема",""),IF($H252="","Чтение",""),IF($L252="","Сон",""),IF($M252="","Режим",""),IF($N252="","Продуктивность",""),IF($O252="","Настроение",""),IF($P252="","Энергия",""),IF($U252="","Еда","")))</f>
        <v/>
      </c>
    </row>
    <row r="253">
      <c r="A253" t="inlineStr"/>
      <c r="U253">
        <f>IF($A253="","",IF(SUMIF(FoodLog!$A:$A,$A253,FoodLog!$I:$I)=0,"",SUMIF(FoodLog!$A:$A,$A253,FoodLog!$I:$I)))</f>
        <v/>
      </c>
      <c r="V253">
        <f>IF($A253="","",IF(SUMIF(FoodLog!$A:$A,$A253,FoodLog!$F:$F)=0,"",SUMIF(FoodLog!$A:$A,$A253,FoodLog!$F:$F)))</f>
        <v/>
      </c>
      <c r="W253">
        <f>IF($A253="","",IF(SUMIF(FoodLog!$A:$A,$A253,FoodLog!$G:$G)=0,"",SUMIF(FoodLog!$A:$A,$A253,FoodLog!$G:$G)))</f>
        <v/>
      </c>
      <c r="X253">
        <f>IF($A253="","",IF(SUMIF(FoodLog!$A:$A,$A253,FoodLog!$H:$H)=0,"",SUMIF(FoodLog!$A:$A,$A253,FoodLog!$H:$H)))</f>
        <v/>
      </c>
      <c r="Y253">
        <f>IF($A253="","",IFERROR(ROUND(100*AVERAGE(IF($B253="","",XLOOKUP($B253,FILTER(Dictionaries!$B:$B,Dictionaries!$A:$A="Тренировка"),FILTER(Dictionaries!$C:$C,Dictionaries!$A:$A="Тренировка"))),IF($C253="","",MIN($C253/40,1)),IF($D253="","",XLOOKUP($D253,FILTER(Dictionaries!$B:$B,Dictionaries!$A:$A="Шаги"),FILTER(Dictionaries!$C:$C,Dictionaries!$A:$A="Шаги"))),IF($E253="","",MIN($E253/120,1)),IF(OR($F253&lt;&gt;"",$G253&lt;&gt;""),1,""),IF($H253="","",MIN($H253/100,1)),IF($L253="","",XLOOKUP($L253,FILTER(Dictionaries!$B:$B,Dictionaries!$A:$A="Сон_часы"),FILTER(Dictionaries!$C:$C,Dictionaries!$A:$A="Сон_часы"))),IF($M253="","",XLOOKUP($M253,FILTER(Dictionaries!$B:$B,Dictionaries!$A:$A="Режим"),FILTER(Dictionaries!$C:$C,Dictionaries!$A:$A="Режим"))),IF($N253="","",MIN($N253/100,1)),IF($O253="","",XLOOKUP($O253,FILTER(Dictionaries!$B:$B,Dictionaries!$A:$A="Настроение"),FILTER(Dictionaries!$C:$C,Dictionaries!$A:$A="Настроение"))),IF($P253="","",XLOOKUP($P253,FILTER(Dictionaries!$B:$B,Dictionaries!$A:$A="Энергия"),FILTER(Dictionaries!$C:$C,Dictionaries!$A:$A="Энергия"))),IF($U253="","",AVERAGE(IF(OR($B253="Ноги",$B253="Верх"),IFS(AND($U253&gt;=1900,$U253&lt;=2050),1,AND($U253&gt;=1850,$U253&lt;1900),0.7,AND($U253&gt;2050,$U253&lt;=2100),0.7,TRUE,0.2),IFS(AND($U253&gt;=1700,$U253&lt;=1850),1,AND($U253&gt;=1650,$U253&lt;1700),0.7,AND($U253&gt;1850,$U253&lt;=1900),0.7,TRUE,0.2)),IF(OR($B253="Ноги",$B253="Верх"),IFS(AND($V253&gt;=125,$V253&lt;=135),1,AND($V253&gt;=115,$V253&lt;125),0.7,AND($V253&gt;135,$V253&lt;=145),0.7,AND($V253&gt;=105,$V253&lt;115),0.4,AND($V253&gt;145,$V253&lt;=155),0.4,TRUE,0.2),IFS(AND($V253&gt;=120,$V253&lt;=130),1,AND($V253&gt;=110,$V253&lt;120),0.7,AND($V253&gt;130,$V253&lt;=140),0.7,AND($V253&gt;=100,$V253&lt;110),0.4,AND($V253&gt;140,$V253&lt;=150),0.4,TRUE,0.2)),IFS(AND($W253&gt;=55,$W253&lt;=65),1,AND($W253&gt;=50,$W253&lt;55),0.7,AND($W253&gt;65,$W253&lt;=70),0.7,AND($W253&gt;=45,$W253&lt;50),0.4,AND($W253&gt;70,$W253&lt;=75),0.4,TRUE,0.2),IF(OR($B253="Ноги",$B253="Верх"),IFS(AND($X253&gt;=180,$X253&lt;=210),1,AND($X253&gt;=160,$X253&lt;180),0.7,AND($X253&gt;210,$X253&lt;=230),0.7,AND($X253&gt;=140,$X253&lt;160),0.4,AND($X253&gt;230,$X253&lt;=250),0.4,TRUE,0.2),IFS(AND($X253&gt;=140,$X253&lt;=170),1,AND($X253&gt;=120,$X253&lt;140),0.7,AND($X253&gt;170,$X253&lt;=190),0.7,AND($X253&gt;=100,$X253&lt;120),0.4,AND($X253&gt;190,$X253&lt;=210),0.4,TRUE,0.2))))),1),""))</f>
        <v/>
      </c>
      <c r="Z253">
        <f>IF($A253="","",TEXTJOIN(", ",TRUE,IF($B253="","Тренировка",""),IF($C253="","Кардио",""),IF($D253="","Шаги",""),IF($E253="","Английский",""),IF($F253="","Код-режим",""),IF($G253="","Код-тема",""),IF($H253="","Чтение",""),IF($L253="","Сон",""),IF($M253="","Режим",""),IF($N253="","Продуктивность",""),IF($O253="","Настроение",""),IF($P253="","Энергия",""),IF($U253="","Еда","")))</f>
        <v/>
      </c>
    </row>
    <row r="254">
      <c r="A254" t="inlineStr"/>
      <c r="U254">
        <f>IF($A254="","",IF(SUMIF(FoodLog!$A:$A,$A254,FoodLog!$I:$I)=0,"",SUMIF(FoodLog!$A:$A,$A254,FoodLog!$I:$I)))</f>
        <v/>
      </c>
      <c r="V254">
        <f>IF($A254="","",IF(SUMIF(FoodLog!$A:$A,$A254,FoodLog!$F:$F)=0,"",SUMIF(FoodLog!$A:$A,$A254,FoodLog!$F:$F)))</f>
        <v/>
      </c>
      <c r="W254">
        <f>IF($A254="","",IF(SUMIF(FoodLog!$A:$A,$A254,FoodLog!$G:$G)=0,"",SUMIF(FoodLog!$A:$A,$A254,FoodLog!$G:$G)))</f>
        <v/>
      </c>
      <c r="X254">
        <f>IF($A254="","",IF(SUMIF(FoodLog!$A:$A,$A254,FoodLog!$H:$H)=0,"",SUMIF(FoodLog!$A:$A,$A254,FoodLog!$H:$H)))</f>
        <v/>
      </c>
      <c r="Y254">
        <f>IF($A254="","",IFERROR(ROUND(100*AVERAGE(IF($B254="","",XLOOKUP($B254,FILTER(Dictionaries!$B:$B,Dictionaries!$A:$A="Тренировка"),FILTER(Dictionaries!$C:$C,Dictionaries!$A:$A="Тренировка"))),IF($C254="","",MIN($C254/40,1)),IF($D254="","",XLOOKUP($D254,FILTER(Dictionaries!$B:$B,Dictionaries!$A:$A="Шаги"),FILTER(Dictionaries!$C:$C,Dictionaries!$A:$A="Шаги"))),IF($E254="","",MIN($E254/120,1)),IF(OR($F254&lt;&gt;"",$G254&lt;&gt;""),1,""),IF($H254="","",MIN($H254/100,1)),IF($L254="","",XLOOKUP($L254,FILTER(Dictionaries!$B:$B,Dictionaries!$A:$A="Сон_часы"),FILTER(Dictionaries!$C:$C,Dictionaries!$A:$A="Сон_часы"))),IF($M254="","",XLOOKUP($M254,FILTER(Dictionaries!$B:$B,Dictionaries!$A:$A="Режим"),FILTER(Dictionaries!$C:$C,Dictionaries!$A:$A="Режим"))),IF($N254="","",MIN($N254/100,1)),IF($O254="","",XLOOKUP($O254,FILTER(Dictionaries!$B:$B,Dictionaries!$A:$A="Настроение"),FILTER(Dictionaries!$C:$C,Dictionaries!$A:$A="Настроение"))),IF($P254="","",XLOOKUP($P254,FILTER(Dictionaries!$B:$B,Dictionaries!$A:$A="Энергия"),FILTER(Dictionaries!$C:$C,Dictionaries!$A:$A="Энергия"))),IF($U254="","",AVERAGE(IF(OR($B254="Ноги",$B254="Верх"),IFS(AND($U254&gt;=1900,$U254&lt;=2050),1,AND($U254&gt;=1850,$U254&lt;1900),0.7,AND($U254&gt;2050,$U254&lt;=2100),0.7,TRUE,0.2),IFS(AND($U254&gt;=1700,$U254&lt;=1850),1,AND($U254&gt;=1650,$U254&lt;1700),0.7,AND($U254&gt;1850,$U254&lt;=1900),0.7,TRUE,0.2)),IF(OR($B254="Ноги",$B254="Верх"),IFS(AND($V254&gt;=125,$V254&lt;=135),1,AND($V254&gt;=115,$V254&lt;125),0.7,AND($V254&gt;135,$V254&lt;=145),0.7,AND($V254&gt;=105,$V254&lt;115),0.4,AND($V254&gt;145,$V254&lt;=155),0.4,TRUE,0.2),IFS(AND($V254&gt;=120,$V254&lt;=130),1,AND($V254&gt;=110,$V254&lt;120),0.7,AND($V254&gt;130,$V254&lt;=140),0.7,AND($V254&gt;=100,$V254&lt;110),0.4,AND($V254&gt;140,$V254&lt;=150),0.4,TRUE,0.2)),IFS(AND($W254&gt;=55,$W254&lt;=65),1,AND($W254&gt;=50,$W254&lt;55),0.7,AND($W254&gt;65,$W254&lt;=70),0.7,AND($W254&gt;=45,$W254&lt;50),0.4,AND($W254&gt;70,$W254&lt;=75),0.4,TRUE,0.2),IF(OR($B254="Ноги",$B254="Верх"),IFS(AND($X254&gt;=180,$X254&lt;=210),1,AND($X254&gt;=160,$X254&lt;180),0.7,AND($X254&gt;210,$X254&lt;=230),0.7,AND($X254&gt;=140,$X254&lt;160),0.4,AND($X254&gt;230,$X254&lt;=250),0.4,TRUE,0.2),IFS(AND($X254&gt;=140,$X254&lt;=170),1,AND($X254&gt;=120,$X254&lt;140),0.7,AND($X254&gt;170,$X254&lt;=190),0.7,AND($X254&gt;=100,$X254&lt;120),0.4,AND($X254&gt;190,$X254&lt;=210),0.4,TRUE,0.2))))),1),""))</f>
        <v/>
      </c>
      <c r="Z254">
        <f>IF($A254="","",TEXTJOIN(", ",TRUE,IF($B254="","Тренировка",""),IF($C254="","Кардио",""),IF($D254="","Шаги",""),IF($E254="","Английский",""),IF($F254="","Код-режим",""),IF($G254="","Код-тема",""),IF($H254="","Чтение",""),IF($L254="","Сон",""),IF($M254="","Режим",""),IF($N254="","Продуктивность",""),IF($O254="","Настроение",""),IF($P254="","Энергия",""),IF($U254="","Еда","")))</f>
        <v/>
      </c>
    </row>
    <row r="255">
      <c r="A255" t="inlineStr"/>
      <c r="U255">
        <f>IF($A255="","",IF(SUMIF(FoodLog!$A:$A,$A255,FoodLog!$I:$I)=0,"",SUMIF(FoodLog!$A:$A,$A255,FoodLog!$I:$I)))</f>
        <v/>
      </c>
      <c r="V255">
        <f>IF($A255="","",IF(SUMIF(FoodLog!$A:$A,$A255,FoodLog!$F:$F)=0,"",SUMIF(FoodLog!$A:$A,$A255,FoodLog!$F:$F)))</f>
        <v/>
      </c>
      <c r="W255">
        <f>IF($A255="","",IF(SUMIF(FoodLog!$A:$A,$A255,FoodLog!$G:$G)=0,"",SUMIF(FoodLog!$A:$A,$A255,FoodLog!$G:$G)))</f>
        <v/>
      </c>
      <c r="X255">
        <f>IF($A255="","",IF(SUMIF(FoodLog!$A:$A,$A255,FoodLog!$H:$H)=0,"",SUMIF(FoodLog!$A:$A,$A255,FoodLog!$H:$H)))</f>
        <v/>
      </c>
      <c r="Y255">
        <f>IF($A255="","",IFERROR(ROUND(100*AVERAGE(IF($B255="","",XLOOKUP($B255,FILTER(Dictionaries!$B:$B,Dictionaries!$A:$A="Тренировка"),FILTER(Dictionaries!$C:$C,Dictionaries!$A:$A="Тренировка"))),IF($C255="","",MIN($C255/40,1)),IF($D255="","",XLOOKUP($D255,FILTER(Dictionaries!$B:$B,Dictionaries!$A:$A="Шаги"),FILTER(Dictionaries!$C:$C,Dictionaries!$A:$A="Шаги"))),IF($E255="","",MIN($E255/120,1)),IF(OR($F255&lt;&gt;"",$G255&lt;&gt;""),1,""),IF($H255="","",MIN($H255/100,1)),IF($L255="","",XLOOKUP($L255,FILTER(Dictionaries!$B:$B,Dictionaries!$A:$A="Сон_часы"),FILTER(Dictionaries!$C:$C,Dictionaries!$A:$A="Сон_часы"))),IF($M255="","",XLOOKUP($M255,FILTER(Dictionaries!$B:$B,Dictionaries!$A:$A="Режим"),FILTER(Dictionaries!$C:$C,Dictionaries!$A:$A="Режим"))),IF($N255="","",MIN($N255/100,1)),IF($O255="","",XLOOKUP($O255,FILTER(Dictionaries!$B:$B,Dictionaries!$A:$A="Настроение"),FILTER(Dictionaries!$C:$C,Dictionaries!$A:$A="Настроение"))),IF($P255="","",XLOOKUP($P255,FILTER(Dictionaries!$B:$B,Dictionaries!$A:$A="Энергия"),FILTER(Dictionaries!$C:$C,Dictionaries!$A:$A="Энергия"))),IF($U255="","",AVERAGE(IF(OR($B255="Ноги",$B255="Верх"),IFS(AND($U255&gt;=1900,$U255&lt;=2050),1,AND($U255&gt;=1850,$U255&lt;1900),0.7,AND($U255&gt;2050,$U255&lt;=2100),0.7,TRUE,0.2),IFS(AND($U255&gt;=1700,$U255&lt;=1850),1,AND($U255&gt;=1650,$U255&lt;1700),0.7,AND($U255&gt;1850,$U255&lt;=1900),0.7,TRUE,0.2)),IF(OR($B255="Ноги",$B255="Верх"),IFS(AND($V255&gt;=125,$V255&lt;=135),1,AND($V255&gt;=115,$V255&lt;125),0.7,AND($V255&gt;135,$V255&lt;=145),0.7,AND($V255&gt;=105,$V255&lt;115),0.4,AND($V255&gt;145,$V255&lt;=155),0.4,TRUE,0.2),IFS(AND($V255&gt;=120,$V255&lt;=130),1,AND($V255&gt;=110,$V255&lt;120),0.7,AND($V255&gt;130,$V255&lt;=140),0.7,AND($V255&gt;=100,$V255&lt;110),0.4,AND($V255&gt;140,$V255&lt;=150),0.4,TRUE,0.2)),IFS(AND($W255&gt;=55,$W255&lt;=65),1,AND($W255&gt;=50,$W255&lt;55),0.7,AND($W255&gt;65,$W255&lt;=70),0.7,AND($W255&gt;=45,$W255&lt;50),0.4,AND($W255&gt;70,$W255&lt;=75),0.4,TRUE,0.2),IF(OR($B255="Ноги",$B255="Верх"),IFS(AND($X255&gt;=180,$X255&lt;=210),1,AND($X255&gt;=160,$X255&lt;180),0.7,AND($X255&gt;210,$X255&lt;=230),0.7,AND($X255&gt;=140,$X255&lt;160),0.4,AND($X255&gt;230,$X255&lt;=250),0.4,TRUE,0.2),IFS(AND($X255&gt;=140,$X255&lt;=170),1,AND($X255&gt;=120,$X255&lt;140),0.7,AND($X255&gt;170,$X255&lt;=190),0.7,AND($X255&gt;=100,$X255&lt;120),0.4,AND($X255&gt;190,$X255&lt;=210),0.4,TRUE,0.2))))),1),""))</f>
        <v/>
      </c>
      <c r="Z255">
        <f>IF($A255="","",TEXTJOIN(", ",TRUE,IF($B255="","Тренировка",""),IF($C255="","Кардио",""),IF($D255="","Шаги",""),IF($E255="","Английский",""),IF($F255="","Код-режим",""),IF($G255="","Код-тема",""),IF($H255="","Чтение",""),IF($L255="","Сон",""),IF($M255="","Режим",""),IF($N255="","Продуктивность",""),IF($O255="","Настроение",""),IF($P255="","Энергия",""),IF($U255="","Еда","")))</f>
        <v/>
      </c>
    </row>
    <row r="256">
      <c r="A256" t="inlineStr"/>
      <c r="U256">
        <f>IF($A256="","",IF(SUMIF(FoodLog!$A:$A,$A256,FoodLog!$I:$I)=0,"",SUMIF(FoodLog!$A:$A,$A256,FoodLog!$I:$I)))</f>
        <v/>
      </c>
      <c r="V256">
        <f>IF($A256="","",IF(SUMIF(FoodLog!$A:$A,$A256,FoodLog!$F:$F)=0,"",SUMIF(FoodLog!$A:$A,$A256,FoodLog!$F:$F)))</f>
        <v/>
      </c>
      <c r="W256">
        <f>IF($A256="","",IF(SUMIF(FoodLog!$A:$A,$A256,FoodLog!$G:$G)=0,"",SUMIF(FoodLog!$A:$A,$A256,FoodLog!$G:$G)))</f>
        <v/>
      </c>
      <c r="X256">
        <f>IF($A256="","",IF(SUMIF(FoodLog!$A:$A,$A256,FoodLog!$H:$H)=0,"",SUMIF(FoodLog!$A:$A,$A256,FoodLog!$H:$H)))</f>
        <v/>
      </c>
      <c r="Y256">
        <f>IF($A256="","",IFERROR(ROUND(100*AVERAGE(IF($B256="","",XLOOKUP($B256,FILTER(Dictionaries!$B:$B,Dictionaries!$A:$A="Тренировка"),FILTER(Dictionaries!$C:$C,Dictionaries!$A:$A="Тренировка"))),IF($C256="","",MIN($C256/40,1)),IF($D256="","",XLOOKUP($D256,FILTER(Dictionaries!$B:$B,Dictionaries!$A:$A="Шаги"),FILTER(Dictionaries!$C:$C,Dictionaries!$A:$A="Шаги"))),IF($E256="","",MIN($E256/120,1)),IF(OR($F256&lt;&gt;"",$G256&lt;&gt;""),1,""),IF($H256="","",MIN($H256/100,1)),IF($L256="","",XLOOKUP($L256,FILTER(Dictionaries!$B:$B,Dictionaries!$A:$A="Сон_часы"),FILTER(Dictionaries!$C:$C,Dictionaries!$A:$A="Сон_часы"))),IF($M256="","",XLOOKUP($M256,FILTER(Dictionaries!$B:$B,Dictionaries!$A:$A="Режим"),FILTER(Dictionaries!$C:$C,Dictionaries!$A:$A="Режим"))),IF($N256="","",MIN($N256/100,1)),IF($O256="","",XLOOKUP($O256,FILTER(Dictionaries!$B:$B,Dictionaries!$A:$A="Настроение"),FILTER(Dictionaries!$C:$C,Dictionaries!$A:$A="Настроение"))),IF($P256="","",XLOOKUP($P256,FILTER(Dictionaries!$B:$B,Dictionaries!$A:$A="Энергия"),FILTER(Dictionaries!$C:$C,Dictionaries!$A:$A="Энергия"))),IF($U256="","",AVERAGE(IF(OR($B256="Ноги",$B256="Верх"),IFS(AND($U256&gt;=1900,$U256&lt;=2050),1,AND($U256&gt;=1850,$U256&lt;1900),0.7,AND($U256&gt;2050,$U256&lt;=2100),0.7,TRUE,0.2),IFS(AND($U256&gt;=1700,$U256&lt;=1850),1,AND($U256&gt;=1650,$U256&lt;1700),0.7,AND($U256&gt;1850,$U256&lt;=1900),0.7,TRUE,0.2)),IF(OR($B256="Ноги",$B256="Верх"),IFS(AND($V256&gt;=125,$V256&lt;=135),1,AND($V256&gt;=115,$V256&lt;125),0.7,AND($V256&gt;135,$V256&lt;=145),0.7,AND($V256&gt;=105,$V256&lt;115),0.4,AND($V256&gt;145,$V256&lt;=155),0.4,TRUE,0.2),IFS(AND($V256&gt;=120,$V256&lt;=130),1,AND($V256&gt;=110,$V256&lt;120),0.7,AND($V256&gt;130,$V256&lt;=140),0.7,AND($V256&gt;=100,$V256&lt;110),0.4,AND($V256&gt;140,$V256&lt;=150),0.4,TRUE,0.2)),IFS(AND($W256&gt;=55,$W256&lt;=65),1,AND($W256&gt;=50,$W256&lt;55),0.7,AND($W256&gt;65,$W256&lt;=70),0.7,AND($W256&gt;=45,$W256&lt;50),0.4,AND($W256&gt;70,$W256&lt;=75),0.4,TRUE,0.2),IF(OR($B256="Ноги",$B256="Верх"),IFS(AND($X256&gt;=180,$X256&lt;=210),1,AND($X256&gt;=160,$X256&lt;180),0.7,AND($X256&gt;210,$X256&lt;=230),0.7,AND($X256&gt;=140,$X256&lt;160),0.4,AND($X256&gt;230,$X256&lt;=250),0.4,TRUE,0.2),IFS(AND($X256&gt;=140,$X256&lt;=170),1,AND($X256&gt;=120,$X256&lt;140),0.7,AND($X256&gt;170,$X256&lt;=190),0.7,AND($X256&gt;=100,$X256&lt;120),0.4,AND($X256&gt;190,$X256&lt;=210),0.4,TRUE,0.2))))),1),""))</f>
        <v/>
      </c>
      <c r="Z256">
        <f>IF($A256="","",TEXTJOIN(", ",TRUE,IF($B256="","Тренировка",""),IF($C256="","Кардио",""),IF($D256="","Шаги",""),IF($E256="","Английский",""),IF($F256="","Код-режим",""),IF($G256="","Код-тема",""),IF($H256="","Чтение",""),IF($L256="","Сон",""),IF($M256="","Режим",""),IF($N256="","Продуктивность",""),IF($O256="","Настроение",""),IF($P256="","Энергия",""),IF($U256="","Еда","")))</f>
        <v/>
      </c>
    </row>
    <row r="257">
      <c r="A257" t="inlineStr"/>
      <c r="U257">
        <f>IF($A257="","",IF(SUMIF(FoodLog!$A:$A,$A257,FoodLog!$I:$I)=0,"",SUMIF(FoodLog!$A:$A,$A257,FoodLog!$I:$I)))</f>
        <v/>
      </c>
      <c r="V257">
        <f>IF($A257="","",IF(SUMIF(FoodLog!$A:$A,$A257,FoodLog!$F:$F)=0,"",SUMIF(FoodLog!$A:$A,$A257,FoodLog!$F:$F)))</f>
        <v/>
      </c>
      <c r="W257">
        <f>IF($A257="","",IF(SUMIF(FoodLog!$A:$A,$A257,FoodLog!$G:$G)=0,"",SUMIF(FoodLog!$A:$A,$A257,FoodLog!$G:$G)))</f>
        <v/>
      </c>
      <c r="X257">
        <f>IF($A257="","",IF(SUMIF(FoodLog!$A:$A,$A257,FoodLog!$H:$H)=0,"",SUMIF(FoodLog!$A:$A,$A257,FoodLog!$H:$H)))</f>
        <v/>
      </c>
      <c r="Y257">
        <f>IF($A257="","",IFERROR(ROUND(100*AVERAGE(IF($B257="","",XLOOKUP($B257,FILTER(Dictionaries!$B:$B,Dictionaries!$A:$A="Тренировка"),FILTER(Dictionaries!$C:$C,Dictionaries!$A:$A="Тренировка"))),IF($C257="","",MIN($C257/40,1)),IF($D257="","",XLOOKUP($D257,FILTER(Dictionaries!$B:$B,Dictionaries!$A:$A="Шаги"),FILTER(Dictionaries!$C:$C,Dictionaries!$A:$A="Шаги"))),IF($E257="","",MIN($E257/120,1)),IF(OR($F257&lt;&gt;"",$G257&lt;&gt;""),1,""),IF($H257="","",MIN($H257/100,1)),IF($L257="","",XLOOKUP($L257,FILTER(Dictionaries!$B:$B,Dictionaries!$A:$A="Сон_часы"),FILTER(Dictionaries!$C:$C,Dictionaries!$A:$A="Сон_часы"))),IF($M257="","",XLOOKUP($M257,FILTER(Dictionaries!$B:$B,Dictionaries!$A:$A="Режим"),FILTER(Dictionaries!$C:$C,Dictionaries!$A:$A="Режим"))),IF($N257="","",MIN($N257/100,1)),IF($O257="","",XLOOKUP($O257,FILTER(Dictionaries!$B:$B,Dictionaries!$A:$A="Настроение"),FILTER(Dictionaries!$C:$C,Dictionaries!$A:$A="Настроение"))),IF($P257="","",XLOOKUP($P257,FILTER(Dictionaries!$B:$B,Dictionaries!$A:$A="Энергия"),FILTER(Dictionaries!$C:$C,Dictionaries!$A:$A="Энергия"))),IF($U257="","",AVERAGE(IF(OR($B257="Ноги",$B257="Верх"),IFS(AND($U257&gt;=1900,$U257&lt;=2050),1,AND($U257&gt;=1850,$U257&lt;1900),0.7,AND($U257&gt;2050,$U257&lt;=2100),0.7,TRUE,0.2),IFS(AND($U257&gt;=1700,$U257&lt;=1850),1,AND($U257&gt;=1650,$U257&lt;1700),0.7,AND($U257&gt;1850,$U257&lt;=1900),0.7,TRUE,0.2)),IF(OR($B257="Ноги",$B257="Верх"),IFS(AND($V257&gt;=125,$V257&lt;=135),1,AND($V257&gt;=115,$V257&lt;125),0.7,AND($V257&gt;135,$V257&lt;=145),0.7,AND($V257&gt;=105,$V257&lt;115),0.4,AND($V257&gt;145,$V257&lt;=155),0.4,TRUE,0.2),IFS(AND($V257&gt;=120,$V257&lt;=130),1,AND($V257&gt;=110,$V257&lt;120),0.7,AND($V257&gt;130,$V257&lt;=140),0.7,AND($V257&gt;=100,$V257&lt;110),0.4,AND($V257&gt;140,$V257&lt;=150),0.4,TRUE,0.2)),IFS(AND($W257&gt;=55,$W257&lt;=65),1,AND($W257&gt;=50,$W257&lt;55),0.7,AND($W257&gt;65,$W257&lt;=70),0.7,AND($W257&gt;=45,$W257&lt;50),0.4,AND($W257&gt;70,$W257&lt;=75),0.4,TRUE,0.2),IF(OR($B257="Ноги",$B257="Верх"),IFS(AND($X257&gt;=180,$X257&lt;=210),1,AND($X257&gt;=160,$X257&lt;180),0.7,AND($X257&gt;210,$X257&lt;=230),0.7,AND($X257&gt;=140,$X257&lt;160),0.4,AND($X257&gt;230,$X257&lt;=250),0.4,TRUE,0.2),IFS(AND($X257&gt;=140,$X257&lt;=170),1,AND($X257&gt;=120,$X257&lt;140),0.7,AND($X257&gt;170,$X257&lt;=190),0.7,AND($X257&gt;=100,$X257&lt;120),0.4,AND($X257&gt;190,$X257&lt;=210),0.4,TRUE,0.2))))),1),""))</f>
        <v/>
      </c>
      <c r="Z257">
        <f>IF($A257="","",TEXTJOIN(", ",TRUE,IF($B257="","Тренировка",""),IF($C257="","Кардио",""),IF($D257="","Шаги",""),IF($E257="","Английский",""),IF($F257="","Код-режим",""),IF($G257="","Код-тема",""),IF($H257="","Чтение",""),IF($L257="","Сон",""),IF($M257="","Режим",""),IF($N257="","Продуктивность",""),IF($O257="","Настроение",""),IF($P257="","Энергия",""),IF($U257="","Еда","")))</f>
        <v/>
      </c>
    </row>
    <row r="258">
      <c r="A258" t="inlineStr"/>
      <c r="U258">
        <f>IF($A258="","",IF(SUMIF(FoodLog!$A:$A,$A258,FoodLog!$I:$I)=0,"",SUMIF(FoodLog!$A:$A,$A258,FoodLog!$I:$I)))</f>
        <v/>
      </c>
      <c r="V258">
        <f>IF($A258="","",IF(SUMIF(FoodLog!$A:$A,$A258,FoodLog!$F:$F)=0,"",SUMIF(FoodLog!$A:$A,$A258,FoodLog!$F:$F)))</f>
        <v/>
      </c>
      <c r="W258">
        <f>IF($A258="","",IF(SUMIF(FoodLog!$A:$A,$A258,FoodLog!$G:$G)=0,"",SUMIF(FoodLog!$A:$A,$A258,FoodLog!$G:$G)))</f>
        <v/>
      </c>
      <c r="X258">
        <f>IF($A258="","",IF(SUMIF(FoodLog!$A:$A,$A258,FoodLog!$H:$H)=0,"",SUMIF(FoodLog!$A:$A,$A258,FoodLog!$H:$H)))</f>
        <v/>
      </c>
      <c r="Y258">
        <f>IF($A258="","",IFERROR(ROUND(100*AVERAGE(IF($B258="","",XLOOKUP($B258,FILTER(Dictionaries!$B:$B,Dictionaries!$A:$A="Тренировка"),FILTER(Dictionaries!$C:$C,Dictionaries!$A:$A="Тренировка"))),IF($C258="","",MIN($C258/40,1)),IF($D258="","",XLOOKUP($D258,FILTER(Dictionaries!$B:$B,Dictionaries!$A:$A="Шаги"),FILTER(Dictionaries!$C:$C,Dictionaries!$A:$A="Шаги"))),IF($E258="","",MIN($E258/120,1)),IF(OR($F258&lt;&gt;"",$G258&lt;&gt;""),1,""),IF($H258="","",MIN($H258/100,1)),IF($L258="","",XLOOKUP($L258,FILTER(Dictionaries!$B:$B,Dictionaries!$A:$A="Сон_часы"),FILTER(Dictionaries!$C:$C,Dictionaries!$A:$A="Сон_часы"))),IF($M258="","",XLOOKUP($M258,FILTER(Dictionaries!$B:$B,Dictionaries!$A:$A="Режим"),FILTER(Dictionaries!$C:$C,Dictionaries!$A:$A="Режим"))),IF($N258="","",MIN($N258/100,1)),IF($O258="","",XLOOKUP($O258,FILTER(Dictionaries!$B:$B,Dictionaries!$A:$A="Настроение"),FILTER(Dictionaries!$C:$C,Dictionaries!$A:$A="Настроение"))),IF($P258="","",XLOOKUP($P258,FILTER(Dictionaries!$B:$B,Dictionaries!$A:$A="Энергия"),FILTER(Dictionaries!$C:$C,Dictionaries!$A:$A="Энергия"))),IF($U258="","",AVERAGE(IF(OR($B258="Ноги",$B258="Верх"),IFS(AND($U258&gt;=1900,$U258&lt;=2050),1,AND($U258&gt;=1850,$U258&lt;1900),0.7,AND($U258&gt;2050,$U258&lt;=2100),0.7,TRUE,0.2),IFS(AND($U258&gt;=1700,$U258&lt;=1850),1,AND($U258&gt;=1650,$U258&lt;1700),0.7,AND($U258&gt;1850,$U258&lt;=1900),0.7,TRUE,0.2)),IF(OR($B258="Ноги",$B258="Верх"),IFS(AND($V258&gt;=125,$V258&lt;=135),1,AND($V258&gt;=115,$V258&lt;125),0.7,AND($V258&gt;135,$V258&lt;=145),0.7,AND($V258&gt;=105,$V258&lt;115),0.4,AND($V258&gt;145,$V258&lt;=155),0.4,TRUE,0.2),IFS(AND($V258&gt;=120,$V258&lt;=130),1,AND($V258&gt;=110,$V258&lt;120),0.7,AND($V258&gt;130,$V258&lt;=140),0.7,AND($V258&gt;=100,$V258&lt;110),0.4,AND($V258&gt;140,$V258&lt;=150),0.4,TRUE,0.2)),IFS(AND($W258&gt;=55,$W258&lt;=65),1,AND($W258&gt;=50,$W258&lt;55),0.7,AND($W258&gt;65,$W258&lt;=70),0.7,AND($W258&gt;=45,$W258&lt;50),0.4,AND($W258&gt;70,$W258&lt;=75),0.4,TRUE,0.2),IF(OR($B258="Ноги",$B258="Верх"),IFS(AND($X258&gt;=180,$X258&lt;=210),1,AND($X258&gt;=160,$X258&lt;180),0.7,AND($X258&gt;210,$X258&lt;=230),0.7,AND($X258&gt;=140,$X258&lt;160),0.4,AND($X258&gt;230,$X258&lt;=250),0.4,TRUE,0.2),IFS(AND($X258&gt;=140,$X258&lt;=170),1,AND($X258&gt;=120,$X258&lt;140),0.7,AND($X258&gt;170,$X258&lt;=190),0.7,AND($X258&gt;=100,$X258&lt;120),0.4,AND($X258&gt;190,$X258&lt;=210),0.4,TRUE,0.2))))),1),""))</f>
        <v/>
      </c>
      <c r="Z258">
        <f>IF($A258="","",TEXTJOIN(", ",TRUE,IF($B258="","Тренировка",""),IF($C258="","Кардио",""),IF($D258="","Шаги",""),IF($E258="","Английский",""),IF($F258="","Код-режим",""),IF($G258="","Код-тема",""),IF($H258="","Чтение",""),IF($L258="","Сон",""),IF($M258="","Режим",""),IF($N258="","Продуктивность",""),IF($O258="","Настроение",""),IF($P258="","Энергия",""),IF($U258="","Еда","")))</f>
        <v/>
      </c>
    </row>
    <row r="259">
      <c r="A259" t="inlineStr"/>
      <c r="U259">
        <f>IF($A259="","",IF(SUMIF(FoodLog!$A:$A,$A259,FoodLog!$I:$I)=0,"",SUMIF(FoodLog!$A:$A,$A259,FoodLog!$I:$I)))</f>
        <v/>
      </c>
      <c r="V259">
        <f>IF($A259="","",IF(SUMIF(FoodLog!$A:$A,$A259,FoodLog!$F:$F)=0,"",SUMIF(FoodLog!$A:$A,$A259,FoodLog!$F:$F)))</f>
        <v/>
      </c>
      <c r="W259">
        <f>IF($A259="","",IF(SUMIF(FoodLog!$A:$A,$A259,FoodLog!$G:$G)=0,"",SUMIF(FoodLog!$A:$A,$A259,FoodLog!$G:$G)))</f>
        <v/>
      </c>
      <c r="X259">
        <f>IF($A259="","",IF(SUMIF(FoodLog!$A:$A,$A259,FoodLog!$H:$H)=0,"",SUMIF(FoodLog!$A:$A,$A259,FoodLog!$H:$H)))</f>
        <v/>
      </c>
      <c r="Y259">
        <f>IF($A259="","",IFERROR(ROUND(100*AVERAGE(IF($B259="","",XLOOKUP($B259,FILTER(Dictionaries!$B:$B,Dictionaries!$A:$A="Тренировка"),FILTER(Dictionaries!$C:$C,Dictionaries!$A:$A="Тренировка"))),IF($C259="","",MIN($C259/40,1)),IF($D259="","",XLOOKUP($D259,FILTER(Dictionaries!$B:$B,Dictionaries!$A:$A="Шаги"),FILTER(Dictionaries!$C:$C,Dictionaries!$A:$A="Шаги"))),IF($E259="","",MIN($E259/120,1)),IF(OR($F259&lt;&gt;"",$G259&lt;&gt;""),1,""),IF($H259="","",MIN($H259/100,1)),IF($L259="","",XLOOKUP($L259,FILTER(Dictionaries!$B:$B,Dictionaries!$A:$A="Сон_часы"),FILTER(Dictionaries!$C:$C,Dictionaries!$A:$A="Сон_часы"))),IF($M259="","",XLOOKUP($M259,FILTER(Dictionaries!$B:$B,Dictionaries!$A:$A="Режим"),FILTER(Dictionaries!$C:$C,Dictionaries!$A:$A="Режим"))),IF($N259="","",MIN($N259/100,1)),IF($O259="","",XLOOKUP($O259,FILTER(Dictionaries!$B:$B,Dictionaries!$A:$A="Настроение"),FILTER(Dictionaries!$C:$C,Dictionaries!$A:$A="Настроение"))),IF($P259="","",XLOOKUP($P259,FILTER(Dictionaries!$B:$B,Dictionaries!$A:$A="Энергия"),FILTER(Dictionaries!$C:$C,Dictionaries!$A:$A="Энергия"))),IF($U259="","",AVERAGE(IF(OR($B259="Ноги",$B259="Верх"),IFS(AND($U259&gt;=1900,$U259&lt;=2050),1,AND($U259&gt;=1850,$U259&lt;1900),0.7,AND($U259&gt;2050,$U259&lt;=2100),0.7,TRUE,0.2),IFS(AND($U259&gt;=1700,$U259&lt;=1850),1,AND($U259&gt;=1650,$U259&lt;1700),0.7,AND($U259&gt;1850,$U259&lt;=1900),0.7,TRUE,0.2)),IF(OR($B259="Ноги",$B259="Верх"),IFS(AND($V259&gt;=125,$V259&lt;=135),1,AND($V259&gt;=115,$V259&lt;125),0.7,AND($V259&gt;135,$V259&lt;=145),0.7,AND($V259&gt;=105,$V259&lt;115),0.4,AND($V259&gt;145,$V259&lt;=155),0.4,TRUE,0.2),IFS(AND($V259&gt;=120,$V259&lt;=130),1,AND($V259&gt;=110,$V259&lt;120),0.7,AND($V259&gt;130,$V259&lt;=140),0.7,AND($V259&gt;=100,$V259&lt;110),0.4,AND($V259&gt;140,$V259&lt;=150),0.4,TRUE,0.2)),IFS(AND($W259&gt;=55,$W259&lt;=65),1,AND($W259&gt;=50,$W259&lt;55),0.7,AND($W259&gt;65,$W259&lt;=70),0.7,AND($W259&gt;=45,$W259&lt;50),0.4,AND($W259&gt;70,$W259&lt;=75),0.4,TRUE,0.2),IF(OR($B259="Ноги",$B259="Верх"),IFS(AND($X259&gt;=180,$X259&lt;=210),1,AND($X259&gt;=160,$X259&lt;180),0.7,AND($X259&gt;210,$X259&lt;=230),0.7,AND($X259&gt;=140,$X259&lt;160),0.4,AND($X259&gt;230,$X259&lt;=250),0.4,TRUE,0.2),IFS(AND($X259&gt;=140,$X259&lt;=170),1,AND($X259&gt;=120,$X259&lt;140),0.7,AND($X259&gt;170,$X259&lt;=190),0.7,AND($X259&gt;=100,$X259&lt;120),0.4,AND($X259&gt;190,$X259&lt;=210),0.4,TRUE,0.2))))),1),""))</f>
        <v/>
      </c>
      <c r="Z259">
        <f>IF($A259="","",TEXTJOIN(", ",TRUE,IF($B259="","Тренировка",""),IF($C259="","Кардио",""),IF($D259="","Шаги",""),IF($E259="","Английский",""),IF($F259="","Код-режим",""),IF($G259="","Код-тема",""),IF($H259="","Чтение",""),IF($L259="","Сон",""),IF($M259="","Режим",""),IF($N259="","Продуктивность",""),IF($O259="","Настроение",""),IF($P259="","Энергия",""),IF($U259="","Еда","")))</f>
        <v/>
      </c>
    </row>
    <row r="260">
      <c r="A260" t="inlineStr"/>
      <c r="U260">
        <f>IF($A260="","",IF(SUMIF(FoodLog!$A:$A,$A260,FoodLog!$I:$I)=0,"",SUMIF(FoodLog!$A:$A,$A260,FoodLog!$I:$I)))</f>
        <v/>
      </c>
      <c r="V260">
        <f>IF($A260="","",IF(SUMIF(FoodLog!$A:$A,$A260,FoodLog!$F:$F)=0,"",SUMIF(FoodLog!$A:$A,$A260,FoodLog!$F:$F)))</f>
        <v/>
      </c>
      <c r="W260">
        <f>IF($A260="","",IF(SUMIF(FoodLog!$A:$A,$A260,FoodLog!$G:$G)=0,"",SUMIF(FoodLog!$A:$A,$A260,FoodLog!$G:$G)))</f>
        <v/>
      </c>
      <c r="X260">
        <f>IF($A260="","",IF(SUMIF(FoodLog!$A:$A,$A260,FoodLog!$H:$H)=0,"",SUMIF(FoodLog!$A:$A,$A260,FoodLog!$H:$H)))</f>
        <v/>
      </c>
      <c r="Y260">
        <f>IF($A260="","",IFERROR(ROUND(100*AVERAGE(IF($B260="","",XLOOKUP($B260,FILTER(Dictionaries!$B:$B,Dictionaries!$A:$A="Тренировка"),FILTER(Dictionaries!$C:$C,Dictionaries!$A:$A="Тренировка"))),IF($C260="","",MIN($C260/40,1)),IF($D260="","",XLOOKUP($D260,FILTER(Dictionaries!$B:$B,Dictionaries!$A:$A="Шаги"),FILTER(Dictionaries!$C:$C,Dictionaries!$A:$A="Шаги"))),IF($E260="","",MIN($E260/120,1)),IF(OR($F260&lt;&gt;"",$G260&lt;&gt;""),1,""),IF($H260="","",MIN($H260/100,1)),IF($L260="","",XLOOKUP($L260,FILTER(Dictionaries!$B:$B,Dictionaries!$A:$A="Сон_часы"),FILTER(Dictionaries!$C:$C,Dictionaries!$A:$A="Сон_часы"))),IF($M260="","",XLOOKUP($M260,FILTER(Dictionaries!$B:$B,Dictionaries!$A:$A="Режим"),FILTER(Dictionaries!$C:$C,Dictionaries!$A:$A="Режим"))),IF($N260="","",MIN($N260/100,1)),IF($O260="","",XLOOKUP($O260,FILTER(Dictionaries!$B:$B,Dictionaries!$A:$A="Настроение"),FILTER(Dictionaries!$C:$C,Dictionaries!$A:$A="Настроение"))),IF($P260="","",XLOOKUP($P260,FILTER(Dictionaries!$B:$B,Dictionaries!$A:$A="Энергия"),FILTER(Dictionaries!$C:$C,Dictionaries!$A:$A="Энергия"))),IF($U260="","",AVERAGE(IF(OR($B260="Ноги",$B260="Верх"),IFS(AND($U260&gt;=1900,$U260&lt;=2050),1,AND($U260&gt;=1850,$U260&lt;1900),0.7,AND($U260&gt;2050,$U260&lt;=2100),0.7,TRUE,0.2),IFS(AND($U260&gt;=1700,$U260&lt;=1850),1,AND($U260&gt;=1650,$U260&lt;1700),0.7,AND($U260&gt;1850,$U260&lt;=1900),0.7,TRUE,0.2)),IF(OR($B260="Ноги",$B260="Верх"),IFS(AND($V260&gt;=125,$V260&lt;=135),1,AND($V260&gt;=115,$V260&lt;125),0.7,AND($V260&gt;135,$V260&lt;=145),0.7,AND($V260&gt;=105,$V260&lt;115),0.4,AND($V260&gt;145,$V260&lt;=155),0.4,TRUE,0.2),IFS(AND($V260&gt;=120,$V260&lt;=130),1,AND($V260&gt;=110,$V260&lt;120),0.7,AND($V260&gt;130,$V260&lt;=140),0.7,AND($V260&gt;=100,$V260&lt;110),0.4,AND($V260&gt;140,$V260&lt;=150),0.4,TRUE,0.2)),IFS(AND($W260&gt;=55,$W260&lt;=65),1,AND($W260&gt;=50,$W260&lt;55),0.7,AND($W260&gt;65,$W260&lt;=70),0.7,AND($W260&gt;=45,$W260&lt;50),0.4,AND($W260&gt;70,$W260&lt;=75),0.4,TRUE,0.2),IF(OR($B260="Ноги",$B260="Верх"),IFS(AND($X260&gt;=180,$X260&lt;=210),1,AND($X260&gt;=160,$X260&lt;180),0.7,AND($X260&gt;210,$X260&lt;=230),0.7,AND($X260&gt;=140,$X260&lt;160),0.4,AND($X260&gt;230,$X260&lt;=250),0.4,TRUE,0.2),IFS(AND($X260&gt;=140,$X260&lt;=170),1,AND($X260&gt;=120,$X260&lt;140),0.7,AND($X260&gt;170,$X260&lt;=190),0.7,AND($X260&gt;=100,$X260&lt;120),0.4,AND($X260&gt;190,$X260&lt;=210),0.4,TRUE,0.2))))),1),""))</f>
        <v/>
      </c>
      <c r="Z260">
        <f>IF($A260="","",TEXTJOIN(", ",TRUE,IF($B260="","Тренировка",""),IF($C260="","Кардио",""),IF($D260="","Шаги",""),IF($E260="","Английский",""),IF($F260="","Код-режим",""),IF($G260="","Код-тема",""),IF($H260="","Чтение",""),IF($L260="","Сон",""),IF($M260="","Режим",""),IF($N260="","Продуктивность",""),IF($O260="","Настроение",""),IF($P260="","Энергия",""),IF($U260="","Еда","")))</f>
        <v/>
      </c>
    </row>
    <row r="261">
      <c r="A261" t="inlineStr"/>
      <c r="U261">
        <f>IF($A261="","",IF(SUMIF(FoodLog!$A:$A,$A261,FoodLog!$I:$I)=0,"",SUMIF(FoodLog!$A:$A,$A261,FoodLog!$I:$I)))</f>
        <v/>
      </c>
      <c r="V261">
        <f>IF($A261="","",IF(SUMIF(FoodLog!$A:$A,$A261,FoodLog!$F:$F)=0,"",SUMIF(FoodLog!$A:$A,$A261,FoodLog!$F:$F)))</f>
        <v/>
      </c>
      <c r="W261">
        <f>IF($A261="","",IF(SUMIF(FoodLog!$A:$A,$A261,FoodLog!$G:$G)=0,"",SUMIF(FoodLog!$A:$A,$A261,FoodLog!$G:$G)))</f>
        <v/>
      </c>
      <c r="X261">
        <f>IF($A261="","",IF(SUMIF(FoodLog!$A:$A,$A261,FoodLog!$H:$H)=0,"",SUMIF(FoodLog!$A:$A,$A261,FoodLog!$H:$H)))</f>
        <v/>
      </c>
      <c r="Y261">
        <f>IF($A261="","",IFERROR(ROUND(100*AVERAGE(IF($B261="","",XLOOKUP($B261,FILTER(Dictionaries!$B:$B,Dictionaries!$A:$A="Тренировка"),FILTER(Dictionaries!$C:$C,Dictionaries!$A:$A="Тренировка"))),IF($C261="","",MIN($C261/40,1)),IF($D261="","",XLOOKUP($D261,FILTER(Dictionaries!$B:$B,Dictionaries!$A:$A="Шаги"),FILTER(Dictionaries!$C:$C,Dictionaries!$A:$A="Шаги"))),IF($E261="","",MIN($E261/120,1)),IF(OR($F261&lt;&gt;"",$G261&lt;&gt;""),1,""),IF($H261="","",MIN($H261/100,1)),IF($L261="","",XLOOKUP($L261,FILTER(Dictionaries!$B:$B,Dictionaries!$A:$A="Сон_часы"),FILTER(Dictionaries!$C:$C,Dictionaries!$A:$A="Сон_часы"))),IF($M261="","",XLOOKUP($M261,FILTER(Dictionaries!$B:$B,Dictionaries!$A:$A="Режим"),FILTER(Dictionaries!$C:$C,Dictionaries!$A:$A="Режим"))),IF($N261="","",MIN($N261/100,1)),IF($O261="","",XLOOKUP($O261,FILTER(Dictionaries!$B:$B,Dictionaries!$A:$A="Настроение"),FILTER(Dictionaries!$C:$C,Dictionaries!$A:$A="Настроение"))),IF($P261="","",XLOOKUP($P261,FILTER(Dictionaries!$B:$B,Dictionaries!$A:$A="Энергия"),FILTER(Dictionaries!$C:$C,Dictionaries!$A:$A="Энергия"))),IF($U261="","",AVERAGE(IF(OR($B261="Ноги",$B261="Верх"),IFS(AND($U261&gt;=1900,$U261&lt;=2050),1,AND($U261&gt;=1850,$U261&lt;1900),0.7,AND($U261&gt;2050,$U261&lt;=2100),0.7,TRUE,0.2),IFS(AND($U261&gt;=1700,$U261&lt;=1850),1,AND($U261&gt;=1650,$U261&lt;1700),0.7,AND($U261&gt;1850,$U261&lt;=1900),0.7,TRUE,0.2)),IF(OR($B261="Ноги",$B261="Верх"),IFS(AND($V261&gt;=125,$V261&lt;=135),1,AND($V261&gt;=115,$V261&lt;125),0.7,AND($V261&gt;135,$V261&lt;=145),0.7,AND($V261&gt;=105,$V261&lt;115),0.4,AND($V261&gt;145,$V261&lt;=155),0.4,TRUE,0.2),IFS(AND($V261&gt;=120,$V261&lt;=130),1,AND($V261&gt;=110,$V261&lt;120),0.7,AND($V261&gt;130,$V261&lt;=140),0.7,AND($V261&gt;=100,$V261&lt;110),0.4,AND($V261&gt;140,$V261&lt;=150),0.4,TRUE,0.2)),IFS(AND($W261&gt;=55,$W261&lt;=65),1,AND($W261&gt;=50,$W261&lt;55),0.7,AND($W261&gt;65,$W261&lt;=70),0.7,AND($W261&gt;=45,$W261&lt;50),0.4,AND($W261&gt;70,$W261&lt;=75),0.4,TRUE,0.2),IF(OR($B261="Ноги",$B261="Верх"),IFS(AND($X261&gt;=180,$X261&lt;=210),1,AND($X261&gt;=160,$X261&lt;180),0.7,AND($X261&gt;210,$X261&lt;=230),0.7,AND($X261&gt;=140,$X261&lt;160),0.4,AND($X261&gt;230,$X261&lt;=250),0.4,TRUE,0.2),IFS(AND($X261&gt;=140,$X261&lt;=170),1,AND($X261&gt;=120,$X261&lt;140),0.7,AND($X261&gt;170,$X261&lt;=190),0.7,AND($X261&gt;=100,$X261&lt;120),0.4,AND($X261&gt;190,$X261&lt;=210),0.4,TRUE,0.2))))),1),""))</f>
        <v/>
      </c>
      <c r="Z261">
        <f>IF($A261="","",TEXTJOIN(", ",TRUE,IF($B261="","Тренировка",""),IF($C261="","Кардио",""),IF($D261="","Шаги",""),IF($E261="","Английский",""),IF($F261="","Код-режим",""),IF($G261="","Код-тема",""),IF($H261="","Чтение",""),IF($L261="","Сон",""),IF($M261="","Режим",""),IF($N261="","Продуктивность",""),IF($O261="","Настроение",""),IF($P261="","Энергия",""),IF($U261="","Еда","")))</f>
        <v/>
      </c>
    </row>
    <row r="262">
      <c r="A262" t="inlineStr"/>
      <c r="U262">
        <f>IF($A262="","",IF(SUMIF(FoodLog!$A:$A,$A262,FoodLog!$I:$I)=0,"",SUMIF(FoodLog!$A:$A,$A262,FoodLog!$I:$I)))</f>
        <v/>
      </c>
      <c r="V262">
        <f>IF($A262="","",IF(SUMIF(FoodLog!$A:$A,$A262,FoodLog!$F:$F)=0,"",SUMIF(FoodLog!$A:$A,$A262,FoodLog!$F:$F)))</f>
        <v/>
      </c>
      <c r="W262">
        <f>IF($A262="","",IF(SUMIF(FoodLog!$A:$A,$A262,FoodLog!$G:$G)=0,"",SUMIF(FoodLog!$A:$A,$A262,FoodLog!$G:$G)))</f>
        <v/>
      </c>
      <c r="X262">
        <f>IF($A262="","",IF(SUMIF(FoodLog!$A:$A,$A262,FoodLog!$H:$H)=0,"",SUMIF(FoodLog!$A:$A,$A262,FoodLog!$H:$H)))</f>
        <v/>
      </c>
      <c r="Y262">
        <f>IF($A262="","",IFERROR(ROUND(100*AVERAGE(IF($B262="","",XLOOKUP($B262,FILTER(Dictionaries!$B:$B,Dictionaries!$A:$A="Тренировка"),FILTER(Dictionaries!$C:$C,Dictionaries!$A:$A="Тренировка"))),IF($C262="","",MIN($C262/40,1)),IF($D262="","",XLOOKUP($D262,FILTER(Dictionaries!$B:$B,Dictionaries!$A:$A="Шаги"),FILTER(Dictionaries!$C:$C,Dictionaries!$A:$A="Шаги"))),IF($E262="","",MIN($E262/120,1)),IF(OR($F262&lt;&gt;"",$G262&lt;&gt;""),1,""),IF($H262="","",MIN($H262/100,1)),IF($L262="","",XLOOKUP($L262,FILTER(Dictionaries!$B:$B,Dictionaries!$A:$A="Сон_часы"),FILTER(Dictionaries!$C:$C,Dictionaries!$A:$A="Сон_часы"))),IF($M262="","",XLOOKUP($M262,FILTER(Dictionaries!$B:$B,Dictionaries!$A:$A="Режим"),FILTER(Dictionaries!$C:$C,Dictionaries!$A:$A="Режим"))),IF($N262="","",MIN($N262/100,1)),IF($O262="","",XLOOKUP($O262,FILTER(Dictionaries!$B:$B,Dictionaries!$A:$A="Настроение"),FILTER(Dictionaries!$C:$C,Dictionaries!$A:$A="Настроение"))),IF($P262="","",XLOOKUP($P262,FILTER(Dictionaries!$B:$B,Dictionaries!$A:$A="Энергия"),FILTER(Dictionaries!$C:$C,Dictionaries!$A:$A="Энергия"))),IF($U262="","",AVERAGE(IF(OR($B262="Ноги",$B262="Верх"),IFS(AND($U262&gt;=1900,$U262&lt;=2050),1,AND($U262&gt;=1850,$U262&lt;1900),0.7,AND($U262&gt;2050,$U262&lt;=2100),0.7,TRUE,0.2),IFS(AND($U262&gt;=1700,$U262&lt;=1850),1,AND($U262&gt;=1650,$U262&lt;1700),0.7,AND($U262&gt;1850,$U262&lt;=1900),0.7,TRUE,0.2)),IF(OR($B262="Ноги",$B262="Верх"),IFS(AND($V262&gt;=125,$V262&lt;=135),1,AND($V262&gt;=115,$V262&lt;125),0.7,AND($V262&gt;135,$V262&lt;=145),0.7,AND($V262&gt;=105,$V262&lt;115),0.4,AND($V262&gt;145,$V262&lt;=155),0.4,TRUE,0.2),IFS(AND($V262&gt;=120,$V262&lt;=130),1,AND($V262&gt;=110,$V262&lt;120),0.7,AND($V262&gt;130,$V262&lt;=140),0.7,AND($V262&gt;=100,$V262&lt;110),0.4,AND($V262&gt;140,$V262&lt;=150),0.4,TRUE,0.2)),IFS(AND($W262&gt;=55,$W262&lt;=65),1,AND($W262&gt;=50,$W262&lt;55),0.7,AND($W262&gt;65,$W262&lt;=70),0.7,AND($W262&gt;=45,$W262&lt;50),0.4,AND($W262&gt;70,$W262&lt;=75),0.4,TRUE,0.2),IF(OR($B262="Ноги",$B262="Верх"),IFS(AND($X262&gt;=180,$X262&lt;=210),1,AND($X262&gt;=160,$X262&lt;180),0.7,AND($X262&gt;210,$X262&lt;=230),0.7,AND($X262&gt;=140,$X262&lt;160),0.4,AND($X262&gt;230,$X262&lt;=250),0.4,TRUE,0.2),IFS(AND($X262&gt;=140,$X262&lt;=170),1,AND($X262&gt;=120,$X262&lt;140),0.7,AND($X262&gt;170,$X262&lt;=190),0.7,AND($X262&gt;=100,$X262&lt;120),0.4,AND($X262&gt;190,$X262&lt;=210),0.4,TRUE,0.2))))),1),""))</f>
        <v/>
      </c>
      <c r="Z262">
        <f>IF($A262="","",TEXTJOIN(", ",TRUE,IF($B262="","Тренировка",""),IF($C262="","Кардио",""),IF($D262="","Шаги",""),IF($E262="","Английский",""),IF($F262="","Код-режим",""),IF($G262="","Код-тема",""),IF($H262="","Чтение",""),IF($L262="","Сон",""),IF($M262="","Режим",""),IF($N262="","Продуктивность",""),IF($O262="","Настроение",""),IF($P262="","Энергия",""),IF($U262="","Еда","")))</f>
        <v/>
      </c>
    </row>
    <row r="263">
      <c r="A263" t="inlineStr"/>
      <c r="U263">
        <f>IF($A263="","",IF(SUMIF(FoodLog!$A:$A,$A263,FoodLog!$I:$I)=0,"",SUMIF(FoodLog!$A:$A,$A263,FoodLog!$I:$I)))</f>
        <v/>
      </c>
      <c r="V263">
        <f>IF($A263="","",IF(SUMIF(FoodLog!$A:$A,$A263,FoodLog!$F:$F)=0,"",SUMIF(FoodLog!$A:$A,$A263,FoodLog!$F:$F)))</f>
        <v/>
      </c>
      <c r="W263">
        <f>IF($A263="","",IF(SUMIF(FoodLog!$A:$A,$A263,FoodLog!$G:$G)=0,"",SUMIF(FoodLog!$A:$A,$A263,FoodLog!$G:$G)))</f>
        <v/>
      </c>
      <c r="X263">
        <f>IF($A263="","",IF(SUMIF(FoodLog!$A:$A,$A263,FoodLog!$H:$H)=0,"",SUMIF(FoodLog!$A:$A,$A263,FoodLog!$H:$H)))</f>
        <v/>
      </c>
      <c r="Y263">
        <f>IF($A263="","",IFERROR(ROUND(100*AVERAGE(IF($B263="","",XLOOKUP($B263,FILTER(Dictionaries!$B:$B,Dictionaries!$A:$A="Тренировка"),FILTER(Dictionaries!$C:$C,Dictionaries!$A:$A="Тренировка"))),IF($C263="","",MIN($C263/40,1)),IF($D263="","",XLOOKUP($D263,FILTER(Dictionaries!$B:$B,Dictionaries!$A:$A="Шаги"),FILTER(Dictionaries!$C:$C,Dictionaries!$A:$A="Шаги"))),IF($E263="","",MIN($E263/120,1)),IF(OR($F263&lt;&gt;"",$G263&lt;&gt;""),1,""),IF($H263="","",MIN($H263/100,1)),IF($L263="","",XLOOKUP($L263,FILTER(Dictionaries!$B:$B,Dictionaries!$A:$A="Сон_часы"),FILTER(Dictionaries!$C:$C,Dictionaries!$A:$A="Сон_часы"))),IF($M263="","",XLOOKUP($M263,FILTER(Dictionaries!$B:$B,Dictionaries!$A:$A="Режим"),FILTER(Dictionaries!$C:$C,Dictionaries!$A:$A="Режим"))),IF($N263="","",MIN($N263/100,1)),IF($O263="","",XLOOKUP($O263,FILTER(Dictionaries!$B:$B,Dictionaries!$A:$A="Настроение"),FILTER(Dictionaries!$C:$C,Dictionaries!$A:$A="Настроение"))),IF($P263="","",XLOOKUP($P263,FILTER(Dictionaries!$B:$B,Dictionaries!$A:$A="Энергия"),FILTER(Dictionaries!$C:$C,Dictionaries!$A:$A="Энергия"))),IF($U263="","",AVERAGE(IF(OR($B263="Ноги",$B263="Верх"),IFS(AND($U263&gt;=1900,$U263&lt;=2050),1,AND($U263&gt;=1850,$U263&lt;1900),0.7,AND($U263&gt;2050,$U263&lt;=2100),0.7,TRUE,0.2),IFS(AND($U263&gt;=1700,$U263&lt;=1850),1,AND($U263&gt;=1650,$U263&lt;1700),0.7,AND($U263&gt;1850,$U263&lt;=1900),0.7,TRUE,0.2)),IF(OR($B263="Ноги",$B263="Верх"),IFS(AND($V263&gt;=125,$V263&lt;=135),1,AND($V263&gt;=115,$V263&lt;125),0.7,AND($V263&gt;135,$V263&lt;=145),0.7,AND($V263&gt;=105,$V263&lt;115),0.4,AND($V263&gt;145,$V263&lt;=155),0.4,TRUE,0.2),IFS(AND($V263&gt;=120,$V263&lt;=130),1,AND($V263&gt;=110,$V263&lt;120),0.7,AND($V263&gt;130,$V263&lt;=140),0.7,AND($V263&gt;=100,$V263&lt;110),0.4,AND($V263&gt;140,$V263&lt;=150),0.4,TRUE,0.2)),IFS(AND($W263&gt;=55,$W263&lt;=65),1,AND($W263&gt;=50,$W263&lt;55),0.7,AND($W263&gt;65,$W263&lt;=70),0.7,AND($W263&gt;=45,$W263&lt;50),0.4,AND($W263&gt;70,$W263&lt;=75),0.4,TRUE,0.2),IF(OR($B263="Ноги",$B263="Верх"),IFS(AND($X263&gt;=180,$X263&lt;=210),1,AND($X263&gt;=160,$X263&lt;180),0.7,AND($X263&gt;210,$X263&lt;=230),0.7,AND($X263&gt;=140,$X263&lt;160),0.4,AND($X263&gt;230,$X263&lt;=250),0.4,TRUE,0.2),IFS(AND($X263&gt;=140,$X263&lt;=170),1,AND($X263&gt;=120,$X263&lt;140),0.7,AND($X263&gt;170,$X263&lt;=190),0.7,AND($X263&gt;=100,$X263&lt;120),0.4,AND($X263&gt;190,$X263&lt;=210),0.4,TRUE,0.2))))),1),""))</f>
        <v/>
      </c>
      <c r="Z263">
        <f>IF($A263="","",TEXTJOIN(", ",TRUE,IF($B263="","Тренировка",""),IF($C263="","Кардио",""),IF($D263="","Шаги",""),IF($E263="","Английский",""),IF($F263="","Код-режим",""),IF($G263="","Код-тема",""),IF($H263="","Чтение",""),IF($L263="","Сон",""),IF($M263="","Режим",""),IF($N263="","Продуктивность",""),IF($O263="","Настроение",""),IF($P263="","Энергия",""),IF($U263="","Еда","")))</f>
        <v/>
      </c>
    </row>
    <row r="264">
      <c r="A264" t="inlineStr"/>
      <c r="U264">
        <f>IF($A264="","",IF(SUMIF(FoodLog!$A:$A,$A264,FoodLog!$I:$I)=0,"",SUMIF(FoodLog!$A:$A,$A264,FoodLog!$I:$I)))</f>
        <v/>
      </c>
      <c r="V264">
        <f>IF($A264="","",IF(SUMIF(FoodLog!$A:$A,$A264,FoodLog!$F:$F)=0,"",SUMIF(FoodLog!$A:$A,$A264,FoodLog!$F:$F)))</f>
        <v/>
      </c>
      <c r="W264">
        <f>IF($A264="","",IF(SUMIF(FoodLog!$A:$A,$A264,FoodLog!$G:$G)=0,"",SUMIF(FoodLog!$A:$A,$A264,FoodLog!$G:$G)))</f>
        <v/>
      </c>
      <c r="X264">
        <f>IF($A264="","",IF(SUMIF(FoodLog!$A:$A,$A264,FoodLog!$H:$H)=0,"",SUMIF(FoodLog!$A:$A,$A264,FoodLog!$H:$H)))</f>
        <v/>
      </c>
      <c r="Y264">
        <f>IF($A264="","",IFERROR(ROUND(100*AVERAGE(IF($B264="","",XLOOKUP($B264,FILTER(Dictionaries!$B:$B,Dictionaries!$A:$A="Тренировка"),FILTER(Dictionaries!$C:$C,Dictionaries!$A:$A="Тренировка"))),IF($C264="","",MIN($C264/40,1)),IF($D264="","",XLOOKUP($D264,FILTER(Dictionaries!$B:$B,Dictionaries!$A:$A="Шаги"),FILTER(Dictionaries!$C:$C,Dictionaries!$A:$A="Шаги"))),IF($E264="","",MIN($E264/120,1)),IF(OR($F264&lt;&gt;"",$G264&lt;&gt;""),1,""),IF($H264="","",MIN($H264/100,1)),IF($L264="","",XLOOKUP($L264,FILTER(Dictionaries!$B:$B,Dictionaries!$A:$A="Сон_часы"),FILTER(Dictionaries!$C:$C,Dictionaries!$A:$A="Сон_часы"))),IF($M264="","",XLOOKUP($M264,FILTER(Dictionaries!$B:$B,Dictionaries!$A:$A="Режим"),FILTER(Dictionaries!$C:$C,Dictionaries!$A:$A="Режим"))),IF($N264="","",MIN($N264/100,1)),IF($O264="","",XLOOKUP($O264,FILTER(Dictionaries!$B:$B,Dictionaries!$A:$A="Настроение"),FILTER(Dictionaries!$C:$C,Dictionaries!$A:$A="Настроение"))),IF($P264="","",XLOOKUP($P264,FILTER(Dictionaries!$B:$B,Dictionaries!$A:$A="Энергия"),FILTER(Dictionaries!$C:$C,Dictionaries!$A:$A="Энергия"))),IF($U264="","",AVERAGE(IF(OR($B264="Ноги",$B264="Верх"),IFS(AND($U264&gt;=1900,$U264&lt;=2050),1,AND($U264&gt;=1850,$U264&lt;1900),0.7,AND($U264&gt;2050,$U264&lt;=2100),0.7,TRUE,0.2),IFS(AND($U264&gt;=1700,$U264&lt;=1850),1,AND($U264&gt;=1650,$U264&lt;1700),0.7,AND($U264&gt;1850,$U264&lt;=1900),0.7,TRUE,0.2)),IF(OR($B264="Ноги",$B264="Верх"),IFS(AND($V264&gt;=125,$V264&lt;=135),1,AND($V264&gt;=115,$V264&lt;125),0.7,AND($V264&gt;135,$V264&lt;=145),0.7,AND($V264&gt;=105,$V264&lt;115),0.4,AND($V264&gt;145,$V264&lt;=155),0.4,TRUE,0.2),IFS(AND($V264&gt;=120,$V264&lt;=130),1,AND($V264&gt;=110,$V264&lt;120),0.7,AND($V264&gt;130,$V264&lt;=140),0.7,AND($V264&gt;=100,$V264&lt;110),0.4,AND($V264&gt;140,$V264&lt;=150),0.4,TRUE,0.2)),IFS(AND($W264&gt;=55,$W264&lt;=65),1,AND($W264&gt;=50,$W264&lt;55),0.7,AND($W264&gt;65,$W264&lt;=70),0.7,AND($W264&gt;=45,$W264&lt;50),0.4,AND($W264&gt;70,$W264&lt;=75),0.4,TRUE,0.2),IF(OR($B264="Ноги",$B264="Верх"),IFS(AND($X264&gt;=180,$X264&lt;=210),1,AND($X264&gt;=160,$X264&lt;180),0.7,AND($X264&gt;210,$X264&lt;=230),0.7,AND($X264&gt;=140,$X264&lt;160),0.4,AND($X264&gt;230,$X264&lt;=250),0.4,TRUE,0.2),IFS(AND($X264&gt;=140,$X264&lt;=170),1,AND($X264&gt;=120,$X264&lt;140),0.7,AND($X264&gt;170,$X264&lt;=190),0.7,AND($X264&gt;=100,$X264&lt;120),0.4,AND($X264&gt;190,$X264&lt;=210),0.4,TRUE,0.2))))),1),""))</f>
        <v/>
      </c>
      <c r="Z264">
        <f>IF($A264="","",TEXTJOIN(", ",TRUE,IF($B264="","Тренировка",""),IF($C264="","Кардио",""),IF($D264="","Шаги",""),IF($E264="","Английский",""),IF($F264="","Код-режим",""),IF($G264="","Код-тема",""),IF($H264="","Чтение",""),IF($L264="","Сон",""),IF($M264="","Режим",""),IF($N264="","Продуктивность",""),IF($O264="","Настроение",""),IF($P264="","Энергия",""),IF($U264="","Еда","")))</f>
        <v/>
      </c>
    </row>
    <row r="265">
      <c r="A265" t="inlineStr"/>
      <c r="U265">
        <f>IF($A265="","",IF(SUMIF(FoodLog!$A:$A,$A265,FoodLog!$I:$I)=0,"",SUMIF(FoodLog!$A:$A,$A265,FoodLog!$I:$I)))</f>
        <v/>
      </c>
      <c r="V265">
        <f>IF($A265="","",IF(SUMIF(FoodLog!$A:$A,$A265,FoodLog!$F:$F)=0,"",SUMIF(FoodLog!$A:$A,$A265,FoodLog!$F:$F)))</f>
        <v/>
      </c>
      <c r="W265">
        <f>IF($A265="","",IF(SUMIF(FoodLog!$A:$A,$A265,FoodLog!$G:$G)=0,"",SUMIF(FoodLog!$A:$A,$A265,FoodLog!$G:$G)))</f>
        <v/>
      </c>
      <c r="X265">
        <f>IF($A265="","",IF(SUMIF(FoodLog!$A:$A,$A265,FoodLog!$H:$H)=0,"",SUMIF(FoodLog!$A:$A,$A265,FoodLog!$H:$H)))</f>
        <v/>
      </c>
      <c r="Y265">
        <f>IF($A265="","",IFERROR(ROUND(100*AVERAGE(IF($B265="","",XLOOKUP($B265,FILTER(Dictionaries!$B:$B,Dictionaries!$A:$A="Тренировка"),FILTER(Dictionaries!$C:$C,Dictionaries!$A:$A="Тренировка"))),IF($C265="","",MIN($C265/40,1)),IF($D265="","",XLOOKUP($D265,FILTER(Dictionaries!$B:$B,Dictionaries!$A:$A="Шаги"),FILTER(Dictionaries!$C:$C,Dictionaries!$A:$A="Шаги"))),IF($E265="","",MIN($E265/120,1)),IF(OR($F265&lt;&gt;"",$G265&lt;&gt;""),1,""),IF($H265="","",MIN($H265/100,1)),IF($L265="","",XLOOKUP($L265,FILTER(Dictionaries!$B:$B,Dictionaries!$A:$A="Сон_часы"),FILTER(Dictionaries!$C:$C,Dictionaries!$A:$A="Сон_часы"))),IF($M265="","",XLOOKUP($M265,FILTER(Dictionaries!$B:$B,Dictionaries!$A:$A="Режим"),FILTER(Dictionaries!$C:$C,Dictionaries!$A:$A="Режим"))),IF($N265="","",MIN($N265/100,1)),IF($O265="","",XLOOKUP($O265,FILTER(Dictionaries!$B:$B,Dictionaries!$A:$A="Настроение"),FILTER(Dictionaries!$C:$C,Dictionaries!$A:$A="Настроение"))),IF($P265="","",XLOOKUP($P265,FILTER(Dictionaries!$B:$B,Dictionaries!$A:$A="Энергия"),FILTER(Dictionaries!$C:$C,Dictionaries!$A:$A="Энергия"))),IF($U265="","",AVERAGE(IF(OR($B265="Ноги",$B265="Верх"),IFS(AND($U265&gt;=1900,$U265&lt;=2050),1,AND($U265&gt;=1850,$U265&lt;1900),0.7,AND($U265&gt;2050,$U265&lt;=2100),0.7,TRUE,0.2),IFS(AND($U265&gt;=1700,$U265&lt;=1850),1,AND($U265&gt;=1650,$U265&lt;1700),0.7,AND($U265&gt;1850,$U265&lt;=1900),0.7,TRUE,0.2)),IF(OR($B265="Ноги",$B265="Верх"),IFS(AND($V265&gt;=125,$V265&lt;=135),1,AND($V265&gt;=115,$V265&lt;125),0.7,AND($V265&gt;135,$V265&lt;=145),0.7,AND($V265&gt;=105,$V265&lt;115),0.4,AND($V265&gt;145,$V265&lt;=155),0.4,TRUE,0.2),IFS(AND($V265&gt;=120,$V265&lt;=130),1,AND($V265&gt;=110,$V265&lt;120),0.7,AND($V265&gt;130,$V265&lt;=140),0.7,AND($V265&gt;=100,$V265&lt;110),0.4,AND($V265&gt;140,$V265&lt;=150),0.4,TRUE,0.2)),IFS(AND($W265&gt;=55,$W265&lt;=65),1,AND($W265&gt;=50,$W265&lt;55),0.7,AND($W265&gt;65,$W265&lt;=70),0.7,AND($W265&gt;=45,$W265&lt;50),0.4,AND($W265&gt;70,$W265&lt;=75),0.4,TRUE,0.2),IF(OR($B265="Ноги",$B265="Верх"),IFS(AND($X265&gt;=180,$X265&lt;=210),1,AND($X265&gt;=160,$X265&lt;180),0.7,AND($X265&gt;210,$X265&lt;=230),0.7,AND($X265&gt;=140,$X265&lt;160),0.4,AND($X265&gt;230,$X265&lt;=250),0.4,TRUE,0.2),IFS(AND($X265&gt;=140,$X265&lt;=170),1,AND($X265&gt;=120,$X265&lt;140),0.7,AND($X265&gt;170,$X265&lt;=190),0.7,AND($X265&gt;=100,$X265&lt;120),0.4,AND($X265&gt;190,$X265&lt;=210),0.4,TRUE,0.2))))),1),""))</f>
        <v/>
      </c>
      <c r="Z265">
        <f>IF($A265="","",TEXTJOIN(", ",TRUE,IF($B265="","Тренировка",""),IF($C265="","Кардио",""),IF($D265="","Шаги",""),IF($E265="","Английский",""),IF($F265="","Код-режим",""),IF($G265="","Код-тема",""),IF($H265="","Чтение",""),IF($L265="","Сон",""),IF($M265="","Режим",""),IF($N265="","Продуктивность",""),IF($O265="","Настроение",""),IF($P265="","Энергия",""),IF($U265="","Еда","")))</f>
        <v/>
      </c>
    </row>
    <row r="266">
      <c r="A266" t="inlineStr"/>
      <c r="U266">
        <f>IF($A266="","",IF(SUMIF(FoodLog!$A:$A,$A266,FoodLog!$I:$I)=0,"",SUMIF(FoodLog!$A:$A,$A266,FoodLog!$I:$I)))</f>
        <v/>
      </c>
      <c r="V266">
        <f>IF($A266="","",IF(SUMIF(FoodLog!$A:$A,$A266,FoodLog!$F:$F)=0,"",SUMIF(FoodLog!$A:$A,$A266,FoodLog!$F:$F)))</f>
        <v/>
      </c>
      <c r="W266">
        <f>IF($A266="","",IF(SUMIF(FoodLog!$A:$A,$A266,FoodLog!$G:$G)=0,"",SUMIF(FoodLog!$A:$A,$A266,FoodLog!$G:$G)))</f>
        <v/>
      </c>
      <c r="X266">
        <f>IF($A266="","",IF(SUMIF(FoodLog!$A:$A,$A266,FoodLog!$H:$H)=0,"",SUMIF(FoodLog!$A:$A,$A266,FoodLog!$H:$H)))</f>
        <v/>
      </c>
      <c r="Y266">
        <f>IF($A266="","",IFERROR(ROUND(100*AVERAGE(IF($B266="","",XLOOKUP($B266,FILTER(Dictionaries!$B:$B,Dictionaries!$A:$A="Тренировка"),FILTER(Dictionaries!$C:$C,Dictionaries!$A:$A="Тренировка"))),IF($C266="","",MIN($C266/40,1)),IF($D266="","",XLOOKUP($D266,FILTER(Dictionaries!$B:$B,Dictionaries!$A:$A="Шаги"),FILTER(Dictionaries!$C:$C,Dictionaries!$A:$A="Шаги"))),IF($E266="","",MIN($E266/120,1)),IF(OR($F266&lt;&gt;"",$G266&lt;&gt;""),1,""),IF($H266="","",MIN($H266/100,1)),IF($L266="","",XLOOKUP($L266,FILTER(Dictionaries!$B:$B,Dictionaries!$A:$A="Сон_часы"),FILTER(Dictionaries!$C:$C,Dictionaries!$A:$A="Сон_часы"))),IF($M266="","",XLOOKUP($M266,FILTER(Dictionaries!$B:$B,Dictionaries!$A:$A="Режим"),FILTER(Dictionaries!$C:$C,Dictionaries!$A:$A="Режим"))),IF($N266="","",MIN($N266/100,1)),IF($O266="","",XLOOKUP($O266,FILTER(Dictionaries!$B:$B,Dictionaries!$A:$A="Настроение"),FILTER(Dictionaries!$C:$C,Dictionaries!$A:$A="Настроение"))),IF($P266="","",XLOOKUP($P266,FILTER(Dictionaries!$B:$B,Dictionaries!$A:$A="Энергия"),FILTER(Dictionaries!$C:$C,Dictionaries!$A:$A="Энергия"))),IF($U266="","",AVERAGE(IF(OR($B266="Ноги",$B266="Верх"),IFS(AND($U266&gt;=1900,$U266&lt;=2050),1,AND($U266&gt;=1850,$U266&lt;1900),0.7,AND($U266&gt;2050,$U266&lt;=2100),0.7,TRUE,0.2),IFS(AND($U266&gt;=1700,$U266&lt;=1850),1,AND($U266&gt;=1650,$U266&lt;1700),0.7,AND($U266&gt;1850,$U266&lt;=1900),0.7,TRUE,0.2)),IF(OR($B266="Ноги",$B266="Верх"),IFS(AND($V266&gt;=125,$V266&lt;=135),1,AND($V266&gt;=115,$V266&lt;125),0.7,AND($V266&gt;135,$V266&lt;=145),0.7,AND($V266&gt;=105,$V266&lt;115),0.4,AND($V266&gt;145,$V266&lt;=155),0.4,TRUE,0.2),IFS(AND($V266&gt;=120,$V266&lt;=130),1,AND($V266&gt;=110,$V266&lt;120),0.7,AND($V266&gt;130,$V266&lt;=140),0.7,AND($V266&gt;=100,$V266&lt;110),0.4,AND($V266&gt;140,$V266&lt;=150),0.4,TRUE,0.2)),IFS(AND($W266&gt;=55,$W266&lt;=65),1,AND($W266&gt;=50,$W266&lt;55),0.7,AND($W266&gt;65,$W266&lt;=70),0.7,AND($W266&gt;=45,$W266&lt;50),0.4,AND($W266&gt;70,$W266&lt;=75),0.4,TRUE,0.2),IF(OR($B266="Ноги",$B266="Верх"),IFS(AND($X266&gt;=180,$X266&lt;=210),1,AND($X266&gt;=160,$X266&lt;180),0.7,AND($X266&gt;210,$X266&lt;=230),0.7,AND($X266&gt;=140,$X266&lt;160),0.4,AND($X266&gt;230,$X266&lt;=250),0.4,TRUE,0.2),IFS(AND($X266&gt;=140,$X266&lt;=170),1,AND($X266&gt;=120,$X266&lt;140),0.7,AND($X266&gt;170,$X266&lt;=190),0.7,AND($X266&gt;=100,$X266&lt;120),0.4,AND($X266&gt;190,$X266&lt;=210),0.4,TRUE,0.2))))),1),""))</f>
        <v/>
      </c>
      <c r="Z266">
        <f>IF($A266="","",TEXTJOIN(", ",TRUE,IF($B266="","Тренировка",""),IF($C266="","Кардио",""),IF($D266="","Шаги",""),IF($E266="","Английский",""),IF($F266="","Код-режим",""),IF($G266="","Код-тема",""),IF($H266="","Чтение",""),IF($L266="","Сон",""),IF($M266="","Режим",""),IF($N266="","Продуктивность",""),IF($O266="","Настроение",""),IF($P266="","Энергия",""),IF($U266="","Еда","")))</f>
        <v/>
      </c>
    </row>
    <row r="267">
      <c r="A267" t="inlineStr"/>
      <c r="U267">
        <f>IF($A267="","",IF(SUMIF(FoodLog!$A:$A,$A267,FoodLog!$I:$I)=0,"",SUMIF(FoodLog!$A:$A,$A267,FoodLog!$I:$I)))</f>
        <v/>
      </c>
      <c r="V267">
        <f>IF($A267="","",IF(SUMIF(FoodLog!$A:$A,$A267,FoodLog!$F:$F)=0,"",SUMIF(FoodLog!$A:$A,$A267,FoodLog!$F:$F)))</f>
        <v/>
      </c>
      <c r="W267">
        <f>IF($A267="","",IF(SUMIF(FoodLog!$A:$A,$A267,FoodLog!$G:$G)=0,"",SUMIF(FoodLog!$A:$A,$A267,FoodLog!$G:$G)))</f>
        <v/>
      </c>
      <c r="X267">
        <f>IF($A267="","",IF(SUMIF(FoodLog!$A:$A,$A267,FoodLog!$H:$H)=0,"",SUMIF(FoodLog!$A:$A,$A267,FoodLog!$H:$H)))</f>
        <v/>
      </c>
      <c r="Y267">
        <f>IF($A267="","",IFERROR(ROUND(100*AVERAGE(IF($B267="","",XLOOKUP($B267,FILTER(Dictionaries!$B:$B,Dictionaries!$A:$A="Тренировка"),FILTER(Dictionaries!$C:$C,Dictionaries!$A:$A="Тренировка"))),IF($C267="","",MIN($C267/40,1)),IF($D267="","",XLOOKUP($D267,FILTER(Dictionaries!$B:$B,Dictionaries!$A:$A="Шаги"),FILTER(Dictionaries!$C:$C,Dictionaries!$A:$A="Шаги"))),IF($E267="","",MIN($E267/120,1)),IF(OR($F267&lt;&gt;"",$G267&lt;&gt;""),1,""),IF($H267="","",MIN($H267/100,1)),IF($L267="","",XLOOKUP($L267,FILTER(Dictionaries!$B:$B,Dictionaries!$A:$A="Сон_часы"),FILTER(Dictionaries!$C:$C,Dictionaries!$A:$A="Сон_часы"))),IF($M267="","",XLOOKUP($M267,FILTER(Dictionaries!$B:$B,Dictionaries!$A:$A="Режим"),FILTER(Dictionaries!$C:$C,Dictionaries!$A:$A="Режим"))),IF($N267="","",MIN($N267/100,1)),IF($O267="","",XLOOKUP($O267,FILTER(Dictionaries!$B:$B,Dictionaries!$A:$A="Настроение"),FILTER(Dictionaries!$C:$C,Dictionaries!$A:$A="Настроение"))),IF($P267="","",XLOOKUP($P267,FILTER(Dictionaries!$B:$B,Dictionaries!$A:$A="Энергия"),FILTER(Dictionaries!$C:$C,Dictionaries!$A:$A="Энергия"))),IF($U267="","",AVERAGE(IF(OR($B267="Ноги",$B267="Верх"),IFS(AND($U267&gt;=1900,$U267&lt;=2050),1,AND($U267&gt;=1850,$U267&lt;1900),0.7,AND($U267&gt;2050,$U267&lt;=2100),0.7,TRUE,0.2),IFS(AND($U267&gt;=1700,$U267&lt;=1850),1,AND($U267&gt;=1650,$U267&lt;1700),0.7,AND($U267&gt;1850,$U267&lt;=1900),0.7,TRUE,0.2)),IF(OR($B267="Ноги",$B267="Верх"),IFS(AND($V267&gt;=125,$V267&lt;=135),1,AND($V267&gt;=115,$V267&lt;125),0.7,AND($V267&gt;135,$V267&lt;=145),0.7,AND($V267&gt;=105,$V267&lt;115),0.4,AND($V267&gt;145,$V267&lt;=155),0.4,TRUE,0.2),IFS(AND($V267&gt;=120,$V267&lt;=130),1,AND($V267&gt;=110,$V267&lt;120),0.7,AND($V267&gt;130,$V267&lt;=140),0.7,AND($V267&gt;=100,$V267&lt;110),0.4,AND($V267&gt;140,$V267&lt;=150),0.4,TRUE,0.2)),IFS(AND($W267&gt;=55,$W267&lt;=65),1,AND($W267&gt;=50,$W267&lt;55),0.7,AND($W267&gt;65,$W267&lt;=70),0.7,AND($W267&gt;=45,$W267&lt;50),0.4,AND($W267&gt;70,$W267&lt;=75),0.4,TRUE,0.2),IF(OR($B267="Ноги",$B267="Верх"),IFS(AND($X267&gt;=180,$X267&lt;=210),1,AND($X267&gt;=160,$X267&lt;180),0.7,AND($X267&gt;210,$X267&lt;=230),0.7,AND($X267&gt;=140,$X267&lt;160),0.4,AND($X267&gt;230,$X267&lt;=250),0.4,TRUE,0.2),IFS(AND($X267&gt;=140,$X267&lt;=170),1,AND($X267&gt;=120,$X267&lt;140),0.7,AND($X267&gt;170,$X267&lt;=190),0.7,AND($X267&gt;=100,$X267&lt;120),0.4,AND($X267&gt;190,$X267&lt;=210),0.4,TRUE,0.2))))),1),""))</f>
        <v/>
      </c>
      <c r="Z267">
        <f>IF($A267="","",TEXTJOIN(", ",TRUE,IF($B267="","Тренировка",""),IF($C267="","Кардио",""),IF($D267="","Шаги",""),IF($E267="","Английский",""),IF($F267="","Код-режим",""),IF($G267="","Код-тема",""),IF($H267="","Чтение",""),IF($L267="","Сон",""),IF($M267="","Режим",""),IF($N267="","Продуктивность",""),IF($O267="","Настроение",""),IF($P267="","Энергия",""),IF($U267="","Еда","")))</f>
        <v/>
      </c>
    </row>
    <row r="268">
      <c r="A268" t="inlineStr"/>
      <c r="U268">
        <f>IF($A268="","",IF(SUMIF(FoodLog!$A:$A,$A268,FoodLog!$I:$I)=0,"",SUMIF(FoodLog!$A:$A,$A268,FoodLog!$I:$I)))</f>
        <v/>
      </c>
      <c r="V268">
        <f>IF($A268="","",IF(SUMIF(FoodLog!$A:$A,$A268,FoodLog!$F:$F)=0,"",SUMIF(FoodLog!$A:$A,$A268,FoodLog!$F:$F)))</f>
        <v/>
      </c>
      <c r="W268">
        <f>IF($A268="","",IF(SUMIF(FoodLog!$A:$A,$A268,FoodLog!$G:$G)=0,"",SUMIF(FoodLog!$A:$A,$A268,FoodLog!$G:$G)))</f>
        <v/>
      </c>
      <c r="X268">
        <f>IF($A268="","",IF(SUMIF(FoodLog!$A:$A,$A268,FoodLog!$H:$H)=0,"",SUMIF(FoodLog!$A:$A,$A268,FoodLog!$H:$H)))</f>
        <v/>
      </c>
      <c r="Y268">
        <f>IF($A268="","",IFERROR(ROUND(100*AVERAGE(IF($B268="","",XLOOKUP($B268,FILTER(Dictionaries!$B:$B,Dictionaries!$A:$A="Тренировка"),FILTER(Dictionaries!$C:$C,Dictionaries!$A:$A="Тренировка"))),IF($C268="","",MIN($C268/40,1)),IF($D268="","",XLOOKUP($D268,FILTER(Dictionaries!$B:$B,Dictionaries!$A:$A="Шаги"),FILTER(Dictionaries!$C:$C,Dictionaries!$A:$A="Шаги"))),IF($E268="","",MIN($E268/120,1)),IF(OR($F268&lt;&gt;"",$G268&lt;&gt;""),1,""),IF($H268="","",MIN($H268/100,1)),IF($L268="","",XLOOKUP($L268,FILTER(Dictionaries!$B:$B,Dictionaries!$A:$A="Сон_часы"),FILTER(Dictionaries!$C:$C,Dictionaries!$A:$A="Сон_часы"))),IF($M268="","",XLOOKUP($M268,FILTER(Dictionaries!$B:$B,Dictionaries!$A:$A="Режим"),FILTER(Dictionaries!$C:$C,Dictionaries!$A:$A="Режим"))),IF($N268="","",MIN($N268/100,1)),IF($O268="","",XLOOKUP($O268,FILTER(Dictionaries!$B:$B,Dictionaries!$A:$A="Настроение"),FILTER(Dictionaries!$C:$C,Dictionaries!$A:$A="Настроение"))),IF($P268="","",XLOOKUP($P268,FILTER(Dictionaries!$B:$B,Dictionaries!$A:$A="Энергия"),FILTER(Dictionaries!$C:$C,Dictionaries!$A:$A="Энергия"))),IF($U268="","",AVERAGE(IF(OR($B268="Ноги",$B268="Верх"),IFS(AND($U268&gt;=1900,$U268&lt;=2050),1,AND($U268&gt;=1850,$U268&lt;1900),0.7,AND($U268&gt;2050,$U268&lt;=2100),0.7,TRUE,0.2),IFS(AND($U268&gt;=1700,$U268&lt;=1850),1,AND($U268&gt;=1650,$U268&lt;1700),0.7,AND($U268&gt;1850,$U268&lt;=1900),0.7,TRUE,0.2)),IF(OR($B268="Ноги",$B268="Верх"),IFS(AND($V268&gt;=125,$V268&lt;=135),1,AND($V268&gt;=115,$V268&lt;125),0.7,AND($V268&gt;135,$V268&lt;=145),0.7,AND($V268&gt;=105,$V268&lt;115),0.4,AND($V268&gt;145,$V268&lt;=155),0.4,TRUE,0.2),IFS(AND($V268&gt;=120,$V268&lt;=130),1,AND($V268&gt;=110,$V268&lt;120),0.7,AND($V268&gt;130,$V268&lt;=140),0.7,AND($V268&gt;=100,$V268&lt;110),0.4,AND($V268&gt;140,$V268&lt;=150),0.4,TRUE,0.2)),IFS(AND($W268&gt;=55,$W268&lt;=65),1,AND($W268&gt;=50,$W268&lt;55),0.7,AND($W268&gt;65,$W268&lt;=70),0.7,AND($W268&gt;=45,$W268&lt;50),0.4,AND($W268&gt;70,$W268&lt;=75),0.4,TRUE,0.2),IF(OR($B268="Ноги",$B268="Верх"),IFS(AND($X268&gt;=180,$X268&lt;=210),1,AND($X268&gt;=160,$X268&lt;180),0.7,AND($X268&gt;210,$X268&lt;=230),0.7,AND($X268&gt;=140,$X268&lt;160),0.4,AND($X268&gt;230,$X268&lt;=250),0.4,TRUE,0.2),IFS(AND($X268&gt;=140,$X268&lt;=170),1,AND($X268&gt;=120,$X268&lt;140),0.7,AND($X268&gt;170,$X268&lt;=190),0.7,AND($X268&gt;=100,$X268&lt;120),0.4,AND($X268&gt;190,$X268&lt;=210),0.4,TRUE,0.2))))),1),""))</f>
        <v/>
      </c>
      <c r="Z268">
        <f>IF($A268="","",TEXTJOIN(", ",TRUE,IF($B268="","Тренировка",""),IF($C268="","Кардио",""),IF($D268="","Шаги",""),IF($E268="","Английский",""),IF($F268="","Код-режим",""),IF($G268="","Код-тема",""),IF($H268="","Чтение",""),IF($L268="","Сон",""),IF($M268="","Режим",""),IF($N268="","Продуктивность",""),IF($O268="","Настроение",""),IF($P268="","Энергия",""),IF($U268="","Еда","")))</f>
        <v/>
      </c>
    </row>
    <row r="269">
      <c r="A269" t="inlineStr"/>
      <c r="U269">
        <f>IF($A269="","",IF(SUMIF(FoodLog!$A:$A,$A269,FoodLog!$I:$I)=0,"",SUMIF(FoodLog!$A:$A,$A269,FoodLog!$I:$I)))</f>
        <v/>
      </c>
      <c r="V269">
        <f>IF($A269="","",IF(SUMIF(FoodLog!$A:$A,$A269,FoodLog!$F:$F)=0,"",SUMIF(FoodLog!$A:$A,$A269,FoodLog!$F:$F)))</f>
        <v/>
      </c>
      <c r="W269">
        <f>IF($A269="","",IF(SUMIF(FoodLog!$A:$A,$A269,FoodLog!$G:$G)=0,"",SUMIF(FoodLog!$A:$A,$A269,FoodLog!$G:$G)))</f>
        <v/>
      </c>
      <c r="X269">
        <f>IF($A269="","",IF(SUMIF(FoodLog!$A:$A,$A269,FoodLog!$H:$H)=0,"",SUMIF(FoodLog!$A:$A,$A269,FoodLog!$H:$H)))</f>
        <v/>
      </c>
      <c r="Y269">
        <f>IF($A269="","",IFERROR(ROUND(100*AVERAGE(IF($B269="","",XLOOKUP($B269,FILTER(Dictionaries!$B:$B,Dictionaries!$A:$A="Тренировка"),FILTER(Dictionaries!$C:$C,Dictionaries!$A:$A="Тренировка"))),IF($C269="","",MIN($C269/40,1)),IF($D269="","",XLOOKUP($D269,FILTER(Dictionaries!$B:$B,Dictionaries!$A:$A="Шаги"),FILTER(Dictionaries!$C:$C,Dictionaries!$A:$A="Шаги"))),IF($E269="","",MIN($E269/120,1)),IF(OR($F269&lt;&gt;"",$G269&lt;&gt;""),1,""),IF($H269="","",MIN($H269/100,1)),IF($L269="","",XLOOKUP($L269,FILTER(Dictionaries!$B:$B,Dictionaries!$A:$A="Сон_часы"),FILTER(Dictionaries!$C:$C,Dictionaries!$A:$A="Сон_часы"))),IF($M269="","",XLOOKUP($M269,FILTER(Dictionaries!$B:$B,Dictionaries!$A:$A="Режим"),FILTER(Dictionaries!$C:$C,Dictionaries!$A:$A="Режим"))),IF($N269="","",MIN($N269/100,1)),IF($O269="","",XLOOKUP($O269,FILTER(Dictionaries!$B:$B,Dictionaries!$A:$A="Настроение"),FILTER(Dictionaries!$C:$C,Dictionaries!$A:$A="Настроение"))),IF($P269="","",XLOOKUP($P269,FILTER(Dictionaries!$B:$B,Dictionaries!$A:$A="Энергия"),FILTER(Dictionaries!$C:$C,Dictionaries!$A:$A="Энергия"))),IF($U269="","",AVERAGE(IF(OR($B269="Ноги",$B269="Верх"),IFS(AND($U269&gt;=1900,$U269&lt;=2050),1,AND($U269&gt;=1850,$U269&lt;1900),0.7,AND($U269&gt;2050,$U269&lt;=2100),0.7,TRUE,0.2),IFS(AND($U269&gt;=1700,$U269&lt;=1850),1,AND($U269&gt;=1650,$U269&lt;1700),0.7,AND($U269&gt;1850,$U269&lt;=1900),0.7,TRUE,0.2)),IF(OR($B269="Ноги",$B269="Верх"),IFS(AND($V269&gt;=125,$V269&lt;=135),1,AND($V269&gt;=115,$V269&lt;125),0.7,AND($V269&gt;135,$V269&lt;=145),0.7,AND($V269&gt;=105,$V269&lt;115),0.4,AND($V269&gt;145,$V269&lt;=155),0.4,TRUE,0.2),IFS(AND($V269&gt;=120,$V269&lt;=130),1,AND($V269&gt;=110,$V269&lt;120),0.7,AND($V269&gt;130,$V269&lt;=140),0.7,AND($V269&gt;=100,$V269&lt;110),0.4,AND($V269&gt;140,$V269&lt;=150),0.4,TRUE,0.2)),IFS(AND($W269&gt;=55,$W269&lt;=65),1,AND($W269&gt;=50,$W269&lt;55),0.7,AND($W269&gt;65,$W269&lt;=70),0.7,AND($W269&gt;=45,$W269&lt;50),0.4,AND($W269&gt;70,$W269&lt;=75),0.4,TRUE,0.2),IF(OR($B269="Ноги",$B269="Верх"),IFS(AND($X269&gt;=180,$X269&lt;=210),1,AND($X269&gt;=160,$X269&lt;180),0.7,AND($X269&gt;210,$X269&lt;=230),0.7,AND($X269&gt;=140,$X269&lt;160),0.4,AND($X269&gt;230,$X269&lt;=250),0.4,TRUE,0.2),IFS(AND($X269&gt;=140,$X269&lt;=170),1,AND($X269&gt;=120,$X269&lt;140),0.7,AND($X269&gt;170,$X269&lt;=190),0.7,AND($X269&gt;=100,$X269&lt;120),0.4,AND($X269&gt;190,$X269&lt;=210),0.4,TRUE,0.2))))),1),""))</f>
        <v/>
      </c>
      <c r="Z269">
        <f>IF($A269="","",TEXTJOIN(", ",TRUE,IF($B269="","Тренировка",""),IF($C269="","Кардио",""),IF($D269="","Шаги",""),IF($E269="","Английский",""),IF($F269="","Код-режим",""),IF($G269="","Код-тема",""),IF($H269="","Чтение",""),IF($L269="","Сон",""),IF($M269="","Режим",""),IF($N269="","Продуктивность",""),IF($O269="","Настроение",""),IF($P269="","Энергия",""),IF($U269="","Еда","")))</f>
        <v/>
      </c>
    </row>
    <row r="270">
      <c r="A270" t="inlineStr"/>
      <c r="U270">
        <f>IF($A270="","",IF(SUMIF(FoodLog!$A:$A,$A270,FoodLog!$I:$I)=0,"",SUMIF(FoodLog!$A:$A,$A270,FoodLog!$I:$I)))</f>
        <v/>
      </c>
      <c r="V270">
        <f>IF($A270="","",IF(SUMIF(FoodLog!$A:$A,$A270,FoodLog!$F:$F)=0,"",SUMIF(FoodLog!$A:$A,$A270,FoodLog!$F:$F)))</f>
        <v/>
      </c>
      <c r="W270">
        <f>IF($A270="","",IF(SUMIF(FoodLog!$A:$A,$A270,FoodLog!$G:$G)=0,"",SUMIF(FoodLog!$A:$A,$A270,FoodLog!$G:$G)))</f>
        <v/>
      </c>
      <c r="X270">
        <f>IF($A270="","",IF(SUMIF(FoodLog!$A:$A,$A270,FoodLog!$H:$H)=0,"",SUMIF(FoodLog!$A:$A,$A270,FoodLog!$H:$H)))</f>
        <v/>
      </c>
      <c r="Y270">
        <f>IF($A270="","",IFERROR(ROUND(100*AVERAGE(IF($B270="","",XLOOKUP($B270,FILTER(Dictionaries!$B:$B,Dictionaries!$A:$A="Тренировка"),FILTER(Dictionaries!$C:$C,Dictionaries!$A:$A="Тренировка"))),IF($C270="","",MIN($C270/40,1)),IF($D270="","",XLOOKUP($D270,FILTER(Dictionaries!$B:$B,Dictionaries!$A:$A="Шаги"),FILTER(Dictionaries!$C:$C,Dictionaries!$A:$A="Шаги"))),IF($E270="","",MIN($E270/120,1)),IF(OR($F270&lt;&gt;"",$G270&lt;&gt;""),1,""),IF($H270="","",MIN($H270/100,1)),IF($L270="","",XLOOKUP($L270,FILTER(Dictionaries!$B:$B,Dictionaries!$A:$A="Сон_часы"),FILTER(Dictionaries!$C:$C,Dictionaries!$A:$A="Сон_часы"))),IF($M270="","",XLOOKUP($M270,FILTER(Dictionaries!$B:$B,Dictionaries!$A:$A="Режим"),FILTER(Dictionaries!$C:$C,Dictionaries!$A:$A="Режим"))),IF($N270="","",MIN($N270/100,1)),IF($O270="","",XLOOKUP($O270,FILTER(Dictionaries!$B:$B,Dictionaries!$A:$A="Настроение"),FILTER(Dictionaries!$C:$C,Dictionaries!$A:$A="Настроение"))),IF($P270="","",XLOOKUP($P270,FILTER(Dictionaries!$B:$B,Dictionaries!$A:$A="Энергия"),FILTER(Dictionaries!$C:$C,Dictionaries!$A:$A="Энергия"))),IF($U270="","",AVERAGE(IF(OR($B270="Ноги",$B270="Верх"),IFS(AND($U270&gt;=1900,$U270&lt;=2050),1,AND($U270&gt;=1850,$U270&lt;1900),0.7,AND($U270&gt;2050,$U270&lt;=2100),0.7,TRUE,0.2),IFS(AND($U270&gt;=1700,$U270&lt;=1850),1,AND($U270&gt;=1650,$U270&lt;1700),0.7,AND($U270&gt;1850,$U270&lt;=1900),0.7,TRUE,0.2)),IF(OR($B270="Ноги",$B270="Верх"),IFS(AND($V270&gt;=125,$V270&lt;=135),1,AND($V270&gt;=115,$V270&lt;125),0.7,AND($V270&gt;135,$V270&lt;=145),0.7,AND($V270&gt;=105,$V270&lt;115),0.4,AND($V270&gt;145,$V270&lt;=155),0.4,TRUE,0.2),IFS(AND($V270&gt;=120,$V270&lt;=130),1,AND($V270&gt;=110,$V270&lt;120),0.7,AND($V270&gt;130,$V270&lt;=140),0.7,AND($V270&gt;=100,$V270&lt;110),0.4,AND($V270&gt;140,$V270&lt;=150),0.4,TRUE,0.2)),IFS(AND($W270&gt;=55,$W270&lt;=65),1,AND($W270&gt;=50,$W270&lt;55),0.7,AND($W270&gt;65,$W270&lt;=70),0.7,AND($W270&gt;=45,$W270&lt;50),0.4,AND($W270&gt;70,$W270&lt;=75),0.4,TRUE,0.2),IF(OR($B270="Ноги",$B270="Верх"),IFS(AND($X270&gt;=180,$X270&lt;=210),1,AND($X270&gt;=160,$X270&lt;180),0.7,AND($X270&gt;210,$X270&lt;=230),0.7,AND($X270&gt;=140,$X270&lt;160),0.4,AND($X270&gt;230,$X270&lt;=250),0.4,TRUE,0.2),IFS(AND($X270&gt;=140,$X270&lt;=170),1,AND($X270&gt;=120,$X270&lt;140),0.7,AND($X270&gt;170,$X270&lt;=190),0.7,AND($X270&gt;=100,$X270&lt;120),0.4,AND($X270&gt;190,$X270&lt;=210),0.4,TRUE,0.2))))),1),""))</f>
        <v/>
      </c>
      <c r="Z270">
        <f>IF($A270="","",TEXTJOIN(", ",TRUE,IF($B270="","Тренировка",""),IF($C270="","Кардио",""),IF($D270="","Шаги",""),IF($E270="","Английский",""),IF($F270="","Код-режим",""),IF($G270="","Код-тема",""),IF($H270="","Чтение",""),IF($L270="","Сон",""),IF($M270="","Режим",""),IF($N270="","Продуктивность",""),IF($O270="","Настроение",""),IF($P270="","Энергия",""),IF($U270="","Еда","")))</f>
        <v/>
      </c>
    </row>
    <row r="271">
      <c r="A271" t="inlineStr"/>
      <c r="U271">
        <f>IF($A271="","",IF(SUMIF(FoodLog!$A:$A,$A271,FoodLog!$I:$I)=0,"",SUMIF(FoodLog!$A:$A,$A271,FoodLog!$I:$I)))</f>
        <v/>
      </c>
      <c r="V271">
        <f>IF($A271="","",IF(SUMIF(FoodLog!$A:$A,$A271,FoodLog!$F:$F)=0,"",SUMIF(FoodLog!$A:$A,$A271,FoodLog!$F:$F)))</f>
        <v/>
      </c>
      <c r="W271">
        <f>IF($A271="","",IF(SUMIF(FoodLog!$A:$A,$A271,FoodLog!$G:$G)=0,"",SUMIF(FoodLog!$A:$A,$A271,FoodLog!$G:$G)))</f>
        <v/>
      </c>
      <c r="X271">
        <f>IF($A271="","",IF(SUMIF(FoodLog!$A:$A,$A271,FoodLog!$H:$H)=0,"",SUMIF(FoodLog!$A:$A,$A271,FoodLog!$H:$H)))</f>
        <v/>
      </c>
      <c r="Y271">
        <f>IF($A271="","",IFERROR(ROUND(100*AVERAGE(IF($B271="","",XLOOKUP($B271,FILTER(Dictionaries!$B:$B,Dictionaries!$A:$A="Тренировка"),FILTER(Dictionaries!$C:$C,Dictionaries!$A:$A="Тренировка"))),IF($C271="","",MIN($C271/40,1)),IF($D271="","",XLOOKUP($D271,FILTER(Dictionaries!$B:$B,Dictionaries!$A:$A="Шаги"),FILTER(Dictionaries!$C:$C,Dictionaries!$A:$A="Шаги"))),IF($E271="","",MIN($E271/120,1)),IF(OR($F271&lt;&gt;"",$G271&lt;&gt;""),1,""),IF($H271="","",MIN($H271/100,1)),IF($L271="","",XLOOKUP($L271,FILTER(Dictionaries!$B:$B,Dictionaries!$A:$A="Сон_часы"),FILTER(Dictionaries!$C:$C,Dictionaries!$A:$A="Сон_часы"))),IF($M271="","",XLOOKUP($M271,FILTER(Dictionaries!$B:$B,Dictionaries!$A:$A="Режим"),FILTER(Dictionaries!$C:$C,Dictionaries!$A:$A="Режим"))),IF($N271="","",MIN($N271/100,1)),IF($O271="","",XLOOKUP($O271,FILTER(Dictionaries!$B:$B,Dictionaries!$A:$A="Настроение"),FILTER(Dictionaries!$C:$C,Dictionaries!$A:$A="Настроение"))),IF($P271="","",XLOOKUP($P271,FILTER(Dictionaries!$B:$B,Dictionaries!$A:$A="Энергия"),FILTER(Dictionaries!$C:$C,Dictionaries!$A:$A="Энергия"))),IF($U271="","",AVERAGE(IF(OR($B271="Ноги",$B271="Верх"),IFS(AND($U271&gt;=1900,$U271&lt;=2050),1,AND($U271&gt;=1850,$U271&lt;1900),0.7,AND($U271&gt;2050,$U271&lt;=2100),0.7,TRUE,0.2),IFS(AND($U271&gt;=1700,$U271&lt;=1850),1,AND($U271&gt;=1650,$U271&lt;1700),0.7,AND($U271&gt;1850,$U271&lt;=1900),0.7,TRUE,0.2)),IF(OR($B271="Ноги",$B271="Верх"),IFS(AND($V271&gt;=125,$V271&lt;=135),1,AND($V271&gt;=115,$V271&lt;125),0.7,AND($V271&gt;135,$V271&lt;=145),0.7,AND($V271&gt;=105,$V271&lt;115),0.4,AND($V271&gt;145,$V271&lt;=155),0.4,TRUE,0.2),IFS(AND($V271&gt;=120,$V271&lt;=130),1,AND($V271&gt;=110,$V271&lt;120),0.7,AND($V271&gt;130,$V271&lt;=140),0.7,AND($V271&gt;=100,$V271&lt;110),0.4,AND($V271&gt;140,$V271&lt;=150),0.4,TRUE,0.2)),IFS(AND($W271&gt;=55,$W271&lt;=65),1,AND($W271&gt;=50,$W271&lt;55),0.7,AND($W271&gt;65,$W271&lt;=70),0.7,AND($W271&gt;=45,$W271&lt;50),0.4,AND($W271&gt;70,$W271&lt;=75),0.4,TRUE,0.2),IF(OR($B271="Ноги",$B271="Верх"),IFS(AND($X271&gt;=180,$X271&lt;=210),1,AND($X271&gt;=160,$X271&lt;180),0.7,AND($X271&gt;210,$X271&lt;=230),0.7,AND($X271&gt;=140,$X271&lt;160),0.4,AND($X271&gt;230,$X271&lt;=250),0.4,TRUE,0.2),IFS(AND($X271&gt;=140,$X271&lt;=170),1,AND($X271&gt;=120,$X271&lt;140),0.7,AND($X271&gt;170,$X271&lt;=190),0.7,AND($X271&gt;=100,$X271&lt;120),0.4,AND($X271&gt;190,$X271&lt;=210),0.4,TRUE,0.2))))),1),""))</f>
        <v/>
      </c>
      <c r="Z271">
        <f>IF($A271="","",TEXTJOIN(", ",TRUE,IF($B271="","Тренировка",""),IF($C271="","Кардио",""),IF($D271="","Шаги",""),IF($E271="","Английский",""),IF($F271="","Код-режим",""),IF($G271="","Код-тема",""),IF($H271="","Чтение",""),IF($L271="","Сон",""),IF($M271="","Режим",""),IF($N271="","Продуктивность",""),IF($O271="","Настроение",""),IF($P271="","Энергия",""),IF($U271="","Еда","")))</f>
        <v/>
      </c>
    </row>
    <row r="272">
      <c r="A272" t="inlineStr"/>
      <c r="U272">
        <f>IF($A272="","",IF(SUMIF(FoodLog!$A:$A,$A272,FoodLog!$I:$I)=0,"",SUMIF(FoodLog!$A:$A,$A272,FoodLog!$I:$I)))</f>
        <v/>
      </c>
      <c r="V272">
        <f>IF($A272="","",IF(SUMIF(FoodLog!$A:$A,$A272,FoodLog!$F:$F)=0,"",SUMIF(FoodLog!$A:$A,$A272,FoodLog!$F:$F)))</f>
        <v/>
      </c>
      <c r="W272">
        <f>IF($A272="","",IF(SUMIF(FoodLog!$A:$A,$A272,FoodLog!$G:$G)=0,"",SUMIF(FoodLog!$A:$A,$A272,FoodLog!$G:$G)))</f>
        <v/>
      </c>
      <c r="X272">
        <f>IF($A272="","",IF(SUMIF(FoodLog!$A:$A,$A272,FoodLog!$H:$H)=0,"",SUMIF(FoodLog!$A:$A,$A272,FoodLog!$H:$H)))</f>
        <v/>
      </c>
      <c r="Y272">
        <f>IF($A272="","",IFERROR(ROUND(100*AVERAGE(IF($B272="","",XLOOKUP($B272,FILTER(Dictionaries!$B:$B,Dictionaries!$A:$A="Тренировка"),FILTER(Dictionaries!$C:$C,Dictionaries!$A:$A="Тренировка"))),IF($C272="","",MIN($C272/40,1)),IF($D272="","",XLOOKUP($D272,FILTER(Dictionaries!$B:$B,Dictionaries!$A:$A="Шаги"),FILTER(Dictionaries!$C:$C,Dictionaries!$A:$A="Шаги"))),IF($E272="","",MIN($E272/120,1)),IF(OR($F272&lt;&gt;"",$G272&lt;&gt;""),1,""),IF($H272="","",MIN($H272/100,1)),IF($L272="","",XLOOKUP($L272,FILTER(Dictionaries!$B:$B,Dictionaries!$A:$A="Сон_часы"),FILTER(Dictionaries!$C:$C,Dictionaries!$A:$A="Сон_часы"))),IF($M272="","",XLOOKUP($M272,FILTER(Dictionaries!$B:$B,Dictionaries!$A:$A="Режим"),FILTER(Dictionaries!$C:$C,Dictionaries!$A:$A="Режим"))),IF($N272="","",MIN($N272/100,1)),IF($O272="","",XLOOKUP($O272,FILTER(Dictionaries!$B:$B,Dictionaries!$A:$A="Настроение"),FILTER(Dictionaries!$C:$C,Dictionaries!$A:$A="Настроение"))),IF($P272="","",XLOOKUP($P272,FILTER(Dictionaries!$B:$B,Dictionaries!$A:$A="Энергия"),FILTER(Dictionaries!$C:$C,Dictionaries!$A:$A="Энергия"))),IF($U272="","",AVERAGE(IF(OR($B272="Ноги",$B272="Верх"),IFS(AND($U272&gt;=1900,$U272&lt;=2050),1,AND($U272&gt;=1850,$U272&lt;1900),0.7,AND($U272&gt;2050,$U272&lt;=2100),0.7,TRUE,0.2),IFS(AND($U272&gt;=1700,$U272&lt;=1850),1,AND($U272&gt;=1650,$U272&lt;1700),0.7,AND($U272&gt;1850,$U272&lt;=1900),0.7,TRUE,0.2)),IF(OR($B272="Ноги",$B272="Верх"),IFS(AND($V272&gt;=125,$V272&lt;=135),1,AND($V272&gt;=115,$V272&lt;125),0.7,AND($V272&gt;135,$V272&lt;=145),0.7,AND($V272&gt;=105,$V272&lt;115),0.4,AND($V272&gt;145,$V272&lt;=155),0.4,TRUE,0.2),IFS(AND($V272&gt;=120,$V272&lt;=130),1,AND($V272&gt;=110,$V272&lt;120),0.7,AND($V272&gt;130,$V272&lt;=140),0.7,AND($V272&gt;=100,$V272&lt;110),0.4,AND($V272&gt;140,$V272&lt;=150),0.4,TRUE,0.2)),IFS(AND($W272&gt;=55,$W272&lt;=65),1,AND($W272&gt;=50,$W272&lt;55),0.7,AND($W272&gt;65,$W272&lt;=70),0.7,AND($W272&gt;=45,$W272&lt;50),0.4,AND($W272&gt;70,$W272&lt;=75),0.4,TRUE,0.2),IF(OR($B272="Ноги",$B272="Верх"),IFS(AND($X272&gt;=180,$X272&lt;=210),1,AND($X272&gt;=160,$X272&lt;180),0.7,AND($X272&gt;210,$X272&lt;=230),0.7,AND($X272&gt;=140,$X272&lt;160),0.4,AND($X272&gt;230,$X272&lt;=250),0.4,TRUE,0.2),IFS(AND($X272&gt;=140,$X272&lt;=170),1,AND($X272&gt;=120,$X272&lt;140),0.7,AND($X272&gt;170,$X272&lt;=190),0.7,AND($X272&gt;=100,$X272&lt;120),0.4,AND($X272&gt;190,$X272&lt;=210),0.4,TRUE,0.2))))),1),""))</f>
        <v/>
      </c>
      <c r="Z272">
        <f>IF($A272="","",TEXTJOIN(", ",TRUE,IF($B272="","Тренировка",""),IF($C272="","Кардио",""),IF($D272="","Шаги",""),IF($E272="","Английский",""),IF($F272="","Код-режим",""),IF($G272="","Код-тема",""),IF($H272="","Чтение",""),IF($L272="","Сон",""),IF($M272="","Режим",""),IF($N272="","Продуктивность",""),IF($O272="","Настроение",""),IF($P272="","Энергия",""),IF($U272="","Еда","")))</f>
        <v/>
      </c>
    </row>
    <row r="273">
      <c r="A273" t="inlineStr"/>
      <c r="U273">
        <f>IF($A273="","",IF(SUMIF(FoodLog!$A:$A,$A273,FoodLog!$I:$I)=0,"",SUMIF(FoodLog!$A:$A,$A273,FoodLog!$I:$I)))</f>
        <v/>
      </c>
      <c r="V273">
        <f>IF($A273="","",IF(SUMIF(FoodLog!$A:$A,$A273,FoodLog!$F:$F)=0,"",SUMIF(FoodLog!$A:$A,$A273,FoodLog!$F:$F)))</f>
        <v/>
      </c>
      <c r="W273">
        <f>IF($A273="","",IF(SUMIF(FoodLog!$A:$A,$A273,FoodLog!$G:$G)=0,"",SUMIF(FoodLog!$A:$A,$A273,FoodLog!$G:$G)))</f>
        <v/>
      </c>
      <c r="X273">
        <f>IF($A273="","",IF(SUMIF(FoodLog!$A:$A,$A273,FoodLog!$H:$H)=0,"",SUMIF(FoodLog!$A:$A,$A273,FoodLog!$H:$H)))</f>
        <v/>
      </c>
      <c r="Y273">
        <f>IF($A273="","",IFERROR(ROUND(100*AVERAGE(IF($B273="","",XLOOKUP($B273,FILTER(Dictionaries!$B:$B,Dictionaries!$A:$A="Тренировка"),FILTER(Dictionaries!$C:$C,Dictionaries!$A:$A="Тренировка"))),IF($C273="","",MIN($C273/40,1)),IF($D273="","",XLOOKUP($D273,FILTER(Dictionaries!$B:$B,Dictionaries!$A:$A="Шаги"),FILTER(Dictionaries!$C:$C,Dictionaries!$A:$A="Шаги"))),IF($E273="","",MIN($E273/120,1)),IF(OR($F273&lt;&gt;"",$G273&lt;&gt;""),1,""),IF($H273="","",MIN($H273/100,1)),IF($L273="","",XLOOKUP($L273,FILTER(Dictionaries!$B:$B,Dictionaries!$A:$A="Сон_часы"),FILTER(Dictionaries!$C:$C,Dictionaries!$A:$A="Сон_часы"))),IF($M273="","",XLOOKUP($M273,FILTER(Dictionaries!$B:$B,Dictionaries!$A:$A="Режим"),FILTER(Dictionaries!$C:$C,Dictionaries!$A:$A="Режим"))),IF($N273="","",MIN($N273/100,1)),IF($O273="","",XLOOKUP($O273,FILTER(Dictionaries!$B:$B,Dictionaries!$A:$A="Настроение"),FILTER(Dictionaries!$C:$C,Dictionaries!$A:$A="Настроение"))),IF($P273="","",XLOOKUP($P273,FILTER(Dictionaries!$B:$B,Dictionaries!$A:$A="Энергия"),FILTER(Dictionaries!$C:$C,Dictionaries!$A:$A="Энергия"))),IF($U273="","",AVERAGE(IF(OR($B273="Ноги",$B273="Верх"),IFS(AND($U273&gt;=1900,$U273&lt;=2050),1,AND($U273&gt;=1850,$U273&lt;1900),0.7,AND($U273&gt;2050,$U273&lt;=2100),0.7,TRUE,0.2),IFS(AND($U273&gt;=1700,$U273&lt;=1850),1,AND($U273&gt;=1650,$U273&lt;1700),0.7,AND($U273&gt;1850,$U273&lt;=1900),0.7,TRUE,0.2)),IF(OR($B273="Ноги",$B273="Верх"),IFS(AND($V273&gt;=125,$V273&lt;=135),1,AND($V273&gt;=115,$V273&lt;125),0.7,AND($V273&gt;135,$V273&lt;=145),0.7,AND($V273&gt;=105,$V273&lt;115),0.4,AND($V273&gt;145,$V273&lt;=155),0.4,TRUE,0.2),IFS(AND($V273&gt;=120,$V273&lt;=130),1,AND($V273&gt;=110,$V273&lt;120),0.7,AND($V273&gt;130,$V273&lt;=140),0.7,AND($V273&gt;=100,$V273&lt;110),0.4,AND($V273&gt;140,$V273&lt;=150),0.4,TRUE,0.2)),IFS(AND($W273&gt;=55,$W273&lt;=65),1,AND($W273&gt;=50,$W273&lt;55),0.7,AND($W273&gt;65,$W273&lt;=70),0.7,AND($W273&gt;=45,$W273&lt;50),0.4,AND($W273&gt;70,$W273&lt;=75),0.4,TRUE,0.2),IF(OR($B273="Ноги",$B273="Верх"),IFS(AND($X273&gt;=180,$X273&lt;=210),1,AND($X273&gt;=160,$X273&lt;180),0.7,AND($X273&gt;210,$X273&lt;=230),0.7,AND($X273&gt;=140,$X273&lt;160),0.4,AND($X273&gt;230,$X273&lt;=250),0.4,TRUE,0.2),IFS(AND($X273&gt;=140,$X273&lt;=170),1,AND($X273&gt;=120,$X273&lt;140),0.7,AND($X273&gt;170,$X273&lt;=190),0.7,AND($X273&gt;=100,$X273&lt;120),0.4,AND($X273&gt;190,$X273&lt;=210),0.4,TRUE,0.2))))),1),""))</f>
        <v/>
      </c>
      <c r="Z273">
        <f>IF($A273="","",TEXTJOIN(", ",TRUE,IF($B273="","Тренировка",""),IF($C273="","Кардио",""),IF($D273="","Шаги",""),IF($E273="","Английский",""),IF($F273="","Код-режим",""),IF($G273="","Код-тема",""),IF($H273="","Чтение",""),IF($L273="","Сон",""),IF($M273="","Режим",""),IF($N273="","Продуктивность",""),IF($O273="","Настроение",""),IF($P273="","Энергия",""),IF($U273="","Еда","")))</f>
        <v/>
      </c>
    </row>
    <row r="274">
      <c r="A274" t="inlineStr"/>
      <c r="U274">
        <f>IF($A274="","",IF(SUMIF(FoodLog!$A:$A,$A274,FoodLog!$I:$I)=0,"",SUMIF(FoodLog!$A:$A,$A274,FoodLog!$I:$I)))</f>
        <v/>
      </c>
      <c r="V274">
        <f>IF($A274="","",IF(SUMIF(FoodLog!$A:$A,$A274,FoodLog!$F:$F)=0,"",SUMIF(FoodLog!$A:$A,$A274,FoodLog!$F:$F)))</f>
        <v/>
      </c>
      <c r="W274">
        <f>IF($A274="","",IF(SUMIF(FoodLog!$A:$A,$A274,FoodLog!$G:$G)=0,"",SUMIF(FoodLog!$A:$A,$A274,FoodLog!$G:$G)))</f>
        <v/>
      </c>
      <c r="X274">
        <f>IF($A274="","",IF(SUMIF(FoodLog!$A:$A,$A274,FoodLog!$H:$H)=0,"",SUMIF(FoodLog!$A:$A,$A274,FoodLog!$H:$H)))</f>
        <v/>
      </c>
      <c r="Y274">
        <f>IF($A274="","",IFERROR(ROUND(100*AVERAGE(IF($B274="","",XLOOKUP($B274,FILTER(Dictionaries!$B:$B,Dictionaries!$A:$A="Тренировка"),FILTER(Dictionaries!$C:$C,Dictionaries!$A:$A="Тренировка"))),IF($C274="","",MIN($C274/40,1)),IF($D274="","",XLOOKUP($D274,FILTER(Dictionaries!$B:$B,Dictionaries!$A:$A="Шаги"),FILTER(Dictionaries!$C:$C,Dictionaries!$A:$A="Шаги"))),IF($E274="","",MIN($E274/120,1)),IF(OR($F274&lt;&gt;"",$G274&lt;&gt;""),1,""),IF($H274="","",MIN($H274/100,1)),IF($L274="","",XLOOKUP($L274,FILTER(Dictionaries!$B:$B,Dictionaries!$A:$A="Сон_часы"),FILTER(Dictionaries!$C:$C,Dictionaries!$A:$A="Сон_часы"))),IF($M274="","",XLOOKUP($M274,FILTER(Dictionaries!$B:$B,Dictionaries!$A:$A="Режим"),FILTER(Dictionaries!$C:$C,Dictionaries!$A:$A="Режим"))),IF($N274="","",MIN($N274/100,1)),IF($O274="","",XLOOKUP($O274,FILTER(Dictionaries!$B:$B,Dictionaries!$A:$A="Настроение"),FILTER(Dictionaries!$C:$C,Dictionaries!$A:$A="Настроение"))),IF($P274="","",XLOOKUP($P274,FILTER(Dictionaries!$B:$B,Dictionaries!$A:$A="Энергия"),FILTER(Dictionaries!$C:$C,Dictionaries!$A:$A="Энергия"))),IF($U274="","",AVERAGE(IF(OR($B274="Ноги",$B274="Верх"),IFS(AND($U274&gt;=1900,$U274&lt;=2050),1,AND($U274&gt;=1850,$U274&lt;1900),0.7,AND($U274&gt;2050,$U274&lt;=2100),0.7,TRUE,0.2),IFS(AND($U274&gt;=1700,$U274&lt;=1850),1,AND($U274&gt;=1650,$U274&lt;1700),0.7,AND($U274&gt;1850,$U274&lt;=1900),0.7,TRUE,0.2)),IF(OR($B274="Ноги",$B274="Верх"),IFS(AND($V274&gt;=125,$V274&lt;=135),1,AND($V274&gt;=115,$V274&lt;125),0.7,AND($V274&gt;135,$V274&lt;=145),0.7,AND($V274&gt;=105,$V274&lt;115),0.4,AND($V274&gt;145,$V274&lt;=155),0.4,TRUE,0.2),IFS(AND($V274&gt;=120,$V274&lt;=130),1,AND($V274&gt;=110,$V274&lt;120),0.7,AND($V274&gt;130,$V274&lt;=140),0.7,AND($V274&gt;=100,$V274&lt;110),0.4,AND($V274&gt;140,$V274&lt;=150),0.4,TRUE,0.2)),IFS(AND($W274&gt;=55,$W274&lt;=65),1,AND($W274&gt;=50,$W274&lt;55),0.7,AND($W274&gt;65,$W274&lt;=70),0.7,AND($W274&gt;=45,$W274&lt;50),0.4,AND($W274&gt;70,$W274&lt;=75),0.4,TRUE,0.2),IF(OR($B274="Ноги",$B274="Верх"),IFS(AND($X274&gt;=180,$X274&lt;=210),1,AND($X274&gt;=160,$X274&lt;180),0.7,AND($X274&gt;210,$X274&lt;=230),0.7,AND($X274&gt;=140,$X274&lt;160),0.4,AND($X274&gt;230,$X274&lt;=250),0.4,TRUE,0.2),IFS(AND($X274&gt;=140,$X274&lt;=170),1,AND($X274&gt;=120,$X274&lt;140),0.7,AND($X274&gt;170,$X274&lt;=190),0.7,AND($X274&gt;=100,$X274&lt;120),0.4,AND($X274&gt;190,$X274&lt;=210),0.4,TRUE,0.2))))),1),""))</f>
        <v/>
      </c>
      <c r="Z274">
        <f>IF($A274="","",TEXTJOIN(", ",TRUE,IF($B274="","Тренировка",""),IF($C274="","Кардио",""),IF($D274="","Шаги",""),IF($E274="","Английский",""),IF($F274="","Код-режим",""),IF($G274="","Код-тема",""),IF($H274="","Чтение",""),IF($L274="","Сон",""),IF($M274="","Режим",""),IF($N274="","Продуктивность",""),IF($O274="","Настроение",""),IF($P274="","Энергия",""),IF($U274="","Еда","")))</f>
        <v/>
      </c>
    </row>
    <row r="275">
      <c r="A275" t="inlineStr"/>
      <c r="U275">
        <f>IF($A275="","",IF(SUMIF(FoodLog!$A:$A,$A275,FoodLog!$I:$I)=0,"",SUMIF(FoodLog!$A:$A,$A275,FoodLog!$I:$I)))</f>
        <v/>
      </c>
      <c r="V275">
        <f>IF($A275="","",IF(SUMIF(FoodLog!$A:$A,$A275,FoodLog!$F:$F)=0,"",SUMIF(FoodLog!$A:$A,$A275,FoodLog!$F:$F)))</f>
        <v/>
      </c>
      <c r="W275">
        <f>IF($A275="","",IF(SUMIF(FoodLog!$A:$A,$A275,FoodLog!$G:$G)=0,"",SUMIF(FoodLog!$A:$A,$A275,FoodLog!$G:$G)))</f>
        <v/>
      </c>
      <c r="X275">
        <f>IF($A275="","",IF(SUMIF(FoodLog!$A:$A,$A275,FoodLog!$H:$H)=0,"",SUMIF(FoodLog!$A:$A,$A275,FoodLog!$H:$H)))</f>
        <v/>
      </c>
      <c r="Y275">
        <f>IF($A275="","",IFERROR(ROUND(100*AVERAGE(IF($B275="","",XLOOKUP($B275,FILTER(Dictionaries!$B:$B,Dictionaries!$A:$A="Тренировка"),FILTER(Dictionaries!$C:$C,Dictionaries!$A:$A="Тренировка"))),IF($C275="","",MIN($C275/40,1)),IF($D275="","",XLOOKUP($D275,FILTER(Dictionaries!$B:$B,Dictionaries!$A:$A="Шаги"),FILTER(Dictionaries!$C:$C,Dictionaries!$A:$A="Шаги"))),IF($E275="","",MIN($E275/120,1)),IF(OR($F275&lt;&gt;"",$G275&lt;&gt;""),1,""),IF($H275="","",MIN($H275/100,1)),IF($L275="","",XLOOKUP($L275,FILTER(Dictionaries!$B:$B,Dictionaries!$A:$A="Сон_часы"),FILTER(Dictionaries!$C:$C,Dictionaries!$A:$A="Сон_часы"))),IF($M275="","",XLOOKUP($M275,FILTER(Dictionaries!$B:$B,Dictionaries!$A:$A="Режим"),FILTER(Dictionaries!$C:$C,Dictionaries!$A:$A="Режим"))),IF($N275="","",MIN($N275/100,1)),IF($O275="","",XLOOKUP($O275,FILTER(Dictionaries!$B:$B,Dictionaries!$A:$A="Настроение"),FILTER(Dictionaries!$C:$C,Dictionaries!$A:$A="Настроение"))),IF($P275="","",XLOOKUP($P275,FILTER(Dictionaries!$B:$B,Dictionaries!$A:$A="Энергия"),FILTER(Dictionaries!$C:$C,Dictionaries!$A:$A="Энергия"))),IF($U275="","",AVERAGE(IF(OR($B275="Ноги",$B275="Верх"),IFS(AND($U275&gt;=1900,$U275&lt;=2050),1,AND($U275&gt;=1850,$U275&lt;1900),0.7,AND($U275&gt;2050,$U275&lt;=2100),0.7,TRUE,0.2),IFS(AND($U275&gt;=1700,$U275&lt;=1850),1,AND($U275&gt;=1650,$U275&lt;1700),0.7,AND($U275&gt;1850,$U275&lt;=1900),0.7,TRUE,0.2)),IF(OR($B275="Ноги",$B275="Верх"),IFS(AND($V275&gt;=125,$V275&lt;=135),1,AND($V275&gt;=115,$V275&lt;125),0.7,AND($V275&gt;135,$V275&lt;=145),0.7,AND($V275&gt;=105,$V275&lt;115),0.4,AND($V275&gt;145,$V275&lt;=155),0.4,TRUE,0.2),IFS(AND($V275&gt;=120,$V275&lt;=130),1,AND($V275&gt;=110,$V275&lt;120),0.7,AND($V275&gt;130,$V275&lt;=140),0.7,AND($V275&gt;=100,$V275&lt;110),0.4,AND($V275&gt;140,$V275&lt;=150),0.4,TRUE,0.2)),IFS(AND($W275&gt;=55,$W275&lt;=65),1,AND($W275&gt;=50,$W275&lt;55),0.7,AND($W275&gt;65,$W275&lt;=70),0.7,AND($W275&gt;=45,$W275&lt;50),0.4,AND($W275&gt;70,$W275&lt;=75),0.4,TRUE,0.2),IF(OR($B275="Ноги",$B275="Верх"),IFS(AND($X275&gt;=180,$X275&lt;=210),1,AND($X275&gt;=160,$X275&lt;180),0.7,AND($X275&gt;210,$X275&lt;=230),0.7,AND($X275&gt;=140,$X275&lt;160),0.4,AND($X275&gt;230,$X275&lt;=250),0.4,TRUE,0.2),IFS(AND($X275&gt;=140,$X275&lt;=170),1,AND($X275&gt;=120,$X275&lt;140),0.7,AND($X275&gt;170,$X275&lt;=190),0.7,AND($X275&gt;=100,$X275&lt;120),0.4,AND($X275&gt;190,$X275&lt;=210),0.4,TRUE,0.2))))),1),""))</f>
        <v/>
      </c>
      <c r="Z275">
        <f>IF($A275="","",TEXTJOIN(", ",TRUE,IF($B275="","Тренировка",""),IF($C275="","Кардио",""),IF($D275="","Шаги",""),IF($E275="","Английский",""),IF($F275="","Код-режим",""),IF($G275="","Код-тема",""),IF($H275="","Чтение",""),IF($L275="","Сон",""),IF($M275="","Режим",""),IF($N275="","Продуктивность",""),IF($O275="","Настроение",""),IF($P275="","Энергия",""),IF($U275="","Еда","")))</f>
        <v/>
      </c>
    </row>
    <row r="276">
      <c r="A276" t="inlineStr"/>
      <c r="U276">
        <f>IF($A276="","",IF(SUMIF(FoodLog!$A:$A,$A276,FoodLog!$I:$I)=0,"",SUMIF(FoodLog!$A:$A,$A276,FoodLog!$I:$I)))</f>
        <v/>
      </c>
      <c r="V276">
        <f>IF($A276="","",IF(SUMIF(FoodLog!$A:$A,$A276,FoodLog!$F:$F)=0,"",SUMIF(FoodLog!$A:$A,$A276,FoodLog!$F:$F)))</f>
        <v/>
      </c>
      <c r="W276">
        <f>IF($A276="","",IF(SUMIF(FoodLog!$A:$A,$A276,FoodLog!$G:$G)=0,"",SUMIF(FoodLog!$A:$A,$A276,FoodLog!$G:$G)))</f>
        <v/>
      </c>
      <c r="X276">
        <f>IF($A276="","",IF(SUMIF(FoodLog!$A:$A,$A276,FoodLog!$H:$H)=0,"",SUMIF(FoodLog!$A:$A,$A276,FoodLog!$H:$H)))</f>
        <v/>
      </c>
      <c r="Y276">
        <f>IF($A276="","",IFERROR(ROUND(100*AVERAGE(IF($B276="","",XLOOKUP($B276,FILTER(Dictionaries!$B:$B,Dictionaries!$A:$A="Тренировка"),FILTER(Dictionaries!$C:$C,Dictionaries!$A:$A="Тренировка"))),IF($C276="","",MIN($C276/40,1)),IF($D276="","",XLOOKUP($D276,FILTER(Dictionaries!$B:$B,Dictionaries!$A:$A="Шаги"),FILTER(Dictionaries!$C:$C,Dictionaries!$A:$A="Шаги"))),IF($E276="","",MIN($E276/120,1)),IF(OR($F276&lt;&gt;"",$G276&lt;&gt;""),1,""),IF($H276="","",MIN($H276/100,1)),IF($L276="","",XLOOKUP($L276,FILTER(Dictionaries!$B:$B,Dictionaries!$A:$A="Сон_часы"),FILTER(Dictionaries!$C:$C,Dictionaries!$A:$A="Сон_часы"))),IF($M276="","",XLOOKUP($M276,FILTER(Dictionaries!$B:$B,Dictionaries!$A:$A="Режим"),FILTER(Dictionaries!$C:$C,Dictionaries!$A:$A="Режим"))),IF($N276="","",MIN($N276/100,1)),IF($O276="","",XLOOKUP($O276,FILTER(Dictionaries!$B:$B,Dictionaries!$A:$A="Настроение"),FILTER(Dictionaries!$C:$C,Dictionaries!$A:$A="Настроение"))),IF($P276="","",XLOOKUP($P276,FILTER(Dictionaries!$B:$B,Dictionaries!$A:$A="Энергия"),FILTER(Dictionaries!$C:$C,Dictionaries!$A:$A="Энергия"))),IF($U276="","",AVERAGE(IF(OR($B276="Ноги",$B276="Верх"),IFS(AND($U276&gt;=1900,$U276&lt;=2050),1,AND($U276&gt;=1850,$U276&lt;1900),0.7,AND($U276&gt;2050,$U276&lt;=2100),0.7,TRUE,0.2),IFS(AND($U276&gt;=1700,$U276&lt;=1850),1,AND($U276&gt;=1650,$U276&lt;1700),0.7,AND($U276&gt;1850,$U276&lt;=1900),0.7,TRUE,0.2)),IF(OR($B276="Ноги",$B276="Верх"),IFS(AND($V276&gt;=125,$V276&lt;=135),1,AND($V276&gt;=115,$V276&lt;125),0.7,AND($V276&gt;135,$V276&lt;=145),0.7,AND($V276&gt;=105,$V276&lt;115),0.4,AND($V276&gt;145,$V276&lt;=155),0.4,TRUE,0.2),IFS(AND($V276&gt;=120,$V276&lt;=130),1,AND($V276&gt;=110,$V276&lt;120),0.7,AND($V276&gt;130,$V276&lt;=140),0.7,AND($V276&gt;=100,$V276&lt;110),0.4,AND($V276&gt;140,$V276&lt;=150),0.4,TRUE,0.2)),IFS(AND($W276&gt;=55,$W276&lt;=65),1,AND($W276&gt;=50,$W276&lt;55),0.7,AND($W276&gt;65,$W276&lt;=70),0.7,AND($W276&gt;=45,$W276&lt;50),0.4,AND($W276&gt;70,$W276&lt;=75),0.4,TRUE,0.2),IF(OR($B276="Ноги",$B276="Верх"),IFS(AND($X276&gt;=180,$X276&lt;=210),1,AND($X276&gt;=160,$X276&lt;180),0.7,AND($X276&gt;210,$X276&lt;=230),0.7,AND($X276&gt;=140,$X276&lt;160),0.4,AND($X276&gt;230,$X276&lt;=250),0.4,TRUE,0.2),IFS(AND($X276&gt;=140,$X276&lt;=170),1,AND($X276&gt;=120,$X276&lt;140),0.7,AND($X276&gt;170,$X276&lt;=190),0.7,AND($X276&gt;=100,$X276&lt;120),0.4,AND($X276&gt;190,$X276&lt;=210),0.4,TRUE,0.2))))),1),""))</f>
        <v/>
      </c>
      <c r="Z276">
        <f>IF($A276="","",TEXTJOIN(", ",TRUE,IF($B276="","Тренировка",""),IF($C276="","Кардио",""),IF($D276="","Шаги",""),IF($E276="","Английский",""),IF($F276="","Код-режим",""),IF($G276="","Код-тема",""),IF($H276="","Чтение",""),IF($L276="","Сон",""),IF($M276="","Режим",""),IF($N276="","Продуктивность",""),IF($O276="","Настроение",""),IF($P276="","Энергия",""),IF($U276="","Еда","")))</f>
        <v/>
      </c>
    </row>
    <row r="277">
      <c r="A277" t="inlineStr"/>
      <c r="U277">
        <f>IF($A277="","",IF(SUMIF(FoodLog!$A:$A,$A277,FoodLog!$I:$I)=0,"",SUMIF(FoodLog!$A:$A,$A277,FoodLog!$I:$I)))</f>
        <v/>
      </c>
      <c r="V277">
        <f>IF($A277="","",IF(SUMIF(FoodLog!$A:$A,$A277,FoodLog!$F:$F)=0,"",SUMIF(FoodLog!$A:$A,$A277,FoodLog!$F:$F)))</f>
        <v/>
      </c>
      <c r="W277">
        <f>IF($A277="","",IF(SUMIF(FoodLog!$A:$A,$A277,FoodLog!$G:$G)=0,"",SUMIF(FoodLog!$A:$A,$A277,FoodLog!$G:$G)))</f>
        <v/>
      </c>
      <c r="X277">
        <f>IF($A277="","",IF(SUMIF(FoodLog!$A:$A,$A277,FoodLog!$H:$H)=0,"",SUMIF(FoodLog!$A:$A,$A277,FoodLog!$H:$H)))</f>
        <v/>
      </c>
      <c r="Y277">
        <f>IF($A277="","",IFERROR(ROUND(100*AVERAGE(IF($B277="","",XLOOKUP($B277,FILTER(Dictionaries!$B:$B,Dictionaries!$A:$A="Тренировка"),FILTER(Dictionaries!$C:$C,Dictionaries!$A:$A="Тренировка"))),IF($C277="","",MIN($C277/40,1)),IF($D277="","",XLOOKUP($D277,FILTER(Dictionaries!$B:$B,Dictionaries!$A:$A="Шаги"),FILTER(Dictionaries!$C:$C,Dictionaries!$A:$A="Шаги"))),IF($E277="","",MIN($E277/120,1)),IF(OR($F277&lt;&gt;"",$G277&lt;&gt;""),1,""),IF($H277="","",MIN($H277/100,1)),IF($L277="","",XLOOKUP($L277,FILTER(Dictionaries!$B:$B,Dictionaries!$A:$A="Сон_часы"),FILTER(Dictionaries!$C:$C,Dictionaries!$A:$A="Сон_часы"))),IF($M277="","",XLOOKUP($M277,FILTER(Dictionaries!$B:$B,Dictionaries!$A:$A="Режим"),FILTER(Dictionaries!$C:$C,Dictionaries!$A:$A="Режим"))),IF($N277="","",MIN($N277/100,1)),IF($O277="","",XLOOKUP($O277,FILTER(Dictionaries!$B:$B,Dictionaries!$A:$A="Настроение"),FILTER(Dictionaries!$C:$C,Dictionaries!$A:$A="Настроение"))),IF($P277="","",XLOOKUP($P277,FILTER(Dictionaries!$B:$B,Dictionaries!$A:$A="Энергия"),FILTER(Dictionaries!$C:$C,Dictionaries!$A:$A="Энергия"))),IF($U277="","",AVERAGE(IF(OR($B277="Ноги",$B277="Верх"),IFS(AND($U277&gt;=1900,$U277&lt;=2050),1,AND($U277&gt;=1850,$U277&lt;1900),0.7,AND($U277&gt;2050,$U277&lt;=2100),0.7,TRUE,0.2),IFS(AND($U277&gt;=1700,$U277&lt;=1850),1,AND($U277&gt;=1650,$U277&lt;1700),0.7,AND($U277&gt;1850,$U277&lt;=1900),0.7,TRUE,0.2)),IF(OR($B277="Ноги",$B277="Верх"),IFS(AND($V277&gt;=125,$V277&lt;=135),1,AND($V277&gt;=115,$V277&lt;125),0.7,AND($V277&gt;135,$V277&lt;=145),0.7,AND($V277&gt;=105,$V277&lt;115),0.4,AND($V277&gt;145,$V277&lt;=155),0.4,TRUE,0.2),IFS(AND($V277&gt;=120,$V277&lt;=130),1,AND($V277&gt;=110,$V277&lt;120),0.7,AND($V277&gt;130,$V277&lt;=140),0.7,AND($V277&gt;=100,$V277&lt;110),0.4,AND($V277&gt;140,$V277&lt;=150),0.4,TRUE,0.2)),IFS(AND($W277&gt;=55,$W277&lt;=65),1,AND($W277&gt;=50,$W277&lt;55),0.7,AND($W277&gt;65,$W277&lt;=70),0.7,AND($W277&gt;=45,$W277&lt;50),0.4,AND($W277&gt;70,$W277&lt;=75),0.4,TRUE,0.2),IF(OR($B277="Ноги",$B277="Верх"),IFS(AND($X277&gt;=180,$X277&lt;=210),1,AND($X277&gt;=160,$X277&lt;180),0.7,AND($X277&gt;210,$X277&lt;=230),0.7,AND($X277&gt;=140,$X277&lt;160),0.4,AND($X277&gt;230,$X277&lt;=250),0.4,TRUE,0.2),IFS(AND($X277&gt;=140,$X277&lt;=170),1,AND($X277&gt;=120,$X277&lt;140),0.7,AND($X277&gt;170,$X277&lt;=190),0.7,AND($X277&gt;=100,$X277&lt;120),0.4,AND($X277&gt;190,$X277&lt;=210),0.4,TRUE,0.2))))),1),""))</f>
        <v/>
      </c>
      <c r="Z277">
        <f>IF($A277="","",TEXTJOIN(", ",TRUE,IF($B277="","Тренировка",""),IF($C277="","Кардио",""),IF($D277="","Шаги",""),IF($E277="","Английский",""),IF($F277="","Код-режим",""),IF($G277="","Код-тема",""),IF($H277="","Чтение",""),IF($L277="","Сон",""),IF($M277="","Режим",""),IF($N277="","Продуктивность",""),IF($O277="","Настроение",""),IF($P277="","Энергия",""),IF($U277="","Еда","")))</f>
        <v/>
      </c>
    </row>
    <row r="278">
      <c r="A278" t="inlineStr"/>
      <c r="U278">
        <f>IF($A278="","",IF(SUMIF(FoodLog!$A:$A,$A278,FoodLog!$I:$I)=0,"",SUMIF(FoodLog!$A:$A,$A278,FoodLog!$I:$I)))</f>
        <v/>
      </c>
      <c r="V278">
        <f>IF($A278="","",IF(SUMIF(FoodLog!$A:$A,$A278,FoodLog!$F:$F)=0,"",SUMIF(FoodLog!$A:$A,$A278,FoodLog!$F:$F)))</f>
        <v/>
      </c>
      <c r="W278">
        <f>IF($A278="","",IF(SUMIF(FoodLog!$A:$A,$A278,FoodLog!$G:$G)=0,"",SUMIF(FoodLog!$A:$A,$A278,FoodLog!$G:$G)))</f>
        <v/>
      </c>
      <c r="X278">
        <f>IF($A278="","",IF(SUMIF(FoodLog!$A:$A,$A278,FoodLog!$H:$H)=0,"",SUMIF(FoodLog!$A:$A,$A278,FoodLog!$H:$H)))</f>
        <v/>
      </c>
      <c r="Y278">
        <f>IF($A278="","",IFERROR(ROUND(100*AVERAGE(IF($B278="","",XLOOKUP($B278,FILTER(Dictionaries!$B:$B,Dictionaries!$A:$A="Тренировка"),FILTER(Dictionaries!$C:$C,Dictionaries!$A:$A="Тренировка"))),IF($C278="","",MIN($C278/40,1)),IF($D278="","",XLOOKUP($D278,FILTER(Dictionaries!$B:$B,Dictionaries!$A:$A="Шаги"),FILTER(Dictionaries!$C:$C,Dictionaries!$A:$A="Шаги"))),IF($E278="","",MIN($E278/120,1)),IF(OR($F278&lt;&gt;"",$G278&lt;&gt;""),1,""),IF($H278="","",MIN($H278/100,1)),IF($L278="","",XLOOKUP($L278,FILTER(Dictionaries!$B:$B,Dictionaries!$A:$A="Сон_часы"),FILTER(Dictionaries!$C:$C,Dictionaries!$A:$A="Сон_часы"))),IF($M278="","",XLOOKUP($M278,FILTER(Dictionaries!$B:$B,Dictionaries!$A:$A="Режим"),FILTER(Dictionaries!$C:$C,Dictionaries!$A:$A="Режим"))),IF($N278="","",MIN($N278/100,1)),IF($O278="","",XLOOKUP($O278,FILTER(Dictionaries!$B:$B,Dictionaries!$A:$A="Настроение"),FILTER(Dictionaries!$C:$C,Dictionaries!$A:$A="Настроение"))),IF($P278="","",XLOOKUP($P278,FILTER(Dictionaries!$B:$B,Dictionaries!$A:$A="Энергия"),FILTER(Dictionaries!$C:$C,Dictionaries!$A:$A="Энергия"))),IF($U278="","",AVERAGE(IF(OR($B278="Ноги",$B278="Верх"),IFS(AND($U278&gt;=1900,$U278&lt;=2050),1,AND($U278&gt;=1850,$U278&lt;1900),0.7,AND($U278&gt;2050,$U278&lt;=2100),0.7,TRUE,0.2),IFS(AND($U278&gt;=1700,$U278&lt;=1850),1,AND($U278&gt;=1650,$U278&lt;1700),0.7,AND($U278&gt;1850,$U278&lt;=1900),0.7,TRUE,0.2)),IF(OR($B278="Ноги",$B278="Верх"),IFS(AND($V278&gt;=125,$V278&lt;=135),1,AND($V278&gt;=115,$V278&lt;125),0.7,AND($V278&gt;135,$V278&lt;=145),0.7,AND($V278&gt;=105,$V278&lt;115),0.4,AND($V278&gt;145,$V278&lt;=155),0.4,TRUE,0.2),IFS(AND($V278&gt;=120,$V278&lt;=130),1,AND($V278&gt;=110,$V278&lt;120),0.7,AND($V278&gt;130,$V278&lt;=140),0.7,AND($V278&gt;=100,$V278&lt;110),0.4,AND($V278&gt;140,$V278&lt;=150),0.4,TRUE,0.2)),IFS(AND($W278&gt;=55,$W278&lt;=65),1,AND($W278&gt;=50,$W278&lt;55),0.7,AND($W278&gt;65,$W278&lt;=70),0.7,AND($W278&gt;=45,$W278&lt;50),0.4,AND($W278&gt;70,$W278&lt;=75),0.4,TRUE,0.2),IF(OR($B278="Ноги",$B278="Верх"),IFS(AND($X278&gt;=180,$X278&lt;=210),1,AND($X278&gt;=160,$X278&lt;180),0.7,AND($X278&gt;210,$X278&lt;=230),0.7,AND($X278&gt;=140,$X278&lt;160),0.4,AND($X278&gt;230,$X278&lt;=250),0.4,TRUE,0.2),IFS(AND($X278&gt;=140,$X278&lt;=170),1,AND($X278&gt;=120,$X278&lt;140),0.7,AND($X278&gt;170,$X278&lt;=190),0.7,AND($X278&gt;=100,$X278&lt;120),0.4,AND($X278&gt;190,$X278&lt;=210),0.4,TRUE,0.2))))),1),""))</f>
        <v/>
      </c>
      <c r="Z278">
        <f>IF($A278="","",TEXTJOIN(", ",TRUE,IF($B278="","Тренировка",""),IF($C278="","Кардио",""),IF($D278="","Шаги",""),IF($E278="","Английский",""),IF($F278="","Код-режим",""),IF($G278="","Код-тема",""),IF($H278="","Чтение",""),IF($L278="","Сон",""),IF($M278="","Режим",""),IF($N278="","Продуктивность",""),IF($O278="","Настроение",""),IF($P278="","Энергия",""),IF($U278="","Еда","")))</f>
        <v/>
      </c>
    </row>
    <row r="279">
      <c r="A279" t="inlineStr"/>
      <c r="U279">
        <f>IF($A279="","",IF(SUMIF(FoodLog!$A:$A,$A279,FoodLog!$I:$I)=0,"",SUMIF(FoodLog!$A:$A,$A279,FoodLog!$I:$I)))</f>
        <v/>
      </c>
      <c r="V279">
        <f>IF($A279="","",IF(SUMIF(FoodLog!$A:$A,$A279,FoodLog!$F:$F)=0,"",SUMIF(FoodLog!$A:$A,$A279,FoodLog!$F:$F)))</f>
        <v/>
      </c>
      <c r="W279">
        <f>IF($A279="","",IF(SUMIF(FoodLog!$A:$A,$A279,FoodLog!$G:$G)=0,"",SUMIF(FoodLog!$A:$A,$A279,FoodLog!$G:$G)))</f>
        <v/>
      </c>
      <c r="X279">
        <f>IF($A279="","",IF(SUMIF(FoodLog!$A:$A,$A279,FoodLog!$H:$H)=0,"",SUMIF(FoodLog!$A:$A,$A279,FoodLog!$H:$H)))</f>
        <v/>
      </c>
      <c r="Y279">
        <f>IF($A279="","",IFERROR(ROUND(100*AVERAGE(IF($B279="","",XLOOKUP($B279,FILTER(Dictionaries!$B:$B,Dictionaries!$A:$A="Тренировка"),FILTER(Dictionaries!$C:$C,Dictionaries!$A:$A="Тренировка"))),IF($C279="","",MIN($C279/40,1)),IF($D279="","",XLOOKUP($D279,FILTER(Dictionaries!$B:$B,Dictionaries!$A:$A="Шаги"),FILTER(Dictionaries!$C:$C,Dictionaries!$A:$A="Шаги"))),IF($E279="","",MIN($E279/120,1)),IF(OR($F279&lt;&gt;"",$G279&lt;&gt;""),1,""),IF($H279="","",MIN($H279/100,1)),IF($L279="","",XLOOKUP($L279,FILTER(Dictionaries!$B:$B,Dictionaries!$A:$A="Сон_часы"),FILTER(Dictionaries!$C:$C,Dictionaries!$A:$A="Сон_часы"))),IF($M279="","",XLOOKUP($M279,FILTER(Dictionaries!$B:$B,Dictionaries!$A:$A="Режим"),FILTER(Dictionaries!$C:$C,Dictionaries!$A:$A="Режим"))),IF($N279="","",MIN($N279/100,1)),IF($O279="","",XLOOKUP($O279,FILTER(Dictionaries!$B:$B,Dictionaries!$A:$A="Настроение"),FILTER(Dictionaries!$C:$C,Dictionaries!$A:$A="Настроение"))),IF($P279="","",XLOOKUP($P279,FILTER(Dictionaries!$B:$B,Dictionaries!$A:$A="Энергия"),FILTER(Dictionaries!$C:$C,Dictionaries!$A:$A="Энергия"))),IF($U279="","",AVERAGE(IF(OR($B279="Ноги",$B279="Верх"),IFS(AND($U279&gt;=1900,$U279&lt;=2050),1,AND($U279&gt;=1850,$U279&lt;1900),0.7,AND($U279&gt;2050,$U279&lt;=2100),0.7,TRUE,0.2),IFS(AND($U279&gt;=1700,$U279&lt;=1850),1,AND($U279&gt;=1650,$U279&lt;1700),0.7,AND($U279&gt;1850,$U279&lt;=1900),0.7,TRUE,0.2)),IF(OR($B279="Ноги",$B279="Верх"),IFS(AND($V279&gt;=125,$V279&lt;=135),1,AND($V279&gt;=115,$V279&lt;125),0.7,AND($V279&gt;135,$V279&lt;=145),0.7,AND($V279&gt;=105,$V279&lt;115),0.4,AND($V279&gt;145,$V279&lt;=155),0.4,TRUE,0.2),IFS(AND($V279&gt;=120,$V279&lt;=130),1,AND($V279&gt;=110,$V279&lt;120),0.7,AND($V279&gt;130,$V279&lt;=140),0.7,AND($V279&gt;=100,$V279&lt;110),0.4,AND($V279&gt;140,$V279&lt;=150),0.4,TRUE,0.2)),IFS(AND($W279&gt;=55,$W279&lt;=65),1,AND($W279&gt;=50,$W279&lt;55),0.7,AND($W279&gt;65,$W279&lt;=70),0.7,AND($W279&gt;=45,$W279&lt;50),0.4,AND($W279&gt;70,$W279&lt;=75),0.4,TRUE,0.2),IF(OR($B279="Ноги",$B279="Верх"),IFS(AND($X279&gt;=180,$X279&lt;=210),1,AND($X279&gt;=160,$X279&lt;180),0.7,AND($X279&gt;210,$X279&lt;=230),0.7,AND($X279&gt;=140,$X279&lt;160),0.4,AND($X279&gt;230,$X279&lt;=250),0.4,TRUE,0.2),IFS(AND($X279&gt;=140,$X279&lt;=170),1,AND($X279&gt;=120,$X279&lt;140),0.7,AND($X279&gt;170,$X279&lt;=190),0.7,AND($X279&gt;=100,$X279&lt;120),0.4,AND($X279&gt;190,$X279&lt;=210),0.4,TRUE,0.2))))),1),""))</f>
        <v/>
      </c>
      <c r="Z279">
        <f>IF($A279="","",TEXTJOIN(", ",TRUE,IF($B279="","Тренировка",""),IF($C279="","Кардио",""),IF($D279="","Шаги",""),IF($E279="","Английский",""),IF($F279="","Код-режим",""),IF($G279="","Код-тема",""),IF($H279="","Чтение",""),IF($L279="","Сон",""),IF($M279="","Режим",""),IF($N279="","Продуктивность",""),IF($O279="","Настроение",""),IF($P279="","Энергия",""),IF($U279="","Еда","")))</f>
        <v/>
      </c>
    </row>
    <row r="280">
      <c r="A280" t="inlineStr"/>
      <c r="U280">
        <f>IF($A280="","",IF(SUMIF(FoodLog!$A:$A,$A280,FoodLog!$I:$I)=0,"",SUMIF(FoodLog!$A:$A,$A280,FoodLog!$I:$I)))</f>
        <v/>
      </c>
      <c r="V280">
        <f>IF($A280="","",IF(SUMIF(FoodLog!$A:$A,$A280,FoodLog!$F:$F)=0,"",SUMIF(FoodLog!$A:$A,$A280,FoodLog!$F:$F)))</f>
        <v/>
      </c>
      <c r="W280">
        <f>IF($A280="","",IF(SUMIF(FoodLog!$A:$A,$A280,FoodLog!$G:$G)=0,"",SUMIF(FoodLog!$A:$A,$A280,FoodLog!$G:$G)))</f>
        <v/>
      </c>
      <c r="X280">
        <f>IF($A280="","",IF(SUMIF(FoodLog!$A:$A,$A280,FoodLog!$H:$H)=0,"",SUMIF(FoodLog!$A:$A,$A280,FoodLog!$H:$H)))</f>
        <v/>
      </c>
      <c r="Y280">
        <f>IF($A280="","",IFERROR(ROUND(100*AVERAGE(IF($B280="","",XLOOKUP($B280,FILTER(Dictionaries!$B:$B,Dictionaries!$A:$A="Тренировка"),FILTER(Dictionaries!$C:$C,Dictionaries!$A:$A="Тренировка"))),IF($C280="","",MIN($C280/40,1)),IF($D280="","",XLOOKUP($D280,FILTER(Dictionaries!$B:$B,Dictionaries!$A:$A="Шаги"),FILTER(Dictionaries!$C:$C,Dictionaries!$A:$A="Шаги"))),IF($E280="","",MIN($E280/120,1)),IF(OR($F280&lt;&gt;"",$G280&lt;&gt;""),1,""),IF($H280="","",MIN($H280/100,1)),IF($L280="","",XLOOKUP($L280,FILTER(Dictionaries!$B:$B,Dictionaries!$A:$A="Сон_часы"),FILTER(Dictionaries!$C:$C,Dictionaries!$A:$A="Сон_часы"))),IF($M280="","",XLOOKUP($M280,FILTER(Dictionaries!$B:$B,Dictionaries!$A:$A="Режим"),FILTER(Dictionaries!$C:$C,Dictionaries!$A:$A="Режим"))),IF($N280="","",MIN($N280/100,1)),IF($O280="","",XLOOKUP($O280,FILTER(Dictionaries!$B:$B,Dictionaries!$A:$A="Настроение"),FILTER(Dictionaries!$C:$C,Dictionaries!$A:$A="Настроение"))),IF($P280="","",XLOOKUP($P280,FILTER(Dictionaries!$B:$B,Dictionaries!$A:$A="Энергия"),FILTER(Dictionaries!$C:$C,Dictionaries!$A:$A="Энергия"))),IF($U280="","",AVERAGE(IF(OR($B280="Ноги",$B280="Верх"),IFS(AND($U280&gt;=1900,$U280&lt;=2050),1,AND($U280&gt;=1850,$U280&lt;1900),0.7,AND($U280&gt;2050,$U280&lt;=2100),0.7,TRUE,0.2),IFS(AND($U280&gt;=1700,$U280&lt;=1850),1,AND($U280&gt;=1650,$U280&lt;1700),0.7,AND($U280&gt;1850,$U280&lt;=1900),0.7,TRUE,0.2)),IF(OR($B280="Ноги",$B280="Верх"),IFS(AND($V280&gt;=125,$V280&lt;=135),1,AND($V280&gt;=115,$V280&lt;125),0.7,AND($V280&gt;135,$V280&lt;=145),0.7,AND($V280&gt;=105,$V280&lt;115),0.4,AND($V280&gt;145,$V280&lt;=155),0.4,TRUE,0.2),IFS(AND($V280&gt;=120,$V280&lt;=130),1,AND($V280&gt;=110,$V280&lt;120),0.7,AND($V280&gt;130,$V280&lt;=140),0.7,AND($V280&gt;=100,$V280&lt;110),0.4,AND($V280&gt;140,$V280&lt;=150),0.4,TRUE,0.2)),IFS(AND($W280&gt;=55,$W280&lt;=65),1,AND($W280&gt;=50,$W280&lt;55),0.7,AND($W280&gt;65,$W280&lt;=70),0.7,AND($W280&gt;=45,$W280&lt;50),0.4,AND($W280&gt;70,$W280&lt;=75),0.4,TRUE,0.2),IF(OR($B280="Ноги",$B280="Верх"),IFS(AND($X280&gt;=180,$X280&lt;=210),1,AND($X280&gt;=160,$X280&lt;180),0.7,AND($X280&gt;210,$X280&lt;=230),0.7,AND($X280&gt;=140,$X280&lt;160),0.4,AND($X280&gt;230,$X280&lt;=250),0.4,TRUE,0.2),IFS(AND($X280&gt;=140,$X280&lt;=170),1,AND($X280&gt;=120,$X280&lt;140),0.7,AND($X280&gt;170,$X280&lt;=190),0.7,AND($X280&gt;=100,$X280&lt;120),0.4,AND($X280&gt;190,$X280&lt;=210),0.4,TRUE,0.2))))),1),""))</f>
        <v/>
      </c>
      <c r="Z280">
        <f>IF($A280="","",TEXTJOIN(", ",TRUE,IF($B280="","Тренировка",""),IF($C280="","Кардио",""),IF($D280="","Шаги",""),IF($E280="","Английский",""),IF($F280="","Код-режим",""),IF($G280="","Код-тема",""),IF($H280="","Чтение",""),IF($L280="","Сон",""),IF($M280="","Режим",""),IF($N280="","Продуктивность",""),IF($O280="","Настроение",""),IF($P280="","Энергия",""),IF($U280="","Еда","")))</f>
        <v/>
      </c>
    </row>
    <row r="281">
      <c r="A281" t="inlineStr"/>
      <c r="U281">
        <f>IF($A281="","",IF(SUMIF(FoodLog!$A:$A,$A281,FoodLog!$I:$I)=0,"",SUMIF(FoodLog!$A:$A,$A281,FoodLog!$I:$I)))</f>
        <v/>
      </c>
      <c r="V281">
        <f>IF($A281="","",IF(SUMIF(FoodLog!$A:$A,$A281,FoodLog!$F:$F)=0,"",SUMIF(FoodLog!$A:$A,$A281,FoodLog!$F:$F)))</f>
        <v/>
      </c>
      <c r="W281">
        <f>IF($A281="","",IF(SUMIF(FoodLog!$A:$A,$A281,FoodLog!$G:$G)=0,"",SUMIF(FoodLog!$A:$A,$A281,FoodLog!$G:$G)))</f>
        <v/>
      </c>
      <c r="X281">
        <f>IF($A281="","",IF(SUMIF(FoodLog!$A:$A,$A281,FoodLog!$H:$H)=0,"",SUMIF(FoodLog!$A:$A,$A281,FoodLog!$H:$H)))</f>
        <v/>
      </c>
      <c r="Y281">
        <f>IF($A281="","",IFERROR(ROUND(100*AVERAGE(IF($B281="","",XLOOKUP($B281,FILTER(Dictionaries!$B:$B,Dictionaries!$A:$A="Тренировка"),FILTER(Dictionaries!$C:$C,Dictionaries!$A:$A="Тренировка"))),IF($C281="","",MIN($C281/40,1)),IF($D281="","",XLOOKUP($D281,FILTER(Dictionaries!$B:$B,Dictionaries!$A:$A="Шаги"),FILTER(Dictionaries!$C:$C,Dictionaries!$A:$A="Шаги"))),IF($E281="","",MIN($E281/120,1)),IF(OR($F281&lt;&gt;"",$G281&lt;&gt;""),1,""),IF($H281="","",MIN($H281/100,1)),IF($L281="","",XLOOKUP($L281,FILTER(Dictionaries!$B:$B,Dictionaries!$A:$A="Сон_часы"),FILTER(Dictionaries!$C:$C,Dictionaries!$A:$A="Сон_часы"))),IF($M281="","",XLOOKUP($M281,FILTER(Dictionaries!$B:$B,Dictionaries!$A:$A="Режим"),FILTER(Dictionaries!$C:$C,Dictionaries!$A:$A="Режим"))),IF($N281="","",MIN($N281/100,1)),IF($O281="","",XLOOKUP($O281,FILTER(Dictionaries!$B:$B,Dictionaries!$A:$A="Настроение"),FILTER(Dictionaries!$C:$C,Dictionaries!$A:$A="Настроение"))),IF($P281="","",XLOOKUP($P281,FILTER(Dictionaries!$B:$B,Dictionaries!$A:$A="Энергия"),FILTER(Dictionaries!$C:$C,Dictionaries!$A:$A="Энергия"))),IF($U281="","",AVERAGE(IF(OR($B281="Ноги",$B281="Верх"),IFS(AND($U281&gt;=1900,$U281&lt;=2050),1,AND($U281&gt;=1850,$U281&lt;1900),0.7,AND($U281&gt;2050,$U281&lt;=2100),0.7,TRUE,0.2),IFS(AND($U281&gt;=1700,$U281&lt;=1850),1,AND($U281&gt;=1650,$U281&lt;1700),0.7,AND($U281&gt;1850,$U281&lt;=1900),0.7,TRUE,0.2)),IF(OR($B281="Ноги",$B281="Верх"),IFS(AND($V281&gt;=125,$V281&lt;=135),1,AND($V281&gt;=115,$V281&lt;125),0.7,AND($V281&gt;135,$V281&lt;=145),0.7,AND($V281&gt;=105,$V281&lt;115),0.4,AND($V281&gt;145,$V281&lt;=155),0.4,TRUE,0.2),IFS(AND($V281&gt;=120,$V281&lt;=130),1,AND($V281&gt;=110,$V281&lt;120),0.7,AND($V281&gt;130,$V281&lt;=140),0.7,AND($V281&gt;=100,$V281&lt;110),0.4,AND($V281&gt;140,$V281&lt;=150),0.4,TRUE,0.2)),IFS(AND($W281&gt;=55,$W281&lt;=65),1,AND($W281&gt;=50,$W281&lt;55),0.7,AND($W281&gt;65,$W281&lt;=70),0.7,AND($W281&gt;=45,$W281&lt;50),0.4,AND($W281&gt;70,$W281&lt;=75),0.4,TRUE,0.2),IF(OR($B281="Ноги",$B281="Верх"),IFS(AND($X281&gt;=180,$X281&lt;=210),1,AND($X281&gt;=160,$X281&lt;180),0.7,AND($X281&gt;210,$X281&lt;=230),0.7,AND($X281&gt;=140,$X281&lt;160),0.4,AND($X281&gt;230,$X281&lt;=250),0.4,TRUE,0.2),IFS(AND($X281&gt;=140,$X281&lt;=170),1,AND($X281&gt;=120,$X281&lt;140),0.7,AND($X281&gt;170,$X281&lt;=190),0.7,AND($X281&gt;=100,$X281&lt;120),0.4,AND($X281&gt;190,$X281&lt;=210),0.4,TRUE,0.2))))),1),""))</f>
        <v/>
      </c>
      <c r="Z281">
        <f>IF($A281="","",TEXTJOIN(", ",TRUE,IF($B281="","Тренировка",""),IF($C281="","Кардио",""),IF($D281="","Шаги",""),IF($E281="","Английский",""),IF($F281="","Код-режим",""),IF($G281="","Код-тема",""),IF($H281="","Чтение",""),IF($L281="","Сон",""),IF($M281="","Режим",""),IF($N281="","Продуктивность",""),IF($O281="","Настроение",""),IF($P281="","Энергия",""),IF($U281="","Еда","")))</f>
        <v/>
      </c>
    </row>
    <row r="282">
      <c r="A282" t="inlineStr"/>
      <c r="U282">
        <f>IF($A282="","",IF(SUMIF(FoodLog!$A:$A,$A282,FoodLog!$I:$I)=0,"",SUMIF(FoodLog!$A:$A,$A282,FoodLog!$I:$I)))</f>
        <v/>
      </c>
      <c r="V282">
        <f>IF($A282="","",IF(SUMIF(FoodLog!$A:$A,$A282,FoodLog!$F:$F)=0,"",SUMIF(FoodLog!$A:$A,$A282,FoodLog!$F:$F)))</f>
        <v/>
      </c>
      <c r="W282">
        <f>IF($A282="","",IF(SUMIF(FoodLog!$A:$A,$A282,FoodLog!$G:$G)=0,"",SUMIF(FoodLog!$A:$A,$A282,FoodLog!$G:$G)))</f>
        <v/>
      </c>
      <c r="X282">
        <f>IF($A282="","",IF(SUMIF(FoodLog!$A:$A,$A282,FoodLog!$H:$H)=0,"",SUMIF(FoodLog!$A:$A,$A282,FoodLog!$H:$H)))</f>
        <v/>
      </c>
      <c r="Y282">
        <f>IF($A282="","",IFERROR(ROUND(100*AVERAGE(IF($B282="","",XLOOKUP($B282,FILTER(Dictionaries!$B:$B,Dictionaries!$A:$A="Тренировка"),FILTER(Dictionaries!$C:$C,Dictionaries!$A:$A="Тренировка"))),IF($C282="","",MIN($C282/40,1)),IF($D282="","",XLOOKUP($D282,FILTER(Dictionaries!$B:$B,Dictionaries!$A:$A="Шаги"),FILTER(Dictionaries!$C:$C,Dictionaries!$A:$A="Шаги"))),IF($E282="","",MIN($E282/120,1)),IF(OR($F282&lt;&gt;"",$G282&lt;&gt;""),1,""),IF($H282="","",MIN($H282/100,1)),IF($L282="","",XLOOKUP($L282,FILTER(Dictionaries!$B:$B,Dictionaries!$A:$A="Сон_часы"),FILTER(Dictionaries!$C:$C,Dictionaries!$A:$A="Сон_часы"))),IF($M282="","",XLOOKUP($M282,FILTER(Dictionaries!$B:$B,Dictionaries!$A:$A="Режим"),FILTER(Dictionaries!$C:$C,Dictionaries!$A:$A="Режим"))),IF($N282="","",MIN($N282/100,1)),IF($O282="","",XLOOKUP($O282,FILTER(Dictionaries!$B:$B,Dictionaries!$A:$A="Настроение"),FILTER(Dictionaries!$C:$C,Dictionaries!$A:$A="Настроение"))),IF($P282="","",XLOOKUP($P282,FILTER(Dictionaries!$B:$B,Dictionaries!$A:$A="Энергия"),FILTER(Dictionaries!$C:$C,Dictionaries!$A:$A="Энергия"))),IF($U282="","",AVERAGE(IF(OR($B282="Ноги",$B282="Верх"),IFS(AND($U282&gt;=1900,$U282&lt;=2050),1,AND($U282&gt;=1850,$U282&lt;1900),0.7,AND($U282&gt;2050,$U282&lt;=2100),0.7,TRUE,0.2),IFS(AND($U282&gt;=1700,$U282&lt;=1850),1,AND($U282&gt;=1650,$U282&lt;1700),0.7,AND($U282&gt;1850,$U282&lt;=1900),0.7,TRUE,0.2)),IF(OR($B282="Ноги",$B282="Верх"),IFS(AND($V282&gt;=125,$V282&lt;=135),1,AND($V282&gt;=115,$V282&lt;125),0.7,AND($V282&gt;135,$V282&lt;=145),0.7,AND($V282&gt;=105,$V282&lt;115),0.4,AND($V282&gt;145,$V282&lt;=155),0.4,TRUE,0.2),IFS(AND($V282&gt;=120,$V282&lt;=130),1,AND($V282&gt;=110,$V282&lt;120),0.7,AND($V282&gt;130,$V282&lt;=140),0.7,AND($V282&gt;=100,$V282&lt;110),0.4,AND($V282&gt;140,$V282&lt;=150),0.4,TRUE,0.2)),IFS(AND($W282&gt;=55,$W282&lt;=65),1,AND($W282&gt;=50,$W282&lt;55),0.7,AND($W282&gt;65,$W282&lt;=70),0.7,AND($W282&gt;=45,$W282&lt;50),0.4,AND($W282&gt;70,$W282&lt;=75),0.4,TRUE,0.2),IF(OR($B282="Ноги",$B282="Верх"),IFS(AND($X282&gt;=180,$X282&lt;=210),1,AND($X282&gt;=160,$X282&lt;180),0.7,AND($X282&gt;210,$X282&lt;=230),0.7,AND($X282&gt;=140,$X282&lt;160),0.4,AND($X282&gt;230,$X282&lt;=250),0.4,TRUE,0.2),IFS(AND($X282&gt;=140,$X282&lt;=170),1,AND($X282&gt;=120,$X282&lt;140),0.7,AND($X282&gt;170,$X282&lt;=190),0.7,AND($X282&gt;=100,$X282&lt;120),0.4,AND($X282&gt;190,$X282&lt;=210),0.4,TRUE,0.2))))),1),""))</f>
        <v/>
      </c>
      <c r="Z282">
        <f>IF($A282="","",TEXTJOIN(", ",TRUE,IF($B282="","Тренировка",""),IF($C282="","Кардио",""),IF($D282="","Шаги",""),IF($E282="","Английский",""),IF($F282="","Код-режим",""),IF($G282="","Код-тема",""),IF($H282="","Чтение",""),IF($L282="","Сон",""),IF($M282="","Режим",""),IF($N282="","Продуктивность",""),IF($O282="","Настроение",""),IF($P282="","Энергия",""),IF($U282="","Еда","")))</f>
        <v/>
      </c>
    </row>
    <row r="283">
      <c r="A283" t="inlineStr"/>
      <c r="U283">
        <f>IF($A283="","",IF(SUMIF(FoodLog!$A:$A,$A283,FoodLog!$I:$I)=0,"",SUMIF(FoodLog!$A:$A,$A283,FoodLog!$I:$I)))</f>
        <v/>
      </c>
      <c r="V283">
        <f>IF($A283="","",IF(SUMIF(FoodLog!$A:$A,$A283,FoodLog!$F:$F)=0,"",SUMIF(FoodLog!$A:$A,$A283,FoodLog!$F:$F)))</f>
        <v/>
      </c>
      <c r="W283">
        <f>IF($A283="","",IF(SUMIF(FoodLog!$A:$A,$A283,FoodLog!$G:$G)=0,"",SUMIF(FoodLog!$A:$A,$A283,FoodLog!$G:$G)))</f>
        <v/>
      </c>
      <c r="X283">
        <f>IF($A283="","",IF(SUMIF(FoodLog!$A:$A,$A283,FoodLog!$H:$H)=0,"",SUMIF(FoodLog!$A:$A,$A283,FoodLog!$H:$H)))</f>
        <v/>
      </c>
      <c r="Y283">
        <f>IF($A283="","",IFERROR(ROUND(100*AVERAGE(IF($B283="","",XLOOKUP($B283,FILTER(Dictionaries!$B:$B,Dictionaries!$A:$A="Тренировка"),FILTER(Dictionaries!$C:$C,Dictionaries!$A:$A="Тренировка"))),IF($C283="","",MIN($C283/40,1)),IF($D283="","",XLOOKUP($D283,FILTER(Dictionaries!$B:$B,Dictionaries!$A:$A="Шаги"),FILTER(Dictionaries!$C:$C,Dictionaries!$A:$A="Шаги"))),IF($E283="","",MIN($E283/120,1)),IF(OR($F283&lt;&gt;"",$G283&lt;&gt;""),1,""),IF($H283="","",MIN($H283/100,1)),IF($L283="","",XLOOKUP($L283,FILTER(Dictionaries!$B:$B,Dictionaries!$A:$A="Сон_часы"),FILTER(Dictionaries!$C:$C,Dictionaries!$A:$A="Сон_часы"))),IF($M283="","",XLOOKUP($M283,FILTER(Dictionaries!$B:$B,Dictionaries!$A:$A="Режим"),FILTER(Dictionaries!$C:$C,Dictionaries!$A:$A="Режим"))),IF($N283="","",MIN($N283/100,1)),IF($O283="","",XLOOKUP($O283,FILTER(Dictionaries!$B:$B,Dictionaries!$A:$A="Настроение"),FILTER(Dictionaries!$C:$C,Dictionaries!$A:$A="Настроение"))),IF($P283="","",XLOOKUP($P283,FILTER(Dictionaries!$B:$B,Dictionaries!$A:$A="Энергия"),FILTER(Dictionaries!$C:$C,Dictionaries!$A:$A="Энергия"))),IF($U283="","",AVERAGE(IF(OR($B283="Ноги",$B283="Верх"),IFS(AND($U283&gt;=1900,$U283&lt;=2050),1,AND($U283&gt;=1850,$U283&lt;1900),0.7,AND($U283&gt;2050,$U283&lt;=2100),0.7,TRUE,0.2),IFS(AND($U283&gt;=1700,$U283&lt;=1850),1,AND($U283&gt;=1650,$U283&lt;1700),0.7,AND($U283&gt;1850,$U283&lt;=1900),0.7,TRUE,0.2)),IF(OR($B283="Ноги",$B283="Верх"),IFS(AND($V283&gt;=125,$V283&lt;=135),1,AND($V283&gt;=115,$V283&lt;125),0.7,AND($V283&gt;135,$V283&lt;=145),0.7,AND($V283&gt;=105,$V283&lt;115),0.4,AND($V283&gt;145,$V283&lt;=155),0.4,TRUE,0.2),IFS(AND($V283&gt;=120,$V283&lt;=130),1,AND($V283&gt;=110,$V283&lt;120),0.7,AND($V283&gt;130,$V283&lt;=140),0.7,AND($V283&gt;=100,$V283&lt;110),0.4,AND($V283&gt;140,$V283&lt;=150),0.4,TRUE,0.2)),IFS(AND($W283&gt;=55,$W283&lt;=65),1,AND($W283&gt;=50,$W283&lt;55),0.7,AND($W283&gt;65,$W283&lt;=70),0.7,AND($W283&gt;=45,$W283&lt;50),0.4,AND($W283&gt;70,$W283&lt;=75),0.4,TRUE,0.2),IF(OR($B283="Ноги",$B283="Верх"),IFS(AND($X283&gt;=180,$X283&lt;=210),1,AND($X283&gt;=160,$X283&lt;180),0.7,AND($X283&gt;210,$X283&lt;=230),0.7,AND($X283&gt;=140,$X283&lt;160),0.4,AND($X283&gt;230,$X283&lt;=250),0.4,TRUE,0.2),IFS(AND($X283&gt;=140,$X283&lt;=170),1,AND($X283&gt;=120,$X283&lt;140),0.7,AND($X283&gt;170,$X283&lt;=190),0.7,AND($X283&gt;=100,$X283&lt;120),0.4,AND($X283&gt;190,$X283&lt;=210),0.4,TRUE,0.2))))),1),""))</f>
        <v/>
      </c>
      <c r="Z283">
        <f>IF($A283="","",TEXTJOIN(", ",TRUE,IF($B283="","Тренировка",""),IF($C283="","Кардио",""),IF($D283="","Шаги",""),IF($E283="","Английский",""),IF($F283="","Код-режим",""),IF($G283="","Код-тема",""),IF($H283="","Чтение",""),IF($L283="","Сон",""),IF($M283="","Режим",""),IF($N283="","Продуктивность",""),IF($O283="","Настроение",""),IF($P283="","Энергия",""),IF($U283="","Еда","")))</f>
        <v/>
      </c>
    </row>
    <row r="284">
      <c r="A284" t="inlineStr"/>
      <c r="U284">
        <f>IF($A284="","",IF(SUMIF(FoodLog!$A:$A,$A284,FoodLog!$I:$I)=0,"",SUMIF(FoodLog!$A:$A,$A284,FoodLog!$I:$I)))</f>
        <v/>
      </c>
      <c r="V284">
        <f>IF($A284="","",IF(SUMIF(FoodLog!$A:$A,$A284,FoodLog!$F:$F)=0,"",SUMIF(FoodLog!$A:$A,$A284,FoodLog!$F:$F)))</f>
        <v/>
      </c>
      <c r="W284">
        <f>IF($A284="","",IF(SUMIF(FoodLog!$A:$A,$A284,FoodLog!$G:$G)=0,"",SUMIF(FoodLog!$A:$A,$A284,FoodLog!$G:$G)))</f>
        <v/>
      </c>
      <c r="X284">
        <f>IF($A284="","",IF(SUMIF(FoodLog!$A:$A,$A284,FoodLog!$H:$H)=0,"",SUMIF(FoodLog!$A:$A,$A284,FoodLog!$H:$H)))</f>
        <v/>
      </c>
      <c r="Y284">
        <f>IF($A284="","",IFERROR(ROUND(100*AVERAGE(IF($B284="","",XLOOKUP($B284,FILTER(Dictionaries!$B:$B,Dictionaries!$A:$A="Тренировка"),FILTER(Dictionaries!$C:$C,Dictionaries!$A:$A="Тренировка"))),IF($C284="","",MIN($C284/40,1)),IF($D284="","",XLOOKUP($D284,FILTER(Dictionaries!$B:$B,Dictionaries!$A:$A="Шаги"),FILTER(Dictionaries!$C:$C,Dictionaries!$A:$A="Шаги"))),IF($E284="","",MIN($E284/120,1)),IF(OR($F284&lt;&gt;"",$G284&lt;&gt;""),1,""),IF($H284="","",MIN($H284/100,1)),IF($L284="","",XLOOKUP($L284,FILTER(Dictionaries!$B:$B,Dictionaries!$A:$A="Сон_часы"),FILTER(Dictionaries!$C:$C,Dictionaries!$A:$A="Сон_часы"))),IF($M284="","",XLOOKUP($M284,FILTER(Dictionaries!$B:$B,Dictionaries!$A:$A="Режим"),FILTER(Dictionaries!$C:$C,Dictionaries!$A:$A="Режим"))),IF($N284="","",MIN($N284/100,1)),IF($O284="","",XLOOKUP($O284,FILTER(Dictionaries!$B:$B,Dictionaries!$A:$A="Настроение"),FILTER(Dictionaries!$C:$C,Dictionaries!$A:$A="Настроение"))),IF($P284="","",XLOOKUP($P284,FILTER(Dictionaries!$B:$B,Dictionaries!$A:$A="Энергия"),FILTER(Dictionaries!$C:$C,Dictionaries!$A:$A="Энергия"))),IF($U284="","",AVERAGE(IF(OR($B284="Ноги",$B284="Верх"),IFS(AND($U284&gt;=1900,$U284&lt;=2050),1,AND($U284&gt;=1850,$U284&lt;1900),0.7,AND($U284&gt;2050,$U284&lt;=2100),0.7,TRUE,0.2),IFS(AND($U284&gt;=1700,$U284&lt;=1850),1,AND($U284&gt;=1650,$U284&lt;1700),0.7,AND($U284&gt;1850,$U284&lt;=1900),0.7,TRUE,0.2)),IF(OR($B284="Ноги",$B284="Верх"),IFS(AND($V284&gt;=125,$V284&lt;=135),1,AND($V284&gt;=115,$V284&lt;125),0.7,AND($V284&gt;135,$V284&lt;=145),0.7,AND($V284&gt;=105,$V284&lt;115),0.4,AND($V284&gt;145,$V284&lt;=155),0.4,TRUE,0.2),IFS(AND($V284&gt;=120,$V284&lt;=130),1,AND($V284&gt;=110,$V284&lt;120),0.7,AND($V284&gt;130,$V284&lt;=140),0.7,AND($V284&gt;=100,$V284&lt;110),0.4,AND($V284&gt;140,$V284&lt;=150),0.4,TRUE,0.2)),IFS(AND($W284&gt;=55,$W284&lt;=65),1,AND($W284&gt;=50,$W284&lt;55),0.7,AND($W284&gt;65,$W284&lt;=70),0.7,AND($W284&gt;=45,$W284&lt;50),0.4,AND($W284&gt;70,$W284&lt;=75),0.4,TRUE,0.2),IF(OR($B284="Ноги",$B284="Верх"),IFS(AND($X284&gt;=180,$X284&lt;=210),1,AND($X284&gt;=160,$X284&lt;180),0.7,AND($X284&gt;210,$X284&lt;=230),0.7,AND($X284&gt;=140,$X284&lt;160),0.4,AND($X284&gt;230,$X284&lt;=250),0.4,TRUE,0.2),IFS(AND($X284&gt;=140,$X284&lt;=170),1,AND($X284&gt;=120,$X284&lt;140),0.7,AND($X284&gt;170,$X284&lt;=190),0.7,AND($X284&gt;=100,$X284&lt;120),0.4,AND($X284&gt;190,$X284&lt;=210),0.4,TRUE,0.2))))),1),""))</f>
        <v/>
      </c>
      <c r="Z284">
        <f>IF($A284="","",TEXTJOIN(", ",TRUE,IF($B284="","Тренировка",""),IF($C284="","Кардио",""),IF($D284="","Шаги",""),IF($E284="","Английский",""),IF($F284="","Код-режим",""),IF($G284="","Код-тема",""),IF($H284="","Чтение",""),IF($L284="","Сон",""),IF($M284="","Режим",""),IF($N284="","Продуктивность",""),IF($O284="","Настроение",""),IF($P284="","Энергия",""),IF($U284="","Еда","")))</f>
        <v/>
      </c>
    </row>
    <row r="285">
      <c r="A285" t="inlineStr"/>
      <c r="U285">
        <f>IF($A285="","",IF(SUMIF(FoodLog!$A:$A,$A285,FoodLog!$I:$I)=0,"",SUMIF(FoodLog!$A:$A,$A285,FoodLog!$I:$I)))</f>
        <v/>
      </c>
      <c r="V285">
        <f>IF($A285="","",IF(SUMIF(FoodLog!$A:$A,$A285,FoodLog!$F:$F)=0,"",SUMIF(FoodLog!$A:$A,$A285,FoodLog!$F:$F)))</f>
        <v/>
      </c>
      <c r="W285">
        <f>IF($A285="","",IF(SUMIF(FoodLog!$A:$A,$A285,FoodLog!$G:$G)=0,"",SUMIF(FoodLog!$A:$A,$A285,FoodLog!$G:$G)))</f>
        <v/>
      </c>
      <c r="X285">
        <f>IF($A285="","",IF(SUMIF(FoodLog!$A:$A,$A285,FoodLog!$H:$H)=0,"",SUMIF(FoodLog!$A:$A,$A285,FoodLog!$H:$H)))</f>
        <v/>
      </c>
      <c r="Y285">
        <f>IF($A285="","",IFERROR(ROUND(100*AVERAGE(IF($B285="","",XLOOKUP($B285,FILTER(Dictionaries!$B:$B,Dictionaries!$A:$A="Тренировка"),FILTER(Dictionaries!$C:$C,Dictionaries!$A:$A="Тренировка"))),IF($C285="","",MIN($C285/40,1)),IF($D285="","",XLOOKUP($D285,FILTER(Dictionaries!$B:$B,Dictionaries!$A:$A="Шаги"),FILTER(Dictionaries!$C:$C,Dictionaries!$A:$A="Шаги"))),IF($E285="","",MIN($E285/120,1)),IF(OR($F285&lt;&gt;"",$G285&lt;&gt;""),1,""),IF($H285="","",MIN($H285/100,1)),IF($L285="","",XLOOKUP($L285,FILTER(Dictionaries!$B:$B,Dictionaries!$A:$A="Сон_часы"),FILTER(Dictionaries!$C:$C,Dictionaries!$A:$A="Сон_часы"))),IF($M285="","",XLOOKUP($M285,FILTER(Dictionaries!$B:$B,Dictionaries!$A:$A="Режим"),FILTER(Dictionaries!$C:$C,Dictionaries!$A:$A="Режим"))),IF($N285="","",MIN($N285/100,1)),IF($O285="","",XLOOKUP($O285,FILTER(Dictionaries!$B:$B,Dictionaries!$A:$A="Настроение"),FILTER(Dictionaries!$C:$C,Dictionaries!$A:$A="Настроение"))),IF($P285="","",XLOOKUP($P285,FILTER(Dictionaries!$B:$B,Dictionaries!$A:$A="Энергия"),FILTER(Dictionaries!$C:$C,Dictionaries!$A:$A="Энергия"))),IF($U285="","",AVERAGE(IF(OR($B285="Ноги",$B285="Верх"),IFS(AND($U285&gt;=1900,$U285&lt;=2050),1,AND($U285&gt;=1850,$U285&lt;1900),0.7,AND($U285&gt;2050,$U285&lt;=2100),0.7,TRUE,0.2),IFS(AND($U285&gt;=1700,$U285&lt;=1850),1,AND($U285&gt;=1650,$U285&lt;1700),0.7,AND($U285&gt;1850,$U285&lt;=1900),0.7,TRUE,0.2)),IF(OR($B285="Ноги",$B285="Верх"),IFS(AND($V285&gt;=125,$V285&lt;=135),1,AND($V285&gt;=115,$V285&lt;125),0.7,AND($V285&gt;135,$V285&lt;=145),0.7,AND($V285&gt;=105,$V285&lt;115),0.4,AND($V285&gt;145,$V285&lt;=155),0.4,TRUE,0.2),IFS(AND($V285&gt;=120,$V285&lt;=130),1,AND($V285&gt;=110,$V285&lt;120),0.7,AND($V285&gt;130,$V285&lt;=140),0.7,AND($V285&gt;=100,$V285&lt;110),0.4,AND($V285&gt;140,$V285&lt;=150),0.4,TRUE,0.2)),IFS(AND($W285&gt;=55,$W285&lt;=65),1,AND($W285&gt;=50,$W285&lt;55),0.7,AND($W285&gt;65,$W285&lt;=70),0.7,AND($W285&gt;=45,$W285&lt;50),0.4,AND($W285&gt;70,$W285&lt;=75),0.4,TRUE,0.2),IF(OR($B285="Ноги",$B285="Верх"),IFS(AND($X285&gt;=180,$X285&lt;=210),1,AND($X285&gt;=160,$X285&lt;180),0.7,AND($X285&gt;210,$X285&lt;=230),0.7,AND($X285&gt;=140,$X285&lt;160),0.4,AND($X285&gt;230,$X285&lt;=250),0.4,TRUE,0.2),IFS(AND($X285&gt;=140,$X285&lt;=170),1,AND($X285&gt;=120,$X285&lt;140),0.7,AND($X285&gt;170,$X285&lt;=190),0.7,AND($X285&gt;=100,$X285&lt;120),0.4,AND($X285&gt;190,$X285&lt;=210),0.4,TRUE,0.2))))),1),""))</f>
        <v/>
      </c>
      <c r="Z285">
        <f>IF($A285="","",TEXTJOIN(", ",TRUE,IF($B285="","Тренировка",""),IF($C285="","Кардио",""),IF($D285="","Шаги",""),IF($E285="","Английский",""),IF($F285="","Код-режим",""),IF($G285="","Код-тема",""),IF($H285="","Чтение",""),IF($L285="","Сон",""),IF($M285="","Режим",""),IF($N285="","Продуктивность",""),IF($O285="","Настроение",""),IF($P285="","Энергия",""),IF($U285="","Еда","")))</f>
        <v/>
      </c>
    </row>
    <row r="286">
      <c r="A286" t="inlineStr"/>
      <c r="U286">
        <f>IF($A286="","",IF(SUMIF(FoodLog!$A:$A,$A286,FoodLog!$I:$I)=0,"",SUMIF(FoodLog!$A:$A,$A286,FoodLog!$I:$I)))</f>
        <v/>
      </c>
      <c r="V286">
        <f>IF($A286="","",IF(SUMIF(FoodLog!$A:$A,$A286,FoodLog!$F:$F)=0,"",SUMIF(FoodLog!$A:$A,$A286,FoodLog!$F:$F)))</f>
        <v/>
      </c>
      <c r="W286">
        <f>IF($A286="","",IF(SUMIF(FoodLog!$A:$A,$A286,FoodLog!$G:$G)=0,"",SUMIF(FoodLog!$A:$A,$A286,FoodLog!$G:$G)))</f>
        <v/>
      </c>
      <c r="X286">
        <f>IF($A286="","",IF(SUMIF(FoodLog!$A:$A,$A286,FoodLog!$H:$H)=0,"",SUMIF(FoodLog!$A:$A,$A286,FoodLog!$H:$H)))</f>
        <v/>
      </c>
      <c r="Y286">
        <f>IF($A286="","",IFERROR(ROUND(100*AVERAGE(IF($B286="","",XLOOKUP($B286,FILTER(Dictionaries!$B:$B,Dictionaries!$A:$A="Тренировка"),FILTER(Dictionaries!$C:$C,Dictionaries!$A:$A="Тренировка"))),IF($C286="","",MIN($C286/40,1)),IF($D286="","",XLOOKUP($D286,FILTER(Dictionaries!$B:$B,Dictionaries!$A:$A="Шаги"),FILTER(Dictionaries!$C:$C,Dictionaries!$A:$A="Шаги"))),IF($E286="","",MIN($E286/120,1)),IF(OR($F286&lt;&gt;"",$G286&lt;&gt;""),1,""),IF($H286="","",MIN($H286/100,1)),IF($L286="","",XLOOKUP($L286,FILTER(Dictionaries!$B:$B,Dictionaries!$A:$A="Сон_часы"),FILTER(Dictionaries!$C:$C,Dictionaries!$A:$A="Сон_часы"))),IF($M286="","",XLOOKUP($M286,FILTER(Dictionaries!$B:$B,Dictionaries!$A:$A="Режим"),FILTER(Dictionaries!$C:$C,Dictionaries!$A:$A="Режим"))),IF($N286="","",MIN($N286/100,1)),IF($O286="","",XLOOKUP($O286,FILTER(Dictionaries!$B:$B,Dictionaries!$A:$A="Настроение"),FILTER(Dictionaries!$C:$C,Dictionaries!$A:$A="Настроение"))),IF($P286="","",XLOOKUP($P286,FILTER(Dictionaries!$B:$B,Dictionaries!$A:$A="Энергия"),FILTER(Dictionaries!$C:$C,Dictionaries!$A:$A="Энергия"))),IF($U286="","",AVERAGE(IF(OR($B286="Ноги",$B286="Верх"),IFS(AND($U286&gt;=1900,$U286&lt;=2050),1,AND($U286&gt;=1850,$U286&lt;1900),0.7,AND($U286&gt;2050,$U286&lt;=2100),0.7,TRUE,0.2),IFS(AND($U286&gt;=1700,$U286&lt;=1850),1,AND($U286&gt;=1650,$U286&lt;1700),0.7,AND($U286&gt;1850,$U286&lt;=1900),0.7,TRUE,0.2)),IF(OR($B286="Ноги",$B286="Верх"),IFS(AND($V286&gt;=125,$V286&lt;=135),1,AND($V286&gt;=115,$V286&lt;125),0.7,AND($V286&gt;135,$V286&lt;=145),0.7,AND($V286&gt;=105,$V286&lt;115),0.4,AND($V286&gt;145,$V286&lt;=155),0.4,TRUE,0.2),IFS(AND($V286&gt;=120,$V286&lt;=130),1,AND($V286&gt;=110,$V286&lt;120),0.7,AND($V286&gt;130,$V286&lt;=140),0.7,AND($V286&gt;=100,$V286&lt;110),0.4,AND($V286&gt;140,$V286&lt;=150),0.4,TRUE,0.2)),IFS(AND($W286&gt;=55,$W286&lt;=65),1,AND($W286&gt;=50,$W286&lt;55),0.7,AND($W286&gt;65,$W286&lt;=70),0.7,AND($W286&gt;=45,$W286&lt;50),0.4,AND($W286&gt;70,$W286&lt;=75),0.4,TRUE,0.2),IF(OR($B286="Ноги",$B286="Верх"),IFS(AND($X286&gt;=180,$X286&lt;=210),1,AND($X286&gt;=160,$X286&lt;180),0.7,AND($X286&gt;210,$X286&lt;=230),0.7,AND($X286&gt;=140,$X286&lt;160),0.4,AND($X286&gt;230,$X286&lt;=250),0.4,TRUE,0.2),IFS(AND($X286&gt;=140,$X286&lt;=170),1,AND($X286&gt;=120,$X286&lt;140),0.7,AND($X286&gt;170,$X286&lt;=190),0.7,AND($X286&gt;=100,$X286&lt;120),0.4,AND($X286&gt;190,$X286&lt;=210),0.4,TRUE,0.2))))),1),""))</f>
        <v/>
      </c>
      <c r="Z286">
        <f>IF($A286="","",TEXTJOIN(", ",TRUE,IF($B286="","Тренировка",""),IF($C286="","Кардио",""),IF($D286="","Шаги",""),IF($E286="","Английский",""),IF($F286="","Код-режим",""),IF($G286="","Код-тема",""),IF($H286="","Чтение",""),IF($L286="","Сон",""),IF($M286="","Режим",""),IF($N286="","Продуктивность",""),IF($O286="","Настроение",""),IF($P286="","Энергия",""),IF($U286="","Еда","")))</f>
        <v/>
      </c>
    </row>
    <row r="287">
      <c r="A287" t="inlineStr"/>
      <c r="U287">
        <f>IF($A287="","",IF(SUMIF(FoodLog!$A:$A,$A287,FoodLog!$I:$I)=0,"",SUMIF(FoodLog!$A:$A,$A287,FoodLog!$I:$I)))</f>
        <v/>
      </c>
      <c r="V287">
        <f>IF($A287="","",IF(SUMIF(FoodLog!$A:$A,$A287,FoodLog!$F:$F)=0,"",SUMIF(FoodLog!$A:$A,$A287,FoodLog!$F:$F)))</f>
        <v/>
      </c>
      <c r="W287">
        <f>IF($A287="","",IF(SUMIF(FoodLog!$A:$A,$A287,FoodLog!$G:$G)=0,"",SUMIF(FoodLog!$A:$A,$A287,FoodLog!$G:$G)))</f>
        <v/>
      </c>
      <c r="X287">
        <f>IF($A287="","",IF(SUMIF(FoodLog!$A:$A,$A287,FoodLog!$H:$H)=0,"",SUMIF(FoodLog!$A:$A,$A287,FoodLog!$H:$H)))</f>
        <v/>
      </c>
      <c r="Y287">
        <f>IF($A287="","",IFERROR(ROUND(100*AVERAGE(IF($B287="","",XLOOKUP($B287,FILTER(Dictionaries!$B:$B,Dictionaries!$A:$A="Тренировка"),FILTER(Dictionaries!$C:$C,Dictionaries!$A:$A="Тренировка"))),IF($C287="","",MIN($C287/40,1)),IF($D287="","",XLOOKUP($D287,FILTER(Dictionaries!$B:$B,Dictionaries!$A:$A="Шаги"),FILTER(Dictionaries!$C:$C,Dictionaries!$A:$A="Шаги"))),IF($E287="","",MIN($E287/120,1)),IF(OR($F287&lt;&gt;"",$G287&lt;&gt;""),1,""),IF($H287="","",MIN($H287/100,1)),IF($L287="","",XLOOKUP($L287,FILTER(Dictionaries!$B:$B,Dictionaries!$A:$A="Сон_часы"),FILTER(Dictionaries!$C:$C,Dictionaries!$A:$A="Сон_часы"))),IF($M287="","",XLOOKUP($M287,FILTER(Dictionaries!$B:$B,Dictionaries!$A:$A="Режим"),FILTER(Dictionaries!$C:$C,Dictionaries!$A:$A="Режим"))),IF($N287="","",MIN($N287/100,1)),IF($O287="","",XLOOKUP($O287,FILTER(Dictionaries!$B:$B,Dictionaries!$A:$A="Настроение"),FILTER(Dictionaries!$C:$C,Dictionaries!$A:$A="Настроение"))),IF($P287="","",XLOOKUP($P287,FILTER(Dictionaries!$B:$B,Dictionaries!$A:$A="Энергия"),FILTER(Dictionaries!$C:$C,Dictionaries!$A:$A="Энергия"))),IF($U287="","",AVERAGE(IF(OR($B287="Ноги",$B287="Верх"),IFS(AND($U287&gt;=1900,$U287&lt;=2050),1,AND($U287&gt;=1850,$U287&lt;1900),0.7,AND($U287&gt;2050,$U287&lt;=2100),0.7,TRUE,0.2),IFS(AND($U287&gt;=1700,$U287&lt;=1850),1,AND($U287&gt;=1650,$U287&lt;1700),0.7,AND($U287&gt;1850,$U287&lt;=1900),0.7,TRUE,0.2)),IF(OR($B287="Ноги",$B287="Верх"),IFS(AND($V287&gt;=125,$V287&lt;=135),1,AND($V287&gt;=115,$V287&lt;125),0.7,AND($V287&gt;135,$V287&lt;=145),0.7,AND($V287&gt;=105,$V287&lt;115),0.4,AND($V287&gt;145,$V287&lt;=155),0.4,TRUE,0.2),IFS(AND($V287&gt;=120,$V287&lt;=130),1,AND($V287&gt;=110,$V287&lt;120),0.7,AND($V287&gt;130,$V287&lt;=140),0.7,AND($V287&gt;=100,$V287&lt;110),0.4,AND($V287&gt;140,$V287&lt;=150),0.4,TRUE,0.2)),IFS(AND($W287&gt;=55,$W287&lt;=65),1,AND($W287&gt;=50,$W287&lt;55),0.7,AND($W287&gt;65,$W287&lt;=70),0.7,AND($W287&gt;=45,$W287&lt;50),0.4,AND($W287&gt;70,$W287&lt;=75),0.4,TRUE,0.2),IF(OR($B287="Ноги",$B287="Верх"),IFS(AND($X287&gt;=180,$X287&lt;=210),1,AND($X287&gt;=160,$X287&lt;180),0.7,AND($X287&gt;210,$X287&lt;=230),0.7,AND($X287&gt;=140,$X287&lt;160),0.4,AND($X287&gt;230,$X287&lt;=250),0.4,TRUE,0.2),IFS(AND($X287&gt;=140,$X287&lt;=170),1,AND($X287&gt;=120,$X287&lt;140),0.7,AND($X287&gt;170,$X287&lt;=190),0.7,AND($X287&gt;=100,$X287&lt;120),0.4,AND($X287&gt;190,$X287&lt;=210),0.4,TRUE,0.2))))),1),""))</f>
        <v/>
      </c>
      <c r="Z287">
        <f>IF($A287="","",TEXTJOIN(", ",TRUE,IF($B287="","Тренировка",""),IF($C287="","Кардио",""),IF($D287="","Шаги",""),IF($E287="","Английский",""),IF($F287="","Код-режим",""),IF($G287="","Код-тема",""),IF($H287="","Чтение",""),IF($L287="","Сон",""),IF($M287="","Режим",""),IF($N287="","Продуктивность",""),IF($O287="","Настроение",""),IF($P287="","Энергия",""),IF($U287="","Еда","")))</f>
        <v/>
      </c>
    </row>
    <row r="288">
      <c r="A288" t="inlineStr"/>
      <c r="U288">
        <f>IF($A288="","",IF(SUMIF(FoodLog!$A:$A,$A288,FoodLog!$I:$I)=0,"",SUMIF(FoodLog!$A:$A,$A288,FoodLog!$I:$I)))</f>
        <v/>
      </c>
      <c r="V288">
        <f>IF($A288="","",IF(SUMIF(FoodLog!$A:$A,$A288,FoodLog!$F:$F)=0,"",SUMIF(FoodLog!$A:$A,$A288,FoodLog!$F:$F)))</f>
        <v/>
      </c>
      <c r="W288">
        <f>IF($A288="","",IF(SUMIF(FoodLog!$A:$A,$A288,FoodLog!$G:$G)=0,"",SUMIF(FoodLog!$A:$A,$A288,FoodLog!$G:$G)))</f>
        <v/>
      </c>
      <c r="X288">
        <f>IF($A288="","",IF(SUMIF(FoodLog!$A:$A,$A288,FoodLog!$H:$H)=0,"",SUMIF(FoodLog!$A:$A,$A288,FoodLog!$H:$H)))</f>
        <v/>
      </c>
      <c r="Y288">
        <f>IF($A288="","",IFERROR(ROUND(100*AVERAGE(IF($B288="","",XLOOKUP($B288,FILTER(Dictionaries!$B:$B,Dictionaries!$A:$A="Тренировка"),FILTER(Dictionaries!$C:$C,Dictionaries!$A:$A="Тренировка"))),IF($C288="","",MIN($C288/40,1)),IF($D288="","",XLOOKUP($D288,FILTER(Dictionaries!$B:$B,Dictionaries!$A:$A="Шаги"),FILTER(Dictionaries!$C:$C,Dictionaries!$A:$A="Шаги"))),IF($E288="","",MIN($E288/120,1)),IF(OR($F288&lt;&gt;"",$G288&lt;&gt;""),1,""),IF($H288="","",MIN($H288/100,1)),IF($L288="","",XLOOKUP($L288,FILTER(Dictionaries!$B:$B,Dictionaries!$A:$A="Сон_часы"),FILTER(Dictionaries!$C:$C,Dictionaries!$A:$A="Сон_часы"))),IF($M288="","",XLOOKUP($M288,FILTER(Dictionaries!$B:$B,Dictionaries!$A:$A="Режим"),FILTER(Dictionaries!$C:$C,Dictionaries!$A:$A="Режим"))),IF($N288="","",MIN($N288/100,1)),IF($O288="","",XLOOKUP($O288,FILTER(Dictionaries!$B:$B,Dictionaries!$A:$A="Настроение"),FILTER(Dictionaries!$C:$C,Dictionaries!$A:$A="Настроение"))),IF($P288="","",XLOOKUP($P288,FILTER(Dictionaries!$B:$B,Dictionaries!$A:$A="Энергия"),FILTER(Dictionaries!$C:$C,Dictionaries!$A:$A="Энергия"))),IF($U288="","",AVERAGE(IF(OR($B288="Ноги",$B288="Верх"),IFS(AND($U288&gt;=1900,$U288&lt;=2050),1,AND($U288&gt;=1850,$U288&lt;1900),0.7,AND($U288&gt;2050,$U288&lt;=2100),0.7,TRUE,0.2),IFS(AND($U288&gt;=1700,$U288&lt;=1850),1,AND($U288&gt;=1650,$U288&lt;1700),0.7,AND($U288&gt;1850,$U288&lt;=1900),0.7,TRUE,0.2)),IF(OR($B288="Ноги",$B288="Верх"),IFS(AND($V288&gt;=125,$V288&lt;=135),1,AND($V288&gt;=115,$V288&lt;125),0.7,AND($V288&gt;135,$V288&lt;=145),0.7,AND($V288&gt;=105,$V288&lt;115),0.4,AND($V288&gt;145,$V288&lt;=155),0.4,TRUE,0.2),IFS(AND($V288&gt;=120,$V288&lt;=130),1,AND($V288&gt;=110,$V288&lt;120),0.7,AND($V288&gt;130,$V288&lt;=140),0.7,AND($V288&gt;=100,$V288&lt;110),0.4,AND($V288&gt;140,$V288&lt;=150),0.4,TRUE,0.2)),IFS(AND($W288&gt;=55,$W288&lt;=65),1,AND($W288&gt;=50,$W288&lt;55),0.7,AND($W288&gt;65,$W288&lt;=70),0.7,AND($W288&gt;=45,$W288&lt;50),0.4,AND($W288&gt;70,$W288&lt;=75),0.4,TRUE,0.2),IF(OR($B288="Ноги",$B288="Верх"),IFS(AND($X288&gt;=180,$X288&lt;=210),1,AND($X288&gt;=160,$X288&lt;180),0.7,AND($X288&gt;210,$X288&lt;=230),0.7,AND($X288&gt;=140,$X288&lt;160),0.4,AND($X288&gt;230,$X288&lt;=250),0.4,TRUE,0.2),IFS(AND($X288&gt;=140,$X288&lt;=170),1,AND($X288&gt;=120,$X288&lt;140),0.7,AND($X288&gt;170,$X288&lt;=190),0.7,AND($X288&gt;=100,$X288&lt;120),0.4,AND($X288&gt;190,$X288&lt;=210),0.4,TRUE,0.2))))),1),""))</f>
        <v/>
      </c>
      <c r="Z288">
        <f>IF($A288="","",TEXTJOIN(", ",TRUE,IF($B288="","Тренировка",""),IF($C288="","Кардио",""),IF($D288="","Шаги",""),IF($E288="","Английский",""),IF($F288="","Код-режим",""),IF($G288="","Код-тема",""),IF($H288="","Чтение",""),IF($L288="","Сон",""),IF($M288="","Режим",""),IF($N288="","Продуктивность",""),IF($O288="","Настроение",""),IF($P288="","Энергия",""),IF($U288="","Еда","")))</f>
        <v/>
      </c>
    </row>
    <row r="289">
      <c r="A289" t="inlineStr"/>
      <c r="U289">
        <f>IF($A289="","",IF(SUMIF(FoodLog!$A:$A,$A289,FoodLog!$I:$I)=0,"",SUMIF(FoodLog!$A:$A,$A289,FoodLog!$I:$I)))</f>
        <v/>
      </c>
      <c r="V289">
        <f>IF($A289="","",IF(SUMIF(FoodLog!$A:$A,$A289,FoodLog!$F:$F)=0,"",SUMIF(FoodLog!$A:$A,$A289,FoodLog!$F:$F)))</f>
        <v/>
      </c>
      <c r="W289">
        <f>IF($A289="","",IF(SUMIF(FoodLog!$A:$A,$A289,FoodLog!$G:$G)=0,"",SUMIF(FoodLog!$A:$A,$A289,FoodLog!$G:$G)))</f>
        <v/>
      </c>
      <c r="X289">
        <f>IF($A289="","",IF(SUMIF(FoodLog!$A:$A,$A289,FoodLog!$H:$H)=0,"",SUMIF(FoodLog!$A:$A,$A289,FoodLog!$H:$H)))</f>
        <v/>
      </c>
      <c r="Y289">
        <f>IF($A289="","",IFERROR(ROUND(100*AVERAGE(IF($B289="","",XLOOKUP($B289,FILTER(Dictionaries!$B:$B,Dictionaries!$A:$A="Тренировка"),FILTER(Dictionaries!$C:$C,Dictionaries!$A:$A="Тренировка"))),IF($C289="","",MIN($C289/40,1)),IF($D289="","",XLOOKUP($D289,FILTER(Dictionaries!$B:$B,Dictionaries!$A:$A="Шаги"),FILTER(Dictionaries!$C:$C,Dictionaries!$A:$A="Шаги"))),IF($E289="","",MIN($E289/120,1)),IF(OR($F289&lt;&gt;"",$G289&lt;&gt;""),1,""),IF($H289="","",MIN($H289/100,1)),IF($L289="","",XLOOKUP($L289,FILTER(Dictionaries!$B:$B,Dictionaries!$A:$A="Сон_часы"),FILTER(Dictionaries!$C:$C,Dictionaries!$A:$A="Сон_часы"))),IF($M289="","",XLOOKUP($M289,FILTER(Dictionaries!$B:$B,Dictionaries!$A:$A="Режим"),FILTER(Dictionaries!$C:$C,Dictionaries!$A:$A="Режим"))),IF($N289="","",MIN($N289/100,1)),IF($O289="","",XLOOKUP($O289,FILTER(Dictionaries!$B:$B,Dictionaries!$A:$A="Настроение"),FILTER(Dictionaries!$C:$C,Dictionaries!$A:$A="Настроение"))),IF($P289="","",XLOOKUP($P289,FILTER(Dictionaries!$B:$B,Dictionaries!$A:$A="Энергия"),FILTER(Dictionaries!$C:$C,Dictionaries!$A:$A="Энергия"))),IF($U289="","",AVERAGE(IF(OR($B289="Ноги",$B289="Верх"),IFS(AND($U289&gt;=1900,$U289&lt;=2050),1,AND($U289&gt;=1850,$U289&lt;1900),0.7,AND($U289&gt;2050,$U289&lt;=2100),0.7,TRUE,0.2),IFS(AND($U289&gt;=1700,$U289&lt;=1850),1,AND($U289&gt;=1650,$U289&lt;1700),0.7,AND($U289&gt;1850,$U289&lt;=1900),0.7,TRUE,0.2)),IF(OR($B289="Ноги",$B289="Верх"),IFS(AND($V289&gt;=125,$V289&lt;=135),1,AND($V289&gt;=115,$V289&lt;125),0.7,AND($V289&gt;135,$V289&lt;=145),0.7,AND($V289&gt;=105,$V289&lt;115),0.4,AND($V289&gt;145,$V289&lt;=155),0.4,TRUE,0.2),IFS(AND($V289&gt;=120,$V289&lt;=130),1,AND($V289&gt;=110,$V289&lt;120),0.7,AND($V289&gt;130,$V289&lt;=140),0.7,AND($V289&gt;=100,$V289&lt;110),0.4,AND($V289&gt;140,$V289&lt;=150),0.4,TRUE,0.2)),IFS(AND($W289&gt;=55,$W289&lt;=65),1,AND($W289&gt;=50,$W289&lt;55),0.7,AND($W289&gt;65,$W289&lt;=70),0.7,AND($W289&gt;=45,$W289&lt;50),0.4,AND($W289&gt;70,$W289&lt;=75),0.4,TRUE,0.2),IF(OR($B289="Ноги",$B289="Верх"),IFS(AND($X289&gt;=180,$X289&lt;=210),1,AND($X289&gt;=160,$X289&lt;180),0.7,AND($X289&gt;210,$X289&lt;=230),0.7,AND($X289&gt;=140,$X289&lt;160),0.4,AND($X289&gt;230,$X289&lt;=250),0.4,TRUE,0.2),IFS(AND($X289&gt;=140,$X289&lt;=170),1,AND($X289&gt;=120,$X289&lt;140),0.7,AND($X289&gt;170,$X289&lt;=190),0.7,AND($X289&gt;=100,$X289&lt;120),0.4,AND($X289&gt;190,$X289&lt;=210),0.4,TRUE,0.2))))),1),""))</f>
        <v/>
      </c>
      <c r="Z289">
        <f>IF($A289="","",TEXTJOIN(", ",TRUE,IF($B289="","Тренировка",""),IF($C289="","Кардио",""),IF($D289="","Шаги",""),IF($E289="","Английский",""),IF($F289="","Код-режим",""),IF($G289="","Код-тема",""),IF($H289="","Чтение",""),IF($L289="","Сон",""),IF($M289="","Режим",""),IF($N289="","Продуктивность",""),IF($O289="","Настроение",""),IF($P289="","Энергия",""),IF($U289="","Еда","")))</f>
        <v/>
      </c>
    </row>
    <row r="290">
      <c r="A290" t="inlineStr"/>
      <c r="U290">
        <f>IF($A290="","",IF(SUMIF(FoodLog!$A:$A,$A290,FoodLog!$I:$I)=0,"",SUMIF(FoodLog!$A:$A,$A290,FoodLog!$I:$I)))</f>
        <v/>
      </c>
      <c r="V290">
        <f>IF($A290="","",IF(SUMIF(FoodLog!$A:$A,$A290,FoodLog!$F:$F)=0,"",SUMIF(FoodLog!$A:$A,$A290,FoodLog!$F:$F)))</f>
        <v/>
      </c>
      <c r="W290">
        <f>IF($A290="","",IF(SUMIF(FoodLog!$A:$A,$A290,FoodLog!$G:$G)=0,"",SUMIF(FoodLog!$A:$A,$A290,FoodLog!$G:$G)))</f>
        <v/>
      </c>
      <c r="X290">
        <f>IF($A290="","",IF(SUMIF(FoodLog!$A:$A,$A290,FoodLog!$H:$H)=0,"",SUMIF(FoodLog!$A:$A,$A290,FoodLog!$H:$H)))</f>
        <v/>
      </c>
      <c r="Y290">
        <f>IF($A290="","",IFERROR(ROUND(100*AVERAGE(IF($B290="","",XLOOKUP($B290,FILTER(Dictionaries!$B:$B,Dictionaries!$A:$A="Тренировка"),FILTER(Dictionaries!$C:$C,Dictionaries!$A:$A="Тренировка"))),IF($C290="","",MIN($C290/40,1)),IF($D290="","",XLOOKUP($D290,FILTER(Dictionaries!$B:$B,Dictionaries!$A:$A="Шаги"),FILTER(Dictionaries!$C:$C,Dictionaries!$A:$A="Шаги"))),IF($E290="","",MIN($E290/120,1)),IF(OR($F290&lt;&gt;"",$G290&lt;&gt;""),1,""),IF($H290="","",MIN($H290/100,1)),IF($L290="","",XLOOKUP($L290,FILTER(Dictionaries!$B:$B,Dictionaries!$A:$A="Сон_часы"),FILTER(Dictionaries!$C:$C,Dictionaries!$A:$A="Сон_часы"))),IF($M290="","",XLOOKUP($M290,FILTER(Dictionaries!$B:$B,Dictionaries!$A:$A="Режим"),FILTER(Dictionaries!$C:$C,Dictionaries!$A:$A="Режим"))),IF($N290="","",MIN($N290/100,1)),IF($O290="","",XLOOKUP($O290,FILTER(Dictionaries!$B:$B,Dictionaries!$A:$A="Настроение"),FILTER(Dictionaries!$C:$C,Dictionaries!$A:$A="Настроение"))),IF($P290="","",XLOOKUP($P290,FILTER(Dictionaries!$B:$B,Dictionaries!$A:$A="Энергия"),FILTER(Dictionaries!$C:$C,Dictionaries!$A:$A="Энергия"))),IF($U290="","",AVERAGE(IF(OR($B290="Ноги",$B290="Верх"),IFS(AND($U290&gt;=1900,$U290&lt;=2050),1,AND($U290&gt;=1850,$U290&lt;1900),0.7,AND($U290&gt;2050,$U290&lt;=2100),0.7,TRUE,0.2),IFS(AND($U290&gt;=1700,$U290&lt;=1850),1,AND($U290&gt;=1650,$U290&lt;1700),0.7,AND($U290&gt;1850,$U290&lt;=1900),0.7,TRUE,0.2)),IF(OR($B290="Ноги",$B290="Верх"),IFS(AND($V290&gt;=125,$V290&lt;=135),1,AND($V290&gt;=115,$V290&lt;125),0.7,AND($V290&gt;135,$V290&lt;=145),0.7,AND($V290&gt;=105,$V290&lt;115),0.4,AND($V290&gt;145,$V290&lt;=155),0.4,TRUE,0.2),IFS(AND($V290&gt;=120,$V290&lt;=130),1,AND($V290&gt;=110,$V290&lt;120),0.7,AND($V290&gt;130,$V290&lt;=140),0.7,AND($V290&gt;=100,$V290&lt;110),0.4,AND($V290&gt;140,$V290&lt;=150),0.4,TRUE,0.2)),IFS(AND($W290&gt;=55,$W290&lt;=65),1,AND($W290&gt;=50,$W290&lt;55),0.7,AND($W290&gt;65,$W290&lt;=70),0.7,AND($W290&gt;=45,$W290&lt;50),0.4,AND($W290&gt;70,$W290&lt;=75),0.4,TRUE,0.2),IF(OR($B290="Ноги",$B290="Верх"),IFS(AND($X290&gt;=180,$X290&lt;=210),1,AND($X290&gt;=160,$X290&lt;180),0.7,AND($X290&gt;210,$X290&lt;=230),0.7,AND($X290&gt;=140,$X290&lt;160),0.4,AND($X290&gt;230,$X290&lt;=250),0.4,TRUE,0.2),IFS(AND($X290&gt;=140,$X290&lt;=170),1,AND($X290&gt;=120,$X290&lt;140),0.7,AND($X290&gt;170,$X290&lt;=190),0.7,AND($X290&gt;=100,$X290&lt;120),0.4,AND($X290&gt;190,$X290&lt;=210),0.4,TRUE,0.2))))),1),""))</f>
        <v/>
      </c>
      <c r="Z290">
        <f>IF($A290="","",TEXTJOIN(", ",TRUE,IF($B290="","Тренировка",""),IF($C290="","Кардио",""),IF($D290="","Шаги",""),IF($E290="","Английский",""),IF($F290="","Код-режим",""),IF($G290="","Код-тема",""),IF($H290="","Чтение",""),IF($L290="","Сон",""),IF($M290="","Режим",""),IF($N290="","Продуктивность",""),IF($O290="","Настроение",""),IF($P290="","Энергия",""),IF($U290="","Еда","")))</f>
        <v/>
      </c>
    </row>
    <row r="291">
      <c r="A291" t="inlineStr"/>
      <c r="U291">
        <f>IF($A291="","",IF(SUMIF(FoodLog!$A:$A,$A291,FoodLog!$I:$I)=0,"",SUMIF(FoodLog!$A:$A,$A291,FoodLog!$I:$I)))</f>
        <v/>
      </c>
      <c r="V291">
        <f>IF($A291="","",IF(SUMIF(FoodLog!$A:$A,$A291,FoodLog!$F:$F)=0,"",SUMIF(FoodLog!$A:$A,$A291,FoodLog!$F:$F)))</f>
        <v/>
      </c>
      <c r="W291">
        <f>IF($A291="","",IF(SUMIF(FoodLog!$A:$A,$A291,FoodLog!$G:$G)=0,"",SUMIF(FoodLog!$A:$A,$A291,FoodLog!$G:$G)))</f>
        <v/>
      </c>
      <c r="X291">
        <f>IF($A291="","",IF(SUMIF(FoodLog!$A:$A,$A291,FoodLog!$H:$H)=0,"",SUMIF(FoodLog!$A:$A,$A291,FoodLog!$H:$H)))</f>
        <v/>
      </c>
      <c r="Y291">
        <f>IF($A291="","",IFERROR(ROUND(100*AVERAGE(IF($B291="","",XLOOKUP($B291,FILTER(Dictionaries!$B:$B,Dictionaries!$A:$A="Тренировка"),FILTER(Dictionaries!$C:$C,Dictionaries!$A:$A="Тренировка"))),IF($C291="","",MIN($C291/40,1)),IF($D291="","",XLOOKUP($D291,FILTER(Dictionaries!$B:$B,Dictionaries!$A:$A="Шаги"),FILTER(Dictionaries!$C:$C,Dictionaries!$A:$A="Шаги"))),IF($E291="","",MIN($E291/120,1)),IF(OR($F291&lt;&gt;"",$G291&lt;&gt;""),1,""),IF($H291="","",MIN($H291/100,1)),IF($L291="","",XLOOKUP($L291,FILTER(Dictionaries!$B:$B,Dictionaries!$A:$A="Сон_часы"),FILTER(Dictionaries!$C:$C,Dictionaries!$A:$A="Сон_часы"))),IF($M291="","",XLOOKUP($M291,FILTER(Dictionaries!$B:$B,Dictionaries!$A:$A="Режим"),FILTER(Dictionaries!$C:$C,Dictionaries!$A:$A="Режим"))),IF($N291="","",MIN($N291/100,1)),IF($O291="","",XLOOKUP($O291,FILTER(Dictionaries!$B:$B,Dictionaries!$A:$A="Настроение"),FILTER(Dictionaries!$C:$C,Dictionaries!$A:$A="Настроение"))),IF($P291="","",XLOOKUP($P291,FILTER(Dictionaries!$B:$B,Dictionaries!$A:$A="Энергия"),FILTER(Dictionaries!$C:$C,Dictionaries!$A:$A="Энергия"))),IF($U291="","",AVERAGE(IF(OR($B291="Ноги",$B291="Верх"),IFS(AND($U291&gt;=1900,$U291&lt;=2050),1,AND($U291&gt;=1850,$U291&lt;1900),0.7,AND($U291&gt;2050,$U291&lt;=2100),0.7,TRUE,0.2),IFS(AND($U291&gt;=1700,$U291&lt;=1850),1,AND($U291&gt;=1650,$U291&lt;1700),0.7,AND($U291&gt;1850,$U291&lt;=1900),0.7,TRUE,0.2)),IF(OR($B291="Ноги",$B291="Верх"),IFS(AND($V291&gt;=125,$V291&lt;=135),1,AND($V291&gt;=115,$V291&lt;125),0.7,AND($V291&gt;135,$V291&lt;=145),0.7,AND($V291&gt;=105,$V291&lt;115),0.4,AND($V291&gt;145,$V291&lt;=155),0.4,TRUE,0.2),IFS(AND($V291&gt;=120,$V291&lt;=130),1,AND($V291&gt;=110,$V291&lt;120),0.7,AND($V291&gt;130,$V291&lt;=140),0.7,AND($V291&gt;=100,$V291&lt;110),0.4,AND($V291&gt;140,$V291&lt;=150),0.4,TRUE,0.2)),IFS(AND($W291&gt;=55,$W291&lt;=65),1,AND($W291&gt;=50,$W291&lt;55),0.7,AND($W291&gt;65,$W291&lt;=70),0.7,AND($W291&gt;=45,$W291&lt;50),0.4,AND($W291&gt;70,$W291&lt;=75),0.4,TRUE,0.2),IF(OR($B291="Ноги",$B291="Верх"),IFS(AND($X291&gt;=180,$X291&lt;=210),1,AND($X291&gt;=160,$X291&lt;180),0.7,AND($X291&gt;210,$X291&lt;=230),0.7,AND($X291&gt;=140,$X291&lt;160),0.4,AND($X291&gt;230,$X291&lt;=250),0.4,TRUE,0.2),IFS(AND($X291&gt;=140,$X291&lt;=170),1,AND($X291&gt;=120,$X291&lt;140),0.7,AND($X291&gt;170,$X291&lt;=190),0.7,AND($X291&gt;=100,$X291&lt;120),0.4,AND($X291&gt;190,$X291&lt;=210),0.4,TRUE,0.2))))),1),""))</f>
        <v/>
      </c>
      <c r="Z291">
        <f>IF($A291="","",TEXTJOIN(", ",TRUE,IF($B291="","Тренировка",""),IF($C291="","Кардио",""),IF($D291="","Шаги",""),IF($E291="","Английский",""),IF($F291="","Код-режим",""),IF($G291="","Код-тема",""),IF($H291="","Чтение",""),IF($L291="","Сон",""),IF($M291="","Режим",""),IF($N291="","Продуктивность",""),IF($O291="","Настроение",""),IF($P291="","Энергия",""),IF($U291="","Еда","")))</f>
        <v/>
      </c>
    </row>
    <row r="292">
      <c r="A292" t="inlineStr"/>
      <c r="U292">
        <f>IF($A292="","",IF(SUMIF(FoodLog!$A:$A,$A292,FoodLog!$I:$I)=0,"",SUMIF(FoodLog!$A:$A,$A292,FoodLog!$I:$I)))</f>
        <v/>
      </c>
      <c r="V292">
        <f>IF($A292="","",IF(SUMIF(FoodLog!$A:$A,$A292,FoodLog!$F:$F)=0,"",SUMIF(FoodLog!$A:$A,$A292,FoodLog!$F:$F)))</f>
        <v/>
      </c>
      <c r="W292">
        <f>IF($A292="","",IF(SUMIF(FoodLog!$A:$A,$A292,FoodLog!$G:$G)=0,"",SUMIF(FoodLog!$A:$A,$A292,FoodLog!$G:$G)))</f>
        <v/>
      </c>
      <c r="X292">
        <f>IF($A292="","",IF(SUMIF(FoodLog!$A:$A,$A292,FoodLog!$H:$H)=0,"",SUMIF(FoodLog!$A:$A,$A292,FoodLog!$H:$H)))</f>
        <v/>
      </c>
      <c r="Y292">
        <f>IF($A292="","",IFERROR(ROUND(100*AVERAGE(IF($B292="","",XLOOKUP($B292,FILTER(Dictionaries!$B:$B,Dictionaries!$A:$A="Тренировка"),FILTER(Dictionaries!$C:$C,Dictionaries!$A:$A="Тренировка"))),IF($C292="","",MIN($C292/40,1)),IF($D292="","",XLOOKUP($D292,FILTER(Dictionaries!$B:$B,Dictionaries!$A:$A="Шаги"),FILTER(Dictionaries!$C:$C,Dictionaries!$A:$A="Шаги"))),IF($E292="","",MIN($E292/120,1)),IF(OR($F292&lt;&gt;"",$G292&lt;&gt;""),1,""),IF($H292="","",MIN($H292/100,1)),IF($L292="","",XLOOKUP($L292,FILTER(Dictionaries!$B:$B,Dictionaries!$A:$A="Сон_часы"),FILTER(Dictionaries!$C:$C,Dictionaries!$A:$A="Сон_часы"))),IF($M292="","",XLOOKUP($M292,FILTER(Dictionaries!$B:$B,Dictionaries!$A:$A="Режим"),FILTER(Dictionaries!$C:$C,Dictionaries!$A:$A="Режим"))),IF($N292="","",MIN($N292/100,1)),IF($O292="","",XLOOKUP($O292,FILTER(Dictionaries!$B:$B,Dictionaries!$A:$A="Настроение"),FILTER(Dictionaries!$C:$C,Dictionaries!$A:$A="Настроение"))),IF($P292="","",XLOOKUP($P292,FILTER(Dictionaries!$B:$B,Dictionaries!$A:$A="Энергия"),FILTER(Dictionaries!$C:$C,Dictionaries!$A:$A="Энергия"))),IF($U292="","",AVERAGE(IF(OR($B292="Ноги",$B292="Верх"),IFS(AND($U292&gt;=1900,$U292&lt;=2050),1,AND($U292&gt;=1850,$U292&lt;1900),0.7,AND($U292&gt;2050,$U292&lt;=2100),0.7,TRUE,0.2),IFS(AND($U292&gt;=1700,$U292&lt;=1850),1,AND($U292&gt;=1650,$U292&lt;1700),0.7,AND($U292&gt;1850,$U292&lt;=1900),0.7,TRUE,0.2)),IF(OR($B292="Ноги",$B292="Верх"),IFS(AND($V292&gt;=125,$V292&lt;=135),1,AND($V292&gt;=115,$V292&lt;125),0.7,AND($V292&gt;135,$V292&lt;=145),0.7,AND($V292&gt;=105,$V292&lt;115),0.4,AND($V292&gt;145,$V292&lt;=155),0.4,TRUE,0.2),IFS(AND($V292&gt;=120,$V292&lt;=130),1,AND($V292&gt;=110,$V292&lt;120),0.7,AND($V292&gt;130,$V292&lt;=140),0.7,AND($V292&gt;=100,$V292&lt;110),0.4,AND($V292&gt;140,$V292&lt;=150),0.4,TRUE,0.2)),IFS(AND($W292&gt;=55,$W292&lt;=65),1,AND($W292&gt;=50,$W292&lt;55),0.7,AND($W292&gt;65,$W292&lt;=70),0.7,AND($W292&gt;=45,$W292&lt;50),0.4,AND($W292&gt;70,$W292&lt;=75),0.4,TRUE,0.2),IF(OR($B292="Ноги",$B292="Верх"),IFS(AND($X292&gt;=180,$X292&lt;=210),1,AND($X292&gt;=160,$X292&lt;180),0.7,AND($X292&gt;210,$X292&lt;=230),0.7,AND($X292&gt;=140,$X292&lt;160),0.4,AND($X292&gt;230,$X292&lt;=250),0.4,TRUE,0.2),IFS(AND($X292&gt;=140,$X292&lt;=170),1,AND($X292&gt;=120,$X292&lt;140),0.7,AND($X292&gt;170,$X292&lt;=190),0.7,AND($X292&gt;=100,$X292&lt;120),0.4,AND($X292&gt;190,$X292&lt;=210),0.4,TRUE,0.2))))),1),""))</f>
        <v/>
      </c>
      <c r="Z292">
        <f>IF($A292="","",TEXTJOIN(", ",TRUE,IF($B292="","Тренировка",""),IF($C292="","Кардио",""),IF($D292="","Шаги",""),IF($E292="","Английский",""),IF($F292="","Код-режим",""),IF($G292="","Код-тема",""),IF($H292="","Чтение",""),IF($L292="","Сон",""),IF($M292="","Режим",""),IF($N292="","Продуктивность",""),IF($O292="","Настроение",""),IF($P292="","Энергия",""),IF($U292="","Еда","")))</f>
        <v/>
      </c>
    </row>
    <row r="293">
      <c r="A293" t="inlineStr"/>
      <c r="U293">
        <f>IF($A293="","",IF(SUMIF(FoodLog!$A:$A,$A293,FoodLog!$I:$I)=0,"",SUMIF(FoodLog!$A:$A,$A293,FoodLog!$I:$I)))</f>
        <v/>
      </c>
      <c r="V293">
        <f>IF($A293="","",IF(SUMIF(FoodLog!$A:$A,$A293,FoodLog!$F:$F)=0,"",SUMIF(FoodLog!$A:$A,$A293,FoodLog!$F:$F)))</f>
        <v/>
      </c>
      <c r="W293">
        <f>IF($A293="","",IF(SUMIF(FoodLog!$A:$A,$A293,FoodLog!$G:$G)=0,"",SUMIF(FoodLog!$A:$A,$A293,FoodLog!$G:$G)))</f>
        <v/>
      </c>
      <c r="X293">
        <f>IF($A293="","",IF(SUMIF(FoodLog!$A:$A,$A293,FoodLog!$H:$H)=0,"",SUMIF(FoodLog!$A:$A,$A293,FoodLog!$H:$H)))</f>
        <v/>
      </c>
      <c r="Y293">
        <f>IF($A293="","",IFERROR(ROUND(100*AVERAGE(IF($B293="","",XLOOKUP($B293,FILTER(Dictionaries!$B:$B,Dictionaries!$A:$A="Тренировка"),FILTER(Dictionaries!$C:$C,Dictionaries!$A:$A="Тренировка"))),IF($C293="","",MIN($C293/40,1)),IF($D293="","",XLOOKUP($D293,FILTER(Dictionaries!$B:$B,Dictionaries!$A:$A="Шаги"),FILTER(Dictionaries!$C:$C,Dictionaries!$A:$A="Шаги"))),IF($E293="","",MIN($E293/120,1)),IF(OR($F293&lt;&gt;"",$G293&lt;&gt;""),1,""),IF($H293="","",MIN($H293/100,1)),IF($L293="","",XLOOKUP($L293,FILTER(Dictionaries!$B:$B,Dictionaries!$A:$A="Сон_часы"),FILTER(Dictionaries!$C:$C,Dictionaries!$A:$A="Сон_часы"))),IF($M293="","",XLOOKUP($M293,FILTER(Dictionaries!$B:$B,Dictionaries!$A:$A="Режим"),FILTER(Dictionaries!$C:$C,Dictionaries!$A:$A="Режим"))),IF($N293="","",MIN($N293/100,1)),IF($O293="","",XLOOKUP($O293,FILTER(Dictionaries!$B:$B,Dictionaries!$A:$A="Настроение"),FILTER(Dictionaries!$C:$C,Dictionaries!$A:$A="Настроение"))),IF($P293="","",XLOOKUP($P293,FILTER(Dictionaries!$B:$B,Dictionaries!$A:$A="Энергия"),FILTER(Dictionaries!$C:$C,Dictionaries!$A:$A="Энергия"))),IF($U293="","",AVERAGE(IF(OR($B293="Ноги",$B293="Верх"),IFS(AND($U293&gt;=1900,$U293&lt;=2050),1,AND($U293&gt;=1850,$U293&lt;1900),0.7,AND($U293&gt;2050,$U293&lt;=2100),0.7,TRUE,0.2),IFS(AND($U293&gt;=1700,$U293&lt;=1850),1,AND($U293&gt;=1650,$U293&lt;1700),0.7,AND($U293&gt;1850,$U293&lt;=1900),0.7,TRUE,0.2)),IF(OR($B293="Ноги",$B293="Верх"),IFS(AND($V293&gt;=125,$V293&lt;=135),1,AND($V293&gt;=115,$V293&lt;125),0.7,AND($V293&gt;135,$V293&lt;=145),0.7,AND($V293&gt;=105,$V293&lt;115),0.4,AND($V293&gt;145,$V293&lt;=155),0.4,TRUE,0.2),IFS(AND($V293&gt;=120,$V293&lt;=130),1,AND($V293&gt;=110,$V293&lt;120),0.7,AND($V293&gt;130,$V293&lt;=140),0.7,AND($V293&gt;=100,$V293&lt;110),0.4,AND($V293&gt;140,$V293&lt;=150),0.4,TRUE,0.2)),IFS(AND($W293&gt;=55,$W293&lt;=65),1,AND($W293&gt;=50,$W293&lt;55),0.7,AND($W293&gt;65,$W293&lt;=70),0.7,AND($W293&gt;=45,$W293&lt;50),0.4,AND($W293&gt;70,$W293&lt;=75),0.4,TRUE,0.2),IF(OR($B293="Ноги",$B293="Верх"),IFS(AND($X293&gt;=180,$X293&lt;=210),1,AND($X293&gt;=160,$X293&lt;180),0.7,AND($X293&gt;210,$X293&lt;=230),0.7,AND($X293&gt;=140,$X293&lt;160),0.4,AND($X293&gt;230,$X293&lt;=250),0.4,TRUE,0.2),IFS(AND($X293&gt;=140,$X293&lt;=170),1,AND($X293&gt;=120,$X293&lt;140),0.7,AND($X293&gt;170,$X293&lt;=190),0.7,AND($X293&gt;=100,$X293&lt;120),0.4,AND($X293&gt;190,$X293&lt;=210),0.4,TRUE,0.2))))),1),""))</f>
        <v/>
      </c>
      <c r="Z293">
        <f>IF($A293="","",TEXTJOIN(", ",TRUE,IF($B293="","Тренировка",""),IF($C293="","Кардио",""),IF($D293="","Шаги",""),IF($E293="","Английский",""),IF($F293="","Код-режим",""),IF($G293="","Код-тема",""),IF($H293="","Чтение",""),IF($L293="","Сон",""),IF($M293="","Режим",""),IF($N293="","Продуктивность",""),IF($O293="","Настроение",""),IF($P293="","Энергия",""),IF($U293="","Еда","")))</f>
        <v/>
      </c>
    </row>
    <row r="294">
      <c r="A294" t="inlineStr"/>
      <c r="U294">
        <f>IF($A294="","",IF(SUMIF(FoodLog!$A:$A,$A294,FoodLog!$I:$I)=0,"",SUMIF(FoodLog!$A:$A,$A294,FoodLog!$I:$I)))</f>
        <v/>
      </c>
      <c r="V294">
        <f>IF($A294="","",IF(SUMIF(FoodLog!$A:$A,$A294,FoodLog!$F:$F)=0,"",SUMIF(FoodLog!$A:$A,$A294,FoodLog!$F:$F)))</f>
        <v/>
      </c>
      <c r="W294">
        <f>IF($A294="","",IF(SUMIF(FoodLog!$A:$A,$A294,FoodLog!$G:$G)=0,"",SUMIF(FoodLog!$A:$A,$A294,FoodLog!$G:$G)))</f>
        <v/>
      </c>
      <c r="X294">
        <f>IF($A294="","",IF(SUMIF(FoodLog!$A:$A,$A294,FoodLog!$H:$H)=0,"",SUMIF(FoodLog!$A:$A,$A294,FoodLog!$H:$H)))</f>
        <v/>
      </c>
      <c r="Y294">
        <f>IF($A294="","",IFERROR(ROUND(100*AVERAGE(IF($B294="","",XLOOKUP($B294,FILTER(Dictionaries!$B:$B,Dictionaries!$A:$A="Тренировка"),FILTER(Dictionaries!$C:$C,Dictionaries!$A:$A="Тренировка"))),IF($C294="","",MIN($C294/40,1)),IF($D294="","",XLOOKUP($D294,FILTER(Dictionaries!$B:$B,Dictionaries!$A:$A="Шаги"),FILTER(Dictionaries!$C:$C,Dictionaries!$A:$A="Шаги"))),IF($E294="","",MIN($E294/120,1)),IF(OR($F294&lt;&gt;"",$G294&lt;&gt;""),1,""),IF($H294="","",MIN($H294/100,1)),IF($L294="","",XLOOKUP($L294,FILTER(Dictionaries!$B:$B,Dictionaries!$A:$A="Сон_часы"),FILTER(Dictionaries!$C:$C,Dictionaries!$A:$A="Сон_часы"))),IF($M294="","",XLOOKUP($M294,FILTER(Dictionaries!$B:$B,Dictionaries!$A:$A="Режим"),FILTER(Dictionaries!$C:$C,Dictionaries!$A:$A="Режим"))),IF($N294="","",MIN($N294/100,1)),IF($O294="","",XLOOKUP($O294,FILTER(Dictionaries!$B:$B,Dictionaries!$A:$A="Настроение"),FILTER(Dictionaries!$C:$C,Dictionaries!$A:$A="Настроение"))),IF($P294="","",XLOOKUP($P294,FILTER(Dictionaries!$B:$B,Dictionaries!$A:$A="Энергия"),FILTER(Dictionaries!$C:$C,Dictionaries!$A:$A="Энергия"))),IF($U294="","",AVERAGE(IF(OR($B294="Ноги",$B294="Верх"),IFS(AND($U294&gt;=1900,$U294&lt;=2050),1,AND($U294&gt;=1850,$U294&lt;1900),0.7,AND($U294&gt;2050,$U294&lt;=2100),0.7,TRUE,0.2),IFS(AND($U294&gt;=1700,$U294&lt;=1850),1,AND($U294&gt;=1650,$U294&lt;1700),0.7,AND($U294&gt;1850,$U294&lt;=1900),0.7,TRUE,0.2)),IF(OR($B294="Ноги",$B294="Верх"),IFS(AND($V294&gt;=125,$V294&lt;=135),1,AND($V294&gt;=115,$V294&lt;125),0.7,AND($V294&gt;135,$V294&lt;=145),0.7,AND($V294&gt;=105,$V294&lt;115),0.4,AND($V294&gt;145,$V294&lt;=155),0.4,TRUE,0.2),IFS(AND($V294&gt;=120,$V294&lt;=130),1,AND($V294&gt;=110,$V294&lt;120),0.7,AND($V294&gt;130,$V294&lt;=140),0.7,AND($V294&gt;=100,$V294&lt;110),0.4,AND($V294&gt;140,$V294&lt;=150),0.4,TRUE,0.2)),IFS(AND($W294&gt;=55,$W294&lt;=65),1,AND($W294&gt;=50,$W294&lt;55),0.7,AND($W294&gt;65,$W294&lt;=70),0.7,AND($W294&gt;=45,$W294&lt;50),0.4,AND($W294&gt;70,$W294&lt;=75),0.4,TRUE,0.2),IF(OR($B294="Ноги",$B294="Верх"),IFS(AND($X294&gt;=180,$X294&lt;=210),1,AND($X294&gt;=160,$X294&lt;180),0.7,AND($X294&gt;210,$X294&lt;=230),0.7,AND($X294&gt;=140,$X294&lt;160),0.4,AND($X294&gt;230,$X294&lt;=250),0.4,TRUE,0.2),IFS(AND($X294&gt;=140,$X294&lt;=170),1,AND($X294&gt;=120,$X294&lt;140),0.7,AND($X294&gt;170,$X294&lt;=190),0.7,AND($X294&gt;=100,$X294&lt;120),0.4,AND($X294&gt;190,$X294&lt;=210),0.4,TRUE,0.2))))),1),""))</f>
        <v/>
      </c>
      <c r="Z294">
        <f>IF($A294="","",TEXTJOIN(", ",TRUE,IF($B294="","Тренировка",""),IF($C294="","Кардио",""),IF($D294="","Шаги",""),IF($E294="","Английский",""),IF($F294="","Код-режим",""),IF($G294="","Код-тема",""),IF($H294="","Чтение",""),IF($L294="","Сон",""),IF($M294="","Режим",""),IF($N294="","Продуктивность",""),IF($O294="","Настроение",""),IF($P294="","Энергия",""),IF($U294="","Еда","")))</f>
        <v/>
      </c>
    </row>
    <row r="295">
      <c r="A295" t="inlineStr"/>
      <c r="U295">
        <f>IF($A295="","",IF(SUMIF(FoodLog!$A:$A,$A295,FoodLog!$I:$I)=0,"",SUMIF(FoodLog!$A:$A,$A295,FoodLog!$I:$I)))</f>
        <v/>
      </c>
      <c r="V295">
        <f>IF($A295="","",IF(SUMIF(FoodLog!$A:$A,$A295,FoodLog!$F:$F)=0,"",SUMIF(FoodLog!$A:$A,$A295,FoodLog!$F:$F)))</f>
        <v/>
      </c>
      <c r="W295">
        <f>IF($A295="","",IF(SUMIF(FoodLog!$A:$A,$A295,FoodLog!$G:$G)=0,"",SUMIF(FoodLog!$A:$A,$A295,FoodLog!$G:$G)))</f>
        <v/>
      </c>
      <c r="X295">
        <f>IF($A295="","",IF(SUMIF(FoodLog!$A:$A,$A295,FoodLog!$H:$H)=0,"",SUMIF(FoodLog!$A:$A,$A295,FoodLog!$H:$H)))</f>
        <v/>
      </c>
      <c r="Y295">
        <f>IF($A295="","",IFERROR(ROUND(100*AVERAGE(IF($B295="","",XLOOKUP($B295,FILTER(Dictionaries!$B:$B,Dictionaries!$A:$A="Тренировка"),FILTER(Dictionaries!$C:$C,Dictionaries!$A:$A="Тренировка"))),IF($C295="","",MIN($C295/40,1)),IF($D295="","",XLOOKUP($D295,FILTER(Dictionaries!$B:$B,Dictionaries!$A:$A="Шаги"),FILTER(Dictionaries!$C:$C,Dictionaries!$A:$A="Шаги"))),IF($E295="","",MIN($E295/120,1)),IF(OR($F295&lt;&gt;"",$G295&lt;&gt;""),1,""),IF($H295="","",MIN($H295/100,1)),IF($L295="","",XLOOKUP($L295,FILTER(Dictionaries!$B:$B,Dictionaries!$A:$A="Сон_часы"),FILTER(Dictionaries!$C:$C,Dictionaries!$A:$A="Сон_часы"))),IF($M295="","",XLOOKUP($M295,FILTER(Dictionaries!$B:$B,Dictionaries!$A:$A="Режим"),FILTER(Dictionaries!$C:$C,Dictionaries!$A:$A="Режим"))),IF($N295="","",MIN($N295/100,1)),IF($O295="","",XLOOKUP($O295,FILTER(Dictionaries!$B:$B,Dictionaries!$A:$A="Настроение"),FILTER(Dictionaries!$C:$C,Dictionaries!$A:$A="Настроение"))),IF($P295="","",XLOOKUP($P295,FILTER(Dictionaries!$B:$B,Dictionaries!$A:$A="Энергия"),FILTER(Dictionaries!$C:$C,Dictionaries!$A:$A="Энергия"))),IF($U295="","",AVERAGE(IF(OR($B295="Ноги",$B295="Верх"),IFS(AND($U295&gt;=1900,$U295&lt;=2050),1,AND($U295&gt;=1850,$U295&lt;1900),0.7,AND($U295&gt;2050,$U295&lt;=2100),0.7,TRUE,0.2),IFS(AND($U295&gt;=1700,$U295&lt;=1850),1,AND($U295&gt;=1650,$U295&lt;1700),0.7,AND($U295&gt;1850,$U295&lt;=1900),0.7,TRUE,0.2)),IF(OR($B295="Ноги",$B295="Верх"),IFS(AND($V295&gt;=125,$V295&lt;=135),1,AND($V295&gt;=115,$V295&lt;125),0.7,AND($V295&gt;135,$V295&lt;=145),0.7,AND($V295&gt;=105,$V295&lt;115),0.4,AND($V295&gt;145,$V295&lt;=155),0.4,TRUE,0.2),IFS(AND($V295&gt;=120,$V295&lt;=130),1,AND($V295&gt;=110,$V295&lt;120),0.7,AND($V295&gt;130,$V295&lt;=140),0.7,AND($V295&gt;=100,$V295&lt;110),0.4,AND($V295&gt;140,$V295&lt;=150),0.4,TRUE,0.2)),IFS(AND($W295&gt;=55,$W295&lt;=65),1,AND($W295&gt;=50,$W295&lt;55),0.7,AND($W295&gt;65,$W295&lt;=70),0.7,AND($W295&gt;=45,$W295&lt;50),0.4,AND($W295&gt;70,$W295&lt;=75),0.4,TRUE,0.2),IF(OR($B295="Ноги",$B295="Верх"),IFS(AND($X295&gt;=180,$X295&lt;=210),1,AND($X295&gt;=160,$X295&lt;180),0.7,AND($X295&gt;210,$X295&lt;=230),0.7,AND($X295&gt;=140,$X295&lt;160),0.4,AND($X295&gt;230,$X295&lt;=250),0.4,TRUE,0.2),IFS(AND($X295&gt;=140,$X295&lt;=170),1,AND($X295&gt;=120,$X295&lt;140),0.7,AND($X295&gt;170,$X295&lt;=190),0.7,AND($X295&gt;=100,$X295&lt;120),0.4,AND($X295&gt;190,$X295&lt;=210),0.4,TRUE,0.2))))),1),""))</f>
        <v/>
      </c>
      <c r="Z295">
        <f>IF($A295="","",TEXTJOIN(", ",TRUE,IF($B295="","Тренировка",""),IF($C295="","Кардио",""),IF($D295="","Шаги",""),IF($E295="","Английский",""),IF($F295="","Код-режим",""),IF($G295="","Код-тема",""),IF($H295="","Чтение",""),IF($L295="","Сон",""),IF($M295="","Режим",""),IF($N295="","Продуктивность",""),IF($O295="","Настроение",""),IF($P295="","Энергия",""),IF($U295="","Еда","")))</f>
        <v/>
      </c>
    </row>
    <row r="296">
      <c r="A296" t="inlineStr"/>
      <c r="U296">
        <f>IF($A296="","",IF(SUMIF(FoodLog!$A:$A,$A296,FoodLog!$I:$I)=0,"",SUMIF(FoodLog!$A:$A,$A296,FoodLog!$I:$I)))</f>
        <v/>
      </c>
      <c r="V296">
        <f>IF($A296="","",IF(SUMIF(FoodLog!$A:$A,$A296,FoodLog!$F:$F)=0,"",SUMIF(FoodLog!$A:$A,$A296,FoodLog!$F:$F)))</f>
        <v/>
      </c>
      <c r="W296">
        <f>IF($A296="","",IF(SUMIF(FoodLog!$A:$A,$A296,FoodLog!$G:$G)=0,"",SUMIF(FoodLog!$A:$A,$A296,FoodLog!$G:$G)))</f>
        <v/>
      </c>
      <c r="X296">
        <f>IF($A296="","",IF(SUMIF(FoodLog!$A:$A,$A296,FoodLog!$H:$H)=0,"",SUMIF(FoodLog!$A:$A,$A296,FoodLog!$H:$H)))</f>
        <v/>
      </c>
      <c r="Y296">
        <f>IF($A296="","",IFERROR(ROUND(100*AVERAGE(IF($B296="","",XLOOKUP($B296,FILTER(Dictionaries!$B:$B,Dictionaries!$A:$A="Тренировка"),FILTER(Dictionaries!$C:$C,Dictionaries!$A:$A="Тренировка"))),IF($C296="","",MIN($C296/40,1)),IF($D296="","",XLOOKUP($D296,FILTER(Dictionaries!$B:$B,Dictionaries!$A:$A="Шаги"),FILTER(Dictionaries!$C:$C,Dictionaries!$A:$A="Шаги"))),IF($E296="","",MIN($E296/120,1)),IF(OR($F296&lt;&gt;"",$G296&lt;&gt;""),1,""),IF($H296="","",MIN($H296/100,1)),IF($L296="","",XLOOKUP($L296,FILTER(Dictionaries!$B:$B,Dictionaries!$A:$A="Сон_часы"),FILTER(Dictionaries!$C:$C,Dictionaries!$A:$A="Сон_часы"))),IF($M296="","",XLOOKUP($M296,FILTER(Dictionaries!$B:$B,Dictionaries!$A:$A="Режим"),FILTER(Dictionaries!$C:$C,Dictionaries!$A:$A="Режим"))),IF($N296="","",MIN($N296/100,1)),IF($O296="","",XLOOKUP($O296,FILTER(Dictionaries!$B:$B,Dictionaries!$A:$A="Настроение"),FILTER(Dictionaries!$C:$C,Dictionaries!$A:$A="Настроение"))),IF($P296="","",XLOOKUP($P296,FILTER(Dictionaries!$B:$B,Dictionaries!$A:$A="Энергия"),FILTER(Dictionaries!$C:$C,Dictionaries!$A:$A="Энергия"))),IF($U296="","",AVERAGE(IF(OR($B296="Ноги",$B296="Верх"),IFS(AND($U296&gt;=1900,$U296&lt;=2050),1,AND($U296&gt;=1850,$U296&lt;1900),0.7,AND($U296&gt;2050,$U296&lt;=2100),0.7,TRUE,0.2),IFS(AND($U296&gt;=1700,$U296&lt;=1850),1,AND($U296&gt;=1650,$U296&lt;1700),0.7,AND($U296&gt;1850,$U296&lt;=1900),0.7,TRUE,0.2)),IF(OR($B296="Ноги",$B296="Верх"),IFS(AND($V296&gt;=125,$V296&lt;=135),1,AND($V296&gt;=115,$V296&lt;125),0.7,AND($V296&gt;135,$V296&lt;=145),0.7,AND($V296&gt;=105,$V296&lt;115),0.4,AND($V296&gt;145,$V296&lt;=155),0.4,TRUE,0.2),IFS(AND($V296&gt;=120,$V296&lt;=130),1,AND($V296&gt;=110,$V296&lt;120),0.7,AND($V296&gt;130,$V296&lt;=140),0.7,AND($V296&gt;=100,$V296&lt;110),0.4,AND($V296&gt;140,$V296&lt;=150),0.4,TRUE,0.2)),IFS(AND($W296&gt;=55,$W296&lt;=65),1,AND($W296&gt;=50,$W296&lt;55),0.7,AND($W296&gt;65,$W296&lt;=70),0.7,AND($W296&gt;=45,$W296&lt;50),0.4,AND($W296&gt;70,$W296&lt;=75),0.4,TRUE,0.2),IF(OR($B296="Ноги",$B296="Верх"),IFS(AND($X296&gt;=180,$X296&lt;=210),1,AND($X296&gt;=160,$X296&lt;180),0.7,AND($X296&gt;210,$X296&lt;=230),0.7,AND($X296&gt;=140,$X296&lt;160),0.4,AND($X296&gt;230,$X296&lt;=250),0.4,TRUE,0.2),IFS(AND($X296&gt;=140,$X296&lt;=170),1,AND($X296&gt;=120,$X296&lt;140),0.7,AND($X296&gt;170,$X296&lt;=190),0.7,AND($X296&gt;=100,$X296&lt;120),0.4,AND($X296&gt;190,$X296&lt;=210),0.4,TRUE,0.2))))),1),""))</f>
        <v/>
      </c>
      <c r="Z296">
        <f>IF($A296="","",TEXTJOIN(", ",TRUE,IF($B296="","Тренировка",""),IF($C296="","Кардио",""),IF($D296="","Шаги",""),IF($E296="","Английский",""),IF($F296="","Код-режим",""),IF($G296="","Код-тема",""),IF($H296="","Чтение",""),IF($L296="","Сон",""),IF($M296="","Режим",""),IF($N296="","Продуктивность",""),IF($O296="","Настроение",""),IF($P296="","Энергия",""),IF($U296="","Еда","")))</f>
        <v/>
      </c>
    </row>
    <row r="297">
      <c r="A297" t="inlineStr"/>
      <c r="U297">
        <f>IF($A297="","",IF(SUMIF(FoodLog!$A:$A,$A297,FoodLog!$I:$I)=0,"",SUMIF(FoodLog!$A:$A,$A297,FoodLog!$I:$I)))</f>
        <v/>
      </c>
      <c r="V297">
        <f>IF($A297="","",IF(SUMIF(FoodLog!$A:$A,$A297,FoodLog!$F:$F)=0,"",SUMIF(FoodLog!$A:$A,$A297,FoodLog!$F:$F)))</f>
        <v/>
      </c>
      <c r="W297">
        <f>IF($A297="","",IF(SUMIF(FoodLog!$A:$A,$A297,FoodLog!$G:$G)=0,"",SUMIF(FoodLog!$A:$A,$A297,FoodLog!$G:$G)))</f>
        <v/>
      </c>
      <c r="X297">
        <f>IF($A297="","",IF(SUMIF(FoodLog!$A:$A,$A297,FoodLog!$H:$H)=0,"",SUMIF(FoodLog!$A:$A,$A297,FoodLog!$H:$H)))</f>
        <v/>
      </c>
      <c r="Y297">
        <f>IF($A297="","",IFERROR(ROUND(100*AVERAGE(IF($B297="","",XLOOKUP($B297,FILTER(Dictionaries!$B:$B,Dictionaries!$A:$A="Тренировка"),FILTER(Dictionaries!$C:$C,Dictionaries!$A:$A="Тренировка"))),IF($C297="","",MIN($C297/40,1)),IF($D297="","",XLOOKUP($D297,FILTER(Dictionaries!$B:$B,Dictionaries!$A:$A="Шаги"),FILTER(Dictionaries!$C:$C,Dictionaries!$A:$A="Шаги"))),IF($E297="","",MIN($E297/120,1)),IF(OR($F297&lt;&gt;"",$G297&lt;&gt;""),1,""),IF($H297="","",MIN($H297/100,1)),IF($L297="","",XLOOKUP($L297,FILTER(Dictionaries!$B:$B,Dictionaries!$A:$A="Сон_часы"),FILTER(Dictionaries!$C:$C,Dictionaries!$A:$A="Сон_часы"))),IF($M297="","",XLOOKUP($M297,FILTER(Dictionaries!$B:$B,Dictionaries!$A:$A="Режим"),FILTER(Dictionaries!$C:$C,Dictionaries!$A:$A="Режим"))),IF($N297="","",MIN($N297/100,1)),IF($O297="","",XLOOKUP($O297,FILTER(Dictionaries!$B:$B,Dictionaries!$A:$A="Настроение"),FILTER(Dictionaries!$C:$C,Dictionaries!$A:$A="Настроение"))),IF($P297="","",XLOOKUP($P297,FILTER(Dictionaries!$B:$B,Dictionaries!$A:$A="Энергия"),FILTER(Dictionaries!$C:$C,Dictionaries!$A:$A="Энергия"))),IF($U297="","",AVERAGE(IF(OR($B297="Ноги",$B297="Верх"),IFS(AND($U297&gt;=1900,$U297&lt;=2050),1,AND($U297&gt;=1850,$U297&lt;1900),0.7,AND($U297&gt;2050,$U297&lt;=2100),0.7,TRUE,0.2),IFS(AND($U297&gt;=1700,$U297&lt;=1850),1,AND($U297&gt;=1650,$U297&lt;1700),0.7,AND($U297&gt;1850,$U297&lt;=1900),0.7,TRUE,0.2)),IF(OR($B297="Ноги",$B297="Верх"),IFS(AND($V297&gt;=125,$V297&lt;=135),1,AND($V297&gt;=115,$V297&lt;125),0.7,AND($V297&gt;135,$V297&lt;=145),0.7,AND($V297&gt;=105,$V297&lt;115),0.4,AND($V297&gt;145,$V297&lt;=155),0.4,TRUE,0.2),IFS(AND($V297&gt;=120,$V297&lt;=130),1,AND($V297&gt;=110,$V297&lt;120),0.7,AND($V297&gt;130,$V297&lt;=140),0.7,AND($V297&gt;=100,$V297&lt;110),0.4,AND($V297&gt;140,$V297&lt;=150),0.4,TRUE,0.2)),IFS(AND($W297&gt;=55,$W297&lt;=65),1,AND($W297&gt;=50,$W297&lt;55),0.7,AND($W297&gt;65,$W297&lt;=70),0.7,AND($W297&gt;=45,$W297&lt;50),0.4,AND($W297&gt;70,$W297&lt;=75),0.4,TRUE,0.2),IF(OR($B297="Ноги",$B297="Верх"),IFS(AND($X297&gt;=180,$X297&lt;=210),1,AND($X297&gt;=160,$X297&lt;180),0.7,AND($X297&gt;210,$X297&lt;=230),0.7,AND($X297&gt;=140,$X297&lt;160),0.4,AND($X297&gt;230,$X297&lt;=250),0.4,TRUE,0.2),IFS(AND($X297&gt;=140,$X297&lt;=170),1,AND($X297&gt;=120,$X297&lt;140),0.7,AND($X297&gt;170,$X297&lt;=190),0.7,AND($X297&gt;=100,$X297&lt;120),0.4,AND($X297&gt;190,$X297&lt;=210),0.4,TRUE,0.2))))),1),""))</f>
        <v/>
      </c>
      <c r="Z297">
        <f>IF($A297="","",TEXTJOIN(", ",TRUE,IF($B297="","Тренировка",""),IF($C297="","Кардио",""),IF($D297="","Шаги",""),IF($E297="","Английский",""),IF($F297="","Код-режим",""),IF($G297="","Код-тема",""),IF($H297="","Чтение",""),IF($L297="","Сон",""),IF($M297="","Режим",""),IF($N297="","Продуктивность",""),IF($O297="","Настроение",""),IF($P297="","Энергия",""),IF($U297="","Еда","")))</f>
        <v/>
      </c>
    </row>
    <row r="298">
      <c r="A298" t="inlineStr"/>
      <c r="U298">
        <f>IF($A298="","",IF(SUMIF(FoodLog!$A:$A,$A298,FoodLog!$I:$I)=0,"",SUMIF(FoodLog!$A:$A,$A298,FoodLog!$I:$I)))</f>
        <v/>
      </c>
      <c r="V298">
        <f>IF($A298="","",IF(SUMIF(FoodLog!$A:$A,$A298,FoodLog!$F:$F)=0,"",SUMIF(FoodLog!$A:$A,$A298,FoodLog!$F:$F)))</f>
        <v/>
      </c>
      <c r="W298">
        <f>IF($A298="","",IF(SUMIF(FoodLog!$A:$A,$A298,FoodLog!$G:$G)=0,"",SUMIF(FoodLog!$A:$A,$A298,FoodLog!$G:$G)))</f>
        <v/>
      </c>
      <c r="X298">
        <f>IF($A298="","",IF(SUMIF(FoodLog!$A:$A,$A298,FoodLog!$H:$H)=0,"",SUMIF(FoodLog!$A:$A,$A298,FoodLog!$H:$H)))</f>
        <v/>
      </c>
      <c r="Y298">
        <f>IF($A298="","",IFERROR(ROUND(100*AVERAGE(IF($B298="","",XLOOKUP($B298,FILTER(Dictionaries!$B:$B,Dictionaries!$A:$A="Тренировка"),FILTER(Dictionaries!$C:$C,Dictionaries!$A:$A="Тренировка"))),IF($C298="","",MIN($C298/40,1)),IF($D298="","",XLOOKUP($D298,FILTER(Dictionaries!$B:$B,Dictionaries!$A:$A="Шаги"),FILTER(Dictionaries!$C:$C,Dictionaries!$A:$A="Шаги"))),IF($E298="","",MIN($E298/120,1)),IF(OR($F298&lt;&gt;"",$G298&lt;&gt;""),1,""),IF($H298="","",MIN($H298/100,1)),IF($L298="","",XLOOKUP($L298,FILTER(Dictionaries!$B:$B,Dictionaries!$A:$A="Сон_часы"),FILTER(Dictionaries!$C:$C,Dictionaries!$A:$A="Сон_часы"))),IF($M298="","",XLOOKUP($M298,FILTER(Dictionaries!$B:$B,Dictionaries!$A:$A="Режим"),FILTER(Dictionaries!$C:$C,Dictionaries!$A:$A="Режим"))),IF($N298="","",MIN($N298/100,1)),IF($O298="","",XLOOKUP($O298,FILTER(Dictionaries!$B:$B,Dictionaries!$A:$A="Настроение"),FILTER(Dictionaries!$C:$C,Dictionaries!$A:$A="Настроение"))),IF($P298="","",XLOOKUP($P298,FILTER(Dictionaries!$B:$B,Dictionaries!$A:$A="Энергия"),FILTER(Dictionaries!$C:$C,Dictionaries!$A:$A="Энергия"))),IF($U298="","",AVERAGE(IF(OR($B298="Ноги",$B298="Верх"),IFS(AND($U298&gt;=1900,$U298&lt;=2050),1,AND($U298&gt;=1850,$U298&lt;1900),0.7,AND($U298&gt;2050,$U298&lt;=2100),0.7,TRUE,0.2),IFS(AND($U298&gt;=1700,$U298&lt;=1850),1,AND($U298&gt;=1650,$U298&lt;1700),0.7,AND($U298&gt;1850,$U298&lt;=1900),0.7,TRUE,0.2)),IF(OR($B298="Ноги",$B298="Верх"),IFS(AND($V298&gt;=125,$V298&lt;=135),1,AND($V298&gt;=115,$V298&lt;125),0.7,AND($V298&gt;135,$V298&lt;=145),0.7,AND($V298&gt;=105,$V298&lt;115),0.4,AND($V298&gt;145,$V298&lt;=155),0.4,TRUE,0.2),IFS(AND($V298&gt;=120,$V298&lt;=130),1,AND($V298&gt;=110,$V298&lt;120),0.7,AND($V298&gt;130,$V298&lt;=140),0.7,AND($V298&gt;=100,$V298&lt;110),0.4,AND($V298&gt;140,$V298&lt;=150),0.4,TRUE,0.2)),IFS(AND($W298&gt;=55,$W298&lt;=65),1,AND($W298&gt;=50,$W298&lt;55),0.7,AND($W298&gt;65,$W298&lt;=70),0.7,AND($W298&gt;=45,$W298&lt;50),0.4,AND($W298&gt;70,$W298&lt;=75),0.4,TRUE,0.2),IF(OR($B298="Ноги",$B298="Верх"),IFS(AND($X298&gt;=180,$X298&lt;=210),1,AND($X298&gt;=160,$X298&lt;180),0.7,AND($X298&gt;210,$X298&lt;=230),0.7,AND($X298&gt;=140,$X298&lt;160),0.4,AND($X298&gt;230,$X298&lt;=250),0.4,TRUE,0.2),IFS(AND($X298&gt;=140,$X298&lt;=170),1,AND($X298&gt;=120,$X298&lt;140),0.7,AND($X298&gt;170,$X298&lt;=190),0.7,AND($X298&gt;=100,$X298&lt;120),0.4,AND($X298&gt;190,$X298&lt;=210),0.4,TRUE,0.2))))),1),""))</f>
        <v/>
      </c>
      <c r="Z298">
        <f>IF($A298="","",TEXTJOIN(", ",TRUE,IF($B298="","Тренировка",""),IF($C298="","Кардио",""),IF($D298="","Шаги",""),IF($E298="","Английский",""),IF($F298="","Код-режим",""),IF($G298="","Код-тема",""),IF($H298="","Чтение",""),IF($L298="","Сон",""),IF($M298="","Режим",""),IF($N298="","Продуктивность",""),IF($O298="","Настроение",""),IF($P298="","Энергия",""),IF($U298="","Еда","")))</f>
        <v/>
      </c>
    </row>
    <row r="299">
      <c r="A299" t="inlineStr"/>
      <c r="U299">
        <f>IF($A299="","",IF(SUMIF(FoodLog!$A:$A,$A299,FoodLog!$I:$I)=0,"",SUMIF(FoodLog!$A:$A,$A299,FoodLog!$I:$I)))</f>
        <v/>
      </c>
      <c r="V299">
        <f>IF($A299="","",IF(SUMIF(FoodLog!$A:$A,$A299,FoodLog!$F:$F)=0,"",SUMIF(FoodLog!$A:$A,$A299,FoodLog!$F:$F)))</f>
        <v/>
      </c>
      <c r="W299">
        <f>IF($A299="","",IF(SUMIF(FoodLog!$A:$A,$A299,FoodLog!$G:$G)=0,"",SUMIF(FoodLog!$A:$A,$A299,FoodLog!$G:$G)))</f>
        <v/>
      </c>
      <c r="X299">
        <f>IF($A299="","",IF(SUMIF(FoodLog!$A:$A,$A299,FoodLog!$H:$H)=0,"",SUMIF(FoodLog!$A:$A,$A299,FoodLog!$H:$H)))</f>
        <v/>
      </c>
      <c r="Y299">
        <f>IF($A299="","",IFERROR(ROUND(100*AVERAGE(IF($B299="","",XLOOKUP($B299,FILTER(Dictionaries!$B:$B,Dictionaries!$A:$A="Тренировка"),FILTER(Dictionaries!$C:$C,Dictionaries!$A:$A="Тренировка"))),IF($C299="","",MIN($C299/40,1)),IF($D299="","",XLOOKUP($D299,FILTER(Dictionaries!$B:$B,Dictionaries!$A:$A="Шаги"),FILTER(Dictionaries!$C:$C,Dictionaries!$A:$A="Шаги"))),IF($E299="","",MIN($E299/120,1)),IF(OR($F299&lt;&gt;"",$G299&lt;&gt;""),1,""),IF($H299="","",MIN($H299/100,1)),IF($L299="","",XLOOKUP($L299,FILTER(Dictionaries!$B:$B,Dictionaries!$A:$A="Сон_часы"),FILTER(Dictionaries!$C:$C,Dictionaries!$A:$A="Сон_часы"))),IF($M299="","",XLOOKUP($M299,FILTER(Dictionaries!$B:$B,Dictionaries!$A:$A="Режим"),FILTER(Dictionaries!$C:$C,Dictionaries!$A:$A="Режим"))),IF($N299="","",MIN($N299/100,1)),IF($O299="","",XLOOKUP($O299,FILTER(Dictionaries!$B:$B,Dictionaries!$A:$A="Настроение"),FILTER(Dictionaries!$C:$C,Dictionaries!$A:$A="Настроение"))),IF($P299="","",XLOOKUP($P299,FILTER(Dictionaries!$B:$B,Dictionaries!$A:$A="Энергия"),FILTER(Dictionaries!$C:$C,Dictionaries!$A:$A="Энергия"))),IF($U299="","",AVERAGE(IF(OR($B299="Ноги",$B299="Верх"),IFS(AND($U299&gt;=1900,$U299&lt;=2050),1,AND($U299&gt;=1850,$U299&lt;1900),0.7,AND($U299&gt;2050,$U299&lt;=2100),0.7,TRUE,0.2),IFS(AND($U299&gt;=1700,$U299&lt;=1850),1,AND($U299&gt;=1650,$U299&lt;1700),0.7,AND($U299&gt;1850,$U299&lt;=1900),0.7,TRUE,0.2)),IF(OR($B299="Ноги",$B299="Верх"),IFS(AND($V299&gt;=125,$V299&lt;=135),1,AND($V299&gt;=115,$V299&lt;125),0.7,AND($V299&gt;135,$V299&lt;=145),0.7,AND($V299&gt;=105,$V299&lt;115),0.4,AND($V299&gt;145,$V299&lt;=155),0.4,TRUE,0.2),IFS(AND($V299&gt;=120,$V299&lt;=130),1,AND($V299&gt;=110,$V299&lt;120),0.7,AND($V299&gt;130,$V299&lt;=140),0.7,AND($V299&gt;=100,$V299&lt;110),0.4,AND($V299&gt;140,$V299&lt;=150),0.4,TRUE,0.2)),IFS(AND($W299&gt;=55,$W299&lt;=65),1,AND($W299&gt;=50,$W299&lt;55),0.7,AND($W299&gt;65,$W299&lt;=70),0.7,AND($W299&gt;=45,$W299&lt;50),0.4,AND($W299&gt;70,$W299&lt;=75),0.4,TRUE,0.2),IF(OR($B299="Ноги",$B299="Верх"),IFS(AND($X299&gt;=180,$X299&lt;=210),1,AND($X299&gt;=160,$X299&lt;180),0.7,AND($X299&gt;210,$X299&lt;=230),0.7,AND($X299&gt;=140,$X299&lt;160),0.4,AND($X299&gt;230,$X299&lt;=250),0.4,TRUE,0.2),IFS(AND($X299&gt;=140,$X299&lt;=170),1,AND($X299&gt;=120,$X299&lt;140),0.7,AND($X299&gt;170,$X299&lt;=190),0.7,AND($X299&gt;=100,$X299&lt;120),0.4,AND($X299&gt;190,$X299&lt;=210),0.4,TRUE,0.2))))),1),""))</f>
        <v/>
      </c>
      <c r="Z299">
        <f>IF($A299="","",TEXTJOIN(", ",TRUE,IF($B299="","Тренировка",""),IF($C299="","Кардио",""),IF($D299="","Шаги",""),IF($E299="","Английский",""),IF($F299="","Код-режим",""),IF($G299="","Код-тема",""),IF($H299="","Чтение",""),IF($L299="","Сон",""),IF($M299="","Режим",""),IF($N299="","Продуктивность",""),IF($O299="","Настроение",""),IF($P299="","Энергия",""),IF($U299="","Еда","")))</f>
        <v/>
      </c>
    </row>
    <row r="300">
      <c r="A300" t="inlineStr"/>
      <c r="U300">
        <f>IF($A300="","",IF(SUMIF(FoodLog!$A:$A,$A300,FoodLog!$I:$I)=0,"",SUMIF(FoodLog!$A:$A,$A300,FoodLog!$I:$I)))</f>
        <v/>
      </c>
      <c r="V300">
        <f>IF($A300="","",IF(SUMIF(FoodLog!$A:$A,$A300,FoodLog!$F:$F)=0,"",SUMIF(FoodLog!$A:$A,$A300,FoodLog!$F:$F)))</f>
        <v/>
      </c>
      <c r="W300">
        <f>IF($A300="","",IF(SUMIF(FoodLog!$A:$A,$A300,FoodLog!$G:$G)=0,"",SUMIF(FoodLog!$A:$A,$A300,FoodLog!$G:$G)))</f>
        <v/>
      </c>
      <c r="X300">
        <f>IF($A300="","",IF(SUMIF(FoodLog!$A:$A,$A300,FoodLog!$H:$H)=0,"",SUMIF(FoodLog!$A:$A,$A300,FoodLog!$H:$H)))</f>
        <v/>
      </c>
      <c r="Y300">
        <f>IF($A300="","",IFERROR(ROUND(100*AVERAGE(IF($B300="","",XLOOKUP($B300,FILTER(Dictionaries!$B:$B,Dictionaries!$A:$A="Тренировка"),FILTER(Dictionaries!$C:$C,Dictionaries!$A:$A="Тренировка"))),IF($C300="","",MIN($C300/40,1)),IF($D300="","",XLOOKUP($D300,FILTER(Dictionaries!$B:$B,Dictionaries!$A:$A="Шаги"),FILTER(Dictionaries!$C:$C,Dictionaries!$A:$A="Шаги"))),IF($E300="","",MIN($E300/120,1)),IF(OR($F300&lt;&gt;"",$G300&lt;&gt;""),1,""),IF($H300="","",MIN($H300/100,1)),IF($L300="","",XLOOKUP($L300,FILTER(Dictionaries!$B:$B,Dictionaries!$A:$A="Сон_часы"),FILTER(Dictionaries!$C:$C,Dictionaries!$A:$A="Сон_часы"))),IF($M300="","",XLOOKUP($M300,FILTER(Dictionaries!$B:$B,Dictionaries!$A:$A="Режим"),FILTER(Dictionaries!$C:$C,Dictionaries!$A:$A="Режим"))),IF($N300="","",MIN($N300/100,1)),IF($O300="","",XLOOKUP($O300,FILTER(Dictionaries!$B:$B,Dictionaries!$A:$A="Настроение"),FILTER(Dictionaries!$C:$C,Dictionaries!$A:$A="Настроение"))),IF($P300="","",XLOOKUP($P300,FILTER(Dictionaries!$B:$B,Dictionaries!$A:$A="Энергия"),FILTER(Dictionaries!$C:$C,Dictionaries!$A:$A="Энергия"))),IF($U300="","",AVERAGE(IF(OR($B300="Ноги",$B300="Верх"),IFS(AND($U300&gt;=1900,$U300&lt;=2050),1,AND($U300&gt;=1850,$U300&lt;1900),0.7,AND($U300&gt;2050,$U300&lt;=2100),0.7,TRUE,0.2),IFS(AND($U300&gt;=1700,$U300&lt;=1850),1,AND($U300&gt;=1650,$U300&lt;1700),0.7,AND($U300&gt;1850,$U300&lt;=1900),0.7,TRUE,0.2)),IF(OR($B300="Ноги",$B300="Верх"),IFS(AND($V300&gt;=125,$V300&lt;=135),1,AND($V300&gt;=115,$V300&lt;125),0.7,AND($V300&gt;135,$V300&lt;=145),0.7,AND($V300&gt;=105,$V300&lt;115),0.4,AND($V300&gt;145,$V300&lt;=155),0.4,TRUE,0.2),IFS(AND($V300&gt;=120,$V300&lt;=130),1,AND($V300&gt;=110,$V300&lt;120),0.7,AND($V300&gt;130,$V300&lt;=140),0.7,AND($V300&gt;=100,$V300&lt;110),0.4,AND($V300&gt;140,$V300&lt;=150),0.4,TRUE,0.2)),IFS(AND($W300&gt;=55,$W300&lt;=65),1,AND($W300&gt;=50,$W300&lt;55),0.7,AND($W300&gt;65,$W300&lt;=70),0.7,AND($W300&gt;=45,$W300&lt;50),0.4,AND($W300&gt;70,$W300&lt;=75),0.4,TRUE,0.2),IF(OR($B300="Ноги",$B300="Верх"),IFS(AND($X300&gt;=180,$X300&lt;=210),1,AND($X300&gt;=160,$X300&lt;180),0.7,AND($X300&gt;210,$X300&lt;=230),0.7,AND($X300&gt;=140,$X300&lt;160),0.4,AND($X300&gt;230,$X300&lt;=250),0.4,TRUE,0.2),IFS(AND($X300&gt;=140,$X300&lt;=170),1,AND($X300&gt;=120,$X300&lt;140),0.7,AND($X300&gt;170,$X300&lt;=190),0.7,AND($X300&gt;=100,$X300&lt;120),0.4,AND($X300&gt;190,$X300&lt;=210),0.4,TRUE,0.2))))),1),""))</f>
        <v/>
      </c>
      <c r="Z300">
        <f>IF($A300="","",TEXTJOIN(", ",TRUE,IF($B300="","Тренировка",""),IF($C300="","Кардио",""),IF($D300="","Шаги",""),IF($E300="","Английский",""),IF($F300="","Код-режим",""),IF($G300="","Код-тема",""),IF($H300="","Чтение",""),IF($L300="","Сон",""),IF($M300="","Режим",""),IF($N300="","Продуктивность",""),IF($O300="","Настроение",""),IF($P300="","Энергия",""),IF($U300="","Еда","")))</f>
        <v/>
      </c>
    </row>
    <row r="301">
      <c r="A301" t="inlineStr"/>
      <c r="U301">
        <f>IF($A301="","",IF(SUMIF(FoodLog!$A:$A,$A301,FoodLog!$I:$I)=0,"",SUMIF(FoodLog!$A:$A,$A301,FoodLog!$I:$I)))</f>
        <v/>
      </c>
      <c r="V301">
        <f>IF($A301="","",IF(SUMIF(FoodLog!$A:$A,$A301,FoodLog!$F:$F)=0,"",SUMIF(FoodLog!$A:$A,$A301,FoodLog!$F:$F)))</f>
        <v/>
      </c>
      <c r="W301">
        <f>IF($A301="","",IF(SUMIF(FoodLog!$A:$A,$A301,FoodLog!$G:$G)=0,"",SUMIF(FoodLog!$A:$A,$A301,FoodLog!$G:$G)))</f>
        <v/>
      </c>
      <c r="X301">
        <f>IF($A301="","",IF(SUMIF(FoodLog!$A:$A,$A301,FoodLog!$H:$H)=0,"",SUMIF(FoodLog!$A:$A,$A301,FoodLog!$H:$H)))</f>
        <v/>
      </c>
      <c r="Y301">
        <f>IF($A301="","",IFERROR(ROUND(100*AVERAGE(IF($B301="","",XLOOKUP($B301,FILTER(Dictionaries!$B:$B,Dictionaries!$A:$A="Тренировка"),FILTER(Dictionaries!$C:$C,Dictionaries!$A:$A="Тренировка"))),IF($C301="","",MIN($C301/40,1)),IF($D301="","",XLOOKUP($D301,FILTER(Dictionaries!$B:$B,Dictionaries!$A:$A="Шаги"),FILTER(Dictionaries!$C:$C,Dictionaries!$A:$A="Шаги"))),IF($E301="","",MIN($E301/120,1)),IF(OR($F301&lt;&gt;"",$G301&lt;&gt;""),1,""),IF($H301="","",MIN($H301/100,1)),IF($L301="","",XLOOKUP($L301,FILTER(Dictionaries!$B:$B,Dictionaries!$A:$A="Сон_часы"),FILTER(Dictionaries!$C:$C,Dictionaries!$A:$A="Сон_часы"))),IF($M301="","",XLOOKUP($M301,FILTER(Dictionaries!$B:$B,Dictionaries!$A:$A="Режим"),FILTER(Dictionaries!$C:$C,Dictionaries!$A:$A="Режим"))),IF($N301="","",MIN($N301/100,1)),IF($O301="","",XLOOKUP($O301,FILTER(Dictionaries!$B:$B,Dictionaries!$A:$A="Настроение"),FILTER(Dictionaries!$C:$C,Dictionaries!$A:$A="Настроение"))),IF($P301="","",XLOOKUP($P301,FILTER(Dictionaries!$B:$B,Dictionaries!$A:$A="Энергия"),FILTER(Dictionaries!$C:$C,Dictionaries!$A:$A="Энергия"))),IF($U301="","",AVERAGE(IF(OR($B301="Ноги",$B301="Верх"),IFS(AND($U301&gt;=1900,$U301&lt;=2050),1,AND($U301&gt;=1850,$U301&lt;1900),0.7,AND($U301&gt;2050,$U301&lt;=2100),0.7,TRUE,0.2),IFS(AND($U301&gt;=1700,$U301&lt;=1850),1,AND($U301&gt;=1650,$U301&lt;1700),0.7,AND($U301&gt;1850,$U301&lt;=1900),0.7,TRUE,0.2)),IF(OR($B301="Ноги",$B301="Верх"),IFS(AND($V301&gt;=125,$V301&lt;=135),1,AND($V301&gt;=115,$V301&lt;125),0.7,AND($V301&gt;135,$V301&lt;=145),0.7,AND($V301&gt;=105,$V301&lt;115),0.4,AND($V301&gt;145,$V301&lt;=155),0.4,TRUE,0.2),IFS(AND($V301&gt;=120,$V301&lt;=130),1,AND($V301&gt;=110,$V301&lt;120),0.7,AND($V301&gt;130,$V301&lt;=140),0.7,AND($V301&gt;=100,$V301&lt;110),0.4,AND($V301&gt;140,$V301&lt;=150),0.4,TRUE,0.2)),IFS(AND($W301&gt;=55,$W301&lt;=65),1,AND($W301&gt;=50,$W301&lt;55),0.7,AND($W301&gt;65,$W301&lt;=70),0.7,AND($W301&gt;=45,$W301&lt;50),0.4,AND($W301&gt;70,$W301&lt;=75),0.4,TRUE,0.2),IF(OR($B301="Ноги",$B301="Верх"),IFS(AND($X301&gt;=180,$X301&lt;=210),1,AND($X301&gt;=160,$X301&lt;180),0.7,AND($X301&gt;210,$X301&lt;=230),0.7,AND($X301&gt;=140,$X301&lt;160),0.4,AND($X301&gt;230,$X301&lt;=250),0.4,TRUE,0.2),IFS(AND($X301&gt;=140,$X301&lt;=170),1,AND($X301&gt;=120,$X301&lt;140),0.7,AND($X301&gt;170,$X301&lt;=190),0.7,AND($X301&gt;=100,$X301&lt;120),0.4,AND($X301&gt;190,$X301&lt;=210),0.4,TRUE,0.2))))),1),""))</f>
        <v/>
      </c>
      <c r="Z301">
        <f>IF($A301="","",TEXTJOIN(", ",TRUE,IF($B301="","Тренировка",""),IF($C301="","Кардио",""),IF($D301="","Шаги",""),IF($E301="","Английский",""),IF($F301="","Код-режим",""),IF($G301="","Код-тема",""),IF($H301="","Чтение",""),IF($L301="","Сон",""),IF($M301="","Режим",""),IF($N301="","Продуктивность",""),IF($O301="","Настроение",""),IF($P301="","Энергия",""),IF($U301="","Еда","")))</f>
        <v/>
      </c>
    </row>
    <row r="302">
      <c r="A302" t="inlineStr"/>
      <c r="U302">
        <f>IF($A302="","",IF(SUMIF(FoodLog!$A:$A,$A302,FoodLog!$I:$I)=0,"",SUMIF(FoodLog!$A:$A,$A302,FoodLog!$I:$I)))</f>
        <v/>
      </c>
      <c r="V302">
        <f>IF($A302="","",IF(SUMIF(FoodLog!$A:$A,$A302,FoodLog!$F:$F)=0,"",SUMIF(FoodLog!$A:$A,$A302,FoodLog!$F:$F)))</f>
        <v/>
      </c>
      <c r="W302">
        <f>IF($A302="","",IF(SUMIF(FoodLog!$A:$A,$A302,FoodLog!$G:$G)=0,"",SUMIF(FoodLog!$A:$A,$A302,FoodLog!$G:$G)))</f>
        <v/>
      </c>
      <c r="X302">
        <f>IF($A302="","",IF(SUMIF(FoodLog!$A:$A,$A302,FoodLog!$H:$H)=0,"",SUMIF(FoodLog!$A:$A,$A302,FoodLog!$H:$H)))</f>
        <v/>
      </c>
      <c r="Y302">
        <f>IF($A302="","",IFERROR(ROUND(100*AVERAGE(IF($B302="","",XLOOKUP($B302,FILTER(Dictionaries!$B:$B,Dictionaries!$A:$A="Тренировка"),FILTER(Dictionaries!$C:$C,Dictionaries!$A:$A="Тренировка"))),IF($C302="","",MIN($C302/40,1)),IF($D302="","",XLOOKUP($D302,FILTER(Dictionaries!$B:$B,Dictionaries!$A:$A="Шаги"),FILTER(Dictionaries!$C:$C,Dictionaries!$A:$A="Шаги"))),IF($E302="","",MIN($E302/120,1)),IF(OR($F302&lt;&gt;"",$G302&lt;&gt;""),1,""),IF($H302="","",MIN($H302/100,1)),IF($L302="","",XLOOKUP($L302,FILTER(Dictionaries!$B:$B,Dictionaries!$A:$A="Сон_часы"),FILTER(Dictionaries!$C:$C,Dictionaries!$A:$A="Сон_часы"))),IF($M302="","",XLOOKUP($M302,FILTER(Dictionaries!$B:$B,Dictionaries!$A:$A="Режим"),FILTER(Dictionaries!$C:$C,Dictionaries!$A:$A="Режим"))),IF($N302="","",MIN($N302/100,1)),IF($O302="","",XLOOKUP($O302,FILTER(Dictionaries!$B:$B,Dictionaries!$A:$A="Настроение"),FILTER(Dictionaries!$C:$C,Dictionaries!$A:$A="Настроение"))),IF($P302="","",XLOOKUP($P302,FILTER(Dictionaries!$B:$B,Dictionaries!$A:$A="Энергия"),FILTER(Dictionaries!$C:$C,Dictionaries!$A:$A="Энергия"))),IF($U302="","",AVERAGE(IF(OR($B302="Ноги",$B302="Верх"),IFS(AND($U302&gt;=1900,$U302&lt;=2050),1,AND($U302&gt;=1850,$U302&lt;1900),0.7,AND($U302&gt;2050,$U302&lt;=2100),0.7,TRUE,0.2),IFS(AND($U302&gt;=1700,$U302&lt;=1850),1,AND($U302&gt;=1650,$U302&lt;1700),0.7,AND($U302&gt;1850,$U302&lt;=1900),0.7,TRUE,0.2)),IF(OR($B302="Ноги",$B302="Верх"),IFS(AND($V302&gt;=125,$V302&lt;=135),1,AND($V302&gt;=115,$V302&lt;125),0.7,AND($V302&gt;135,$V302&lt;=145),0.7,AND($V302&gt;=105,$V302&lt;115),0.4,AND($V302&gt;145,$V302&lt;=155),0.4,TRUE,0.2),IFS(AND($V302&gt;=120,$V302&lt;=130),1,AND($V302&gt;=110,$V302&lt;120),0.7,AND($V302&gt;130,$V302&lt;=140),0.7,AND($V302&gt;=100,$V302&lt;110),0.4,AND($V302&gt;140,$V302&lt;=150),0.4,TRUE,0.2)),IFS(AND($W302&gt;=55,$W302&lt;=65),1,AND($W302&gt;=50,$W302&lt;55),0.7,AND($W302&gt;65,$W302&lt;=70),0.7,AND($W302&gt;=45,$W302&lt;50),0.4,AND($W302&gt;70,$W302&lt;=75),0.4,TRUE,0.2),IF(OR($B302="Ноги",$B302="Верх"),IFS(AND($X302&gt;=180,$X302&lt;=210),1,AND($X302&gt;=160,$X302&lt;180),0.7,AND($X302&gt;210,$X302&lt;=230),0.7,AND($X302&gt;=140,$X302&lt;160),0.4,AND($X302&gt;230,$X302&lt;=250),0.4,TRUE,0.2),IFS(AND($X302&gt;=140,$X302&lt;=170),1,AND($X302&gt;=120,$X302&lt;140),0.7,AND($X302&gt;170,$X302&lt;=190),0.7,AND($X302&gt;=100,$X302&lt;120),0.4,AND($X302&gt;190,$X302&lt;=210),0.4,TRUE,0.2))))),1),""))</f>
        <v/>
      </c>
      <c r="Z302">
        <f>IF($A302="","",TEXTJOIN(", ",TRUE,IF($B302="","Тренировка",""),IF($C302="","Кардио",""),IF($D302="","Шаги",""),IF($E302="","Английский",""),IF($F302="","Код-режим",""),IF($G302="","Код-тема",""),IF($H302="","Чтение",""),IF($L302="","Сон",""),IF($M302="","Режим",""),IF($N302="","Продуктивность",""),IF($O302="","Настроение",""),IF($P302="","Энергия",""),IF($U302="","Еда","")))</f>
        <v/>
      </c>
    </row>
    <row r="303">
      <c r="A303" t="inlineStr"/>
      <c r="U303">
        <f>IF($A303="","",IF(SUMIF(FoodLog!$A:$A,$A303,FoodLog!$I:$I)=0,"",SUMIF(FoodLog!$A:$A,$A303,FoodLog!$I:$I)))</f>
        <v/>
      </c>
      <c r="V303">
        <f>IF($A303="","",IF(SUMIF(FoodLog!$A:$A,$A303,FoodLog!$F:$F)=0,"",SUMIF(FoodLog!$A:$A,$A303,FoodLog!$F:$F)))</f>
        <v/>
      </c>
      <c r="W303">
        <f>IF($A303="","",IF(SUMIF(FoodLog!$A:$A,$A303,FoodLog!$G:$G)=0,"",SUMIF(FoodLog!$A:$A,$A303,FoodLog!$G:$G)))</f>
        <v/>
      </c>
      <c r="X303">
        <f>IF($A303="","",IF(SUMIF(FoodLog!$A:$A,$A303,FoodLog!$H:$H)=0,"",SUMIF(FoodLog!$A:$A,$A303,FoodLog!$H:$H)))</f>
        <v/>
      </c>
      <c r="Y303">
        <f>IF($A303="","",IFERROR(ROUND(100*AVERAGE(IF($B303="","",XLOOKUP($B303,FILTER(Dictionaries!$B:$B,Dictionaries!$A:$A="Тренировка"),FILTER(Dictionaries!$C:$C,Dictionaries!$A:$A="Тренировка"))),IF($C303="","",MIN($C303/40,1)),IF($D303="","",XLOOKUP($D303,FILTER(Dictionaries!$B:$B,Dictionaries!$A:$A="Шаги"),FILTER(Dictionaries!$C:$C,Dictionaries!$A:$A="Шаги"))),IF($E303="","",MIN($E303/120,1)),IF(OR($F303&lt;&gt;"",$G303&lt;&gt;""),1,""),IF($H303="","",MIN($H303/100,1)),IF($L303="","",XLOOKUP($L303,FILTER(Dictionaries!$B:$B,Dictionaries!$A:$A="Сон_часы"),FILTER(Dictionaries!$C:$C,Dictionaries!$A:$A="Сон_часы"))),IF($M303="","",XLOOKUP($M303,FILTER(Dictionaries!$B:$B,Dictionaries!$A:$A="Режим"),FILTER(Dictionaries!$C:$C,Dictionaries!$A:$A="Режим"))),IF($N303="","",MIN($N303/100,1)),IF($O303="","",XLOOKUP($O303,FILTER(Dictionaries!$B:$B,Dictionaries!$A:$A="Настроение"),FILTER(Dictionaries!$C:$C,Dictionaries!$A:$A="Настроение"))),IF($P303="","",XLOOKUP($P303,FILTER(Dictionaries!$B:$B,Dictionaries!$A:$A="Энергия"),FILTER(Dictionaries!$C:$C,Dictionaries!$A:$A="Энергия"))),IF($U303="","",AVERAGE(IF(OR($B303="Ноги",$B303="Верх"),IFS(AND($U303&gt;=1900,$U303&lt;=2050),1,AND($U303&gt;=1850,$U303&lt;1900),0.7,AND($U303&gt;2050,$U303&lt;=2100),0.7,TRUE,0.2),IFS(AND($U303&gt;=1700,$U303&lt;=1850),1,AND($U303&gt;=1650,$U303&lt;1700),0.7,AND($U303&gt;1850,$U303&lt;=1900),0.7,TRUE,0.2)),IF(OR($B303="Ноги",$B303="Верх"),IFS(AND($V303&gt;=125,$V303&lt;=135),1,AND($V303&gt;=115,$V303&lt;125),0.7,AND($V303&gt;135,$V303&lt;=145),0.7,AND($V303&gt;=105,$V303&lt;115),0.4,AND($V303&gt;145,$V303&lt;=155),0.4,TRUE,0.2),IFS(AND($V303&gt;=120,$V303&lt;=130),1,AND($V303&gt;=110,$V303&lt;120),0.7,AND($V303&gt;130,$V303&lt;=140),0.7,AND($V303&gt;=100,$V303&lt;110),0.4,AND($V303&gt;140,$V303&lt;=150),0.4,TRUE,0.2)),IFS(AND($W303&gt;=55,$W303&lt;=65),1,AND($W303&gt;=50,$W303&lt;55),0.7,AND($W303&gt;65,$W303&lt;=70),0.7,AND($W303&gt;=45,$W303&lt;50),0.4,AND($W303&gt;70,$W303&lt;=75),0.4,TRUE,0.2),IF(OR($B303="Ноги",$B303="Верх"),IFS(AND($X303&gt;=180,$X303&lt;=210),1,AND($X303&gt;=160,$X303&lt;180),0.7,AND($X303&gt;210,$X303&lt;=230),0.7,AND($X303&gt;=140,$X303&lt;160),0.4,AND($X303&gt;230,$X303&lt;=250),0.4,TRUE,0.2),IFS(AND($X303&gt;=140,$X303&lt;=170),1,AND($X303&gt;=120,$X303&lt;140),0.7,AND($X303&gt;170,$X303&lt;=190),0.7,AND($X303&gt;=100,$X303&lt;120),0.4,AND($X303&gt;190,$X303&lt;=210),0.4,TRUE,0.2))))),1),""))</f>
        <v/>
      </c>
      <c r="Z303">
        <f>IF($A303="","",TEXTJOIN(", ",TRUE,IF($B303="","Тренировка",""),IF($C303="","Кардио",""),IF($D303="","Шаги",""),IF($E303="","Английский",""),IF($F303="","Код-режим",""),IF($G303="","Код-тема",""),IF($H303="","Чтение",""),IF($L303="","Сон",""),IF($M303="","Режим",""),IF($N303="","Продуктивность",""),IF($O303="","Настроение",""),IF($P303="","Энергия",""),IF($U303="","Еда","")))</f>
        <v/>
      </c>
    </row>
    <row r="304">
      <c r="A304" t="inlineStr"/>
      <c r="U304">
        <f>IF($A304="","",IF(SUMIF(FoodLog!$A:$A,$A304,FoodLog!$I:$I)=0,"",SUMIF(FoodLog!$A:$A,$A304,FoodLog!$I:$I)))</f>
        <v/>
      </c>
      <c r="V304">
        <f>IF($A304="","",IF(SUMIF(FoodLog!$A:$A,$A304,FoodLog!$F:$F)=0,"",SUMIF(FoodLog!$A:$A,$A304,FoodLog!$F:$F)))</f>
        <v/>
      </c>
      <c r="W304">
        <f>IF($A304="","",IF(SUMIF(FoodLog!$A:$A,$A304,FoodLog!$G:$G)=0,"",SUMIF(FoodLog!$A:$A,$A304,FoodLog!$G:$G)))</f>
        <v/>
      </c>
      <c r="X304">
        <f>IF($A304="","",IF(SUMIF(FoodLog!$A:$A,$A304,FoodLog!$H:$H)=0,"",SUMIF(FoodLog!$A:$A,$A304,FoodLog!$H:$H)))</f>
        <v/>
      </c>
      <c r="Y304">
        <f>IF($A304="","",IFERROR(ROUND(100*AVERAGE(IF($B304="","",XLOOKUP($B304,FILTER(Dictionaries!$B:$B,Dictionaries!$A:$A="Тренировка"),FILTER(Dictionaries!$C:$C,Dictionaries!$A:$A="Тренировка"))),IF($C304="","",MIN($C304/40,1)),IF($D304="","",XLOOKUP($D304,FILTER(Dictionaries!$B:$B,Dictionaries!$A:$A="Шаги"),FILTER(Dictionaries!$C:$C,Dictionaries!$A:$A="Шаги"))),IF($E304="","",MIN($E304/120,1)),IF(OR($F304&lt;&gt;"",$G304&lt;&gt;""),1,""),IF($H304="","",MIN($H304/100,1)),IF($L304="","",XLOOKUP($L304,FILTER(Dictionaries!$B:$B,Dictionaries!$A:$A="Сон_часы"),FILTER(Dictionaries!$C:$C,Dictionaries!$A:$A="Сон_часы"))),IF($M304="","",XLOOKUP($M304,FILTER(Dictionaries!$B:$B,Dictionaries!$A:$A="Режим"),FILTER(Dictionaries!$C:$C,Dictionaries!$A:$A="Режим"))),IF($N304="","",MIN($N304/100,1)),IF($O304="","",XLOOKUP($O304,FILTER(Dictionaries!$B:$B,Dictionaries!$A:$A="Настроение"),FILTER(Dictionaries!$C:$C,Dictionaries!$A:$A="Настроение"))),IF($P304="","",XLOOKUP($P304,FILTER(Dictionaries!$B:$B,Dictionaries!$A:$A="Энергия"),FILTER(Dictionaries!$C:$C,Dictionaries!$A:$A="Энергия"))),IF($U304="","",AVERAGE(IF(OR($B304="Ноги",$B304="Верх"),IFS(AND($U304&gt;=1900,$U304&lt;=2050),1,AND($U304&gt;=1850,$U304&lt;1900),0.7,AND($U304&gt;2050,$U304&lt;=2100),0.7,TRUE,0.2),IFS(AND($U304&gt;=1700,$U304&lt;=1850),1,AND($U304&gt;=1650,$U304&lt;1700),0.7,AND($U304&gt;1850,$U304&lt;=1900),0.7,TRUE,0.2)),IF(OR($B304="Ноги",$B304="Верх"),IFS(AND($V304&gt;=125,$V304&lt;=135),1,AND($V304&gt;=115,$V304&lt;125),0.7,AND($V304&gt;135,$V304&lt;=145),0.7,AND($V304&gt;=105,$V304&lt;115),0.4,AND($V304&gt;145,$V304&lt;=155),0.4,TRUE,0.2),IFS(AND($V304&gt;=120,$V304&lt;=130),1,AND($V304&gt;=110,$V304&lt;120),0.7,AND($V304&gt;130,$V304&lt;=140),0.7,AND($V304&gt;=100,$V304&lt;110),0.4,AND($V304&gt;140,$V304&lt;=150),0.4,TRUE,0.2)),IFS(AND($W304&gt;=55,$W304&lt;=65),1,AND($W304&gt;=50,$W304&lt;55),0.7,AND($W304&gt;65,$W304&lt;=70),0.7,AND($W304&gt;=45,$W304&lt;50),0.4,AND($W304&gt;70,$W304&lt;=75),0.4,TRUE,0.2),IF(OR($B304="Ноги",$B304="Верх"),IFS(AND($X304&gt;=180,$X304&lt;=210),1,AND($X304&gt;=160,$X304&lt;180),0.7,AND($X304&gt;210,$X304&lt;=230),0.7,AND($X304&gt;=140,$X304&lt;160),0.4,AND($X304&gt;230,$X304&lt;=250),0.4,TRUE,0.2),IFS(AND($X304&gt;=140,$X304&lt;=170),1,AND($X304&gt;=120,$X304&lt;140),0.7,AND($X304&gt;170,$X304&lt;=190),0.7,AND($X304&gt;=100,$X304&lt;120),0.4,AND($X304&gt;190,$X304&lt;=210),0.4,TRUE,0.2))))),1),""))</f>
        <v/>
      </c>
      <c r="Z304">
        <f>IF($A304="","",TEXTJOIN(", ",TRUE,IF($B304="","Тренировка",""),IF($C304="","Кардио",""),IF($D304="","Шаги",""),IF($E304="","Английский",""),IF($F304="","Код-режим",""),IF($G304="","Код-тема",""),IF($H304="","Чтение",""),IF($L304="","Сон",""),IF($M304="","Режим",""),IF($N304="","Продуктивность",""),IF($O304="","Настроение",""),IF($P304="","Энергия",""),IF($U304="","Еда","")))</f>
        <v/>
      </c>
    </row>
    <row r="305">
      <c r="A305" t="inlineStr"/>
      <c r="U305">
        <f>IF($A305="","",IF(SUMIF(FoodLog!$A:$A,$A305,FoodLog!$I:$I)=0,"",SUMIF(FoodLog!$A:$A,$A305,FoodLog!$I:$I)))</f>
        <v/>
      </c>
      <c r="V305">
        <f>IF($A305="","",IF(SUMIF(FoodLog!$A:$A,$A305,FoodLog!$F:$F)=0,"",SUMIF(FoodLog!$A:$A,$A305,FoodLog!$F:$F)))</f>
        <v/>
      </c>
      <c r="W305">
        <f>IF($A305="","",IF(SUMIF(FoodLog!$A:$A,$A305,FoodLog!$G:$G)=0,"",SUMIF(FoodLog!$A:$A,$A305,FoodLog!$G:$G)))</f>
        <v/>
      </c>
      <c r="X305">
        <f>IF($A305="","",IF(SUMIF(FoodLog!$A:$A,$A305,FoodLog!$H:$H)=0,"",SUMIF(FoodLog!$A:$A,$A305,FoodLog!$H:$H)))</f>
        <v/>
      </c>
      <c r="Y305">
        <f>IF($A305="","",IFERROR(ROUND(100*AVERAGE(IF($B305="","",XLOOKUP($B305,FILTER(Dictionaries!$B:$B,Dictionaries!$A:$A="Тренировка"),FILTER(Dictionaries!$C:$C,Dictionaries!$A:$A="Тренировка"))),IF($C305="","",MIN($C305/40,1)),IF($D305="","",XLOOKUP($D305,FILTER(Dictionaries!$B:$B,Dictionaries!$A:$A="Шаги"),FILTER(Dictionaries!$C:$C,Dictionaries!$A:$A="Шаги"))),IF($E305="","",MIN($E305/120,1)),IF(OR($F305&lt;&gt;"",$G305&lt;&gt;""),1,""),IF($H305="","",MIN($H305/100,1)),IF($L305="","",XLOOKUP($L305,FILTER(Dictionaries!$B:$B,Dictionaries!$A:$A="Сон_часы"),FILTER(Dictionaries!$C:$C,Dictionaries!$A:$A="Сон_часы"))),IF($M305="","",XLOOKUP($M305,FILTER(Dictionaries!$B:$B,Dictionaries!$A:$A="Режим"),FILTER(Dictionaries!$C:$C,Dictionaries!$A:$A="Режим"))),IF($N305="","",MIN($N305/100,1)),IF($O305="","",XLOOKUP($O305,FILTER(Dictionaries!$B:$B,Dictionaries!$A:$A="Настроение"),FILTER(Dictionaries!$C:$C,Dictionaries!$A:$A="Настроение"))),IF($P305="","",XLOOKUP($P305,FILTER(Dictionaries!$B:$B,Dictionaries!$A:$A="Энергия"),FILTER(Dictionaries!$C:$C,Dictionaries!$A:$A="Энергия"))),IF($U305="","",AVERAGE(IF(OR($B305="Ноги",$B305="Верх"),IFS(AND($U305&gt;=1900,$U305&lt;=2050),1,AND($U305&gt;=1850,$U305&lt;1900),0.7,AND($U305&gt;2050,$U305&lt;=2100),0.7,TRUE,0.2),IFS(AND($U305&gt;=1700,$U305&lt;=1850),1,AND($U305&gt;=1650,$U305&lt;1700),0.7,AND($U305&gt;1850,$U305&lt;=1900),0.7,TRUE,0.2)),IF(OR($B305="Ноги",$B305="Верх"),IFS(AND($V305&gt;=125,$V305&lt;=135),1,AND($V305&gt;=115,$V305&lt;125),0.7,AND($V305&gt;135,$V305&lt;=145),0.7,AND($V305&gt;=105,$V305&lt;115),0.4,AND($V305&gt;145,$V305&lt;=155),0.4,TRUE,0.2),IFS(AND($V305&gt;=120,$V305&lt;=130),1,AND($V305&gt;=110,$V305&lt;120),0.7,AND($V305&gt;130,$V305&lt;=140),0.7,AND($V305&gt;=100,$V305&lt;110),0.4,AND($V305&gt;140,$V305&lt;=150),0.4,TRUE,0.2)),IFS(AND($W305&gt;=55,$W305&lt;=65),1,AND($W305&gt;=50,$W305&lt;55),0.7,AND($W305&gt;65,$W305&lt;=70),0.7,AND($W305&gt;=45,$W305&lt;50),0.4,AND($W305&gt;70,$W305&lt;=75),0.4,TRUE,0.2),IF(OR($B305="Ноги",$B305="Верх"),IFS(AND($X305&gt;=180,$X305&lt;=210),1,AND($X305&gt;=160,$X305&lt;180),0.7,AND($X305&gt;210,$X305&lt;=230),0.7,AND($X305&gt;=140,$X305&lt;160),0.4,AND($X305&gt;230,$X305&lt;=250),0.4,TRUE,0.2),IFS(AND($X305&gt;=140,$X305&lt;=170),1,AND($X305&gt;=120,$X305&lt;140),0.7,AND($X305&gt;170,$X305&lt;=190),0.7,AND($X305&gt;=100,$X305&lt;120),0.4,AND($X305&gt;190,$X305&lt;=210),0.4,TRUE,0.2))))),1),""))</f>
        <v/>
      </c>
      <c r="Z305">
        <f>IF($A305="","",TEXTJOIN(", ",TRUE,IF($B305="","Тренировка",""),IF($C305="","Кардио",""),IF($D305="","Шаги",""),IF($E305="","Английский",""),IF($F305="","Код-режим",""),IF($G305="","Код-тема",""),IF($H305="","Чтение",""),IF($L305="","Сон",""),IF($M305="","Режим",""),IF($N305="","Продуктивность",""),IF($O305="","Настроение",""),IF($P305="","Энергия",""),IF($U305="","Еда","")))</f>
        <v/>
      </c>
    </row>
    <row r="306">
      <c r="A306" t="inlineStr"/>
      <c r="U306">
        <f>IF($A306="","",IF(SUMIF(FoodLog!$A:$A,$A306,FoodLog!$I:$I)=0,"",SUMIF(FoodLog!$A:$A,$A306,FoodLog!$I:$I)))</f>
        <v/>
      </c>
      <c r="V306">
        <f>IF($A306="","",IF(SUMIF(FoodLog!$A:$A,$A306,FoodLog!$F:$F)=0,"",SUMIF(FoodLog!$A:$A,$A306,FoodLog!$F:$F)))</f>
        <v/>
      </c>
      <c r="W306">
        <f>IF($A306="","",IF(SUMIF(FoodLog!$A:$A,$A306,FoodLog!$G:$G)=0,"",SUMIF(FoodLog!$A:$A,$A306,FoodLog!$G:$G)))</f>
        <v/>
      </c>
      <c r="X306">
        <f>IF($A306="","",IF(SUMIF(FoodLog!$A:$A,$A306,FoodLog!$H:$H)=0,"",SUMIF(FoodLog!$A:$A,$A306,FoodLog!$H:$H)))</f>
        <v/>
      </c>
      <c r="Y306">
        <f>IF($A306="","",IFERROR(ROUND(100*AVERAGE(IF($B306="","",XLOOKUP($B306,FILTER(Dictionaries!$B:$B,Dictionaries!$A:$A="Тренировка"),FILTER(Dictionaries!$C:$C,Dictionaries!$A:$A="Тренировка"))),IF($C306="","",MIN($C306/40,1)),IF($D306="","",XLOOKUP($D306,FILTER(Dictionaries!$B:$B,Dictionaries!$A:$A="Шаги"),FILTER(Dictionaries!$C:$C,Dictionaries!$A:$A="Шаги"))),IF($E306="","",MIN($E306/120,1)),IF(OR($F306&lt;&gt;"",$G306&lt;&gt;""),1,""),IF($H306="","",MIN($H306/100,1)),IF($L306="","",XLOOKUP($L306,FILTER(Dictionaries!$B:$B,Dictionaries!$A:$A="Сон_часы"),FILTER(Dictionaries!$C:$C,Dictionaries!$A:$A="Сон_часы"))),IF($M306="","",XLOOKUP($M306,FILTER(Dictionaries!$B:$B,Dictionaries!$A:$A="Режим"),FILTER(Dictionaries!$C:$C,Dictionaries!$A:$A="Режим"))),IF($N306="","",MIN($N306/100,1)),IF($O306="","",XLOOKUP($O306,FILTER(Dictionaries!$B:$B,Dictionaries!$A:$A="Настроение"),FILTER(Dictionaries!$C:$C,Dictionaries!$A:$A="Настроение"))),IF($P306="","",XLOOKUP($P306,FILTER(Dictionaries!$B:$B,Dictionaries!$A:$A="Энергия"),FILTER(Dictionaries!$C:$C,Dictionaries!$A:$A="Энергия"))),IF($U306="","",AVERAGE(IF(OR($B306="Ноги",$B306="Верх"),IFS(AND($U306&gt;=1900,$U306&lt;=2050),1,AND($U306&gt;=1850,$U306&lt;1900),0.7,AND($U306&gt;2050,$U306&lt;=2100),0.7,TRUE,0.2),IFS(AND($U306&gt;=1700,$U306&lt;=1850),1,AND($U306&gt;=1650,$U306&lt;1700),0.7,AND($U306&gt;1850,$U306&lt;=1900),0.7,TRUE,0.2)),IF(OR($B306="Ноги",$B306="Верх"),IFS(AND($V306&gt;=125,$V306&lt;=135),1,AND($V306&gt;=115,$V306&lt;125),0.7,AND($V306&gt;135,$V306&lt;=145),0.7,AND($V306&gt;=105,$V306&lt;115),0.4,AND($V306&gt;145,$V306&lt;=155),0.4,TRUE,0.2),IFS(AND($V306&gt;=120,$V306&lt;=130),1,AND($V306&gt;=110,$V306&lt;120),0.7,AND($V306&gt;130,$V306&lt;=140),0.7,AND($V306&gt;=100,$V306&lt;110),0.4,AND($V306&gt;140,$V306&lt;=150),0.4,TRUE,0.2)),IFS(AND($W306&gt;=55,$W306&lt;=65),1,AND($W306&gt;=50,$W306&lt;55),0.7,AND($W306&gt;65,$W306&lt;=70),0.7,AND($W306&gt;=45,$W306&lt;50),0.4,AND($W306&gt;70,$W306&lt;=75),0.4,TRUE,0.2),IF(OR($B306="Ноги",$B306="Верх"),IFS(AND($X306&gt;=180,$X306&lt;=210),1,AND($X306&gt;=160,$X306&lt;180),0.7,AND($X306&gt;210,$X306&lt;=230),0.7,AND($X306&gt;=140,$X306&lt;160),0.4,AND($X306&gt;230,$X306&lt;=250),0.4,TRUE,0.2),IFS(AND($X306&gt;=140,$X306&lt;=170),1,AND($X306&gt;=120,$X306&lt;140),0.7,AND($X306&gt;170,$X306&lt;=190),0.7,AND($X306&gt;=100,$X306&lt;120),0.4,AND($X306&gt;190,$X306&lt;=210),0.4,TRUE,0.2))))),1),""))</f>
        <v/>
      </c>
      <c r="Z306">
        <f>IF($A306="","",TEXTJOIN(", ",TRUE,IF($B306="","Тренировка",""),IF($C306="","Кардио",""),IF($D306="","Шаги",""),IF($E306="","Английский",""),IF($F306="","Код-режим",""),IF($G306="","Код-тема",""),IF($H306="","Чтение",""),IF($L306="","Сон",""),IF($M306="","Режим",""),IF($N306="","Продуктивность",""),IF($O306="","Настроение",""),IF($P306="","Энергия",""),IF($U306="","Еда","")))</f>
        <v/>
      </c>
    </row>
    <row r="307">
      <c r="A307" t="inlineStr"/>
      <c r="U307">
        <f>IF($A307="","",IF(SUMIF(FoodLog!$A:$A,$A307,FoodLog!$I:$I)=0,"",SUMIF(FoodLog!$A:$A,$A307,FoodLog!$I:$I)))</f>
        <v/>
      </c>
      <c r="V307">
        <f>IF($A307="","",IF(SUMIF(FoodLog!$A:$A,$A307,FoodLog!$F:$F)=0,"",SUMIF(FoodLog!$A:$A,$A307,FoodLog!$F:$F)))</f>
        <v/>
      </c>
      <c r="W307">
        <f>IF($A307="","",IF(SUMIF(FoodLog!$A:$A,$A307,FoodLog!$G:$G)=0,"",SUMIF(FoodLog!$A:$A,$A307,FoodLog!$G:$G)))</f>
        <v/>
      </c>
      <c r="X307">
        <f>IF($A307="","",IF(SUMIF(FoodLog!$A:$A,$A307,FoodLog!$H:$H)=0,"",SUMIF(FoodLog!$A:$A,$A307,FoodLog!$H:$H)))</f>
        <v/>
      </c>
      <c r="Y307">
        <f>IF($A307="","",IFERROR(ROUND(100*AVERAGE(IF($B307="","",XLOOKUP($B307,FILTER(Dictionaries!$B:$B,Dictionaries!$A:$A="Тренировка"),FILTER(Dictionaries!$C:$C,Dictionaries!$A:$A="Тренировка"))),IF($C307="","",MIN($C307/40,1)),IF($D307="","",XLOOKUP($D307,FILTER(Dictionaries!$B:$B,Dictionaries!$A:$A="Шаги"),FILTER(Dictionaries!$C:$C,Dictionaries!$A:$A="Шаги"))),IF($E307="","",MIN($E307/120,1)),IF(OR($F307&lt;&gt;"",$G307&lt;&gt;""),1,""),IF($H307="","",MIN($H307/100,1)),IF($L307="","",XLOOKUP($L307,FILTER(Dictionaries!$B:$B,Dictionaries!$A:$A="Сон_часы"),FILTER(Dictionaries!$C:$C,Dictionaries!$A:$A="Сон_часы"))),IF($M307="","",XLOOKUP($M307,FILTER(Dictionaries!$B:$B,Dictionaries!$A:$A="Режим"),FILTER(Dictionaries!$C:$C,Dictionaries!$A:$A="Режим"))),IF($N307="","",MIN($N307/100,1)),IF($O307="","",XLOOKUP($O307,FILTER(Dictionaries!$B:$B,Dictionaries!$A:$A="Настроение"),FILTER(Dictionaries!$C:$C,Dictionaries!$A:$A="Настроение"))),IF($P307="","",XLOOKUP($P307,FILTER(Dictionaries!$B:$B,Dictionaries!$A:$A="Энергия"),FILTER(Dictionaries!$C:$C,Dictionaries!$A:$A="Энергия"))),IF($U307="","",AVERAGE(IF(OR($B307="Ноги",$B307="Верх"),IFS(AND($U307&gt;=1900,$U307&lt;=2050),1,AND($U307&gt;=1850,$U307&lt;1900),0.7,AND($U307&gt;2050,$U307&lt;=2100),0.7,TRUE,0.2),IFS(AND($U307&gt;=1700,$U307&lt;=1850),1,AND($U307&gt;=1650,$U307&lt;1700),0.7,AND($U307&gt;1850,$U307&lt;=1900),0.7,TRUE,0.2)),IF(OR($B307="Ноги",$B307="Верх"),IFS(AND($V307&gt;=125,$V307&lt;=135),1,AND($V307&gt;=115,$V307&lt;125),0.7,AND($V307&gt;135,$V307&lt;=145),0.7,AND($V307&gt;=105,$V307&lt;115),0.4,AND($V307&gt;145,$V307&lt;=155),0.4,TRUE,0.2),IFS(AND($V307&gt;=120,$V307&lt;=130),1,AND($V307&gt;=110,$V307&lt;120),0.7,AND($V307&gt;130,$V307&lt;=140),0.7,AND($V307&gt;=100,$V307&lt;110),0.4,AND($V307&gt;140,$V307&lt;=150),0.4,TRUE,0.2)),IFS(AND($W307&gt;=55,$W307&lt;=65),1,AND($W307&gt;=50,$W307&lt;55),0.7,AND($W307&gt;65,$W307&lt;=70),0.7,AND($W307&gt;=45,$W307&lt;50),0.4,AND($W307&gt;70,$W307&lt;=75),0.4,TRUE,0.2),IF(OR($B307="Ноги",$B307="Верх"),IFS(AND($X307&gt;=180,$X307&lt;=210),1,AND($X307&gt;=160,$X307&lt;180),0.7,AND($X307&gt;210,$X307&lt;=230),0.7,AND($X307&gt;=140,$X307&lt;160),0.4,AND($X307&gt;230,$X307&lt;=250),0.4,TRUE,0.2),IFS(AND($X307&gt;=140,$X307&lt;=170),1,AND($X307&gt;=120,$X307&lt;140),0.7,AND($X307&gt;170,$X307&lt;=190),0.7,AND($X307&gt;=100,$X307&lt;120),0.4,AND($X307&gt;190,$X307&lt;=210),0.4,TRUE,0.2))))),1),""))</f>
        <v/>
      </c>
      <c r="Z307">
        <f>IF($A307="","",TEXTJOIN(", ",TRUE,IF($B307="","Тренировка",""),IF($C307="","Кардио",""),IF($D307="","Шаги",""),IF($E307="","Английский",""),IF($F307="","Код-режим",""),IF($G307="","Код-тема",""),IF($H307="","Чтение",""),IF($L307="","Сон",""),IF($M307="","Режим",""),IF($N307="","Продуктивность",""),IF($O307="","Настроение",""),IF($P307="","Энергия",""),IF($U307="","Еда","")))</f>
        <v/>
      </c>
    </row>
    <row r="308">
      <c r="A308" t="inlineStr"/>
      <c r="U308">
        <f>IF($A308="","",IF(SUMIF(FoodLog!$A:$A,$A308,FoodLog!$I:$I)=0,"",SUMIF(FoodLog!$A:$A,$A308,FoodLog!$I:$I)))</f>
        <v/>
      </c>
      <c r="V308">
        <f>IF($A308="","",IF(SUMIF(FoodLog!$A:$A,$A308,FoodLog!$F:$F)=0,"",SUMIF(FoodLog!$A:$A,$A308,FoodLog!$F:$F)))</f>
        <v/>
      </c>
      <c r="W308">
        <f>IF($A308="","",IF(SUMIF(FoodLog!$A:$A,$A308,FoodLog!$G:$G)=0,"",SUMIF(FoodLog!$A:$A,$A308,FoodLog!$G:$G)))</f>
        <v/>
      </c>
      <c r="X308">
        <f>IF($A308="","",IF(SUMIF(FoodLog!$A:$A,$A308,FoodLog!$H:$H)=0,"",SUMIF(FoodLog!$A:$A,$A308,FoodLog!$H:$H)))</f>
        <v/>
      </c>
      <c r="Y308">
        <f>IF($A308="","",IFERROR(ROUND(100*AVERAGE(IF($B308="","",XLOOKUP($B308,FILTER(Dictionaries!$B:$B,Dictionaries!$A:$A="Тренировка"),FILTER(Dictionaries!$C:$C,Dictionaries!$A:$A="Тренировка"))),IF($C308="","",MIN($C308/40,1)),IF($D308="","",XLOOKUP($D308,FILTER(Dictionaries!$B:$B,Dictionaries!$A:$A="Шаги"),FILTER(Dictionaries!$C:$C,Dictionaries!$A:$A="Шаги"))),IF($E308="","",MIN($E308/120,1)),IF(OR($F308&lt;&gt;"",$G308&lt;&gt;""),1,""),IF($H308="","",MIN($H308/100,1)),IF($L308="","",XLOOKUP($L308,FILTER(Dictionaries!$B:$B,Dictionaries!$A:$A="Сон_часы"),FILTER(Dictionaries!$C:$C,Dictionaries!$A:$A="Сон_часы"))),IF($M308="","",XLOOKUP($M308,FILTER(Dictionaries!$B:$B,Dictionaries!$A:$A="Режим"),FILTER(Dictionaries!$C:$C,Dictionaries!$A:$A="Режим"))),IF($N308="","",MIN($N308/100,1)),IF($O308="","",XLOOKUP($O308,FILTER(Dictionaries!$B:$B,Dictionaries!$A:$A="Настроение"),FILTER(Dictionaries!$C:$C,Dictionaries!$A:$A="Настроение"))),IF($P308="","",XLOOKUP($P308,FILTER(Dictionaries!$B:$B,Dictionaries!$A:$A="Энергия"),FILTER(Dictionaries!$C:$C,Dictionaries!$A:$A="Энергия"))),IF($U308="","",AVERAGE(IF(OR($B308="Ноги",$B308="Верх"),IFS(AND($U308&gt;=1900,$U308&lt;=2050),1,AND($U308&gt;=1850,$U308&lt;1900),0.7,AND($U308&gt;2050,$U308&lt;=2100),0.7,TRUE,0.2),IFS(AND($U308&gt;=1700,$U308&lt;=1850),1,AND($U308&gt;=1650,$U308&lt;1700),0.7,AND($U308&gt;1850,$U308&lt;=1900),0.7,TRUE,0.2)),IF(OR($B308="Ноги",$B308="Верх"),IFS(AND($V308&gt;=125,$V308&lt;=135),1,AND($V308&gt;=115,$V308&lt;125),0.7,AND($V308&gt;135,$V308&lt;=145),0.7,AND($V308&gt;=105,$V308&lt;115),0.4,AND($V308&gt;145,$V308&lt;=155),0.4,TRUE,0.2),IFS(AND($V308&gt;=120,$V308&lt;=130),1,AND($V308&gt;=110,$V308&lt;120),0.7,AND($V308&gt;130,$V308&lt;=140),0.7,AND($V308&gt;=100,$V308&lt;110),0.4,AND($V308&gt;140,$V308&lt;=150),0.4,TRUE,0.2)),IFS(AND($W308&gt;=55,$W308&lt;=65),1,AND($W308&gt;=50,$W308&lt;55),0.7,AND($W308&gt;65,$W308&lt;=70),0.7,AND($W308&gt;=45,$W308&lt;50),0.4,AND($W308&gt;70,$W308&lt;=75),0.4,TRUE,0.2),IF(OR($B308="Ноги",$B308="Верх"),IFS(AND($X308&gt;=180,$X308&lt;=210),1,AND($X308&gt;=160,$X308&lt;180),0.7,AND($X308&gt;210,$X308&lt;=230),0.7,AND($X308&gt;=140,$X308&lt;160),0.4,AND($X308&gt;230,$X308&lt;=250),0.4,TRUE,0.2),IFS(AND($X308&gt;=140,$X308&lt;=170),1,AND($X308&gt;=120,$X308&lt;140),0.7,AND($X308&gt;170,$X308&lt;=190),0.7,AND($X308&gt;=100,$X308&lt;120),0.4,AND($X308&gt;190,$X308&lt;=210),0.4,TRUE,0.2))))),1),""))</f>
        <v/>
      </c>
      <c r="Z308">
        <f>IF($A308="","",TEXTJOIN(", ",TRUE,IF($B308="","Тренировка",""),IF($C308="","Кардио",""),IF($D308="","Шаги",""),IF($E308="","Английский",""),IF($F308="","Код-режим",""),IF($G308="","Код-тема",""),IF($H308="","Чтение",""),IF($L308="","Сон",""),IF($M308="","Режим",""),IF($N308="","Продуктивность",""),IF($O308="","Настроение",""),IF($P308="","Энергия",""),IF($U308="","Еда","")))</f>
        <v/>
      </c>
    </row>
    <row r="309">
      <c r="A309" t="inlineStr"/>
      <c r="U309">
        <f>IF($A309="","",IF(SUMIF(FoodLog!$A:$A,$A309,FoodLog!$I:$I)=0,"",SUMIF(FoodLog!$A:$A,$A309,FoodLog!$I:$I)))</f>
        <v/>
      </c>
      <c r="V309">
        <f>IF($A309="","",IF(SUMIF(FoodLog!$A:$A,$A309,FoodLog!$F:$F)=0,"",SUMIF(FoodLog!$A:$A,$A309,FoodLog!$F:$F)))</f>
        <v/>
      </c>
      <c r="W309">
        <f>IF($A309="","",IF(SUMIF(FoodLog!$A:$A,$A309,FoodLog!$G:$G)=0,"",SUMIF(FoodLog!$A:$A,$A309,FoodLog!$G:$G)))</f>
        <v/>
      </c>
      <c r="X309">
        <f>IF($A309="","",IF(SUMIF(FoodLog!$A:$A,$A309,FoodLog!$H:$H)=0,"",SUMIF(FoodLog!$A:$A,$A309,FoodLog!$H:$H)))</f>
        <v/>
      </c>
      <c r="Y309">
        <f>IF($A309="","",IFERROR(ROUND(100*AVERAGE(IF($B309="","",XLOOKUP($B309,FILTER(Dictionaries!$B:$B,Dictionaries!$A:$A="Тренировка"),FILTER(Dictionaries!$C:$C,Dictionaries!$A:$A="Тренировка"))),IF($C309="","",MIN($C309/40,1)),IF($D309="","",XLOOKUP($D309,FILTER(Dictionaries!$B:$B,Dictionaries!$A:$A="Шаги"),FILTER(Dictionaries!$C:$C,Dictionaries!$A:$A="Шаги"))),IF($E309="","",MIN($E309/120,1)),IF(OR($F309&lt;&gt;"",$G309&lt;&gt;""),1,""),IF($H309="","",MIN($H309/100,1)),IF($L309="","",XLOOKUP($L309,FILTER(Dictionaries!$B:$B,Dictionaries!$A:$A="Сон_часы"),FILTER(Dictionaries!$C:$C,Dictionaries!$A:$A="Сон_часы"))),IF($M309="","",XLOOKUP($M309,FILTER(Dictionaries!$B:$B,Dictionaries!$A:$A="Режим"),FILTER(Dictionaries!$C:$C,Dictionaries!$A:$A="Режим"))),IF($N309="","",MIN($N309/100,1)),IF($O309="","",XLOOKUP($O309,FILTER(Dictionaries!$B:$B,Dictionaries!$A:$A="Настроение"),FILTER(Dictionaries!$C:$C,Dictionaries!$A:$A="Настроение"))),IF($P309="","",XLOOKUP($P309,FILTER(Dictionaries!$B:$B,Dictionaries!$A:$A="Энергия"),FILTER(Dictionaries!$C:$C,Dictionaries!$A:$A="Энергия"))),IF($U309="","",AVERAGE(IF(OR($B309="Ноги",$B309="Верх"),IFS(AND($U309&gt;=1900,$U309&lt;=2050),1,AND($U309&gt;=1850,$U309&lt;1900),0.7,AND($U309&gt;2050,$U309&lt;=2100),0.7,TRUE,0.2),IFS(AND($U309&gt;=1700,$U309&lt;=1850),1,AND($U309&gt;=1650,$U309&lt;1700),0.7,AND($U309&gt;1850,$U309&lt;=1900),0.7,TRUE,0.2)),IF(OR($B309="Ноги",$B309="Верх"),IFS(AND($V309&gt;=125,$V309&lt;=135),1,AND($V309&gt;=115,$V309&lt;125),0.7,AND($V309&gt;135,$V309&lt;=145),0.7,AND($V309&gt;=105,$V309&lt;115),0.4,AND($V309&gt;145,$V309&lt;=155),0.4,TRUE,0.2),IFS(AND($V309&gt;=120,$V309&lt;=130),1,AND($V309&gt;=110,$V309&lt;120),0.7,AND($V309&gt;130,$V309&lt;=140),0.7,AND($V309&gt;=100,$V309&lt;110),0.4,AND($V309&gt;140,$V309&lt;=150),0.4,TRUE,0.2)),IFS(AND($W309&gt;=55,$W309&lt;=65),1,AND($W309&gt;=50,$W309&lt;55),0.7,AND($W309&gt;65,$W309&lt;=70),0.7,AND($W309&gt;=45,$W309&lt;50),0.4,AND($W309&gt;70,$W309&lt;=75),0.4,TRUE,0.2),IF(OR($B309="Ноги",$B309="Верх"),IFS(AND($X309&gt;=180,$X309&lt;=210),1,AND($X309&gt;=160,$X309&lt;180),0.7,AND($X309&gt;210,$X309&lt;=230),0.7,AND($X309&gt;=140,$X309&lt;160),0.4,AND($X309&gt;230,$X309&lt;=250),0.4,TRUE,0.2),IFS(AND($X309&gt;=140,$X309&lt;=170),1,AND($X309&gt;=120,$X309&lt;140),0.7,AND($X309&gt;170,$X309&lt;=190),0.7,AND($X309&gt;=100,$X309&lt;120),0.4,AND($X309&gt;190,$X309&lt;=210),0.4,TRUE,0.2))))),1),""))</f>
        <v/>
      </c>
      <c r="Z309">
        <f>IF($A309="","",TEXTJOIN(", ",TRUE,IF($B309="","Тренировка",""),IF($C309="","Кардио",""),IF($D309="","Шаги",""),IF($E309="","Английский",""),IF($F309="","Код-режим",""),IF($G309="","Код-тема",""),IF($H309="","Чтение",""),IF($L309="","Сон",""),IF($M309="","Режим",""),IF($N309="","Продуктивность",""),IF($O309="","Настроение",""),IF($P309="","Энергия",""),IF($U309="","Еда","")))</f>
        <v/>
      </c>
    </row>
    <row r="310">
      <c r="A310" t="inlineStr"/>
      <c r="U310">
        <f>IF($A310="","",IF(SUMIF(FoodLog!$A:$A,$A310,FoodLog!$I:$I)=0,"",SUMIF(FoodLog!$A:$A,$A310,FoodLog!$I:$I)))</f>
        <v/>
      </c>
      <c r="V310">
        <f>IF($A310="","",IF(SUMIF(FoodLog!$A:$A,$A310,FoodLog!$F:$F)=0,"",SUMIF(FoodLog!$A:$A,$A310,FoodLog!$F:$F)))</f>
        <v/>
      </c>
      <c r="W310">
        <f>IF($A310="","",IF(SUMIF(FoodLog!$A:$A,$A310,FoodLog!$G:$G)=0,"",SUMIF(FoodLog!$A:$A,$A310,FoodLog!$G:$G)))</f>
        <v/>
      </c>
      <c r="X310">
        <f>IF($A310="","",IF(SUMIF(FoodLog!$A:$A,$A310,FoodLog!$H:$H)=0,"",SUMIF(FoodLog!$A:$A,$A310,FoodLog!$H:$H)))</f>
        <v/>
      </c>
      <c r="Y310">
        <f>IF($A310="","",IFERROR(ROUND(100*AVERAGE(IF($B310="","",XLOOKUP($B310,FILTER(Dictionaries!$B:$B,Dictionaries!$A:$A="Тренировка"),FILTER(Dictionaries!$C:$C,Dictionaries!$A:$A="Тренировка"))),IF($C310="","",MIN($C310/40,1)),IF($D310="","",XLOOKUP($D310,FILTER(Dictionaries!$B:$B,Dictionaries!$A:$A="Шаги"),FILTER(Dictionaries!$C:$C,Dictionaries!$A:$A="Шаги"))),IF($E310="","",MIN($E310/120,1)),IF(OR($F310&lt;&gt;"",$G310&lt;&gt;""),1,""),IF($H310="","",MIN($H310/100,1)),IF($L310="","",XLOOKUP($L310,FILTER(Dictionaries!$B:$B,Dictionaries!$A:$A="Сон_часы"),FILTER(Dictionaries!$C:$C,Dictionaries!$A:$A="Сон_часы"))),IF($M310="","",XLOOKUP($M310,FILTER(Dictionaries!$B:$B,Dictionaries!$A:$A="Режим"),FILTER(Dictionaries!$C:$C,Dictionaries!$A:$A="Режим"))),IF($N310="","",MIN($N310/100,1)),IF($O310="","",XLOOKUP($O310,FILTER(Dictionaries!$B:$B,Dictionaries!$A:$A="Настроение"),FILTER(Dictionaries!$C:$C,Dictionaries!$A:$A="Настроение"))),IF($P310="","",XLOOKUP($P310,FILTER(Dictionaries!$B:$B,Dictionaries!$A:$A="Энергия"),FILTER(Dictionaries!$C:$C,Dictionaries!$A:$A="Энергия"))),IF($U310="","",AVERAGE(IF(OR($B310="Ноги",$B310="Верх"),IFS(AND($U310&gt;=1900,$U310&lt;=2050),1,AND($U310&gt;=1850,$U310&lt;1900),0.7,AND($U310&gt;2050,$U310&lt;=2100),0.7,TRUE,0.2),IFS(AND($U310&gt;=1700,$U310&lt;=1850),1,AND($U310&gt;=1650,$U310&lt;1700),0.7,AND($U310&gt;1850,$U310&lt;=1900),0.7,TRUE,0.2)),IF(OR($B310="Ноги",$B310="Верх"),IFS(AND($V310&gt;=125,$V310&lt;=135),1,AND($V310&gt;=115,$V310&lt;125),0.7,AND($V310&gt;135,$V310&lt;=145),0.7,AND($V310&gt;=105,$V310&lt;115),0.4,AND($V310&gt;145,$V310&lt;=155),0.4,TRUE,0.2),IFS(AND($V310&gt;=120,$V310&lt;=130),1,AND($V310&gt;=110,$V310&lt;120),0.7,AND($V310&gt;130,$V310&lt;=140),0.7,AND($V310&gt;=100,$V310&lt;110),0.4,AND($V310&gt;140,$V310&lt;=150),0.4,TRUE,0.2)),IFS(AND($W310&gt;=55,$W310&lt;=65),1,AND($W310&gt;=50,$W310&lt;55),0.7,AND($W310&gt;65,$W310&lt;=70),0.7,AND($W310&gt;=45,$W310&lt;50),0.4,AND($W310&gt;70,$W310&lt;=75),0.4,TRUE,0.2),IF(OR($B310="Ноги",$B310="Верх"),IFS(AND($X310&gt;=180,$X310&lt;=210),1,AND($X310&gt;=160,$X310&lt;180),0.7,AND($X310&gt;210,$X310&lt;=230),0.7,AND($X310&gt;=140,$X310&lt;160),0.4,AND($X310&gt;230,$X310&lt;=250),0.4,TRUE,0.2),IFS(AND($X310&gt;=140,$X310&lt;=170),1,AND($X310&gt;=120,$X310&lt;140),0.7,AND($X310&gt;170,$X310&lt;=190),0.7,AND($X310&gt;=100,$X310&lt;120),0.4,AND($X310&gt;190,$X310&lt;=210),0.4,TRUE,0.2))))),1),""))</f>
        <v/>
      </c>
      <c r="Z310">
        <f>IF($A310="","",TEXTJOIN(", ",TRUE,IF($B310="","Тренировка",""),IF($C310="","Кардио",""),IF($D310="","Шаги",""),IF($E310="","Английский",""),IF($F310="","Код-режим",""),IF($G310="","Код-тема",""),IF($H310="","Чтение",""),IF($L310="","Сон",""),IF($M310="","Режим",""),IF($N310="","Продуктивность",""),IF($O310="","Настроение",""),IF($P310="","Энергия",""),IF($U310="","Еда","")))</f>
        <v/>
      </c>
    </row>
    <row r="311">
      <c r="A311" t="inlineStr"/>
      <c r="U311">
        <f>IF($A311="","",IF(SUMIF(FoodLog!$A:$A,$A311,FoodLog!$I:$I)=0,"",SUMIF(FoodLog!$A:$A,$A311,FoodLog!$I:$I)))</f>
        <v/>
      </c>
      <c r="V311">
        <f>IF($A311="","",IF(SUMIF(FoodLog!$A:$A,$A311,FoodLog!$F:$F)=0,"",SUMIF(FoodLog!$A:$A,$A311,FoodLog!$F:$F)))</f>
        <v/>
      </c>
      <c r="W311">
        <f>IF($A311="","",IF(SUMIF(FoodLog!$A:$A,$A311,FoodLog!$G:$G)=0,"",SUMIF(FoodLog!$A:$A,$A311,FoodLog!$G:$G)))</f>
        <v/>
      </c>
      <c r="X311">
        <f>IF($A311="","",IF(SUMIF(FoodLog!$A:$A,$A311,FoodLog!$H:$H)=0,"",SUMIF(FoodLog!$A:$A,$A311,FoodLog!$H:$H)))</f>
        <v/>
      </c>
      <c r="Y311">
        <f>IF($A311="","",IFERROR(ROUND(100*AVERAGE(IF($B311="","",XLOOKUP($B311,FILTER(Dictionaries!$B:$B,Dictionaries!$A:$A="Тренировка"),FILTER(Dictionaries!$C:$C,Dictionaries!$A:$A="Тренировка"))),IF($C311="","",MIN($C311/40,1)),IF($D311="","",XLOOKUP($D311,FILTER(Dictionaries!$B:$B,Dictionaries!$A:$A="Шаги"),FILTER(Dictionaries!$C:$C,Dictionaries!$A:$A="Шаги"))),IF($E311="","",MIN($E311/120,1)),IF(OR($F311&lt;&gt;"",$G311&lt;&gt;""),1,""),IF($H311="","",MIN($H311/100,1)),IF($L311="","",XLOOKUP($L311,FILTER(Dictionaries!$B:$B,Dictionaries!$A:$A="Сон_часы"),FILTER(Dictionaries!$C:$C,Dictionaries!$A:$A="Сон_часы"))),IF($M311="","",XLOOKUP($M311,FILTER(Dictionaries!$B:$B,Dictionaries!$A:$A="Режим"),FILTER(Dictionaries!$C:$C,Dictionaries!$A:$A="Режим"))),IF($N311="","",MIN($N311/100,1)),IF($O311="","",XLOOKUP($O311,FILTER(Dictionaries!$B:$B,Dictionaries!$A:$A="Настроение"),FILTER(Dictionaries!$C:$C,Dictionaries!$A:$A="Настроение"))),IF($P311="","",XLOOKUP($P311,FILTER(Dictionaries!$B:$B,Dictionaries!$A:$A="Энергия"),FILTER(Dictionaries!$C:$C,Dictionaries!$A:$A="Энергия"))),IF($U311="","",AVERAGE(IF(OR($B311="Ноги",$B311="Верх"),IFS(AND($U311&gt;=1900,$U311&lt;=2050),1,AND($U311&gt;=1850,$U311&lt;1900),0.7,AND($U311&gt;2050,$U311&lt;=2100),0.7,TRUE,0.2),IFS(AND($U311&gt;=1700,$U311&lt;=1850),1,AND($U311&gt;=1650,$U311&lt;1700),0.7,AND($U311&gt;1850,$U311&lt;=1900),0.7,TRUE,0.2)),IF(OR($B311="Ноги",$B311="Верх"),IFS(AND($V311&gt;=125,$V311&lt;=135),1,AND($V311&gt;=115,$V311&lt;125),0.7,AND($V311&gt;135,$V311&lt;=145),0.7,AND($V311&gt;=105,$V311&lt;115),0.4,AND($V311&gt;145,$V311&lt;=155),0.4,TRUE,0.2),IFS(AND($V311&gt;=120,$V311&lt;=130),1,AND($V311&gt;=110,$V311&lt;120),0.7,AND($V311&gt;130,$V311&lt;=140),0.7,AND($V311&gt;=100,$V311&lt;110),0.4,AND($V311&gt;140,$V311&lt;=150),0.4,TRUE,0.2)),IFS(AND($W311&gt;=55,$W311&lt;=65),1,AND($W311&gt;=50,$W311&lt;55),0.7,AND($W311&gt;65,$W311&lt;=70),0.7,AND($W311&gt;=45,$W311&lt;50),0.4,AND($W311&gt;70,$W311&lt;=75),0.4,TRUE,0.2),IF(OR($B311="Ноги",$B311="Верх"),IFS(AND($X311&gt;=180,$X311&lt;=210),1,AND($X311&gt;=160,$X311&lt;180),0.7,AND($X311&gt;210,$X311&lt;=230),0.7,AND($X311&gt;=140,$X311&lt;160),0.4,AND($X311&gt;230,$X311&lt;=250),0.4,TRUE,0.2),IFS(AND($X311&gt;=140,$X311&lt;=170),1,AND($X311&gt;=120,$X311&lt;140),0.7,AND($X311&gt;170,$X311&lt;=190),0.7,AND($X311&gt;=100,$X311&lt;120),0.4,AND($X311&gt;190,$X311&lt;=210),0.4,TRUE,0.2))))),1),""))</f>
        <v/>
      </c>
      <c r="Z311">
        <f>IF($A311="","",TEXTJOIN(", ",TRUE,IF($B311="","Тренировка",""),IF($C311="","Кардио",""),IF($D311="","Шаги",""),IF($E311="","Английский",""),IF($F311="","Код-режим",""),IF($G311="","Код-тема",""),IF($H311="","Чтение",""),IF($L311="","Сон",""),IF($M311="","Режим",""),IF($N311="","Продуктивность",""),IF($O311="","Настроение",""),IF($P311="","Энергия",""),IF($U311="","Еда","")))</f>
        <v/>
      </c>
    </row>
    <row r="312">
      <c r="A312" t="inlineStr"/>
      <c r="U312">
        <f>IF($A312="","",IF(SUMIF(FoodLog!$A:$A,$A312,FoodLog!$I:$I)=0,"",SUMIF(FoodLog!$A:$A,$A312,FoodLog!$I:$I)))</f>
        <v/>
      </c>
      <c r="V312">
        <f>IF($A312="","",IF(SUMIF(FoodLog!$A:$A,$A312,FoodLog!$F:$F)=0,"",SUMIF(FoodLog!$A:$A,$A312,FoodLog!$F:$F)))</f>
        <v/>
      </c>
      <c r="W312">
        <f>IF($A312="","",IF(SUMIF(FoodLog!$A:$A,$A312,FoodLog!$G:$G)=0,"",SUMIF(FoodLog!$A:$A,$A312,FoodLog!$G:$G)))</f>
        <v/>
      </c>
      <c r="X312">
        <f>IF($A312="","",IF(SUMIF(FoodLog!$A:$A,$A312,FoodLog!$H:$H)=0,"",SUMIF(FoodLog!$A:$A,$A312,FoodLog!$H:$H)))</f>
        <v/>
      </c>
      <c r="Y312">
        <f>IF($A312="","",IFERROR(ROUND(100*AVERAGE(IF($B312="","",XLOOKUP($B312,FILTER(Dictionaries!$B:$B,Dictionaries!$A:$A="Тренировка"),FILTER(Dictionaries!$C:$C,Dictionaries!$A:$A="Тренировка"))),IF($C312="","",MIN($C312/40,1)),IF($D312="","",XLOOKUP($D312,FILTER(Dictionaries!$B:$B,Dictionaries!$A:$A="Шаги"),FILTER(Dictionaries!$C:$C,Dictionaries!$A:$A="Шаги"))),IF($E312="","",MIN($E312/120,1)),IF(OR($F312&lt;&gt;"",$G312&lt;&gt;""),1,""),IF($H312="","",MIN($H312/100,1)),IF($L312="","",XLOOKUP($L312,FILTER(Dictionaries!$B:$B,Dictionaries!$A:$A="Сон_часы"),FILTER(Dictionaries!$C:$C,Dictionaries!$A:$A="Сон_часы"))),IF($M312="","",XLOOKUP($M312,FILTER(Dictionaries!$B:$B,Dictionaries!$A:$A="Режим"),FILTER(Dictionaries!$C:$C,Dictionaries!$A:$A="Режим"))),IF($N312="","",MIN($N312/100,1)),IF($O312="","",XLOOKUP($O312,FILTER(Dictionaries!$B:$B,Dictionaries!$A:$A="Настроение"),FILTER(Dictionaries!$C:$C,Dictionaries!$A:$A="Настроение"))),IF($P312="","",XLOOKUP($P312,FILTER(Dictionaries!$B:$B,Dictionaries!$A:$A="Энергия"),FILTER(Dictionaries!$C:$C,Dictionaries!$A:$A="Энергия"))),IF($U312="","",AVERAGE(IF(OR($B312="Ноги",$B312="Верх"),IFS(AND($U312&gt;=1900,$U312&lt;=2050),1,AND($U312&gt;=1850,$U312&lt;1900),0.7,AND($U312&gt;2050,$U312&lt;=2100),0.7,TRUE,0.2),IFS(AND($U312&gt;=1700,$U312&lt;=1850),1,AND($U312&gt;=1650,$U312&lt;1700),0.7,AND($U312&gt;1850,$U312&lt;=1900),0.7,TRUE,0.2)),IF(OR($B312="Ноги",$B312="Верх"),IFS(AND($V312&gt;=125,$V312&lt;=135),1,AND($V312&gt;=115,$V312&lt;125),0.7,AND($V312&gt;135,$V312&lt;=145),0.7,AND($V312&gt;=105,$V312&lt;115),0.4,AND($V312&gt;145,$V312&lt;=155),0.4,TRUE,0.2),IFS(AND($V312&gt;=120,$V312&lt;=130),1,AND($V312&gt;=110,$V312&lt;120),0.7,AND($V312&gt;130,$V312&lt;=140),0.7,AND($V312&gt;=100,$V312&lt;110),0.4,AND($V312&gt;140,$V312&lt;=150),0.4,TRUE,0.2)),IFS(AND($W312&gt;=55,$W312&lt;=65),1,AND($W312&gt;=50,$W312&lt;55),0.7,AND($W312&gt;65,$W312&lt;=70),0.7,AND($W312&gt;=45,$W312&lt;50),0.4,AND($W312&gt;70,$W312&lt;=75),0.4,TRUE,0.2),IF(OR($B312="Ноги",$B312="Верх"),IFS(AND($X312&gt;=180,$X312&lt;=210),1,AND($X312&gt;=160,$X312&lt;180),0.7,AND($X312&gt;210,$X312&lt;=230),0.7,AND($X312&gt;=140,$X312&lt;160),0.4,AND($X312&gt;230,$X312&lt;=250),0.4,TRUE,0.2),IFS(AND($X312&gt;=140,$X312&lt;=170),1,AND($X312&gt;=120,$X312&lt;140),0.7,AND($X312&gt;170,$X312&lt;=190),0.7,AND($X312&gt;=100,$X312&lt;120),0.4,AND($X312&gt;190,$X312&lt;=210),0.4,TRUE,0.2))))),1),""))</f>
        <v/>
      </c>
      <c r="Z312">
        <f>IF($A312="","",TEXTJOIN(", ",TRUE,IF($B312="","Тренировка",""),IF($C312="","Кардио",""),IF($D312="","Шаги",""),IF($E312="","Английский",""),IF($F312="","Код-режим",""),IF($G312="","Код-тема",""),IF($H312="","Чтение",""),IF($L312="","Сон",""),IF($M312="","Режим",""),IF($N312="","Продуктивность",""),IF($O312="","Настроение",""),IF($P312="","Энергия",""),IF($U312="","Еда","")))</f>
        <v/>
      </c>
    </row>
    <row r="313">
      <c r="A313" t="inlineStr"/>
      <c r="U313">
        <f>IF($A313="","",IF(SUMIF(FoodLog!$A:$A,$A313,FoodLog!$I:$I)=0,"",SUMIF(FoodLog!$A:$A,$A313,FoodLog!$I:$I)))</f>
        <v/>
      </c>
      <c r="V313">
        <f>IF($A313="","",IF(SUMIF(FoodLog!$A:$A,$A313,FoodLog!$F:$F)=0,"",SUMIF(FoodLog!$A:$A,$A313,FoodLog!$F:$F)))</f>
        <v/>
      </c>
      <c r="W313">
        <f>IF($A313="","",IF(SUMIF(FoodLog!$A:$A,$A313,FoodLog!$G:$G)=0,"",SUMIF(FoodLog!$A:$A,$A313,FoodLog!$G:$G)))</f>
        <v/>
      </c>
      <c r="X313">
        <f>IF($A313="","",IF(SUMIF(FoodLog!$A:$A,$A313,FoodLog!$H:$H)=0,"",SUMIF(FoodLog!$A:$A,$A313,FoodLog!$H:$H)))</f>
        <v/>
      </c>
      <c r="Y313">
        <f>IF($A313="","",IFERROR(ROUND(100*AVERAGE(IF($B313="","",XLOOKUP($B313,FILTER(Dictionaries!$B:$B,Dictionaries!$A:$A="Тренировка"),FILTER(Dictionaries!$C:$C,Dictionaries!$A:$A="Тренировка"))),IF($C313="","",MIN($C313/40,1)),IF($D313="","",XLOOKUP($D313,FILTER(Dictionaries!$B:$B,Dictionaries!$A:$A="Шаги"),FILTER(Dictionaries!$C:$C,Dictionaries!$A:$A="Шаги"))),IF($E313="","",MIN($E313/120,1)),IF(OR($F313&lt;&gt;"",$G313&lt;&gt;""),1,""),IF($H313="","",MIN($H313/100,1)),IF($L313="","",XLOOKUP($L313,FILTER(Dictionaries!$B:$B,Dictionaries!$A:$A="Сон_часы"),FILTER(Dictionaries!$C:$C,Dictionaries!$A:$A="Сон_часы"))),IF($M313="","",XLOOKUP($M313,FILTER(Dictionaries!$B:$B,Dictionaries!$A:$A="Режим"),FILTER(Dictionaries!$C:$C,Dictionaries!$A:$A="Режим"))),IF($N313="","",MIN($N313/100,1)),IF($O313="","",XLOOKUP($O313,FILTER(Dictionaries!$B:$B,Dictionaries!$A:$A="Настроение"),FILTER(Dictionaries!$C:$C,Dictionaries!$A:$A="Настроение"))),IF($P313="","",XLOOKUP($P313,FILTER(Dictionaries!$B:$B,Dictionaries!$A:$A="Энергия"),FILTER(Dictionaries!$C:$C,Dictionaries!$A:$A="Энергия"))),IF($U313="","",AVERAGE(IF(OR($B313="Ноги",$B313="Верх"),IFS(AND($U313&gt;=1900,$U313&lt;=2050),1,AND($U313&gt;=1850,$U313&lt;1900),0.7,AND($U313&gt;2050,$U313&lt;=2100),0.7,TRUE,0.2),IFS(AND($U313&gt;=1700,$U313&lt;=1850),1,AND($U313&gt;=1650,$U313&lt;1700),0.7,AND($U313&gt;1850,$U313&lt;=1900),0.7,TRUE,0.2)),IF(OR($B313="Ноги",$B313="Верх"),IFS(AND($V313&gt;=125,$V313&lt;=135),1,AND($V313&gt;=115,$V313&lt;125),0.7,AND($V313&gt;135,$V313&lt;=145),0.7,AND($V313&gt;=105,$V313&lt;115),0.4,AND($V313&gt;145,$V313&lt;=155),0.4,TRUE,0.2),IFS(AND($V313&gt;=120,$V313&lt;=130),1,AND($V313&gt;=110,$V313&lt;120),0.7,AND($V313&gt;130,$V313&lt;=140),0.7,AND($V313&gt;=100,$V313&lt;110),0.4,AND($V313&gt;140,$V313&lt;=150),0.4,TRUE,0.2)),IFS(AND($W313&gt;=55,$W313&lt;=65),1,AND($W313&gt;=50,$W313&lt;55),0.7,AND($W313&gt;65,$W313&lt;=70),0.7,AND($W313&gt;=45,$W313&lt;50),0.4,AND($W313&gt;70,$W313&lt;=75),0.4,TRUE,0.2),IF(OR($B313="Ноги",$B313="Верх"),IFS(AND($X313&gt;=180,$X313&lt;=210),1,AND($X313&gt;=160,$X313&lt;180),0.7,AND($X313&gt;210,$X313&lt;=230),0.7,AND($X313&gt;=140,$X313&lt;160),0.4,AND($X313&gt;230,$X313&lt;=250),0.4,TRUE,0.2),IFS(AND($X313&gt;=140,$X313&lt;=170),1,AND($X313&gt;=120,$X313&lt;140),0.7,AND($X313&gt;170,$X313&lt;=190),0.7,AND($X313&gt;=100,$X313&lt;120),0.4,AND($X313&gt;190,$X313&lt;=210),0.4,TRUE,0.2))))),1),""))</f>
        <v/>
      </c>
      <c r="Z313">
        <f>IF($A313="","",TEXTJOIN(", ",TRUE,IF($B313="","Тренировка",""),IF($C313="","Кардио",""),IF($D313="","Шаги",""),IF($E313="","Английский",""),IF($F313="","Код-режим",""),IF($G313="","Код-тема",""),IF($H313="","Чтение",""),IF($L313="","Сон",""),IF($M313="","Режим",""),IF($N313="","Продуктивность",""),IF($O313="","Настроение",""),IF($P313="","Энергия",""),IF($U313="","Еда","")))</f>
        <v/>
      </c>
    </row>
    <row r="314">
      <c r="A314" t="inlineStr"/>
      <c r="U314">
        <f>IF($A314="","",IF(SUMIF(FoodLog!$A:$A,$A314,FoodLog!$I:$I)=0,"",SUMIF(FoodLog!$A:$A,$A314,FoodLog!$I:$I)))</f>
        <v/>
      </c>
      <c r="V314">
        <f>IF($A314="","",IF(SUMIF(FoodLog!$A:$A,$A314,FoodLog!$F:$F)=0,"",SUMIF(FoodLog!$A:$A,$A314,FoodLog!$F:$F)))</f>
        <v/>
      </c>
      <c r="W314">
        <f>IF($A314="","",IF(SUMIF(FoodLog!$A:$A,$A314,FoodLog!$G:$G)=0,"",SUMIF(FoodLog!$A:$A,$A314,FoodLog!$G:$G)))</f>
        <v/>
      </c>
      <c r="X314">
        <f>IF($A314="","",IF(SUMIF(FoodLog!$A:$A,$A314,FoodLog!$H:$H)=0,"",SUMIF(FoodLog!$A:$A,$A314,FoodLog!$H:$H)))</f>
        <v/>
      </c>
      <c r="Y314">
        <f>IF($A314="","",IFERROR(ROUND(100*AVERAGE(IF($B314="","",XLOOKUP($B314,FILTER(Dictionaries!$B:$B,Dictionaries!$A:$A="Тренировка"),FILTER(Dictionaries!$C:$C,Dictionaries!$A:$A="Тренировка"))),IF($C314="","",MIN($C314/40,1)),IF($D314="","",XLOOKUP($D314,FILTER(Dictionaries!$B:$B,Dictionaries!$A:$A="Шаги"),FILTER(Dictionaries!$C:$C,Dictionaries!$A:$A="Шаги"))),IF($E314="","",MIN($E314/120,1)),IF(OR($F314&lt;&gt;"",$G314&lt;&gt;""),1,""),IF($H314="","",MIN($H314/100,1)),IF($L314="","",XLOOKUP($L314,FILTER(Dictionaries!$B:$B,Dictionaries!$A:$A="Сон_часы"),FILTER(Dictionaries!$C:$C,Dictionaries!$A:$A="Сон_часы"))),IF($M314="","",XLOOKUP($M314,FILTER(Dictionaries!$B:$B,Dictionaries!$A:$A="Режим"),FILTER(Dictionaries!$C:$C,Dictionaries!$A:$A="Режим"))),IF($N314="","",MIN($N314/100,1)),IF($O314="","",XLOOKUP($O314,FILTER(Dictionaries!$B:$B,Dictionaries!$A:$A="Настроение"),FILTER(Dictionaries!$C:$C,Dictionaries!$A:$A="Настроение"))),IF($P314="","",XLOOKUP($P314,FILTER(Dictionaries!$B:$B,Dictionaries!$A:$A="Энергия"),FILTER(Dictionaries!$C:$C,Dictionaries!$A:$A="Энергия"))),IF($U314="","",AVERAGE(IF(OR($B314="Ноги",$B314="Верх"),IFS(AND($U314&gt;=1900,$U314&lt;=2050),1,AND($U314&gt;=1850,$U314&lt;1900),0.7,AND($U314&gt;2050,$U314&lt;=2100),0.7,TRUE,0.2),IFS(AND($U314&gt;=1700,$U314&lt;=1850),1,AND($U314&gt;=1650,$U314&lt;1700),0.7,AND($U314&gt;1850,$U314&lt;=1900),0.7,TRUE,0.2)),IF(OR($B314="Ноги",$B314="Верх"),IFS(AND($V314&gt;=125,$V314&lt;=135),1,AND($V314&gt;=115,$V314&lt;125),0.7,AND($V314&gt;135,$V314&lt;=145),0.7,AND($V314&gt;=105,$V314&lt;115),0.4,AND($V314&gt;145,$V314&lt;=155),0.4,TRUE,0.2),IFS(AND($V314&gt;=120,$V314&lt;=130),1,AND($V314&gt;=110,$V314&lt;120),0.7,AND($V314&gt;130,$V314&lt;=140),0.7,AND($V314&gt;=100,$V314&lt;110),0.4,AND($V314&gt;140,$V314&lt;=150),0.4,TRUE,0.2)),IFS(AND($W314&gt;=55,$W314&lt;=65),1,AND($W314&gt;=50,$W314&lt;55),0.7,AND($W314&gt;65,$W314&lt;=70),0.7,AND($W314&gt;=45,$W314&lt;50),0.4,AND($W314&gt;70,$W314&lt;=75),0.4,TRUE,0.2),IF(OR($B314="Ноги",$B314="Верх"),IFS(AND($X314&gt;=180,$X314&lt;=210),1,AND($X314&gt;=160,$X314&lt;180),0.7,AND($X314&gt;210,$X314&lt;=230),0.7,AND($X314&gt;=140,$X314&lt;160),0.4,AND($X314&gt;230,$X314&lt;=250),0.4,TRUE,0.2),IFS(AND($X314&gt;=140,$X314&lt;=170),1,AND($X314&gt;=120,$X314&lt;140),0.7,AND($X314&gt;170,$X314&lt;=190),0.7,AND($X314&gt;=100,$X314&lt;120),0.4,AND($X314&gt;190,$X314&lt;=210),0.4,TRUE,0.2))))),1),""))</f>
        <v/>
      </c>
      <c r="Z314">
        <f>IF($A314="","",TEXTJOIN(", ",TRUE,IF($B314="","Тренировка",""),IF($C314="","Кардио",""),IF($D314="","Шаги",""),IF($E314="","Английский",""),IF($F314="","Код-режим",""),IF($G314="","Код-тема",""),IF($H314="","Чтение",""),IF($L314="","Сон",""),IF($M314="","Режим",""),IF($N314="","Продуктивность",""),IF($O314="","Настроение",""),IF($P314="","Энергия",""),IF($U314="","Еда","")))</f>
        <v/>
      </c>
    </row>
    <row r="315">
      <c r="A315" t="inlineStr"/>
      <c r="U315">
        <f>IF($A315="","",IF(SUMIF(FoodLog!$A:$A,$A315,FoodLog!$I:$I)=0,"",SUMIF(FoodLog!$A:$A,$A315,FoodLog!$I:$I)))</f>
        <v/>
      </c>
      <c r="V315">
        <f>IF($A315="","",IF(SUMIF(FoodLog!$A:$A,$A315,FoodLog!$F:$F)=0,"",SUMIF(FoodLog!$A:$A,$A315,FoodLog!$F:$F)))</f>
        <v/>
      </c>
      <c r="W315">
        <f>IF($A315="","",IF(SUMIF(FoodLog!$A:$A,$A315,FoodLog!$G:$G)=0,"",SUMIF(FoodLog!$A:$A,$A315,FoodLog!$G:$G)))</f>
        <v/>
      </c>
      <c r="X315">
        <f>IF($A315="","",IF(SUMIF(FoodLog!$A:$A,$A315,FoodLog!$H:$H)=0,"",SUMIF(FoodLog!$A:$A,$A315,FoodLog!$H:$H)))</f>
        <v/>
      </c>
      <c r="Y315">
        <f>IF($A315="","",IFERROR(ROUND(100*AVERAGE(IF($B315="","",XLOOKUP($B315,FILTER(Dictionaries!$B:$B,Dictionaries!$A:$A="Тренировка"),FILTER(Dictionaries!$C:$C,Dictionaries!$A:$A="Тренировка"))),IF($C315="","",MIN($C315/40,1)),IF($D315="","",XLOOKUP($D315,FILTER(Dictionaries!$B:$B,Dictionaries!$A:$A="Шаги"),FILTER(Dictionaries!$C:$C,Dictionaries!$A:$A="Шаги"))),IF($E315="","",MIN($E315/120,1)),IF(OR($F315&lt;&gt;"",$G315&lt;&gt;""),1,""),IF($H315="","",MIN($H315/100,1)),IF($L315="","",XLOOKUP($L315,FILTER(Dictionaries!$B:$B,Dictionaries!$A:$A="Сон_часы"),FILTER(Dictionaries!$C:$C,Dictionaries!$A:$A="Сон_часы"))),IF($M315="","",XLOOKUP($M315,FILTER(Dictionaries!$B:$B,Dictionaries!$A:$A="Режим"),FILTER(Dictionaries!$C:$C,Dictionaries!$A:$A="Режим"))),IF($N315="","",MIN($N315/100,1)),IF($O315="","",XLOOKUP($O315,FILTER(Dictionaries!$B:$B,Dictionaries!$A:$A="Настроение"),FILTER(Dictionaries!$C:$C,Dictionaries!$A:$A="Настроение"))),IF($P315="","",XLOOKUP($P315,FILTER(Dictionaries!$B:$B,Dictionaries!$A:$A="Энергия"),FILTER(Dictionaries!$C:$C,Dictionaries!$A:$A="Энергия"))),IF($U315="","",AVERAGE(IF(OR($B315="Ноги",$B315="Верх"),IFS(AND($U315&gt;=1900,$U315&lt;=2050),1,AND($U315&gt;=1850,$U315&lt;1900),0.7,AND($U315&gt;2050,$U315&lt;=2100),0.7,TRUE,0.2),IFS(AND($U315&gt;=1700,$U315&lt;=1850),1,AND($U315&gt;=1650,$U315&lt;1700),0.7,AND($U315&gt;1850,$U315&lt;=1900),0.7,TRUE,0.2)),IF(OR($B315="Ноги",$B315="Верх"),IFS(AND($V315&gt;=125,$V315&lt;=135),1,AND($V315&gt;=115,$V315&lt;125),0.7,AND($V315&gt;135,$V315&lt;=145),0.7,AND($V315&gt;=105,$V315&lt;115),0.4,AND($V315&gt;145,$V315&lt;=155),0.4,TRUE,0.2),IFS(AND($V315&gt;=120,$V315&lt;=130),1,AND($V315&gt;=110,$V315&lt;120),0.7,AND($V315&gt;130,$V315&lt;=140),0.7,AND($V315&gt;=100,$V315&lt;110),0.4,AND($V315&gt;140,$V315&lt;=150),0.4,TRUE,0.2)),IFS(AND($W315&gt;=55,$W315&lt;=65),1,AND($W315&gt;=50,$W315&lt;55),0.7,AND($W315&gt;65,$W315&lt;=70),0.7,AND($W315&gt;=45,$W315&lt;50),0.4,AND($W315&gt;70,$W315&lt;=75),0.4,TRUE,0.2),IF(OR($B315="Ноги",$B315="Верх"),IFS(AND($X315&gt;=180,$X315&lt;=210),1,AND($X315&gt;=160,$X315&lt;180),0.7,AND($X315&gt;210,$X315&lt;=230),0.7,AND($X315&gt;=140,$X315&lt;160),0.4,AND($X315&gt;230,$X315&lt;=250),0.4,TRUE,0.2),IFS(AND($X315&gt;=140,$X315&lt;=170),1,AND($X315&gt;=120,$X315&lt;140),0.7,AND($X315&gt;170,$X315&lt;=190),0.7,AND($X315&gt;=100,$X315&lt;120),0.4,AND($X315&gt;190,$X315&lt;=210),0.4,TRUE,0.2))))),1),""))</f>
        <v/>
      </c>
      <c r="Z315">
        <f>IF($A315="","",TEXTJOIN(", ",TRUE,IF($B315="","Тренировка",""),IF($C315="","Кардио",""),IF($D315="","Шаги",""),IF($E315="","Английский",""),IF($F315="","Код-режим",""),IF($G315="","Код-тема",""),IF($H315="","Чтение",""),IF($L315="","Сон",""),IF($M315="","Режим",""),IF($N315="","Продуктивность",""),IF($O315="","Настроение",""),IF($P315="","Энергия",""),IF($U315="","Еда","")))</f>
        <v/>
      </c>
    </row>
    <row r="316">
      <c r="A316" t="inlineStr"/>
      <c r="U316">
        <f>IF($A316="","",IF(SUMIF(FoodLog!$A:$A,$A316,FoodLog!$I:$I)=0,"",SUMIF(FoodLog!$A:$A,$A316,FoodLog!$I:$I)))</f>
        <v/>
      </c>
      <c r="V316">
        <f>IF($A316="","",IF(SUMIF(FoodLog!$A:$A,$A316,FoodLog!$F:$F)=0,"",SUMIF(FoodLog!$A:$A,$A316,FoodLog!$F:$F)))</f>
        <v/>
      </c>
      <c r="W316">
        <f>IF($A316="","",IF(SUMIF(FoodLog!$A:$A,$A316,FoodLog!$G:$G)=0,"",SUMIF(FoodLog!$A:$A,$A316,FoodLog!$G:$G)))</f>
        <v/>
      </c>
      <c r="X316">
        <f>IF($A316="","",IF(SUMIF(FoodLog!$A:$A,$A316,FoodLog!$H:$H)=0,"",SUMIF(FoodLog!$A:$A,$A316,FoodLog!$H:$H)))</f>
        <v/>
      </c>
      <c r="Y316">
        <f>IF($A316="","",IFERROR(ROUND(100*AVERAGE(IF($B316="","",XLOOKUP($B316,FILTER(Dictionaries!$B:$B,Dictionaries!$A:$A="Тренировка"),FILTER(Dictionaries!$C:$C,Dictionaries!$A:$A="Тренировка"))),IF($C316="","",MIN($C316/40,1)),IF($D316="","",XLOOKUP($D316,FILTER(Dictionaries!$B:$B,Dictionaries!$A:$A="Шаги"),FILTER(Dictionaries!$C:$C,Dictionaries!$A:$A="Шаги"))),IF($E316="","",MIN($E316/120,1)),IF(OR($F316&lt;&gt;"",$G316&lt;&gt;""),1,""),IF($H316="","",MIN($H316/100,1)),IF($L316="","",XLOOKUP($L316,FILTER(Dictionaries!$B:$B,Dictionaries!$A:$A="Сон_часы"),FILTER(Dictionaries!$C:$C,Dictionaries!$A:$A="Сон_часы"))),IF($M316="","",XLOOKUP($M316,FILTER(Dictionaries!$B:$B,Dictionaries!$A:$A="Режим"),FILTER(Dictionaries!$C:$C,Dictionaries!$A:$A="Режим"))),IF($N316="","",MIN($N316/100,1)),IF($O316="","",XLOOKUP($O316,FILTER(Dictionaries!$B:$B,Dictionaries!$A:$A="Настроение"),FILTER(Dictionaries!$C:$C,Dictionaries!$A:$A="Настроение"))),IF($P316="","",XLOOKUP($P316,FILTER(Dictionaries!$B:$B,Dictionaries!$A:$A="Энергия"),FILTER(Dictionaries!$C:$C,Dictionaries!$A:$A="Энергия"))),IF($U316="","",AVERAGE(IF(OR($B316="Ноги",$B316="Верх"),IFS(AND($U316&gt;=1900,$U316&lt;=2050),1,AND($U316&gt;=1850,$U316&lt;1900),0.7,AND($U316&gt;2050,$U316&lt;=2100),0.7,TRUE,0.2),IFS(AND($U316&gt;=1700,$U316&lt;=1850),1,AND($U316&gt;=1650,$U316&lt;1700),0.7,AND($U316&gt;1850,$U316&lt;=1900),0.7,TRUE,0.2)),IF(OR($B316="Ноги",$B316="Верх"),IFS(AND($V316&gt;=125,$V316&lt;=135),1,AND($V316&gt;=115,$V316&lt;125),0.7,AND($V316&gt;135,$V316&lt;=145),0.7,AND($V316&gt;=105,$V316&lt;115),0.4,AND($V316&gt;145,$V316&lt;=155),0.4,TRUE,0.2),IFS(AND($V316&gt;=120,$V316&lt;=130),1,AND($V316&gt;=110,$V316&lt;120),0.7,AND($V316&gt;130,$V316&lt;=140),0.7,AND($V316&gt;=100,$V316&lt;110),0.4,AND($V316&gt;140,$V316&lt;=150),0.4,TRUE,0.2)),IFS(AND($W316&gt;=55,$W316&lt;=65),1,AND($W316&gt;=50,$W316&lt;55),0.7,AND($W316&gt;65,$W316&lt;=70),0.7,AND($W316&gt;=45,$W316&lt;50),0.4,AND($W316&gt;70,$W316&lt;=75),0.4,TRUE,0.2),IF(OR($B316="Ноги",$B316="Верх"),IFS(AND($X316&gt;=180,$X316&lt;=210),1,AND($X316&gt;=160,$X316&lt;180),0.7,AND($X316&gt;210,$X316&lt;=230),0.7,AND($X316&gt;=140,$X316&lt;160),0.4,AND($X316&gt;230,$X316&lt;=250),0.4,TRUE,0.2),IFS(AND($X316&gt;=140,$X316&lt;=170),1,AND($X316&gt;=120,$X316&lt;140),0.7,AND($X316&gt;170,$X316&lt;=190),0.7,AND($X316&gt;=100,$X316&lt;120),0.4,AND($X316&gt;190,$X316&lt;=210),0.4,TRUE,0.2))))),1),""))</f>
        <v/>
      </c>
      <c r="Z316">
        <f>IF($A316="","",TEXTJOIN(", ",TRUE,IF($B316="","Тренировка",""),IF($C316="","Кардио",""),IF($D316="","Шаги",""),IF($E316="","Английский",""),IF($F316="","Код-режим",""),IF($G316="","Код-тема",""),IF($H316="","Чтение",""),IF($L316="","Сон",""),IF($M316="","Режим",""),IF($N316="","Продуктивность",""),IF($O316="","Настроение",""),IF($P316="","Энергия",""),IF($U316="","Еда","")))</f>
        <v/>
      </c>
    </row>
    <row r="317">
      <c r="A317" t="inlineStr"/>
      <c r="U317">
        <f>IF($A317="","",IF(SUMIF(FoodLog!$A:$A,$A317,FoodLog!$I:$I)=0,"",SUMIF(FoodLog!$A:$A,$A317,FoodLog!$I:$I)))</f>
        <v/>
      </c>
      <c r="V317">
        <f>IF($A317="","",IF(SUMIF(FoodLog!$A:$A,$A317,FoodLog!$F:$F)=0,"",SUMIF(FoodLog!$A:$A,$A317,FoodLog!$F:$F)))</f>
        <v/>
      </c>
      <c r="W317">
        <f>IF($A317="","",IF(SUMIF(FoodLog!$A:$A,$A317,FoodLog!$G:$G)=0,"",SUMIF(FoodLog!$A:$A,$A317,FoodLog!$G:$G)))</f>
        <v/>
      </c>
      <c r="X317">
        <f>IF($A317="","",IF(SUMIF(FoodLog!$A:$A,$A317,FoodLog!$H:$H)=0,"",SUMIF(FoodLog!$A:$A,$A317,FoodLog!$H:$H)))</f>
        <v/>
      </c>
      <c r="Y317">
        <f>IF($A317="","",IFERROR(ROUND(100*AVERAGE(IF($B317="","",XLOOKUP($B317,FILTER(Dictionaries!$B:$B,Dictionaries!$A:$A="Тренировка"),FILTER(Dictionaries!$C:$C,Dictionaries!$A:$A="Тренировка"))),IF($C317="","",MIN($C317/40,1)),IF($D317="","",XLOOKUP($D317,FILTER(Dictionaries!$B:$B,Dictionaries!$A:$A="Шаги"),FILTER(Dictionaries!$C:$C,Dictionaries!$A:$A="Шаги"))),IF($E317="","",MIN($E317/120,1)),IF(OR($F317&lt;&gt;"",$G317&lt;&gt;""),1,""),IF($H317="","",MIN($H317/100,1)),IF($L317="","",XLOOKUP($L317,FILTER(Dictionaries!$B:$B,Dictionaries!$A:$A="Сон_часы"),FILTER(Dictionaries!$C:$C,Dictionaries!$A:$A="Сон_часы"))),IF($M317="","",XLOOKUP($M317,FILTER(Dictionaries!$B:$B,Dictionaries!$A:$A="Режим"),FILTER(Dictionaries!$C:$C,Dictionaries!$A:$A="Режим"))),IF($N317="","",MIN($N317/100,1)),IF($O317="","",XLOOKUP($O317,FILTER(Dictionaries!$B:$B,Dictionaries!$A:$A="Настроение"),FILTER(Dictionaries!$C:$C,Dictionaries!$A:$A="Настроение"))),IF($P317="","",XLOOKUP($P317,FILTER(Dictionaries!$B:$B,Dictionaries!$A:$A="Энергия"),FILTER(Dictionaries!$C:$C,Dictionaries!$A:$A="Энергия"))),IF($U317="","",AVERAGE(IF(OR($B317="Ноги",$B317="Верх"),IFS(AND($U317&gt;=1900,$U317&lt;=2050),1,AND($U317&gt;=1850,$U317&lt;1900),0.7,AND($U317&gt;2050,$U317&lt;=2100),0.7,TRUE,0.2),IFS(AND($U317&gt;=1700,$U317&lt;=1850),1,AND($U317&gt;=1650,$U317&lt;1700),0.7,AND($U317&gt;1850,$U317&lt;=1900),0.7,TRUE,0.2)),IF(OR($B317="Ноги",$B317="Верх"),IFS(AND($V317&gt;=125,$V317&lt;=135),1,AND($V317&gt;=115,$V317&lt;125),0.7,AND($V317&gt;135,$V317&lt;=145),0.7,AND($V317&gt;=105,$V317&lt;115),0.4,AND($V317&gt;145,$V317&lt;=155),0.4,TRUE,0.2),IFS(AND($V317&gt;=120,$V317&lt;=130),1,AND($V317&gt;=110,$V317&lt;120),0.7,AND($V317&gt;130,$V317&lt;=140),0.7,AND($V317&gt;=100,$V317&lt;110),0.4,AND($V317&gt;140,$V317&lt;=150),0.4,TRUE,0.2)),IFS(AND($W317&gt;=55,$W317&lt;=65),1,AND($W317&gt;=50,$W317&lt;55),0.7,AND($W317&gt;65,$W317&lt;=70),0.7,AND($W317&gt;=45,$W317&lt;50),0.4,AND($W317&gt;70,$W317&lt;=75),0.4,TRUE,0.2),IF(OR($B317="Ноги",$B317="Верх"),IFS(AND($X317&gt;=180,$X317&lt;=210),1,AND($X317&gt;=160,$X317&lt;180),0.7,AND($X317&gt;210,$X317&lt;=230),0.7,AND($X317&gt;=140,$X317&lt;160),0.4,AND($X317&gt;230,$X317&lt;=250),0.4,TRUE,0.2),IFS(AND($X317&gt;=140,$X317&lt;=170),1,AND($X317&gt;=120,$X317&lt;140),0.7,AND($X317&gt;170,$X317&lt;=190),0.7,AND($X317&gt;=100,$X317&lt;120),0.4,AND($X317&gt;190,$X317&lt;=210),0.4,TRUE,0.2))))),1),""))</f>
        <v/>
      </c>
      <c r="Z317">
        <f>IF($A317="","",TEXTJOIN(", ",TRUE,IF($B317="","Тренировка",""),IF($C317="","Кардио",""),IF($D317="","Шаги",""),IF($E317="","Английский",""),IF($F317="","Код-режим",""),IF($G317="","Код-тема",""),IF($H317="","Чтение",""),IF($L317="","Сон",""),IF($M317="","Режим",""),IF($N317="","Продуктивность",""),IF($O317="","Настроение",""),IF($P317="","Энергия",""),IF($U317="","Еда","")))</f>
        <v/>
      </c>
    </row>
    <row r="318">
      <c r="A318" t="inlineStr"/>
      <c r="U318">
        <f>IF($A318="","",IF(SUMIF(FoodLog!$A:$A,$A318,FoodLog!$I:$I)=0,"",SUMIF(FoodLog!$A:$A,$A318,FoodLog!$I:$I)))</f>
        <v/>
      </c>
      <c r="V318">
        <f>IF($A318="","",IF(SUMIF(FoodLog!$A:$A,$A318,FoodLog!$F:$F)=0,"",SUMIF(FoodLog!$A:$A,$A318,FoodLog!$F:$F)))</f>
        <v/>
      </c>
      <c r="W318">
        <f>IF($A318="","",IF(SUMIF(FoodLog!$A:$A,$A318,FoodLog!$G:$G)=0,"",SUMIF(FoodLog!$A:$A,$A318,FoodLog!$G:$G)))</f>
        <v/>
      </c>
      <c r="X318">
        <f>IF($A318="","",IF(SUMIF(FoodLog!$A:$A,$A318,FoodLog!$H:$H)=0,"",SUMIF(FoodLog!$A:$A,$A318,FoodLog!$H:$H)))</f>
        <v/>
      </c>
      <c r="Y318">
        <f>IF($A318="","",IFERROR(ROUND(100*AVERAGE(IF($B318="","",XLOOKUP($B318,FILTER(Dictionaries!$B:$B,Dictionaries!$A:$A="Тренировка"),FILTER(Dictionaries!$C:$C,Dictionaries!$A:$A="Тренировка"))),IF($C318="","",MIN($C318/40,1)),IF($D318="","",XLOOKUP($D318,FILTER(Dictionaries!$B:$B,Dictionaries!$A:$A="Шаги"),FILTER(Dictionaries!$C:$C,Dictionaries!$A:$A="Шаги"))),IF($E318="","",MIN($E318/120,1)),IF(OR($F318&lt;&gt;"",$G318&lt;&gt;""),1,""),IF($H318="","",MIN($H318/100,1)),IF($L318="","",XLOOKUP($L318,FILTER(Dictionaries!$B:$B,Dictionaries!$A:$A="Сон_часы"),FILTER(Dictionaries!$C:$C,Dictionaries!$A:$A="Сон_часы"))),IF($M318="","",XLOOKUP($M318,FILTER(Dictionaries!$B:$B,Dictionaries!$A:$A="Режим"),FILTER(Dictionaries!$C:$C,Dictionaries!$A:$A="Режим"))),IF($N318="","",MIN($N318/100,1)),IF($O318="","",XLOOKUP($O318,FILTER(Dictionaries!$B:$B,Dictionaries!$A:$A="Настроение"),FILTER(Dictionaries!$C:$C,Dictionaries!$A:$A="Настроение"))),IF($P318="","",XLOOKUP($P318,FILTER(Dictionaries!$B:$B,Dictionaries!$A:$A="Энергия"),FILTER(Dictionaries!$C:$C,Dictionaries!$A:$A="Энергия"))),IF($U318="","",AVERAGE(IF(OR($B318="Ноги",$B318="Верх"),IFS(AND($U318&gt;=1900,$U318&lt;=2050),1,AND($U318&gt;=1850,$U318&lt;1900),0.7,AND($U318&gt;2050,$U318&lt;=2100),0.7,TRUE,0.2),IFS(AND($U318&gt;=1700,$U318&lt;=1850),1,AND($U318&gt;=1650,$U318&lt;1700),0.7,AND($U318&gt;1850,$U318&lt;=1900),0.7,TRUE,0.2)),IF(OR($B318="Ноги",$B318="Верх"),IFS(AND($V318&gt;=125,$V318&lt;=135),1,AND($V318&gt;=115,$V318&lt;125),0.7,AND($V318&gt;135,$V318&lt;=145),0.7,AND($V318&gt;=105,$V318&lt;115),0.4,AND($V318&gt;145,$V318&lt;=155),0.4,TRUE,0.2),IFS(AND($V318&gt;=120,$V318&lt;=130),1,AND($V318&gt;=110,$V318&lt;120),0.7,AND($V318&gt;130,$V318&lt;=140),0.7,AND($V318&gt;=100,$V318&lt;110),0.4,AND($V318&gt;140,$V318&lt;=150),0.4,TRUE,0.2)),IFS(AND($W318&gt;=55,$W318&lt;=65),1,AND($W318&gt;=50,$W318&lt;55),0.7,AND($W318&gt;65,$W318&lt;=70),0.7,AND($W318&gt;=45,$W318&lt;50),0.4,AND($W318&gt;70,$W318&lt;=75),0.4,TRUE,0.2),IF(OR($B318="Ноги",$B318="Верх"),IFS(AND($X318&gt;=180,$X318&lt;=210),1,AND($X318&gt;=160,$X318&lt;180),0.7,AND($X318&gt;210,$X318&lt;=230),0.7,AND($X318&gt;=140,$X318&lt;160),0.4,AND($X318&gt;230,$X318&lt;=250),0.4,TRUE,0.2),IFS(AND($X318&gt;=140,$X318&lt;=170),1,AND($X318&gt;=120,$X318&lt;140),0.7,AND($X318&gt;170,$X318&lt;=190),0.7,AND($X318&gt;=100,$X318&lt;120),0.4,AND($X318&gt;190,$X318&lt;=210),0.4,TRUE,0.2))))),1),""))</f>
        <v/>
      </c>
      <c r="Z318">
        <f>IF($A318="","",TEXTJOIN(", ",TRUE,IF($B318="","Тренировка",""),IF($C318="","Кардио",""),IF($D318="","Шаги",""),IF($E318="","Английский",""),IF($F318="","Код-режим",""),IF($G318="","Код-тема",""),IF($H318="","Чтение",""),IF($L318="","Сон",""),IF($M318="","Режим",""),IF($N318="","Продуктивность",""),IF($O318="","Настроение",""),IF($P318="","Энергия",""),IF($U318="","Еда","")))</f>
        <v/>
      </c>
    </row>
    <row r="319">
      <c r="A319" t="inlineStr"/>
      <c r="U319">
        <f>IF($A319="","",IF(SUMIF(FoodLog!$A:$A,$A319,FoodLog!$I:$I)=0,"",SUMIF(FoodLog!$A:$A,$A319,FoodLog!$I:$I)))</f>
        <v/>
      </c>
      <c r="V319">
        <f>IF($A319="","",IF(SUMIF(FoodLog!$A:$A,$A319,FoodLog!$F:$F)=0,"",SUMIF(FoodLog!$A:$A,$A319,FoodLog!$F:$F)))</f>
        <v/>
      </c>
      <c r="W319">
        <f>IF($A319="","",IF(SUMIF(FoodLog!$A:$A,$A319,FoodLog!$G:$G)=0,"",SUMIF(FoodLog!$A:$A,$A319,FoodLog!$G:$G)))</f>
        <v/>
      </c>
      <c r="X319">
        <f>IF($A319="","",IF(SUMIF(FoodLog!$A:$A,$A319,FoodLog!$H:$H)=0,"",SUMIF(FoodLog!$A:$A,$A319,FoodLog!$H:$H)))</f>
        <v/>
      </c>
      <c r="Y319">
        <f>IF($A319="","",IFERROR(ROUND(100*AVERAGE(IF($B319="","",XLOOKUP($B319,FILTER(Dictionaries!$B:$B,Dictionaries!$A:$A="Тренировка"),FILTER(Dictionaries!$C:$C,Dictionaries!$A:$A="Тренировка"))),IF($C319="","",MIN($C319/40,1)),IF($D319="","",XLOOKUP($D319,FILTER(Dictionaries!$B:$B,Dictionaries!$A:$A="Шаги"),FILTER(Dictionaries!$C:$C,Dictionaries!$A:$A="Шаги"))),IF($E319="","",MIN($E319/120,1)),IF(OR($F319&lt;&gt;"",$G319&lt;&gt;""),1,""),IF($H319="","",MIN($H319/100,1)),IF($L319="","",XLOOKUP($L319,FILTER(Dictionaries!$B:$B,Dictionaries!$A:$A="Сон_часы"),FILTER(Dictionaries!$C:$C,Dictionaries!$A:$A="Сон_часы"))),IF($M319="","",XLOOKUP($M319,FILTER(Dictionaries!$B:$B,Dictionaries!$A:$A="Режим"),FILTER(Dictionaries!$C:$C,Dictionaries!$A:$A="Режим"))),IF($N319="","",MIN($N319/100,1)),IF($O319="","",XLOOKUP($O319,FILTER(Dictionaries!$B:$B,Dictionaries!$A:$A="Настроение"),FILTER(Dictionaries!$C:$C,Dictionaries!$A:$A="Настроение"))),IF($P319="","",XLOOKUP($P319,FILTER(Dictionaries!$B:$B,Dictionaries!$A:$A="Энергия"),FILTER(Dictionaries!$C:$C,Dictionaries!$A:$A="Энергия"))),IF($U319="","",AVERAGE(IF(OR($B319="Ноги",$B319="Верх"),IFS(AND($U319&gt;=1900,$U319&lt;=2050),1,AND($U319&gt;=1850,$U319&lt;1900),0.7,AND($U319&gt;2050,$U319&lt;=2100),0.7,TRUE,0.2),IFS(AND($U319&gt;=1700,$U319&lt;=1850),1,AND($U319&gt;=1650,$U319&lt;1700),0.7,AND($U319&gt;1850,$U319&lt;=1900),0.7,TRUE,0.2)),IF(OR($B319="Ноги",$B319="Верх"),IFS(AND($V319&gt;=125,$V319&lt;=135),1,AND($V319&gt;=115,$V319&lt;125),0.7,AND($V319&gt;135,$V319&lt;=145),0.7,AND($V319&gt;=105,$V319&lt;115),0.4,AND($V319&gt;145,$V319&lt;=155),0.4,TRUE,0.2),IFS(AND($V319&gt;=120,$V319&lt;=130),1,AND($V319&gt;=110,$V319&lt;120),0.7,AND($V319&gt;130,$V319&lt;=140),0.7,AND($V319&gt;=100,$V319&lt;110),0.4,AND($V319&gt;140,$V319&lt;=150),0.4,TRUE,0.2)),IFS(AND($W319&gt;=55,$W319&lt;=65),1,AND($W319&gt;=50,$W319&lt;55),0.7,AND($W319&gt;65,$W319&lt;=70),0.7,AND($W319&gt;=45,$W319&lt;50),0.4,AND($W319&gt;70,$W319&lt;=75),0.4,TRUE,0.2),IF(OR($B319="Ноги",$B319="Верх"),IFS(AND($X319&gt;=180,$X319&lt;=210),1,AND($X319&gt;=160,$X319&lt;180),0.7,AND($X319&gt;210,$X319&lt;=230),0.7,AND($X319&gt;=140,$X319&lt;160),0.4,AND($X319&gt;230,$X319&lt;=250),0.4,TRUE,0.2),IFS(AND($X319&gt;=140,$X319&lt;=170),1,AND($X319&gt;=120,$X319&lt;140),0.7,AND($X319&gt;170,$X319&lt;=190),0.7,AND($X319&gt;=100,$X319&lt;120),0.4,AND($X319&gt;190,$X319&lt;=210),0.4,TRUE,0.2))))),1),""))</f>
        <v/>
      </c>
      <c r="Z319">
        <f>IF($A319="","",TEXTJOIN(", ",TRUE,IF($B319="","Тренировка",""),IF($C319="","Кардио",""),IF($D319="","Шаги",""),IF($E319="","Английский",""),IF($F319="","Код-режим",""),IF($G319="","Код-тема",""),IF($H319="","Чтение",""),IF($L319="","Сон",""),IF($M319="","Режим",""),IF($N319="","Продуктивность",""),IF($O319="","Настроение",""),IF($P319="","Энергия",""),IF($U319="","Еда","")))</f>
        <v/>
      </c>
    </row>
    <row r="320">
      <c r="A320" t="inlineStr"/>
      <c r="U320">
        <f>IF($A320="","",IF(SUMIF(FoodLog!$A:$A,$A320,FoodLog!$I:$I)=0,"",SUMIF(FoodLog!$A:$A,$A320,FoodLog!$I:$I)))</f>
        <v/>
      </c>
      <c r="V320">
        <f>IF($A320="","",IF(SUMIF(FoodLog!$A:$A,$A320,FoodLog!$F:$F)=0,"",SUMIF(FoodLog!$A:$A,$A320,FoodLog!$F:$F)))</f>
        <v/>
      </c>
      <c r="W320">
        <f>IF($A320="","",IF(SUMIF(FoodLog!$A:$A,$A320,FoodLog!$G:$G)=0,"",SUMIF(FoodLog!$A:$A,$A320,FoodLog!$G:$G)))</f>
        <v/>
      </c>
      <c r="X320">
        <f>IF($A320="","",IF(SUMIF(FoodLog!$A:$A,$A320,FoodLog!$H:$H)=0,"",SUMIF(FoodLog!$A:$A,$A320,FoodLog!$H:$H)))</f>
        <v/>
      </c>
      <c r="Y320">
        <f>IF($A320="","",IFERROR(ROUND(100*AVERAGE(IF($B320="","",XLOOKUP($B320,FILTER(Dictionaries!$B:$B,Dictionaries!$A:$A="Тренировка"),FILTER(Dictionaries!$C:$C,Dictionaries!$A:$A="Тренировка"))),IF($C320="","",MIN($C320/40,1)),IF($D320="","",XLOOKUP($D320,FILTER(Dictionaries!$B:$B,Dictionaries!$A:$A="Шаги"),FILTER(Dictionaries!$C:$C,Dictionaries!$A:$A="Шаги"))),IF($E320="","",MIN($E320/120,1)),IF(OR($F320&lt;&gt;"",$G320&lt;&gt;""),1,""),IF($H320="","",MIN($H320/100,1)),IF($L320="","",XLOOKUP($L320,FILTER(Dictionaries!$B:$B,Dictionaries!$A:$A="Сон_часы"),FILTER(Dictionaries!$C:$C,Dictionaries!$A:$A="Сон_часы"))),IF($M320="","",XLOOKUP($M320,FILTER(Dictionaries!$B:$B,Dictionaries!$A:$A="Режим"),FILTER(Dictionaries!$C:$C,Dictionaries!$A:$A="Режим"))),IF($N320="","",MIN($N320/100,1)),IF($O320="","",XLOOKUP($O320,FILTER(Dictionaries!$B:$B,Dictionaries!$A:$A="Настроение"),FILTER(Dictionaries!$C:$C,Dictionaries!$A:$A="Настроение"))),IF($P320="","",XLOOKUP($P320,FILTER(Dictionaries!$B:$B,Dictionaries!$A:$A="Энергия"),FILTER(Dictionaries!$C:$C,Dictionaries!$A:$A="Энергия"))),IF($U320="","",AVERAGE(IF(OR($B320="Ноги",$B320="Верх"),IFS(AND($U320&gt;=1900,$U320&lt;=2050),1,AND($U320&gt;=1850,$U320&lt;1900),0.7,AND($U320&gt;2050,$U320&lt;=2100),0.7,TRUE,0.2),IFS(AND($U320&gt;=1700,$U320&lt;=1850),1,AND($U320&gt;=1650,$U320&lt;1700),0.7,AND($U320&gt;1850,$U320&lt;=1900),0.7,TRUE,0.2)),IF(OR($B320="Ноги",$B320="Верх"),IFS(AND($V320&gt;=125,$V320&lt;=135),1,AND($V320&gt;=115,$V320&lt;125),0.7,AND($V320&gt;135,$V320&lt;=145),0.7,AND($V320&gt;=105,$V320&lt;115),0.4,AND($V320&gt;145,$V320&lt;=155),0.4,TRUE,0.2),IFS(AND($V320&gt;=120,$V320&lt;=130),1,AND($V320&gt;=110,$V320&lt;120),0.7,AND($V320&gt;130,$V320&lt;=140),0.7,AND($V320&gt;=100,$V320&lt;110),0.4,AND($V320&gt;140,$V320&lt;=150),0.4,TRUE,0.2)),IFS(AND($W320&gt;=55,$W320&lt;=65),1,AND($W320&gt;=50,$W320&lt;55),0.7,AND($W320&gt;65,$W320&lt;=70),0.7,AND($W320&gt;=45,$W320&lt;50),0.4,AND($W320&gt;70,$W320&lt;=75),0.4,TRUE,0.2),IF(OR($B320="Ноги",$B320="Верх"),IFS(AND($X320&gt;=180,$X320&lt;=210),1,AND($X320&gt;=160,$X320&lt;180),0.7,AND($X320&gt;210,$X320&lt;=230),0.7,AND($X320&gt;=140,$X320&lt;160),0.4,AND($X320&gt;230,$X320&lt;=250),0.4,TRUE,0.2),IFS(AND($X320&gt;=140,$X320&lt;=170),1,AND($X320&gt;=120,$X320&lt;140),0.7,AND($X320&gt;170,$X320&lt;=190),0.7,AND($X320&gt;=100,$X320&lt;120),0.4,AND($X320&gt;190,$X320&lt;=210),0.4,TRUE,0.2))))),1),""))</f>
        <v/>
      </c>
      <c r="Z320">
        <f>IF($A320="","",TEXTJOIN(", ",TRUE,IF($B320="","Тренировка",""),IF($C320="","Кардио",""),IF($D320="","Шаги",""),IF($E320="","Английский",""),IF($F320="","Код-режим",""),IF($G320="","Код-тема",""),IF($H320="","Чтение",""),IF($L320="","Сон",""),IF($M320="","Режим",""),IF($N320="","Продуктивность",""),IF($O320="","Настроение",""),IF($P320="","Энергия",""),IF($U320="","Еда","")))</f>
        <v/>
      </c>
    </row>
    <row r="321">
      <c r="A321" t="inlineStr"/>
      <c r="U321">
        <f>IF($A321="","",IF(SUMIF(FoodLog!$A:$A,$A321,FoodLog!$I:$I)=0,"",SUMIF(FoodLog!$A:$A,$A321,FoodLog!$I:$I)))</f>
        <v/>
      </c>
      <c r="V321">
        <f>IF($A321="","",IF(SUMIF(FoodLog!$A:$A,$A321,FoodLog!$F:$F)=0,"",SUMIF(FoodLog!$A:$A,$A321,FoodLog!$F:$F)))</f>
        <v/>
      </c>
      <c r="W321">
        <f>IF($A321="","",IF(SUMIF(FoodLog!$A:$A,$A321,FoodLog!$G:$G)=0,"",SUMIF(FoodLog!$A:$A,$A321,FoodLog!$G:$G)))</f>
        <v/>
      </c>
      <c r="X321">
        <f>IF($A321="","",IF(SUMIF(FoodLog!$A:$A,$A321,FoodLog!$H:$H)=0,"",SUMIF(FoodLog!$A:$A,$A321,FoodLog!$H:$H)))</f>
        <v/>
      </c>
      <c r="Y321">
        <f>IF($A321="","",IFERROR(ROUND(100*AVERAGE(IF($B321="","",XLOOKUP($B321,FILTER(Dictionaries!$B:$B,Dictionaries!$A:$A="Тренировка"),FILTER(Dictionaries!$C:$C,Dictionaries!$A:$A="Тренировка"))),IF($C321="","",MIN($C321/40,1)),IF($D321="","",XLOOKUP($D321,FILTER(Dictionaries!$B:$B,Dictionaries!$A:$A="Шаги"),FILTER(Dictionaries!$C:$C,Dictionaries!$A:$A="Шаги"))),IF($E321="","",MIN($E321/120,1)),IF(OR($F321&lt;&gt;"",$G321&lt;&gt;""),1,""),IF($H321="","",MIN($H321/100,1)),IF($L321="","",XLOOKUP($L321,FILTER(Dictionaries!$B:$B,Dictionaries!$A:$A="Сон_часы"),FILTER(Dictionaries!$C:$C,Dictionaries!$A:$A="Сон_часы"))),IF($M321="","",XLOOKUP($M321,FILTER(Dictionaries!$B:$B,Dictionaries!$A:$A="Режим"),FILTER(Dictionaries!$C:$C,Dictionaries!$A:$A="Режим"))),IF($N321="","",MIN($N321/100,1)),IF($O321="","",XLOOKUP($O321,FILTER(Dictionaries!$B:$B,Dictionaries!$A:$A="Настроение"),FILTER(Dictionaries!$C:$C,Dictionaries!$A:$A="Настроение"))),IF($P321="","",XLOOKUP($P321,FILTER(Dictionaries!$B:$B,Dictionaries!$A:$A="Энергия"),FILTER(Dictionaries!$C:$C,Dictionaries!$A:$A="Энергия"))),IF($U321="","",AVERAGE(IF(OR($B321="Ноги",$B321="Верх"),IFS(AND($U321&gt;=1900,$U321&lt;=2050),1,AND($U321&gt;=1850,$U321&lt;1900),0.7,AND($U321&gt;2050,$U321&lt;=2100),0.7,TRUE,0.2),IFS(AND($U321&gt;=1700,$U321&lt;=1850),1,AND($U321&gt;=1650,$U321&lt;1700),0.7,AND($U321&gt;1850,$U321&lt;=1900),0.7,TRUE,0.2)),IF(OR($B321="Ноги",$B321="Верх"),IFS(AND($V321&gt;=125,$V321&lt;=135),1,AND($V321&gt;=115,$V321&lt;125),0.7,AND($V321&gt;135,$V321&lt;=145),0.7,AND($V321&gt;=105,$V321&lt;115),0.4,AND($V321&gt;145,$V321&lt;=155),0.4,TRUE,0.2),IFS(AND($V321&gt;=120,$V321&lt;=130),1,AND($V321&gt;=110,$V321&lt;120),0.7,AND($V321&gt;130,$V321&lt;=140),0.7,AND($V321&gt;=100,$V321&lt;110),0.4,AND($V321&gt;140,$V321&lt;=150),0.4,TRUE,0.2)),IFS(AND($W321&gt;=55,$W321&lt;=65),1,AND($W321&gt;=50,$W321&lt;55),0.7,AND($W321&gt;65,$W321&lt;=70),0.7,AND($W321&gt;=45,$W321&lt;50),0.4,AND($W321&gt;70,$W321&lt;=75),0.4,TRUE,0.2),IF(OR($B321="Ноги",$B321="Верх"),IFS(AND($X321&gt;=180,$X321&lt;=210),1,AND($X321&gt;=160,$X321&lt;180),0.7,AND($X321&gt;210,$X321&lt;=230),0.7,AND($X321&gt;=140,$X321&lt;160),0.4,AND($X321&gt;230,$X321&lt;=250),0.4,TRUE,0.2),IFS(AND($X321&gt;=140,$X321&lt;=170),1,AND($X321&gt;=120,$X321&lt;140),0.7,AND($X321&gt;170,$X321&lt;=190),0.7,AND($X321&gt;=100,$X321&lt;120),0.4,AND($X321&gt;190,$X321&lt;=210),0.4,TRUE,0.2))))),1),""))</f>
        <v/>
      </c>
      <c r="Z321">
        <f>IF($A321="","",TEXTJOIN(", ",TRUE,IF($B321="","Тренировка",""),IF($C321="","Кардио",""),IF($D321="","Шаги",""),IF($E321="","Английский",""),IF($F321="","Код-режим",""),IF($G321="","Код-тема",""),IF($H321="","Чтение",""),IF($L321="","Сон",""),IF($M321="","Режим",""),IF($N321="","Продуктивность",""),IF($O321="","Настроение",""),IF($P321="","Энергия",""),IF($U321="","Еда","")))</f>
        <v/>
      </c>
    </row>
    <row r="322">
      <c r="A322" t="inlineStr"/>
      <c r="U322">
        <f>IF($A322="","",IF(SUMIF(FoodLog!$A:$A,$A322,FoodLog!$I:$I)=0,"",SUMIF(FoodLog!$A:$A,$A322,FoodLog!$I:$I)))</f>
        <v/>
      </c>
      <c r="V322">
        <f>IF($A322="","",IF(SUMIF(FoodLog!$A:$A,$A322,FoodLog!$F:$F)=0,"",SUMIF(FoodLog!$A:$A,$A322,FoodLog!$F:$F)))</f>
        <v/>
      </c>
      <c r="W322">
        <f>IF($A322="","",IF(SUMIF(FoodLog!$A:$A,$A322,FoodLog!$G:$G)=0,"",SUMIF(FoodLog!$A:$A,$A322,FoodLog!$G:$G)))</f>
        <v/>
      </c>
      <c r="X322">
        <f>IF($A322="","",IF(SUMIF(FoodLog!$A:$A,$A322,FoodLog!$H:$H)=0,"",SUMIF(FoodLog!$A:$A,$A322,FoodLog!$H:$H)))</f>
        <v/>
      </c>
      <c r="Y322">
        <f>IF($A322="","",IFERROR(ROUND(100*AVERAGE(IF($B322="","",XLOOKUP($B322,FILTER(Dictionaries!$B:$B,Dictionaries!$A:$A="Тренировка"),FILTER(Dictionaries!$C:$C,Dictionaries!$A:$A="Тренировка"))),IF($C322="","",MIN($C322/40,1)),IF($D322="","",XLOOKUP($D322,FILTER(Dictionaries!$B:$B,Dictionaries!$A:$A="Шаги"),FILTER(Dictionaries!$C:$C,Dictionaries!$A:$A="Шаги"))),IF($E322="","",MIN($E322/120,1)),IF(OR($F322&lt;&gt;"",$G322&lt;&gt;""),1,""),IF($H322="","",MIN($H322/100,1)),IF($L322="","",XLOOKUP($L322,FILTER(Dictionaries!$B:$B,Dictionaries!$A:$A="Сон_часы"),FILTER(Dictionaries!$C:$C,Dictionaries!$A:$A="Сон_часы"))),IF($M322="","",XLOOKUP($M322,FILTER(Dictionaries!$B:$B,Dictionaries!$A:$A="Режим"),FILTER(Dictionaries!$C:$C,Dictionaries!$A:$A="Режим"))),IF($N322="","",MIN($N322/100,1)),IF($O322="","",XLOOKUP($O322,FILTER(Dictionaries!$B:$B,Dictionaries!$A:$A="Настроение"),FILTER(Dictionaries!$C:$C,Dictionaries!$A:$A="Настроение"))),IF($P322="","",XLOOKUP($P322,FILTER(Dictionaries!$B:$B,Dictionaries!$A:$A="Энергия"),FILTER(Dictionaries!$C:$C,Dictionaries!$A:$A="Энергия"))),IF($U322="","",AVERAGE(IF(OR($B322="Ноги",$B322="Верх"),IFS(AND($U322&gt;=1900,$U322&lt;=2050),1,AND($U322&gt;=1850,$U322&lt;1900),0.7,AND($U322&gt;2050,$U322&lt;=2100),0.7,TRUE,0.2),IFS(AND($U322&gt;=1700,$U322&lt;=1850),1,AND($U322&gt;=1650,$U322&lt;1700),0.7,AND($U322&gt;1850,$U322&lt;=1900),0.7,TRUE,0.2)),IF(OR($B322="Ноги",$B322="Верх"),IFS(AND($V322&gt;=125,$V322&lt;=135),1,AND($V322&gt;=115,$V322&lt;125),0.7,AND($V322&gt;135,$V322&lt;=145),0.7,AND($V322&gt;=105,$V322&lt;115),0.4,AND($V322&gt;145,$V322&lt;=155),0.4,TRUE,0.2),IFS(AND($V322&gt;=120,$V322&lt;=130),1,AND($V322&gt;=110,$V322&lt;120),0.7,AND($V322&gt;130,$V322&lt;=140),0.7,AND($V322&gt;=100,$V322&lt;110),0.4,AND($V322&gt;140,$V322&lt;=150),0.4,TRUE,0.2)),IFS(AND($W322&gt;=55,$W322&lt;=65),1,AND($W322&gt;=50,$W322&lt;55),0.7,AND($W322&gt;65,$W322&lt;=70),0.7,AND($W322&gt;=45,$W322&lt;50),0.4,AND($W322&gt;70,$W322&lt;=75),0.4,TRUE,0.2),IF(OR($B322="Ноги",$B322="Верх"),IFS(AND($X322&gt;=180,$X322&lt;=210),1,AND($X322&gt;=160,$X322&lt;180),0.7,AND($X322&gt;210,$X322&lt;=230),0.7,AND($X322&gt;=140,$X322&lt;160),0.4,AND($X322&gt;230,$X322&lt;=250),0.4,TRUE,0.2),IFS(AND($X322&gt;=140,$X322&lt;=170),1,AND($X322&gt;=120,$X322&lt;140),0.7,AND($X322&gt;170,$X322&lt;=190),0.7,AND($X322&gt;=100,$X322&lt;120),0.4,AND($X322&gt;190,$X322&lt;=210),0.4,TRUE,0.2))))),1),""))</f>
        <v/>
      </c>
      <c r="Z322">
        <f>IF($A322="","",TEXTJOIN(", ",TRUE,IF($B322="","Тренировка",""),IF($C322="","Кардио",""),IF($D322="","Шаги",""),IF($E322="","Английский",""),IF($F322="","Код-режим",""),IF($G322="","Код-тема",""),IF($H322="","Чтение",""),IF($L322="","Сон",""),IF($M322="","Режим",""),IF($N322="","Продуктивность",""),IF($O322="","Настроение",""),IF($P322="","Энергия",""),IF($U322="","Еда","")))</f>
        <v/>
      </c>
    </row>
    <row r="323">
      <c r="A323" t="inlineStr"/>
      <c r="U323">
        <f>IF($A323="","",IF(SUMIF(FoodLog!$A:$A,$A323,FoodLog!$I:$I)=0,"",SUMIF(FoodLog!$A:$A,$A323,FoodLog!$I:$I)))</f>
        <v/>
      </c>
      <c r="V323">
        <f>IF($A323="","",IF(SUMIF(FoodLog!$A:$A,$A323,FoodLog!$F:$F)=0,"",SUMIF(FoodLog!$A:$A,$A323,FoodLog!$F:$F)))</f>
        <v/>
      </c>
      <c r="W323">
        <f>IF($A323="","",IF(SUMIF(FoodLog!$A:$A,$A323,FoodLog!$G:$G)=0,"",SUMIF(FoodLog!$A:$A,$A323,FoodLog!$G:$G)))</f>
        <v/>
      </c>
      <c r="X323">
        <f>IF($A323="","",IF(SUMIF(FoodLog!$A:$A,$A323,FoodLog!$H:$H)=0,"",SUMIF(FoodLog!$A:$A,$A323,FoodLog!$H:$H)))</f>
        <v/>
      </c>
      <c r="Y323">
        <f>IF($A323="","",IFERROR(ROUND(100*AVERAGE(IF($B323="","",XLOOKUP($B323,FILTER(Dictionaries!$B:$B,Dictionaries!$A:$A="Тренировка"),FILTER(Dictionaries!$C:$C,Dictionaries!$A:$A="Тренировка"))),IF($C323="","",MIN($C323/40,1)),IF($D323="","",XLOOKUP($D323,FILTER(Dictionaries!$B:$B,Dictionaries!$A:$A="Шаги"),FILTER(Dictionaries!$C:$C,Dictionaries!$A:$A="Шаги"))),IF($E323="","",MIN($E323/120,1)),IF(OR($F323&lt;&gt;"",$G323&lt;&gt;""),1,""),IF($H323="","",MIN($H323/100,1)),IF($L323="","",XLOOKUP($L323,FILTER(Dictionaries!$B:$B,Dictionaries!$A:$A="Сон_часы"),FILTER(Dictionaries!$C:$C,Dictionaries!$A:$A="Сон_часы"))),IF($M323="","",XLOOKUP($M323,FILTER(Dictionaries!$B:$B,Dictionaries!$A:$A="Режим"),FILTER(Dictionaries!$C:$C,Dictionaries!$A:$A="Режим"))),IF($N323="","",MIN($N323/100,1)),IF($O323="","",XLOOKUP($O323,FILTER(Dictionaries!$B:$B,Dictionaries!$A:$A="Настроение"),FILTER(Dictionaries!$C:$C,Dictionaries!$A:$A="Настроение"))),IF($P323="","",XLOOKUP($P323,FILTER(Dictionaries!$B:$B,Dictionaries!$A:$A="Энергия"),FILTER(Dictionaries!$C:$C,Dictionaries!$A:$A="Энергия"))),IF($U323="","",AVERAGE(IF(OR($B323="Ноги",$B323="Верх"),IFS(AND($U323&gt;=1900,$U323&lt;=2050),1,AND($U323&gt;=1850,$U323&lt;1900),0.7,AND($U323&gt;2050,$U323&lt;=2100),0.7,TRUE,0.2),IFS(AND($U323&gt;=1700,$U323&lt;=1850),1,AND($U323&gt;=1650,$U323&lt;1700),0.7,AND($U323&gt;1850,$U323&lt;=1900),0.7,TRUE,0.2)),IF(OR($B323="Ноги",$B323="Верх"),IFS(AND($V323&gt;=125,$V323&lt;=135),1,AND($V323&gt;=115,$V323&lt;125),0.7,AND($V323&gt;135,$V323&lt;=145),0.7,AND($V323&gt;=105,$V323&lt;115),0.4,AND($V323&gt;145,$V323&lt;=155),0.4,TRUE,0.2),IFS(AND($V323&gt;=120,$V323&lt;=130),1,AND($V323&gt;=110,$V323&lt;120),0.7,AND($V323&gt;130,$V323&lt;=140),0.7,AND($V323&gt;=100,$V323&lt;110),0.4,AND($V323&gt;140,$V323&lt;=150),0.4,TRUE,0.2)),IFS(AND($W323&gt;=55,$W323&lt;=65),1,AND($W323&gt;=50,$W323&lt;55),0.7,AND($W323&gt;65,$W323&lt;=70),0.7,AND($W323&gt;=45,$W323&lt;50),0.4,AND($W323&gt;70,$W323&lt;=75),0.4,TRUE,0.2),IF(OR($B323="Ноги",$B323="Верх"),IFS(AND($X323&gt;=180,$X323&lt;=210),1,AND($X323&gt;=160,$X323&lt;180),0.7,AND($X323&gt;210,$X323&lt;=230),0.7,AND($X323&gt;=140,$X323&lt;160),0.4,AND($X323&gt;230,$X323&lt;=250),0.4,TRUE,0.2),IFS(AND($X323&gt;=140,$X323&lt;=170),1,AND($X323&gt;=120,$X323&lt;140),0.7,AND($X323&gt;170,$X323&lt;=190),0.7,AND($X323&gt;=100,$X323&lt;120),0.4,AND($X323&gt;190,$X323&lt;=210),0.4,TRUE,0.2))))),1),""))</f>
        <v/>
      </c>
      <c r="Z323">
        <f>IF($A323="","",TEXTJOIN(", ",TRUE,IF($B323="","Тренировка",""),IF($C323="","Кардио",""),IF($D323="","Шаги",""),IF($E323="","Английский",""),IF($F323="","Код-режим",""),IF($G323="","Код-тема",""),IF($H323="","Чтение",""),IF($L323="","Сон",""),IF($M323="","Режим",""),IF($N323="","Продуктивность",""),IF($O323="","Настроение",""),IF($P323="","Энергия",""),IF($U323="","Еда","")))</f>
        <v/>
      </c>
    </row>
    <row r="324">
      <c r="A324" t="inlineStr"/>
      <c r="U324">
        <f>IF($A324="","",IF(SUMIF(FoodLog!$A:$A,$A324,FoodLog!$I:$I)=0,"",SUMIF(FoodLog!$A:$A,$A324,FoodLog!$I:$I)))</f>
        <v/>
      </c>
      <c r="V324">
        <f>IF($A324="","",IF(SUMIF(FoodLog!$A:$A,$A324,FoodLog!$F:$F)=0,"",SUMIF(FoodLog!$A:$A,$A324,FoodLog!$F:$F)))</f>
        <v/>
      </c>
      <c r="W324">
        <f>IF($A324="","",IF(SUMIF(FoodLog!$A:$A,$A324,FoodLog!$G:$G)=0,"",SUMIF(FoodLog!$A:$A,$A324,FoodLog!$G:$G)))</f>
        <v/>
      </c>
      <c r="X324">
        <f>IF($A324="","",IF(SUMIF(FoodLog!$A:$A,$A324,FoodLog!$H:$H)=0,"",SUMIF(FoodLog!$A:$A,$A324,FoodLog!$H:$H)))</f>
        <v/>
      </c>
      <c r="Y324">
        <f>IF($A324="","",IFERROR(ROUND(100*AVERAGE(IF($B324="","",XLOOKUP($B324,FILTER(Dictionaries!$B:$B,Dictionaries!$A:$A="Тренировка"),FILTER(Dictionaries!$C:$C,Dictionaries!$A:$A="Тренировка"))),IF($C324="","",MIN($C324/40,1)),IF($D324="","",XLOOKUP($D324,FILTER(Dictionaries!$B:$B,Dictionaries!$A:$A="Шаги"),FILTER(Dictionaries!$C:$C,Dictionaries!$A:$A="Шаги"))),IF($E324="","",MIN($E324/120,1)),IF(OR($F324&lt;&gt;"",$G324&lt;&gt;""),1,""),IF($H324="","",MIN($H324/100,1)),IF($L324="","",XLOOKUP($L324,FILTER(Dictionaries!$B:$B,Dictionaries!$A:$A="Сон_часы"),FILTER(Dictionaries!$C:$C,Dictionaries!$A:$A="Сон_часы"))),IF($M324="","",XLOOKUP($M324,FILTER(Dictionaries!$B:$B,Dictionaries!$A:$A="Режим"),FILTER(Dictionaries!$C:$C,Dictionaries!$A:$A="Режим"))),IF($N324="","",MIN($N324/100,1)),IF($O324="","",XLOOKUP($O324,FILTER(Dictionaries!$B:$B,Dictionaries!$A:$A="Настроение"),FILTER(Dictionaries!$C:$C,Dictionaries!$A:$A="Настроение"))),IF($P324="","",XLOOKUP($P324,FILTER(Dictionaries!$B:$B,Dictionaries!$A:$A="Энергия"),FILTER(Dictionaries!$C:$C,Dictionaries!$A:$A="Энергия"))),IF($U324="","",AVERAGE(IF(OR($B324="Ноги",$B324="Верх"),IFS(AND($U324&gt;=1900,$U324&lt;=2050),1,AND($U324&gt;=1850,$U324&lt;1900),0.7,AND($U324&gt;2050,$U324&lt;=2100),0.7,TRUE,0.2),IFS(AND($U324&gt;=1700,$U324&lt;=1850),1,AND($U324&gt;=1650,$U324&lt;1700),0.7,AND($U324&gt;1850,$U324&lt;=1900),0.7,TRUE,0.2)),IF(OR($B324="Ноги",$B324="Верх"),IFS(AND($V324&gt;=125,$V324&lt;=135),1,AND($V324&gt;=115,$V324&lt;125),0.7,AND($V324&gt;135,$V324&lt;=145),0.7,AND($V324&gt;=105,$V324&lt;115),0.4,AND($V324&gt;145,$V324&lt;=155),0.4,TRUE,0.2),IFS(AND($V324&gt;=120,$V324&lt;=130),1,AND($V324&gt;=110,$V324&lt;120),0.7,AND($V324&gt;130,$V324&lt;=140),0.7,AND($V324&gt;=100,$V324&lt;110),0.4,AND($V324&gt;140,$V324&lt;=150),0.4,TRUE,0.2)),IFS(AND($W324&gt;=55,$W324&lt;=65),1,AND($W324&gt;=50,$W324&lt;55),0.7,AND($W324&gt;65,$W324&lt;=70),0.7,AND($W324&gt;=45,$W324&lt;50),0.4,AND($W324&gt;70,$W324&lt;=75),0.4,TRUE,0.2),IF(OR($B324="Ноги",$B324="Верх"),IFS(AND($X324&gt;=180,$X324&lt;=210),1,AND($X324&gt;=160,$X324&lt;180),0.7,AND($X324&gt;210,$X324&lt;=230),0.7,AND($X324&gt;=140,$X324&lt;160),0.4,AND($X324&gt;230,$X324&lt;=250),0.4,TRUE,0.2),IFS(AND($X324&gt;=140,$X324&lt;=170),1,AND($X324&gt;=120,$X324&lt;140),0.7,AND($X324&gt;170,$X324&lt;=190),0.7,AND($X324&gt;=100,$X324&lt;120),0.4,AND($X324&gt;190,$X324&lt;=210),0.4,TRUE,0.2))))),1),""))</f>
        <v/>
      </c>
      <c r="Z324">
        <f>IF($A324="","",TEXTJOIN(", ",TRUE,IF($B324="","Тренировка",""),IF($C324="","Кардио",""),IF($D324="","Шаги",""),IF($E324="","Английский",""),IF($F324="","Код-режим",""),IF($G324="","Код-тема",""),IF($H324="","Чтение",""),IF($L324="","Сон",""),IF($M324="","Режим",""),IF($N324="","Продуктивность",""),IF($O324="","Настроение",""),IF($P324="","Энергия",""),IF($U324="","Еда","")))</f>
        <v/>
      </c>
    </row>
    <row r="325">
      <c r="A325" t="inlineStr"/>
      <c r="U325">
        <f>IF($A325="","",IF(SUMIF(FoodLog!$A:$A,$A325,FoodLog!$I:$I)=0,"",SUMIF(FoodLog!$A:$A,$A325,FoodLog!$I:$I)))</f>
        <v/>
      </c>
      <c r="V325">
        <f>IF($A325="","",IF(SUMIF(FoodLog!$A:$A,$A325,FoodLog!$F:$F)=0,"",SUMIF(FoodLog!$A:$A,$A325,FoodLog!$F:$F)))</f>
        <v/>
      </c>
      <c r="W325">
        <f>IF($A325="","",IF(SUMIF(FoodLog!$A:$A,$A325,FoodLog!$G:$G)=0,"",SUMIF(FoodLog!$A:$A,$A325,FoodLog!$G:$G)))</f>
        <v/>
      </c>
      <c r="X325">
        <f>IF($A325="","",IF(SUMIF(FoodLog!$A:$A,$A325,FoodLog!$H:$H)=0,"",SUMIF(FoodLog!$A:$A,$A325,FoodLog!$H:$H)))</f>
        <v/>
      </c>
      <c r="Y325">
        <f>IF($A325="","",IFERROR(ROUND(100*AVERAGE(IF($B325="","",XLOOKUP($B325,FILTER(Dictionaries!$B:$B,Dictionaries!$A:$A="Тренировка"),FILTER(Dictionaries!$C:$C,Dictionaries!$A:$A="Тренировка"))),IF($C325="","",MIN($C325/40,1)),IF($D325="","",XLOOKUP($D325,FILTER(Dictionaries!$B:$B,Dictionaries!$A:$A="Шаги"),FILTER(Dictionaries!$C:$C,Dictionaries!$A:$A="Шаги"))),IF($E325="","",MIN($E325/120,1)),IF(OR($F325&lt;&gt;"",$G325&lt;&gt;""),1,""),IF($H325="","",MIN($H325/100,1)),IF($L325="","",XLOOKUP($L325,FILTER(Dictionaries!$B:$B,Dictionaries!$A:$A="Сон_часы"),FILTER(Dictionaries!$C:$C,Dictionaries!$A:$A="Сон_часы"))),IF($M325="","",XLOOKUP($M325,FILTER(Dictionaries!$B:$B,Dictionaries!$A:$A="Режим"),FILTER(Dictionaries!$C:$C,Dictionaries!$A:$A="Режим"))),IF($N325="","",MIN($N325/100,1)),IF($O325="","",XLOOKUP($O325,FILTER(Dictionaries!$B:$B,Dictionaries!$A:$A="Настроение"),FILTER(Dictionaries!$C:$C,Dictionaries!$A:$A="Настроение"))),IF($P325="","",XLOOKUP($P325,FILTER(Dictionaries!$B:$B,Dictionaries!$A:$A="Энергия"),FILTER(Dictionaries!$C:$C,Dictionaries!$A:$A="Энергия"))),IF($U325="","",AVERAGE(IF(OR($B325="Ноги",$B325="Верх"),IFS(AND($U325&gt;=1900,$U325&lt;=2050),1,AND($U325&gt;=1850,$U325&lt;1900),0.7,AND($U325&gt;2050,$U325&lt;=2100),0.7,TRUE,0.2),IFS(AND($U325&gt;=1700,$U325&lt;=1850),1,AND($U325&gt;=1650,$U325&lt;1700),0.7,AND($U325&gt;1850,$U325&lt;=1900),0.7,TRUE,0.2)),IF(OR($B325="Ноги",$B325="Верх"),IFS(AND($V325&gt;=125,$V325&lt;=135),1,AND($V325&gt;=115,$V325&lt;125),0.7,AND($V325&gt;135,$V325&lt;=145),0.7,AND($V325&gt;=105,$V325&lt;115),0.4,AND($V325&gt;145,$V325&lt;=155),0.4,TRUE,0.2),IFS(AND($V325&gt;=120,$V325&lt;=130),1,AND($V325&gt;=110,$V325&lt;120),0.7,AND($V325&gt;130,$V325&lt;=140),0.7,AND($V325&gt;=100,$V325&lt;110),0.4,AND($V325&gt;140,$V325&lt;=150),0.4,TRUE,0.2)),IFS(AND($W325&gt;=55,$W325&lt;=65),1,AND($W325&gt;=50,$W325&lt;55),0.7,AND($W325&gt;65,$W325&lt;=70),0.7,AND($W325&gt;=45,$W325&lt;50),0.4,AND($W325&gt;70,$W325&lt;=75),0.4,TRUE,0.2),IF(OR($B325="Ноги",$B325="Верх"),IFS(AND($X325&gt;=180,$X325&lt;=210),1,AND($X325&gt;=160,$X325&lt;180),0.7,AND($X325&gt;210,$X325&lt;=230),0.7,AND($X325&gt;=140,$X325&lt;160),0.4,AND($X325&gt;230,$X325&lt;=250),0.4,TRUE,0.2),IFS(AND($X325&gt;=140,$X325&lt;=170),1,AND($X325&gt;=120,$X325&lt;140),0.7,AND($X325&gt;170,$X325&lt;=190),0.7,AND($X325&gt;=100,$X325&lt;120),0.4,AND($X325&gt;190,$X325&lt;=210),0.4,TRUE,0.2))))),1),""))</f>
        <v/>
      </c>
      <c r="Z325">
        <f>IF($A325="","",TEXTJOIN(", ",TRUE,IF($B325="","Тренировка",""),IF($C325="","Кардио",""),IF($D325="","Шаги",""),IF($E325="","Английский",""),IF($F325="","Код-режим",""),IF($G325="","Код-тема",""),IF($H325="","Чтение",""),IF($L325="","Сон",""),IF($M325="","Режим",""),IF($N325="","Продуктивность",""),IF($O325="","Настроение",""),IF($P325="","Энергия",""),IF($U325="","Еда","")))</f>
        <v/>
      </c>
    </row>
    <row r="326">
      <c r="A326" t="inlineStr"/>
      <c r="U326">
        <f>IF($A326="","",IF(SUMIF(FoodLog!$A:$A,$A326,FoodLog!$I:$I)=0,"",SUMIF(FoodLog!$A:$A,$A326,FoodLog!$I:$I)))</f>
        <v/>
      </c>
      <c r="V326">
        <f>IF($A326="","",IF(SUMIF(FoodLog!$A:$A,$A326,FoodLog!$F:$F)=0,"",SUMIF(FoodLog!$A:$A,$A326,FoodLog!$F:$F)))</f>
        <v/>
      </c>
      <c r="W326">
        <f>IF($A326="","",IF(SUMIF(FoodLog!$A:$A,$A326,FoodLog!$G:$G)=0,"",SUMIF(FoodLog!$A:$A,$A326,FoodLog!$G:$G)))</f>
        <v/>
      </c>
      <c r="X326">
        <f>IF($A326="","",IF(SUMIF(FoodLog!$A:$A,$A326,FoodLog!$H:$H)=0,"",SUMIF(FoodLog!$A:$A,$A326,FoodLog!$H:$H)))</f>
        <v/>
      </c>
      <c r="Y326">
        <f>IF($A326="","",IFERROR(ROUND(100*AVERAGE(IF($B326="","",XLOOKUP($B326,FILTER(Dictionaries!$B:$B,Dictionaries!$A:$A="Тренировка"),FILTER(Dictionaries!$C:$C,Dictionaries!$A:$A="Тренировка"))),IF($C326="","",MIN($C326/40,1)),IF($D326="","",XLOOKUP($D326,FILTER(Dictionaries!$B:$B,Dictionaries!$A:$A="Шаги"),FILTER(Dictionaries!$C:$C,Dictionaries!$A:$A="Шаги"))),IF($E326="","",MIN($E326/120,1)),IF(OR($F326&lt;&gt;"",$G326&lt;&gt;""),1,""),IF($H326="","",MIN($H326/100,1)),IF($L326="","",XLOOKUP($L326,FILTER(Dictionaries!$B:$B,Dictionaries!$A:$A="Сон_часы"),FILTER(Dictionaries!$C:$C,Dictionaries!$A:$A="Сон_часы"))),IF($M326="","",XLOOKUP($M326,FILTER(Dictionaries!$B:$B,Dictionaries!$A:$A="Режим"),FILTER(Dictionaries!$C:$C,Dictionaries!$A:$A="Режим"))),IF($N326="","",MIN($N326/100,1)),IF($O326="","",XLOOKUP($O326,FILTER(Dictionaries!$B:$B,Dictionaries!$A:$A="Настроение"),FILTER(Dictionaries!$C:$C,Dictionaries!$A:$A="Настроение"))),IF($P326="","",XLOOKUP($P326,FILTER(Dictionaries!$B:$B,Dictionaries!$A:$A="Энергия"),FILTER(Dictionaries!$C:$C,Dictionaries!$A:$A="Энергия"))),IF($U326="","",AVERAGE(IF(OR($B326="Ноги",$B326="Верх"),IFS(AND($U326&gt;=1900,$U326&lt;=2050),1,AND($U326&gt;=1850,$U326&lt;1900),0.7,AND($U326&gt;2050,$U326&lt;=2100),0.7,TRUE,0.2),IFS(AND($U326&gt;=1700,$U326&lt;=1850),1,AND($U326&gt;=1650,$U326&lt;1700),0.7,AND($U326&gt;1850,$U326&lt;=1900),0.7,TRUE,0.2)),IF(OR($B326="Ноги",$B326="Верх"),IFS(AND($V326&gt;=125,$V326&lt;=135),1,AND($V326&gt;=115,$V326&lt;125),0.7,AND($V326&gt;135,$V326&lt;=145),0.7,AND($V326&gt;=105,$V326&lt;115),0.4,AND($V326&gt;145,$V326&lt;=155),0.4,TRUE,0.2),IFS(AND($V326&gt;=120,$V326&lt;=130),1,AND($V326&gt;=110,$V326&lt;120),0.7,AND($V326&gt;130,$V326&lt;=140),0.7,AND($V326&gt;=100,$V326&lt;110),0.4,AND($V326&gt;140,$V326&lt;=150),0.4,TRUE,0.2)),IFS(AND($W326&gt;=55,$W326&lt;=65),1,AND($W326&gt;=50,$W326&lt;55),0.7,AND($W326&gt;65,$W326&lt;=70),0.7,AND($W326&gt;=45,$W326&lt;50),0.4,AND($W326&gt;70,$W326&lt;=75),0.4,TRUE,0.2),IF(OR($B326="Ноги",$B326="Верх"),IFS(AND($X326&gt;=180,$X326&lt;=210),1,AND($X326&gt;=160,$X326&lt;180),0.7,AND($X326&gt;210,$X326&lt;=230),0.7,AND($X326&gt;=140,$X326&lt;160),0.4,AND($X326&gt;230,$X326&lt;=250),0.4,TRUE,0.2),IFS(AND($X326&gt;=140,$X326&lt;=170),1,AND($X326&gt;=120,$X326&lt;140),0.7,AND($X326&gt;170,$X326&lt;=190),0.7,AND($X326&gt;=100,$X326&lt;120),0.4,AND($X326&gt;190,$X326&lt;=210),0.4,TRUE,0.2))))),1),""))</f>
        <v/>
      </c>
      <c r="Z326">
        <f>IF($A326="","",TEXTJOIN(", ",TRUE,IF($B326="","Тренировка",""),IF($C326="","Кардио",""),IF($D326="","Шаги",""),IF($E326="","Английский",""),IF($F326="","Код-режим",""),IF($G326="","Код-тема",""),IF($H326="","Чтение",""),IF($L326="","Сон",""),IF($M326="","Режим",""),IF($N326="","Продуктивность",""),IF($O326="","Настроение",""),IF($P326="","Энергия",""),IF($U326="","Еда","")))</f>
        <v/>
      </c>
    </row>
    <row r="327">
      <c r="A327" t="inlineStr"/>
      <c r="U327">
        <f>IF($A327="","",IF(SUMIF(FoodLog!$A:$A,$A327,FoodLog!$I:$I)=0,"",SUMIF(FoodLog!$A:$A,$A327,FoodLog!$I:$I)))</f>
        <v/>
      </c>
      <c r="V327">
        <f>IF($A327="","",IF(SUMIF(FoodLog!$A:$A,$A327,FoodLog!$F:$F)=0,"",SUMIF(FoodLog!$A:$A,$A327,FoodLog!$F:$F)))</f>
        <v/>
      </c>
      <c r="W327">
        <f>IF($A327="","",IF(SUMIF(FoodLog!$A:$A,$A327,FoodLog!$G:$G)=0,"",SUMIF(FoodLog!$A:$A,$A327,FoodLog!$G:$G)))</f>
        <v/>
      </c>
      <c r="X327">
        <f>IF($A327="","",IF(SUMIF(FoodLog!$A:$A,$A327,FoodLog!$H:$H)=0,"",SUMIF(FoodLog!$A:$A,$A327,FoodLog!$H:$H)))</f>
        <v/>
      </c>
      <c r="Y327">
        <f>IF($A327="","",IFERROR(ROUND(100*AVERAGE(IF($B327="","",XLOOKUP($B327,FILTER(Dictionaries!$B:$B,Dictionaries!$A:$A="Тренировка"),FILTER(Dictionaries!$C:$C,Dictionaries!$A:$A="Тренировка"))),IF($C327="","",MIN($C327/40,1)),IF($D327="","",XLOOKUP($D327,FILTER(Dictionaries!$B:$B,Dictionaries!$A:$A="Шаги"),FILTER(Dictionaries!$C:$C,Dictionaries!$A:$A="Шаги"))),IF($E327="","",MIN($E327/120,1)),IF(OR($F327&lt;&gt;"",$G327&lt;&gt;""),1,""),IF($H327="","",MIN($H327/100,1)),IF($L327="","",XLOOKUP($L327,FILTER(Dictionaries!$B:$B,Dictionaries!$A:$A="Сон_часы"),FILTER(Dictionaries!$C:$C,Dictionaries!$A:$A="Сон_часы"))),IF($M327="","",XLOOKUP($M327,FILTER(Dictionaries!$B:$B,Dictionaries!$A:$A="Режим"),FILTER(Dictionaries!$C:$C,Dictionaries!$A:$A="Режим"))),IF($N327="","",MIN($N327/100,1)),IF($O327="","",XLOOKUP($O327,FILTER(Dictionaries!$B:$B,Dictionaries!$A:$A="Настроение"),FILTER(Dictionaries!$C:$C,Dictionaries!$A:$A="Настроение"))),IF($P327="","",XLOOKUP($P327,FILTER(Dictionaries!$B:$B,Dictionaries!$A:$A="Энергия"),FILTER(Dictionaries!$C:$C,Dictionaries!$A:$A="Энергия"))),IF($U327="","",AVERAGE(IF(OR($B327="Ноги",$B327="Верх"),IFS(AND($U327&gt;=1900,$U327&lt;=2050),1,AND($U327&gt;=1850,$U327&lt;1900),0.7,AND($U327&gt;2050,$U327&lt;=2100),0.7,TRUE,0.2),IFS(AND($U327&gt;=1700,$U327&lt;=1850),1,AND($U327&gt;=1650,$U327&lt;1700),0.7,AND($U327&gt;1850,$U327&lt;=1900),0.7,TRUE,0.2)),IF(OR($B327="Ноги",$B327="Верх"),IFS(AND($V327&gt;=125,$V327&lt;=135),1,AND($V327&gt;=115,$V327&lt;125),0.7,AND($V327&gt;135,$V327&lt;=145),0.7,AND($V327&gt;=105,$V327&lt;115),0.4,AND($V327&gt;145,$V327&lt;=155),0.4,TRUE,0.2),IFS(AND($V327&gt;=120,$V327&lt;=130),1,AND($V327&gt;=110,$V327&lt;120),0.7,AND($V327&gt;130,$V327&lt;=140),0.7,AND($V327&gt;=100,$V327&lt;110),0.4,AND($V327&gt;140,$V327&lt;=150),0.4,TRUE,0.2)),IFS(AND($W327&gt;=55,$W327&lt;=65),1,AND($W327&gt;=50,$W327&lt;55),0.7,AND($W327&gt;65,$W327&lt;=70),0.7,AND($W327&gt;=45,$W327&lt;50),0.4,AND($W327&gt;70,$W327&lt;=75),0.4,TRUE,0.2),IF(OR($B327="Ноги",$B327="Верх"),IFS(AND($X327&gt;=180,$X327&lt;=210),1,AND($X327&gt;=160,$X327&lt;180),0.7,AND($X327&gt;210,$X327&lt;=230),0.7,AND($X327&gt;=140,$X327&lt;160),0.4,AND($X327&gt;230,$X327&lt;=250),0.4,TRUE,0.2),IFS(AND($X327&gt;=140,$X327&lt;=170),1,AND($X327&gt;=120,$X327&lt;140),0.7,AND($X327&gt;170,$X327&lt;=190),0.7,AND($X327&gt;=100,$X327&lt;120),0.4,AND($X327&gt;190,$X327&lt;=210),0.4,TRUE,0.2))))),1),""))</f>
        <v/>
      </c>
      <c r="Z327">
        <f>IF($A327="","",TEXTJOIN(", ",TRUE,IF($B327="","Тренировка",""),IF($C327="","Кардио",""),IF($D327="","Шаги",""),IF($E327="","Английский",""),IF($F327="","Код-режим",""),IF($G327="","Код-тема",""),IF($H327="","Чтение",""),IF($L327="","Сон",""),IF($M327="","Режим",""),IF($N327="","Продуктивность",""),IF($O327="","Настроение",""),IF($P327="","Энергия",""),IF($U327="","Еда","")))</f>
        <v/>
      </c>
    </row>
    <row r="328">
      <c r="A328" t="inlineStr"/>
      <c r="U328">
        <f>IF($A328="","",IF(SUMIF(FoodLog!$A:$A,$A328,FoodLog!$I:$I)=0,"",SUMIF(FoodLog!$A:$A,$A328,FoodLog!$I:$I)))</f>
        <v/>
      </c>
      <c r="V328">
        <f>IF($A328="","",IF(SUMIF(FoodLog!$A:$A,$A328,FoodLog!$F:$F)=0,"",SUMIF(FoodLog!$A:$A,$A328,FoodLog!$F:$F)))</f>
        <v/>
      </c>
      <c r="W328">
        <f>IF($A328="","",IF(SUMIF(FoodLog!$A:$A,$A328,FoodLog!$G:$G)=0,"",SUMIF(FoodLog!$A:$A,$A328,FoodLog!$G:$G)))</f>
        <v/>
      </c>
      <c r="X328">
        <f>IF($A328="","",IF(SUMIF(FoodLog!$A:$A,$A328,FoodLog!$H:$H)=0,"",SUMIF(FoodLog!$A:$A,$A328,FoodLog!$H:$H)))</f>
        <v/>
      </c>
      <c r="Y328">
        <f>IF($A328="","",IFERROR(ROUND(100*AVERAGE(IF($B328="","",XLOOKUP($B328,FILTER(Dictionaries!$B:$B,Dictionaries!$A:$A="Тренировка"),FILTER(Dictionaries!$C:$C,Dictionaries!$A:$A="Тренировка"))),IF($C328="","",MIN($C328/40,1)),IF($D328="","",XLOOKUP($D328,FILTER(Dictionaries!$B:$B,Dictionaries!$A:$A="Шаги"),FILTER(Dictionaries!$C:$C,Dictionaries!$A:$A="Шаги"))),IF($E328="","",MIN($E328/120,1)),IF(OR($F328&lt;&gt;"",$G328&lt;&gt;""),1,""),IF($H328="","",MIN($H328/100,1)),IF($L328="","",XLOOKUP($L328,FILTER(Dictionaries!$B:$B,Dictionaries!$A:$A="Сон_часы"),FILTER(Dictionaries!$C:$C,Dictionaries!$A:$A="Сон_часы"))),IF($M328="","",XLOOKUP($M328,FILTER(Dictionaries!$B:$B,Dictionaries!$A:$A="Режим"),FILTER(Dictionaries!$C:$C,Dictionaries!$A:$A="Режим"))),IF($N328="","",MIN($N328/100,1)),IF($O328="","",XLOOKUP($O328,FILTER(Dictionaries!$B:$B,Dictionaries!$A:$A="Настроение"),FILTER(Dictionaries!$C:$C,Dictionaries!$A:$A="Настроение"))),IF($P328="","",XLOOKUP($P328,FILTER(Dictionaries!$B:$B,Dictionaries!$A:$A="Энергия"),FILTER(Dictionaries!$C:$C,Dictionaries!$A:$A="Энергия"))),IF($U328="","",AVERAGE(IF(OR($B328="Ноги",$B328="Верх"),IFS(AND($U328&gt;=1900,$U328&lt;=2050),1,AND($U328&gt;=1850,$U328&lt;1900),0.7,AND($U328&gt;2050,$U328&lt;=2100),0.7,TRUE,0.2),IFS(AND($U328&gt;=1700,$U328&lt;=1850),1,AND($U328&gt;=1650,$U328&lt;1700),0.7,AND($U328&gt;1850,$U328&lt;=1900),0.7,TRUE,0.2)),IF(OR($B328="Ноги",$B328="Верх"),IFS(AND($V328&gt;=125,$V328&lt;=135),1,AND($V328&gt;=115,$V328&lt;125),0.7,AND($V328&gt;135,$V328&lt;=145),0.7,AND($V328&gt;=105,$V328&lt;115),0.4,AND($V328&gt;145,$V328&lt;=155),0.4,TRUE,0.2),IFS(AND($V328&gt;=120,$V328&lt;=130),1,AND($V328&gt;=110,$V328&lt;120),0.7,AND($V328&gt;130,$V328&lt;=140),0.7,AND($V328&gt;=100,$V328&lt;110),0.4,AND($V328&gt;140,$V328&lt;=150),0.4,TRUE,0.2)),IFS(AND($W328&gt;=55,$W328&lt;=65),1,AND($W328&gt;=50,$W328&lt;55),0.7,AND($W328&gt;65,$W328&lt;=70),0.7,AND($W328&gt;=45,$W328&lt;50),0.4,AND($W328&gt;70,$W328&lt;=75),0.4,TRUE,0.2),IF(OR($B328="Ноги",$B328="Верх"),IFS(AND($X328&gt;=180,$X328&lt;=210),1,AND($X328&gt;=160,$X328&lt;180),0.7,AND($X328&gt;210,$X328&lt;=230),0.7,AND($X328&gt;=140,$X328&lt;160),0.4,AND($X328&gt;230,$X328&lt;=250),0.4,TRUE,0.2),IFS(AND($X328&gt;=140,$X328&lt;=170),1,AND($X328&gt;=120,$X328&lt;140),0.7,AND($X328&gt;170,$X328&lt;=190),0.7,AND($X328&gt;=100,$X328&lt;120),0.4,AND($X328&gt;190,$X328&lt;=210),0.4,TRUE,0.2))))),1),""))</f>
        <v/>
      </c>
      <c r="Z328">
        <f>IF($A328="","",TEXTJOIN(", ",TRUE,IF($B328="","Тренировка",""),IF($C328="","Кардио",""),IF($D328="","Шаги",""),IF($E328="","Английский",""),IF($F328="","Код-режим",""),IF($G328="","Код-тема",""),IF($H328="","Чтение",""),IF($L328="","Сон",""),IF($M328="","Режим",""),IF($N328="","Продуктивность",""),IF($O328="","Настроение",""),IF($P328="","Энергия",""),IF($U328="","Еда","")))</f>
        <v/>
      </c>
    </row>
    <row r="329">
      <c r="A329" t="inlineStr"/>
      <c r="U329">
        <f>IF($A329="","",IF(SUMIF(FoodLog!$A:$A,$A329,FoodLog!$I:$I)=0,"",SUMIF(FoodLog!$A:$A,$A329,FoodLog!$I:$I)))</f>
        <v/>
      </c>
      <c r="V329">
        <f>IF($A329="","",IF(SUMIF(FoodLog!$A:$A,$A329,FoodLog!$F:$F)=0,"",SUMIF(FoodLog!$A:$A,$A329,FoodLog!$F:$F)))</f>
        <v/>
      </c>
      <c r="W329">
        <f>IF($A329="","",IF(SUMIF(FoodLog!$A:$A,$A329,FoodLog!$G:$G)=0,"",SUMIF(FoodLog!$A:$A,$A329,FoodLog!$G:$G)))</f>
        <v/>
      </c>
      <c r="X329">
        <f>IF($A329="","",IF(SUMIF(FoodLog!$A:$A,$A329,FoodLog!$H:$H)=0,"",SUMIF(FoodLog!$A:$A,$A329,FoodLog!$H:$H)))</f>
        <v/>
      </c>
      <c r="Y329">
        <f>IF($A329="","",IFERROR(ROUND(100*AVERAGE(IF($B329="","",XLOOKUP($B329,FILTER(Dictionaries!$B:$B,Dictionaries!$A:$A="Тренировка"),FILTER(Dictionaries!$C:$C,Dictionaries!$A:$A="Тренировка"))),IF($C329="","",MIN($C329/40,1)),IF($D329="","",XLOOKUP($D329,FILTER(Dictionaries!$B:$B,Dictionaries!$A:$A="Шаги"),FILTER(Dictionaries!$C:$C,Dictionaries!$A:$A="Шаги"))),IF($E329="","",MIN($E329/120,1)),IF(OR($F329&lt;&gt;"",$G329&lt;&gt;""),1,""),IF($H329="","",MIN($H329/100,1)),IF($L329="","",XLOOKUP($L329,FILTER(Dictionaries!$B:$B,Dictionaries!$A:$A="Сон_часы"),FILTER(Dictionaries!$C:$C,Dictionaries!$A:$A="Сон_часы"))),IF($M329="","",XLOOKUP($M329,FILTER(Dictionaries!$B:$B,Dictionaries!$A:$A="Режим"),FILTER(Dictionaries!$C:$C,Dictionaries!$A:$A="Режим"))),IF($N329="","",MIN($N329/100,1)),IF($O329="","",XLOOKUP($O329,FILTER(Dictionaries!$B:$B,Dictionaries!$A:$A="Настроение"),FILTER(Dictionaries!$C:$C,Dictionaries!$A:$A="Настроение"))),IF($P329="","",XLOOKUP($P329,FILTER(Dictionaries!$B:$B,Dictionaries!$A:$A="Энергия"),FILTER(Dictionaries!$C:$C,Dictionaries!$A:$A="Энергия"))),IF($U329="","",AVERAGE(IF(OR($B329="Ноги",$B329="Верх"),IFS(AND($U329&gt;=1900,$U329&lt;=2050),1,AND($U329&gt;=1850,$U329&lt;1900),0.7,AND($U329&gt;2050,$U329&lt;=2100),0.7,TRUE,0.2),IFS(AND($U329&gt;=1700,$U329&lt;=1850),1,AND($U329&gt;=1650,$U329&lt;1700),0.7,AND($U329&gt;1850,$U329&lt;=1900),0.7,TRUE,0.2)),IF(OR($B329="Ноги",$B329="Верх"),IFS(AND($V329&gt;=125,$V329&lt;=135),1,AND($V329&gt;=115,$V329&lt;125),0.7,AND($V329&gt;135,$V329&lt;=145),0.7,AND($V329&gt;=105,$V329&lt;115),0.4,AND($V329&gt;145,$V329&lt;=155),0.4,TRUE,0.2),IFS(AND($V329&gt;=120,$V329&lt;=130),1,AND($V329&gt;=110,$V329&lt;120),0.7,AND($V329&gt;130,$V329&lt;=140),0.7,AND($V329&gt;=100,$V329&lt;110),0.4,AND($V329&gt;140,$V329&lt;=150),0.4,TRUE,0.2)),IFS(AND($W329&gt;=55,$W329&lt;=65),1,AND($W329&gt;=50,$W329&lt;55),0.7,AND($W329&gt;65,$W329&lt;=70),0.7,AND($W329&gt;=45,$W329&lt;50),0.4,AND($W329&gt;70,$W329&lt;=75),0.4,TRUE,0.2),IF(OR($B329="Ноги",$B329="Верх"),IFS(AND($X329&gt;=180,$X329&lt;=210),1,AND($X329&gt;=160,$X329&lt;180),0.7,AND($X329&gt;210,$X329&lt;=230),0.7,AND($X329&gt;=140,$X329&lt;160),0.4,AND($X329&gt;230,$X329&lt;=250),0.4,TRUE,0.2),IFS(AND($X329&gt;=140,$X329&lt;=170),1,AND($X329&gt;=120,$X329&lt;140),0.7,AND($X329&gt;170,$X329&lt;=190),0.7,AND($X329&gt;=100,$X329&lt;120),0.4,AND($X329&gt;190,$X329&lt;=210),0.4,TRUE,0.2))))),1),""))</f>
        <v/>
      </c>
      <c r="Z329">
        <f>IF($A329="","",TEXTJOIN(", ",TRUE,IF($B329="","Тренировка",""),IF($C329="","Кардио",""),IF($D329="","Шаги",""),IF($E329="","Английский",""),IF($F329="","Код-режим",""),IF($G329="","Код-тема",""),IF($H329="","Чтение",""),IF($L329="","Сон",""),IF($M329="","Режим",""),IF($N329="","Продуктивность",""),IF($O329="","Настроение",""),IF($P329="","Энергия",""),IF($U329="","Еда","")))</f>
        <v/>
      </c>
    </row>
    <row r="330">
      <c r="A330" t="inlineStr"/>
      <c r="U330">
        <f>IF($A330="","",IF(SUMIF(FoodLog!$A:$A,$A330,FoodLog!$I:$I)=0,"",SUMIF(FoodLog!$A:$A,$A330,FoodLog!$I:$I)))</f>
        <v/>
      </c>
      <c r="V330">
        <f>IF($A330="","",IF(SUMIF(FoodLog!$A:$A,$A330,FoodLog!$F:$F)=0,"",SUMIF(FoodLog!$A:$A,$A330,FoodLog!$F:$F)))</f>
        <v/>
      </c>
      <c r="W330">
        <f>IF($A330="","",IF(SUMIF(FoodLog!$A:$A,$A330,FoodLog!$G:$G)=0,"",SUMIF(FoodLog!$A:$A,$A330,FoodLog!$G:$G)))</f>
        <v/>
      </c>
      <c r="X330">
        <f>IF($A330="","",IF(SUMIF(FoodLog!$A:$A,$A330,FoodLog!$H:$H)=0,"",SUMIF(FoodLog!$A:$A,$A330,FoodLog!$H:$H)))</f>
        <v/>
      </c>
      <c r="Y330">
        <f>IF($A330="","",IFERROR(ROUND(100*AVERAGE(IF($B330="","",XLOOKUP($B330,FILTER(Dictionaries!$B:$B,Dictionaries!$A:$A="Тренировка"),FILTER(Dictionaries!$C:$C,Dictionaries!$A:$A="Тренировка"))),IF($C330="","",MIN($C330/40,1)),IF($D330="","",XLOOKUP($D330,FILTER(Dictionaries!$B:$B,Dictionaries!$A:$A="Шаги"),FILTER(Dictionaries!$C:$C,Dictionaries!$A:$A="Шаги"))),IF($E330="","",MIN($E330/120,1)),IF(OR($F330&lt;&gt;"",$G330&lt;&gt;""),1,""),IF($H330="","",MIN($H330/100,1)),IF($L330="","",XLOOKUP($L330,FILTER(Dictionaries!$B:$B,Dictionaries!$A:$A="Сон_часы"),FILTER(Dictionaries!$C:$C,Dictionaries!$A:$A="Сон_часы"))),IF($M330="","",XLOOKUP($M330,FILTER(Dictionaries!$B:$B,Dictionaries!$A:$A="Режим"),FILTER(Dictionaries!$C:$C,Dictionaries!$A:$A="Режим"))),IF($N330="","",MIN($N330/100,1)),IF($O330="","",XLOOKUP($O330,FILTER(Dictionaries!$B:$B,Dictionaries!$A:$A="Настроение"),FILTER(Dictionaries!$C:$C,Dictionaries!$A:$A="Настроение"))),IF($P330="","",XLOOKUP($P330,FILTER(Dictionaries!$B:$B,Dictionaries!$A:$A="Энергия"),FILTER(Dictionaries!$C:$C,Dictionaries!$A:$A="Энергия"))),IF($U330="","",AVERAGE(IF(OR($B330="Ноги",$B330="Верх"),IFS(AND($U330&gt;=1900,$U330&lt;=2050),1,AND($U330&gt;=1850,$U330&lt;1900),0.7,AND($U330&gt;2050,$U330&lt;=2100),0.7,TRUE,0.2),IFS(AND($U330&gt;=1700,$U330&lt;=1850),1,AND($U330&gt;=1650,$U330&lt;1700),0.7,AND($U330&gt;1850,$U330&lt;=1900),0.7,TRUE,0.2)),IF(OR($B330="Ноги",$B330="Верх"),IFS(AND($V330&gt;=125,$V330&lt;=135),1,AND($V330&gt;=115,$V330&lt;125),0.7,AND($V330&gt;135,$V330&lt;=145),0.7,AND($V330&gt;=105,$V330&lt;115),0.4,AND($V330&gt;145,$V330&lt;=155),0.4,TRUE,0.2),IFS(AND($V330&gt;=120,$V330&lt;=130),1,AND($V330&gt;=110,$V330&lt;120),0.7,AND($V330&gt;130,$V330&lt;=140),0.7,AND($V330&gt;=100,$V330&lt;110),0.4,AND($V330&gt;140,$V330&lt;=150),0.4,TRUE,0.2)),IFS(AND($W330&gt;=55,$W330&lt;=65),1,AND($W330&gt;=50,$W330&lt;55),0.7,AND($W330&gt;65,$W330&lt;=70),0.7,AND($W330&gt;=45,$W330&lt;50),0.4,AND($W330&gt;70,$W330&lt;=75),0.4,TRUE,0.2),IF(OR($B330="Ноги",$B330="Верх"),IFS(AND($X330&gt;=180,$X330&lt;=210),1,AND($X330&gt;=160,$X330&lt;180),0.7,AND($X330&gt;210,$X330&lt;=230),0.7,AND($X330&gt;=140,$X330&lt;160),0.4,AND($X330&gt;230,$X330&lt;=250),0.4,TRUE,0.2),IFS(AND($X330&gt;=140,$X330&lt;=170),1,AND($X330&gt;=120,$X330&lt;140),0.7,AND($X330&gt;170,$X330&lt;=190),0.7,AND($X330&gt;=100,$X330&lt;120),0.4,AND($X330&gt;190,$X330&lt;=210),0.4,TRUE,0.2))))),1),""))</f>
        <v/>
      </c>
      <c r="Z330">
        <f>IF($A330="","",TEXTJOIN(", ",TRUE,IF($B330="","Тренировка",""),IF($C330="","Кардио",""),IF($D330="","Шаги",""),IF($E330="","Английский",""),IF($F330="","Код-режим",""),IF($G330="","Код-тема",""),IF($H330="","Чтение",""),IF($L330="","Сон",""),IF($M330="","Режим",""),IF($N330="","Продуктивность",""),IF($O330="","Настроение",""),IF($P330="","Энергия",""),IF($U330="","Еда","")))</f>
        <v/>
      </c>
    </row>
    <row r="331">
      <c r="A331" t="inlineStr"/>
      <c r="U331">
        <f>IF($A331="","",IF(SUMIF(FoodLog!$A:$A,$A331,FoodLog!$I:$I)=0,"",SUMIF(FoodLog!$A:$A,$A331,FoodLog!$I:$I)))</f>
        <v/>
      </c>
      <c r="V331">
        <f>IF($A331="","",IF(SUMIF(FoodLog!$A:$A,$A331,FoodLog!$F:$F)=0,"",SUMIF(FoodLog!$A:$A,$A331,FoodLog!$F:$F)))</f>
        <v/>
      </c>
      <c r="W331">
        <f>IF($A331="","",IF(SUMIF(FoodLog!$A:$A,$A331,FoodLog!$G:$G)=0,"",SUMIF(FoodLog!$A:$A,$A331,FoodLog!$G:$G)))</f>
        <v/>
      </c>
      <c r="X331">
        <f>IF($A331="","",IF(SUMIF(FoodLog!$A:$A,$A331,FoodLog!$H:$H)=0,"",SUMIF(FoodLog!$A:$A,$A331,FoodLog!$H:$H)))</f>
        <v/>
      </c>
      <c r="Y331">
        <f>IF($A331="","",IFERROR(ROUND(100*AVERAGE(IF($B331="","",XLOOKUP($B331,FILTER(Dictionaries!$B:$B,Dictionaries!$A:$A="Тренировка"),FILTER(Dictionaries!$C:$C,Dictionaries!$A:$A="Тренировка"))),IF($C331="","",MIN($C331/40,1)),IF($D331="","",XLOOKUP($D331,FILTER(Dictionaries!$B:$B,Dictionaries!$A:$A="Шаги"),FILTER(Dictionaries!$C:$C,Dictionaries!$A:$A="Шаги"))),IF($E331="","",MIN($E331/120,1)),IF(OR($F331&lt;&gt;"",$G331&lt;&gt;""),1,""),IF($H331="","",MIN($H331/100,1)),IF($L331="","",XLOOKUP($L331,FILTER(Dictionaries!$B:$B,Dictionaries!$A:$A="Сон_часы"),FILTER(Dictionaries!$C:$C,Dictionaries!$A:$A="Сон_часы"))),IF($M331="","",XLOOKUP($M331,FILTER(Dictionaries!$B:$B,Dictionaries!$A:$A="Режим"),FILTER(Dictionaries!$C:$C,Dictionaries!$A:$A="Режим"))),IF($N331="","",MIN($N331/100,1)),IF($O331="","",XLOOKUP($O331,FILTER(Dictionaries!$B:$B,Dictionaries!$A:$A="Настроение"),FILTER(Dictionaries!$C:$C,Dictionaries!$A:$A="Настроение"))),IF($P331="","",XLOOKUP($P331,FILTER(Dictionaries!$B:$B,Dictionaries!$A:$A="Энергия"),FILTER(Dictionaries!$C:$C,Dictionaries!$A:$A="Энергия"))),IF($U331="","",AVERAGE(IF(OR($B331="Ноги",$B331="Верх"),IFS(AND($U331&gt;=1900,$U331&lt;=2050),1,AND($U331&gt;=1850,$U331&lt;1900),0.7,AND($U331&gt;2050,$U331&lt;=2100),0.7,TRUE,0.2),IFS(AND($U331&gt;=1700,$U331&lt;=1850),1,AND($U331&gt;=1650,$U331&lt;1700),0.7,AND($U331&gt;1850,$U331&lt;=1900),0.7,TRUE,0.2)),IF(OR($B331="Ноги",$B331="Верх"),IFS(AND($V331&gt;=125,$V331&lt;=135),1,AND($V331&gt;=115,$V331&lt;125),0.7,AND($V331&gt;135,$V331&lt;=145),0.7,AND($V331&gt;=105,$V331&lt;115),0.4,AND($V331&gt;145,$V331&lt;=155),0.4,TRUE,0.2),IFS(AND($V331&gt;=120,$V331&lt;=130),1,AND($V331&gt;=110,$V331&lt;120),0.7,AND($V331&gt;130,$V331&lt;=140),0.7,AND($V331&gt;=100,$V331&lt;110),0.4,AND($V331&gt;140,$V331&lt;=150),0.4,TRUE,0.2)),IFS(AND($W331&gt;=55,$W331&lt;=65),1,AND($W331&gt;=50,$W331&lt;55),0.7,AND($W331&gt;65,$W331&lt;=70),0.7,AND($W331&gt;=45,$W331&lt;50),0.4,AND($W331&gt;70,$W331&lt;=75),0.4,TRUE,0.2),IF(OR($B331="Ноги",$B331="Верх"),IFS(AND($X331&gt;=180,$X331&lt;=210),1,AND($X331&gt;=160,$X331&lt;180),0.7,AND($X331&gt;210,$X331&lt;=230),0.7,AND($X331&gt;=140,$X331&lt;160),0.4,AND($X331&gt;230,$X331&lt;=250),0.4,TRUE,0.2),IFS(AND($X331&gt;=140,$X331&lt;=170),1,AND($X331&gt;=120,$X331&lt;140),0.7,AND($X331&gt;170,$X331&lt;=190),0.7,AND($X331&gt;=100,$X331&lt;120),0.4,AND($X331&gt;190,$X331&lt;=210),0.4,TRUE,0.2))))),1),""))</f>
        <v/>
      </c>
      <c r="Z331">
        <f>IF($A331="","",TEXTJOIN(", ",TRUE,IF($B331="","Тренировка",""),IF($C331="","Кардио",""),IF($D331="","Шаги",""),IF($E331="","Английский",""),IF($F331="","Код-режим",""),IF($G331="","Код-тема",""),IF($H331="","Чтение",""),IF($L331="","Сон",""),IF($M331="","Режим",""),IF($N331="","Продуктивность",""),IF($O331="","Настроение",""),IF($P331="","Энергия",""),IF($U331="","Еда","")))</f>
        <v/>
      </c>
    </row>
    <row r="332">
      <c r="A332" t="inlineStr"/>
      <c r="U332">
        <f>IF($A332="","",IF(SUMIF(FoodLog!$A:$A,$A332,FoodLog!$I:$I)=0,"",SUMIF(FoodLog!$A:$A,$A332,FoodLog!$I:$I)))</f>
        <v/>
      </c>
      <c r="V332">
        <f>IF($A332="","",IF(SUMIF(FoodLog!$A:$A,$A332,FoodLog!$F:$F)=0,"",SUMIF(FoodLog!$A:$A,$A332,FoodLog!$F:$F)))</f>
        <v/>
      </c>
      <c r="W332">
        <f>IF($A332="","",IF(SUMIF(FoodLog!$A:$A,$A332,FoodLog!$G:$G)=0,"",SUMIF(FoodLog!$A:$A,$A332,FoodLog!$G:$G)))</f>
        <v/>
      </c>
      <c r="X332">
        <f>IF($A332="","",IF(SUMIF(FoodLog!$A:$A,$A332,FoodLog!$H:$H)=0,"",SUMIF(FoodLog!$A:$A,$A332,FoodLog!$H:$H)))</f>
        <v/>
      </c>
      <c r="Y332">
        <f>IF($A332="","",IFERROR(ROUND(100*AVERAGE(IF($B332="","",XLOOKUP($B332,FILTER(Dictionaries!$B:$B,Dictionaries!$A:$A="Тренировка"),FILTER(Dictionaries!$C:$C,Dictionaries!$A:$A="Тренировка"))),IF($C332="","",MIN($C332/40,1)),IF($D332="","",XLOOKUP($D332,FILTER(Dictionaries!$B:$B,Dictionaries!$A:$A="Шаги"),FILTER(Dictionaries!$C:$C,Dictionaries!$A:$A="Шаги"))),IF($E332="","",MIN($E332/120,1)),IF(OR($F332&lt;&gt;"",$G332&lt;&gt;""),1,""),IF($H332="","",MIN($H332/100,1)),IF($L332="","",XLOOKUP($L332,FILTER(Dictionaries!$B:$B,Dictionaries!$A:$A="Сон_часы"),FILTER(Dictionaries!$C:$C,Dictionaries!$A:$A="Сон_часы"))),IF($M332="","",XLOOKUP($M332,FILTER(Dictionaries!$B:$B,Dictionaries!$A:$A="Режим"),FILTER(Dictionaries!$C:$C,Dictionaries!$A:$A="Режим"))),IF($N332="","",MIN($N332/100,1)),IF($O332="","",XLOOKUP($O332,FILTER(Dictionaries!$B:$B,Dictionaries!$A:$A="Настроение"),FILTER(Dictionaries!$C:$C,Dictionaries!$A:$A="Настроение"))),IF($P332="","",XLOOKUP($P332,FILTER(Dictionaries!$B:$B,Dictionaries!$A:$A="Энергия"),FILTER(Dictionaries!$C:$C,Dictionaries!$A:$A="Энергия"))),IF($U332="","",AVERAGE(IF(OR($B332="Ноги",$B332="Верх"),IFS(AND($U332&gt;=1900,$U332&lt;=2050),1,AND($U332&gt;=1850,$U332&lt;1900),0.7,AND($U332&gt;2050,$U332&lt;=2100),0.7,TRUE,0.2),IFS(AND($U332&gt;=1700,$U332&lt;=1850),1,AND($U332&gt;=1650,$U332&lt;1700),0.7,AND($U332&gt;1850,$U332&lt;=1900),0.7,TRUE,0.2)),IF(OR($B332="Ноги",$B332="Верх"),IFS(AND($V332&gt;=125,$V332&lt;=135),1,AND($V332&gt;=115,$V332&lt;125),0.7,AND($V332&gt;135,$V332&lt;=145),0.7,AND($V332&gt;=105,$V332&lt;115),0.4,AND($V332&gt;145,$V332&lt;=155),0.4,TRUE,0.2),IFS(AND($V332&gt;=120,$V332&lt;=130),1,AND($V332&gt;=110,$V332&lt;120),0.7,AND($V332&gt;130,$V332&lt;=140),0.7,AND($V332&gt;=100,$V332&lt;110),0.4,AND($V332&gt;140,$V332&lt;=150),0.4,TRUE,0.2)),IFS(AND($W332&gt;=55,$W332&lt;=65),1,AND($W332&gt;=50,$W332&lt;55),0.7,AND($W332&gt;65,$W332&lt;=70),0.7,AND($W332&gt;=45,$W332&lt;50),0.4,AND($W332&gt;70,$W332&lt;=75),0.4,TRUE,0.2),IF(OR($B332="Ноги",$B332="Верх"),IFS(AND($X332&gt;=180,$X332&lt;=210),1,AND($X332&gt;=160,$X332&lt;180),0.7,AND($X332&gt;210,$X332&lt;=230),0.7,AND($X332&gt;=140,$X332&lt;160),0.4,AND($X332&gt;230,$X332&lt;=250),0.4,TRUE,0.2),IFS(AND($X332&gt;=140,$X332&lt;=170),1,AND($X332&gt;=120,$X332&lt;140),0.7,AND($X332&gt;170,$X332&lt;=190),0.7,AND($X332&gt;=100,$X332&lt;120),0.4,AND($X332&gt;190,$X332&lt;=210),0.4,TRUE,0.2))))),1),""))</f>
        <v/>
      </c>
      <c r="Z332">
        <f>IF($A332="","",TEXTJOIN(", ",TRUE,IF($B332="","Тренировка",""),IF($C332="","Кардио",""),IF($D332="","Шаги",""),IF($E332="","Английский",""),IF($F332="","Код-режим",""),IF($G332="","Код-тема",""),IF($H332="","Чтение",""),IF($L332="","Сон",""),IF($M332="","Режим",""),IF($N332="","Продуктивность",""),IF($O332="","Настроение",""),IF($P332="","Энергия",""),IF($U332="","Еда","")))</f>
        <v/>
      </c>
    </row>
    <row r="333">
      <c r="A333" t="inlineStr"/>
      <c r="U333">
        <f>IF($A333="","",IF(SUMIF(FoodLog!$A:$A,$A333,FoodLog!$I:$I)=0,"",SUMIF(FoodLog!$A:$A,$A333,FoodLog!$I:$I)))</f>
        <v/>
      </c>
      <c r="V333">
        <f>IF($A333="","",IF(SUMIF(FoodLog!$A:$A,$A333,FoodLog!$F:$F)=0,"",SUMIF(FoodLog!$A:$A,$A333,FoodLog!$F:$F)))</f>
        <v/>
      </c>
      <c r="W333">
        <f>IF($A333="","",IF(SUMIF(FoodLog!$A:$A,$A333,FoodLog!$G:$G)=0,"",SUMIF(FoodLog!$A:$A,$A333,FoodLog!$G:$G)))</f>
        <v/>
      </c>
      <c r="X333">
        <f>IF($A333="","",IF(SUMIF(FoodLog!$A:$A,$A333,FoodLog!$H:$H)=0,"",SUMIF(FoodLog!$A:$A,$A333,FoodLog!$H:$H)))</f>
        <v/>
      </c>
      <c r="Y333">
        <f>IF($A333="","",IFERROR(ROUND(100*AVERAGE(IF($B333="","",XLOOKUP($B333,FILTER(Dictionaries!$B:$B,Dictionaries!$A:$A="Тренировка"),FILTER(Dictionaries!$C:$C,Dictionaries!$A:$A="Тренировка"))),IF($C333="","",MIN($C333/40,1)),IF($D333="","",XLOOKUP($D333,FILTER(Dictionaries!$B:$B,Dictionaries!$A:$A="Шаги"),FILTER(Dictionaries!$C:$C,Dictionaries!$A:$A="Шаги"))),IF($E333="","",MIN($E333/120,1)),IF(OR($F333&lt;&gt;"",$G333&lt;&gt;""),1,""),IF($H333="","",MIN($H333/100,1)),IF($L333="","",XLOOKUP($L333,FILTER(Dictionaries!$B:$B,Dictionaries!$A:$A="Сон_часы"),FILTER(Dictionaries!$C:$C,Dictionaries!$A:$A="Сон_часы"))),IF($M333="","",XLOOKUP($M333,FILTER(Dictionaries!$B:$B,Dictionaries!$A:$A="Режим"),FILTER(Dictionaries!$C:$C,Dictionaries!$A:$A="Режим"))),IF($N333="","",MIN($N333/100,1)),IF($O333="","",XLOOKUP($O333,FILTER(Dictionaries!$B:$B,Dictionaries!$A:$A="Настроение"),FILTER(Dictionaries!$C:$C,Dictionaries!$A:$A="Настроение"))),IF($P333="","",XLOOKUP($P333,FILTER(Dictionaries!$B:$B,Dictionaries!$A:$A="Энергия"),FILTER(Dictionaries!$C:$C,Dictionaries!$A:$A="Энергия"))),IF($U333="","",AVERAGE(IF(OR($B333="Ноги",$B333="Верх"),IFS(AND($U333&gt;=1900,$U333&lt;=2050),1,AND($U333&gt;=1850,$U333&lt;1900),0.7,AND($U333&gt;2050,$U333&lt;=2100),0.7,TRUE,0.2),IFS(AND($U333&gt;=1700,$U333&lt;=1850),1,AND($U333&gt;=1650,$U333&lt;1700),0.7,AND($U333&gt;1850,$U333&lt;=1900),0.7,TRUE,0.2)),IF(OR($B333="Ноги",$B333="Верх"),IFS(AND($V333&gt;=125,$V333&lt;=135),1,AND($V333&gt;=115,$V333&lt;125),0.7,AND($V333&gt;135,$V333&lt;=145),0.7,AND($V333&gt;=105,$V333&lt;115),0.4,AND($V333&gt;145,$V333&lt;=155),0.4,TRUE,0.2),IFS(AND($V333&gt;=120,$V333&lt;=130),1,AND($V333&gt;=110,$V333&lt;120),0.7,AND($V333&gt;130,$V333&lt;=140),0.7,AND($V333&gt;=100,$V333&lt;110),0.4,AND($V333&gt;140,$V333&lt;=150),0.4,TRUE,0.2)),IFS(AND($W333&gt;=55,$W333&lt;=65),1,AND($W333&gt;=50,$W333&lt;55),0.7,AND($W333&gt;65,$W333&lt;=70),0.7,AND($W333&gt;=45,$W333&lt;50),0.4,AND($W333&gt;70,$W333&lt;=75),0.4,TRUE,0.2),IF(OR($B333="Ноги",$B333="Верх"),IFS(AND($X333&gt;=180,$X333&lt;=210),1,AND($X333&gt;=160,$X333&lt;180),0.7,AND($X333&gt;210,$X333&lt;=230),0.7,AND($X333&gt;=140,$X333&lt;160),0.4,AND($X333&gt;230,$X333&lt;=250),0.4,TRUE,0.2),IFS(AND($X333&gt;=140,$X333&lt;=170),1,AND($X333&gt;=120,$X333&lt;140),0.7,AND($X333&gt;170,$X333&lt;=190),0.7,AND($X333&gt;=100,$X333&lt;120),0.4,AND($X333&gt;190,$X333&lt;=210),0.4,TRUE,0.2))))),1),""))</f>
        <v/>
      </c>
      <c r="Z333">
        <f>IF($A333="","",TEXTJOIN(", ",TRUE,IF($B333="","Тренировка",""),IF($C333="","Кардио",""),IF($D333="","Шаги",""),IF($E333="","Английский",""),IF($F333="","Код-режим",""),IF($G333="","Код-тема",""),IF($H333="","Чтение",""),IF($L333="","Сон",""),IF($M333="","Режим",""),IF($N333="","Продуктивность",""),IF($O333="","Настроение",""),IF($P333="","Энергия",""),IF($U333="","Еда","")))</f>
        <v/>
      </c>
    </row>
    <row r="334">
      <c r="A334" t="inlineStr"/>
      <c r="U334">
        <f>IF($A334="","",IF(SUMIF(FoodLog!$A:$A,$A334,FoodLog!$I:$I)=0,"",SUMIF(FoodLog!$A:$A,$A334,FoodLog!$I:$I)))</f>
        <v/>
      </c>
      <c r="V334">
        <f>IF($A334="","",IF(SUMIF(FoodLog!$A:$A,$A334,FoodLog!$F:$F)=0,"",SUMIF(FoodLog!$A:$A,$A334,FoodLog!$F:$F)))</f>
        <v/>
      </c>
      <c r="W334">
        <f>IF($A334="","",IF(SUMIF(FoodLog!$A:$A,$A334,FoodLog!$G:$G)=0,"",SUMIF(FoodLog!$A:$A,$A334,FoodLog!$G:$G)))</f>
        <v/>
      </c>
      <c r="X334">
        <f>IF($A334="","",IF(SUMIF(FoodLog!$A:$A,$A334,FoodLog!$H:$H)=0,"",SUMIF(FoodLog!$A:$A,$A334,FoodLog!$H:$H)))</f>
        <v/>
      </c>
      <c r="Y334">
        <f>IF($A334="","",IFERROR(ROUND(100*AVERAGE(IF($B334="","",XLOOKUP($B334,FILTER(Dictionaries!$B:$B,Dictionaries!$A:$A="Тренировка"),FILTER(Dictionaries!$C:$C,Dictionaries!$A:$A="Тренировка"))),IF($C334="","",MIN($C334/40,1)),IF($D334="","",XLOOKUP($D334,FILTER(Dictionaries!$B:$B,Dictionaries!$A:$A="Шаги"),FILTER(Dictionaries!$C:$C,Dictionaries!$A:$A="Шаги"))),IF($E334="","",MIN($E334/120,1)),IF(OR($F334&lt;&gt;"",$G334&lt;&gt;""),1,""),IF($H334="","",MIN($H334/100,1)),IF($L334="","",XLOOKUP($L334,FILTER(Dictionaries!$B:$B,Dictionaries!$A:$A="Сон_часы"),FILTER(Dictionaries!$C:$C,Dictionaries!$A:$A="Сон_часы"))),IF($M334="","",XLOOKUP($M334,FILTER(Dictionaries!$B:$B,Dictionaries!$A:$A="Режим"),FILTER(Dictionaries!$C:$C,Dictionaries!$A:$A="Режим"))),IF($N334="","",MIN($N334/100,1)),IF($O334="","",XLOOKUP($O334,FILTER(Dictionaries!$B:$B,Dictionaries!$A:$A="Настроение"),FILTER(Dictionaries!$C:$C,Dictionaries!$A:$A="Настроение"))),IF($P334="","",XLOOKUP($P334,FILTER(Dictionaries!$B:$B,Dictionaries!$A:$A="Энергия"),FILTER(Dictionaries!$C:$C,Dictionaries!$A:$A="Энергия"))),IF($U334="","",AVERAGE(IF(OR($B334="Ноги",$B334="Верх"),IFS(AND($U334&gt;=1900,$U334&lt;=2050),1,AND($U334&gt;=1850,$U334&lt;1900),0.7,AND($U334&gt;2050,$U334&lt;=2100),0.7,TRUE,0.2),IFS(AND($U334&gt;=1700,$U334&lt;=1850),1,AND($U334&gt;=1650,$U334&lt;1700),0.7,AND($U334&gt;1850,$U334&lt;=1900),0.7,TRUE,0.2)),IF(OR($B334="Ноги",$B334="Верх"),IFS(AND($V334&gt;=125,$V334&lt;=135),1,AND($V334&gt;=115,$V334&lt;125),0.7,AND($V334&gt;135,$V334&lt;=145),0.7,AND($V334&gt;=105,$V334&lt;115),0.4,AND($V334&gt;145,$V334&lt;=155),0.4,TRUE,0.2),IFS(AND($V334&gt;=120,$V334&lt;=130),1,AND($V334&gt;=110,$V334&lt;120),0.7,AND($V334&gt;130,$V334&lt;=140),0.7,AND($V334&gt;=100,$V334&lt;110),0.4,AND($V334&gt;140,$V334&lt;=150),0.4,TRUE,0.2)),IFS(AND($W334&gt;=55,$W334&lt;=65),1,AND($W334&gt;=50,$W334&lt;55),0.7,AND($W334&gt;65,$W334&lt;=70),0.7,AND($W334&gt;=45,$W334&lt;50),0.4,AND($W334&gt;70,$W334&lt;=75),0.4,TRUE,0.2),IF(OR($B334="Ноги",$B334="Верх"),IFS(AND($X334&gt;=180,$X334&lt;=210),1,AND($X334&gt;=160,$X334&lt;180),0.7,AND($X334&gt;210,$X334&lt;=230),0.7,AND($X334&gt;=140,$X334&lt;160),0.4,AND($X334&gt;230,$X334&lt;=250),0.4,TRUE,0.2),IFS(AND($X334&gt;=140,$X334&lt;=170),1,AND($X334&gt;=120,$X334&lt;140),0.7,AND($X334&gt;170,$X334&lt;=190),0.7,AND($X334&gt;=100,$X334&lt;120),0.4,AND($X334&gt;190,$X334&lt;=210),0.4,TRUE,0.2))))),1),""))</f>
        <v/>
      </c>
      <c r="Z334">
        <f>IF($A334="","",TEXTJOIN(", ",TRUE,IF($B334="","Тренировка",""),IF($C334="","Кардио",""),IF($D334="","Шаги",""),IF($E334="","Английский",""),IF($F334="","Код-режим",""),IF($G334="","Код-тема",""),IF($H334="","Чтение",""),IF($L334="","Сон",""),IF($M334="","Режим",""),IF($N334="","Продуктивность",""),IF($O334="","Настроение",""),IF($P334="","Энергия",""),IF($U334="","Еда","")))</f>
        <v/>
      </c>
    </row>
    <row r="335">
      <c r="A335" t="inlineStr"/>
      <c r="U335">
        <f>IF($A335="","",IF(SUMIF(FoodLog!$A:$A,$A335,FoodLog!$I:$I)=0,"",SUMIF(FoodLog!$A:$A,$A335,FoodLog!$I:$I)))</f>
        <v/>
      </c>
      <c r="V335">
        <f>IF($A335="","",IF(SUMIF(FoodLog!$A:$A,$A335,FoodLog!$F:$F)=0,"",SUMIF(FoodLog!$A:$A,$A335,FoodLog!$F:$F)))</f>
        <v/>
      </c>
      <c r="W335">
        <f>IF($A335="","",IF(SUMIF(FoodLog!$A:$A,$A335,FoodLog!$G:$G)=0,"",SUMIF(FoodLog!$A:$A,$A335,FoodLog!$G:$G)))</f>
        <v/>
      </c>
      <c r="X335">
        <f>IF($A335="","",IF(SUMIF(FoodLog!$A:$A,$A335,FoodLog!$H:$H)=0,"",SUMIF(FoodLog!$A:$A,$A335,FoodLog!$H:$H)))</f>
        <v/>
      </c>
      <c r="Y335">
        <f>IF($A335="","",IFERROR(ROUND(100*AVERAGE(IF($B335="","",XLOOKUP($B335,FILTER(Dictionaries!$B:$B,Dictionaries!$A:$A="Тренировка"),FILTER(Dictionaries!$C:$C,Dictionaries!$A:$A="Тренировка"))),IF($C335="","",MIN($C335/40,1)),IF($D335="","",XLOOKUP($D335,FILTER(Dictionaries!$B:$B,Dictionaries!$A:$A="Шаги"),FILTER(Dictionaries!$C:$C,Dictionaries!$A:$A="Шаги"))),IF($E335="","",MIN($E335/120,1)),IF(OR($F335&lt;&gt;"",$G335&lt;&gt;""),1,""),IF($H335="","",MIN($H335/100,1)),IF($L335="","",XLOOKUP($L335,FILTER(Dictionaries!$B:$B,Dictionaries!$A:$A="Сон_часы"),FILTER(Dictionaries!$C:$C,Dictionaries!$A:$A="Сон_часы"))),IF($M335="","",XLOOKUP($M335,FILTER(Dictionaries!$B:$B,Dictionaries!$A:$A="Режим"),FILTER(Dictionaries!$C:$C,Dictionaries!$A:$A="Режим"))),IF($N335="","",MIN($N335/100,1)),IF($O335="","",XLOOKUP($O335,FILTER(Dictionaries!$B:$B,Dictionaries!$A:$A="Настроение"),FILTER(Dictionaries!$C:$C,Dictionaries!$A:$A="Настроение"))),IF($P335="","",XLOOKUP($P335,FILTER(Dictionaries!$B:$B,Dictionaries!$A:$A="Энергия"),FILTER(Dictionaries!$C:$C,Dictionaries!$A:$A="Энергия"))),IF($U335="","",AVERAGE(IF(OR($B335="Ноги",$B335="Верх"),IFS(AND($U335&gt;=1900,$U335&lt;=2050),1,AND($U335&gt;=1850,$U335&lt;1900),0.7,AND($U335&gt;2050,$U335&lt;=2100),0.7,TRUE,0.2),IFS(AND($U335&gt;=1700,$U335&lt;=1850),1,AND($U335&gt;=1650,$U335&lt;1700),0.7,AND($U335&gt;1850,$U335&lt;=1900),0.7,TRUE,0.2)),IF(OR($B335="Ноги",$B335="Верх"),IFS(AND($V335&gt;=125,$V335&lt;=135),1,AND($V335&gt;=115,$V335&lt;125),0.7,AND($V335&gt;135,$V335&lt;=145),0.7,AND($V335&gt;=105,$V335&lt;115),0.4,AND($V335&gt;145,$V335&lt;=155),0.4,TRUE,0.2),IFS(AND($V335&gt;=120,$V335&lt;=130),1,AND($V335&gt;=110,$V335&lt;120),0.7,AND($V335&gt;130,$V335&lt;=140),0.7,AND($V335&gt;=100,$V335&lt;110),0.4,AND($V335&gt;140,$V335&lt;=150),0.4,TRUE,0.2)),IFS(AND($W335&gt;=55,$W335&lt;=65),1,AND($W335&gt;=50,$W335&lt;55),0.7,AND($W335&gt;65,$W335&lt;=70),0.7,AND($W335&gt;=45,$W335&lt;50),0.4,AND($W335&gt;70,$W335&lt;=75),0.4,TRUE,0.2),IF(OR($B335="Ноги",$B335="Верх"),IFS(AND($X335&gt;=180,$X335&lt;=210),1,AND($X335&gt;=160,$X335&lt;180),0.7,AND($X335&gt;210,$X335&lt;=230),0.7,AND($X335&gt;=140,$X335&lt;160),0.4,AND($X335&gt;230,$X335&lt;=250),0.4,TRUE,0.2),IFS(AND($X335&gt;=140,$X335&lt;=170),1,AND($X335&gt;=120,$X335&lt;140),0.7,AND($X335&gt;170,$X335&lt;=190),0.7,AND($X335&gt;=100,$X335&lt;120),0.4,AND($X335&gt;190,$X335&lt;=210),0.4,TRUE,0.2))))),1),""))</f>
        <v/>
      </c>
      <c r="Z335">
        <f>IF($A335="","",TEXTJOIN(", ",TRUE,IF($B335="","Тренировка",""),IF($C335="","Кардио",""),IF($D335="","Шаги",""),IF($E335="","Английский",""),IF($F335="","Код-режим",""),IF($G335="","Код-тема",""),IF($H335="","Чтение",""),IF($L335="","Сон",""),IF($M335="","Режим",""),IF($N335="","Продуктивность",""),IF($O335="","Настроение",""),IF($P335="","Энергия",""),IF($U335="","Еда","")))</f>
        <v/>
      </c>
    </row>
    <row r="336">
      <c r="A336" t="inlineStr"/>
      <c r="U336">
        <f>IF($A336="","",IF(SUMIF(FoodLog!$A:$A,$A336,FoodLog!$I:$I)=0,"",SUMIF(FoodLog!$A:$A,$A336,FoodLog!$I:$I)))</f>
        <v/>
      </c>
      <c r="V336">
        <f>IF($A336="","",IF(SUMIF(FoodLog!$A:$A,$A336,FoodLog!$F:$F)=0,"",SUMIF(FoodLog!$A:$A,$A336,FoodLog!$F:$F)))</f>
        <v/>
      </c>
      <c r="W336">
        <f>IF($A336="","",IF(SUMIF(FoodLog!$A:$A,$A336,FoodLog!$G:$G)=0,"",SUMIF(FoodLog!$A:$A,$A336,FoodLog!$G:$G)))</f>
        <v/>
      </c>
      <c r="X336">
        <f>IF($A336="","",IF(SUMIF(FoodLog!$A:$A,$A336,FoodLog!$H:$H)=0,"",SUMIF(FoodLog!$A:$A,$A336,FoodLog!$H:$H)))</f>
        <v/>
      </c>
      <c r="Y336">
        <f>IF($A336="","",IFERROR(ROUND(100*AVERAGE(IF($B336="","",XLOOKUP($B336,FILTER(Dictionaries!$B:$B,Dictionaries!$A:$A="Тренировка"),FILTER(Dictionaries!$C:$C,Dictionaries!$A:$A="Тренировка"))),IF($C336="","",MIN($C336/40,1)),IF($D336="","",XLOOKUP($D336,FILTER(Dictionaries!$B:$B,Dictionaries!$A:$A="Шаги"),FILTER(Dictionaries!$C:$C,Dictionaries!$A:$A="Шаги"))),IF($E336="","",MIN($E336/120,1)),IF(OR($F336&lt;&gt;"",$G336&lt;&gt;""),1,""),IF($H336="","",MIN($H336/100,1)),IF($L336="","",XLOOKUP($L336,FILTER(Dictionaries!$B:$B,Dictionaries!$A:$A="Сон_часы"),FILTER(Dictionaries!$C:$C,Dictionaries!$A:$A="Сон_часы"))),IF($M336="","",XLOOKUP($M336,FILTER(Dictionaries!$B:$B,Dictionaries!$A:$A="Режим"),FILTER(Dictionaries!$C:$C,Dictionaries!$A:$A="Режим"))),IF($N336="","",MIN($N336/100,1)),IF($O336="","",XLOOKUP($O336,FILTER(Dictionaries!$B:$B,Dictionaries!$A:$A="Настроение"),FILTER(Dictionaries!$C:$C,Dictionaries!$A:$A="Настроение"))),IF($P336="","",XLOOKUP($P336,FILTER(Dictionaries!$B:$B,Dictionaries!$A:$A="Энергия"),FILTER(Dictionaries!$C:$C,Dictionaries!$A:$A="Энергия"))),IF($U336="","",AVERAGE(IF(OR($B336="Ноги",$B336="Верх"),IFS(AND($U336&gt;=1900,$U336&lt;=2050),1,AND($U336&gt;=1850,$U336&lt;1900),0.7,AND($U336&gt;2050,$U336&lt;=2100),0.7,TRUE,0.2),IFS(AND($U336&gt;=1700,$U336&lt;=1850),1,AND($U336&gt;=1650,$U336&lt;1700),0.7,AND($U336&gt;1850,$U336&lt;=1900),0.7,TRUE,0.2)),IF(OR($B336="Ноги",$B336="Верх"),IFS(AND($V336&gt;=125,$V336&lt;=135),1,AND($V336&gt;=115,$V336&lt;125),0.7,AND($V336&gt;135,$V336&lt;=145),0.7,AND($V336&gt;=105,$V336&lt;115),0.4,AND($V336&gt;145,$V336&lt;=155),0.4,TRUE,0.2),IFS(AND($V336&gt;=120,$V336&lt;=130),1,AND($V336&gt;=110,$V336&lt;120),0.7,AND($V336&gt;130,$V336&lt;=140),0.7,AND($V336&gt;=100,$V336&lt;110),0.4,AND($V336&gt;140,$V336&lt;=150),0.4,TRUE,0.2)),IFS(AND($W336&gt;=55,$W336&lt;=65),1,AND($W336&gt;=50,$W336&lt;55),0.7,AND($W336&gt;65,$W336&lt;=70),0.7,AND($W336&gt;=45,$W336&lt;50),0.4,AND($W336&gt;70,$W336&lt;=75),0.4,TRUE,0.2),IF(OR($B336="Ноги",$B336="Верх"),IFS(AND($X336&gt;=180,$X336&lt;=210),1,AND($X336&gt;=160,$X336&lt;180),0.7,AND($X336&gt;210,$X336&lt;=230),0.7,AND($X336&gt;=140,$X336&lt;160),0.4,AND($X336&gt;230,$X336&lt;=250),0.4,TRUE,0.2),IFS(AND($X336&gt;=140,$X336&lt;=170),1,AND($X336&gt;=120,$X336&lt;140),0.7,AND($X336&gt;170,$X336&lt;=190),0.7,AND($X336&gt;=100,$X336&lt;120),0.4,AND($X336&gt;190,$X336&lt;=210),0.4,TRUE,0.2))))),1),""))</f>
        <v/>
      </c>
      <c r="Z336">
        <f>IF($A336="","",TEXTJOIN(", ",TRUE,IF($B336="","Тренировка",""),IF($C336="","Кардио",""),IF($D336="","Шаги",""),IF($E336="","Английский",""),IF($F336="","Код-режим",""),IF($G336="","Код-тема",""),IF($H336="","Чтение",""),IF($L336="","Сон",""),IF($M336="","Режим",""),IF($N336="","Продуктивность",""),IF($O336="","Настроение",""),IF($P336="","Энергия",""),IF($U336="","Еда","")))</f>
        <v/>
      </c>
    </row>
    <row r="337">
      <c r="A337" t="inlineStr"/>
      <c r="U337">
        <f>IF($A337="","",IF(SUMIF(FoodLog!$A:$A,$A337,FoodLog!$I:$I)=0,"",SUMIF(FoodLog!$A:$A,$A337,FoodLog!$I:$I)))</f>
        <v/>
      </c>
      <c r="V337">
        <f>IF($A337="","",IF(SUMIF(FoodLog!$A:$A,$A337,FoodLog!$F:$F)=0,"",SUMIF(FoodLog!$A:$A,$A337,FoodLog!$F:$F)))</f>
        <v/>
      </c>
      <c r="W337">
        <f>IF($A337="","",IF(SUMIF(FoodLog!$A:$A,$A337,FoodLog!$G:$G)=0,"",SUMIF(FoodLog!$A:$A,$A337,FoodLog!$G:$G)))</f>
        <v/>
      </c>
      <c r="X337">
        <f>IF($A337="","",IF(SUMIF(FoodLog!$A:$A,$A337,FoodLog!$H:$H)=0,"",SUMIF(FoodLog!$A:$A,$A337,FoodLog!$H:$H)))</f>
        <v/>
      </c>
      <c r="Y337">
        <f>IF($A337="","",IFERROR(ROUND(100*AVERAGE(IF($B337="","",XLOOKUP($B337,FILTER(Dictionaries!$B:$B,Dictionaries!$A:$A="Тренировка"),FILTER(Dictionaries!$C:$C,Dictionaries!$A:$A="Тренировка"))),IF($C337="","",MIN($C337/40,1)),IF($D337="","",XLOOKUP($D337,FILTER(Dictionaries!$B:$B,Dictionaries!$A:$A="Шаги"),FILTER(Dictionaries!$C:$C,Dictionaries!$A:$A="Шаги"))),IF($E337="","",MIN($E337/120,1)),IF(OR($F337&lt;&gt;"",$G337&lt;&gt;""),1,""),IF($H337="","",MIN($H337/100,1)),IF($L337="","",XLOOKUP($L337,FILTER(Dictionaries!$B:$B,Dictionaries!$A:$A="Сон_часы"),FILTER(Dictionaries!$C:$C,Dictionaries!$A:$A="Сон_часы"))),IF($M337="","",XLOOKUP($M337,FILTER(Dictionaries!$B:$B,Dictionaries!$A:$A="Режим"),FILTER(Dictionaries!$C:$C,Dictionaries!$A:$A="Режим"))),IF($N337="","",MIN($N337/100,1)),IF($O337="","",XLOOKUP($O337,FILTER(Dictionaries!$B:$B,Dictionaries!$A:$A="Настроение"),FILTER(Dictionaries!$C:$C,Dictionaries!$A:$A="Настроение"))),IF($P337="","",XLOOKUP($P337,FILTER(Dictionaries!$B:$B,Dictionaries!$A:$A="Энергия"),FILTER(Dictionaries!$C:$C,Dictionaries!$A:$A="Энергия"))),IF($U337="","",AVERAGE(IF(OR($B337="Ноги",$B337="Верх"),IFS(AND($U337&gt;=1900,$U337&lt;=2050),1,AND($U337&gt;=1850,$U337&lt;1900),0.7,AND($U337&gt;2050,$U337&lt;=2100),0.7,TRUE,0.2),IFS(AND($U337&gt;=1700,$U337&lt;=1850),1,AND($U337&gt;=1650,$U337&lt;1700),0.7,AND($U337&gt;1850,$U337&lt;=1900),0.7,TRUE,0.2)),IF(OR($B337="Ноги",$B337="Верх"),IFS(AND($V337&gt;=125,$V337&lt;=135),1,AND($V337&gt;=115,$V337&lt;125),0.7,AND($V337&gt;135,$V337&lt;=145),0.7,AND($V337&gt;=105,$V337&lt;115),0.4,AND($V337&gt;145,$V337&lt;=155),0.4,TRUE,0.2),IFS(AND($V337&gt;=120,$V337&lt;=130),1,AND($V337&gt;=110,$V337&lt;120),0.7,AND($V337&gt;130,$V337&lt;=140),0.7,AND($V337&gt;=100,$V337&lt;110),0.4,AND($V337&gt;140,$V337&lt;=150),0.4,TRUE,0.2)),IFS(AND($W337&gt;=55,$W337&lt;=65),1,AND($W337&gt;=50,$W337&lt;55),0.7,AND($W337&gt;65,$W337&lt;=70),0.7,AND($W337&gt;=45,$W337&lt;50),0.4,AND($W337&gt;70,$W337&lt;=75),0.4,TRUE,0.2),IF(OR($B337="Ноги",$B337="Верх"),IFS(AND($X337&gt;=180,$X337&lt;=210),1,AND($X337&gt;=160,$X337&lt;180),0.7,AND($X337&gt;210,$X337&lt;=230),0.7,AND($X337&gt;=140,$X337&lt;160),0.4,AND($X337&gt;230,$X337&lt;=250),0.4,TRUE,0.2),IFS(AND($X337&gt;=140,$X337&lt;=170),1,AND($X337&gt;=120,$X337&lt;140),0.7,AND($X337&gt;170,$X337&lt;=190),0.7,AND($X337&gt;=100,$X337&lt;120),0.4,AND($X337&gt;190,$X337&lt;=210),0.4,TRUE,0.2))))),1),""))</f>
        <v/>
      </c>
      <c r="Z337">
        <f>IF($A337="","",TEXTJOIN(", ",TRUE,IF($B337="","Тренировка",""),IF($C337="","Кардио",""),IF($D337="","Шаги",""),IF($E337="","Английский",""),IF($F337="","Код-режим",""),IF($G337="","Код-тема",""),IF($H337="","Чтение",""),IF($L337="","Сон",""),IF($M337="","Режим",""),IF($N337="","Продуктивность",""),IF($O337="","Настроение",""),IF($P337="","Энергия",""),IF($U337="","Еда","")))</f>
        <v/>
      </c>
    </row>
    <row r="338">
      <c r="A338" t="inlineStr"/>
      <c r="U338">
        <f>IF($A338="","",IF(SUMIF(FoodLog!$A:$A,$A338,FoodLog!$I:$I)=0,"",SUMIF(FoodLog!$A:$A,$A338,FoodLog!$I:$I)))</f>
        <v/>
      </c>
      <c r="V338">
        <f>IF($A338="","",IF(SUMIF(FoodLog!$A:$A,$A338,FoodLog!$F:$F)=0,"",SUMIF(FoodLog!$A:$A,$A338,FoodLog!$F:$F)))</f>
        <v/>
      </c>
      <c r="W338">
        <f>IF($A338="","",IF(SUMIF(FoodLog!$A:$A,$A338,FoodLog!$G:$G)=0,"",SUMIF(FoodLog!$A:$A,$A338,FoodLog!$G:$G)))</f>
        <v/>
      </c>
      <c r="X338">
        <f>IF($A338="","",IF(SUMIF(FoodLog!$A:$A,$A338,FoodLog!$H:$H)=0,"",SUMIF(FoodLog!$A:$A,$A338,FoodLog!$H:$H)))</f>
        <v/>
      </c>
      <c r="Y338">
        <f>IF($A338="","",IFERROR(ROUND(100*AVERAGE(IF($B338="","",XLOOKUP($B338,FILTER(Dictionaries!$B:$B,Dictionaries!$A:$A="Тренировка"),FILTER(Dictionaries!$C:$C,Dictionaries!$A:$A="Тренировка"))),IF($C338="","",MIN($C338/40,1)),IF($D338="","",XLOOKUP($D338,FILTER(Dictionaries!$B:$B,Dictionaries!$A:$A="Шаги"),FILTER(Dictionaries!$C:$C,Dictionaries!$A:$A="Шаги"))),IF($E338="","",MIN($E338/120,1)),IF(OR($F338&lt;&gt;"",$G338&lt;&gt;""),1,""),IF($H338="","",MIN($H338/100,1)),IF($L338="","",XLOOKUP($L338,FILTER(Dictionaries!$B:$B,Dictionaries!$A:$A="Сон_часы"),FILTER(Dictionaries!$C:$C,Dictionaries!$A:$A="Сон_часы"))),IF($M338="","",XLOOKUP($M338,FILTER(Dictionaries!$B:$B,Dictionaries!$A:$A="Режим"),FILTER(Dictionaries!$C:$C,Dictionaries!$A:$A="Режим"))),IF($N338="","",MIN($N338/100,1)),IF($O338="","",XLOOKUP($O338,FILTER(Dictionaries!$B:$B,Dictionaries!$A:$A="Настроение"),FILTER(Dictionaries!$C:$C,Dictionaries!$A:$A="Настроение"))),IF($P338="","",XLOOKUP($P338,FILTER(Dictionaries!$B:$B,Dictionaries!$A:$A="Энергия"),FILTER(Dictionaries!$C:$C,Dictionaries!$A:$A="Энергия"))),IF($U338="","",AVERAGE(IF(OR($B338="Ноги",$B338="Верх"),IFS(AND($U338&gt;=1900,$U338&lt;=2050),1,AND($U338&gt;=1850,$U338&lt;1900),0.7,AND($U338&gt;2050,$U338&lt;=2100),0.7,TRUE,0.2),IFS(AND($U338&gt;=1700,$U338&lt;=1850),1,AND($U338&gt;=1650,$U338&lt;1700),0.7,AND($U338&gt;1850,$U338&lt;=1900),0.7,TRUE,0.2)),IF(OR($B338="Ноги",$B338="Верх"),IFS(AND($V338&gt;=125,$V338&lt;=135),1,AND($V338&gt;=115,$V338&lt;125),0.7,AND($V338&gt;135,$V338&lt;=145),0.7,AND($V338&gt;=105,$V338&lt;115),0.4,AND($V338&gt;145,$V338&lt;=155),0.4,TRUE,0.2),IFS(AND($V338&gt;=120,$V338&lt;=130),1,AND($V338&gt;=110,$V338&lt;120),0.7,AND($V338&gt;130,$V338&lt;=140),0.7,AND($V338&gt;=100,$V338&lt;110),0.4,AND($V338&gt;140,$V338&lt;=150),0.4,TRUE,0.2)),IFS(AND($W338&gt;=55,$W338&lt;=65),1,AND($W338&gt;=50,$W338&lt;55),0.7,AND($W338&gt;65,$W338&lt;=70),0.7,AND($W338&gt;=45,$W338&lt;50),0.4,AND($W338&gt;70,$W338&lt;=75),0.4,TRUE,0.2),IF(OR($B338="Ноги",$B338="Верх"),IFS(AND($X338&gt;=180,$X338&lt;=210),1,AND($X338&gt;=160,$X338&lt;180),0.7,AND($X338&gt;210,$X338&lt;=230),0.7,AND($X338&gt;=140,$X338&lt;160),0.4,AND($X338&gt;230,$X338&lt;=250),0.4,TRUE,0.2),IFS(AND($X338&gt;=140,$X338&lt;=170),1,AND($X338&gt;=120,$X338&lt;140),0.7,AND($X338&gt;170,$X338&lt;=190),0.7,AND($X338&gt;=100,$X338&lt;120),0.4,AND($X338&gt;190,$X338&lt;=210),0.4,TRUE,0.2))))),1),""))</f>
        <v/>
      </c>
      <c r="Z338">
        <f>IF($A338="","",TEXTJOIN(", ",TRUE,IF($B338="","Тренировка",""),IF($C338="","Кардио",""),IF($D338="","Шаги",""),IF($E338="","Английский",""),IF($F338="","Код-режим",""),IF($G338="","Код-тема",""),IF($H338="","Чтение",""),IF($L338="","Сон",""),IF($M338="","Режим",""),IF($N338="","Продуктивность",""),IF($O338="","Настроение",""),IF($P338="","Энергия",""),IF($U338="","Еда","")))</f>
        <v/>
      </c>
    </row>
    <row r="339">
      <c r="A339" t="inlineStr"/>
      <c r="U339">
        <f>IF($A339="","",IF(SUMIF(FoodLog!$A:$A,$A339,FoodLog!$I:$I)=0,"",SUMIF(FoodLog!$A:$A,$A339,FoodLog!$I:$I)))</f>
        <v/>
      </c>
      <c r="V339">
        <f>IF($A339="","",IF(SUMIF(FoodLog!$A:$A,$A339,FoodLog!$F:$F)=0,"",SUMIF(FoodLog!$A:$A,$A339,FoodLog!$F:$F)))</f>
        <v/>
      </c>
      <c r="W339">
        <f>IF($A339="","",IF(SUMIF(FoodLog!$A:$A,$A339,FoodLog!$G:$G)=0,"",SUMIF(FoodLog!$A:$A,$A339,FoodLog!$G:$G)))</f>
        <v/>
      </c>
      <c r="X339">
        <f>IF($A339="","",IF(SUMIF(FoodLog!$A:$A,$A339,FoodLog!$H:$H)=0,"",SUMIF(FoodLog!$A:$A,$A339,FoodLog!$H:$H)))</f>
        <v/>
      </c>
      <c r="Y339">
        <f>IF($A339="","",IFERROR(ROUND(100*AVERAGE(IF($B339="","",XLOOKUP($B339,FILTER(Dictionaries!$B:$B,Dictionaries!$A:$A="Тренировка"),FILTER(Dictionaries!$C:$C,Dictionaries!$A:$A="Тренировка"))),IF($C339="","",MIN($C339/40,1)),IF($D339="","",XLOOKUP($D339,FILTER(Dictionaries!$B:$B,Dictionaries!$A:$A="Шаги"),FILTER(Dictionaries!$C:$C,Dictionaries!$A:$A="Шаги"))),IF($E339="","",MIN($E339/120,1)),IF(OR($F339&lt;&gt;"",$G339&lt;&gt;""),1,""),IF($H339="","",MIN($H339/100,1)),IF($L339="","",XLOOKUP($L339,FILTER(Dictionaries!$B:$B,Dictionaries!$A:$A="Сон_часы"),FILTER(Dictionaries!$C:$C,Dictionaries!$A:$A="Сон_часы"))),IF($M339="","",XLOOKUP($M339,FILTER(Dictionaries!$B:$B,Dictionaries!$A:$A="Режим"),FILTER(Dictionaries!$C:$C,Dictionaries!$A:$A="Режим"))),IF($N339="","",MIN($N339/100,1)),IF($O339="","",XLOOKUP($O339,FILTER(Dictionaries!$B:$B,Dictionaries!$A:$A="Настроение"),FILTER(Dictionaries!$C:$C,Dictionaries!$A:$A="Настроение"))),IF($P339="","",XLOOKUP($P339,FILTER(Dictionaries!$B:$B,Dictionaries!$A:$A="Энергия"),FILTER(Dictionaries!$C:$C,Dictionaries!$A:$A="Энергия"))),IF($U339="","",AVERAGE(IF(OR($B339="Ноги",$B339="Верх"),IFS(AND($U339&gt;=1900,$U339&lt;=2050),1,AND($U339&gt;=1850,$U339&lt;1900),0.7,AND($U339&gt;2050,$U339&lt;=2100),0.7,TRUE,0.2),IFS(AND($U339&gt;=1700,$U339&lt;=1850),1,AND($U339&gt;=1650,$U339&lt;1700),0.7,AND($U339&gt;1850,$U339&lt;=1900),0.7,TRUE,0.2)),IF(OR($B339="Ноги",$B339="Верх"),IFS(AND($V339&gt;=125,$V339&lt;=135),1,AND($V339&gt;=115,$V339&lt;125),0.7,AND($V339&gt;135,$V339&lt;=145),0.7,AND($V339&gt;=105,$V339&lt;115),0.4,AND($V339&gt;145,$V339&lt;=155),0.4,TRUE,0.2),IFS(AND($V339&gt;=120,$V339&lt;=130),1,AND($V339&gt;=110,$V339&lt;120),0.7,AND($V339&gt;130,$V339&lt;=140),0.7,AND($V339&gt;=100,$V339&lt;110),0.4,AND($V339&gt;140,$V339&lt;=150),0.4,TRUE,0.2)),IFS(AND($W339&gt;=55,$W339&lt;=65),1,AND($W339&gt;=50,$W339&lt;55),0.7,AND($W339&gt;65,$W339&lt;=70),0.7,AND($W339&gt;=45,$W339&lt;50),0.4,AND($W339&gt;70,$W339&lt;=75),0.4,TRUE,0.2),IF(OR($B339="Ноги",$B339="Верх"),IFS(AND($X339&gt;=180,$X339&lt;=210),1,AND($X339&gt;=160,$X339&lt;180),0.7,AND($X339&gt;210,$X339&lt;=230),0.7,AND($X339&gt;=140,$X339&lt;160),0.4,AND($X339&gt;230,$X339&lt;=250),0.4,TRUE,0.2),IFS(AND($X339&gt;=140,$X339&lt;=170),1,AND($X339&gt;=120,$X339&lt;140),0.7,AND($X339&gt;170,$X339&lt;=190),0.7,AND($X339&gt;=100,$X339&lt;120),0.4,AND($X339&gt;190,$X339&lt;=210),0.4,TRUE,0.2))))),1),""))</f>
        <v/>
      </c>
      <c r="Z339">
        <f>IF($A339="","",TEXTJOIN(", ",TRUE,IF($B339="","Тренировка",""),IF($C339="","Кардио",""),IF($D339="","Шаги",""),IF($E339="","Английский",""),IF($F339="","Код-режим",""),IF($G339="","Код-тема",""),IF($H339="","Чтение",""),IF($L339="","Сон",""),IF($M339="","Режим",""),IF($N339="","Продуктивность",""),IF($O339="","Настроение",""),IF($P339="","Энергия",""),IF($U339="","Еда","")))</f>
        <v/>
      </c>
    </row>
    <row r="340">
      <c r="A340" t="inlineStr"/>
      <c r="U340">
        <f>IF($A340="","",IF(SUMIF(FoodLog!$A:$A,$A340,FoodLog!$I:$I)=0,"",SUMIF(FoodLog!$A:$A,$A340,FoodLog!$I:$I)))</f>
        <v/>
      </c>
      <c r="V340">
        <f>IF($A340="","",IF(SUMIF(FoodLog!$A:$A,$A340,FoodLog!$F:$F)=0,"",SUMIF(FoodLog!$A:$A,$A340,FoodLog!$F:$F)))</f>
        <v/>
      </c>
      <c r="W340">
        <f>IF($A340="","",IF(SUMIF(FoodLog!$A:$A,$A340,FoodLog!$G:$G)=0,"",SUMIF(FoodLog!$A:$A,$A340,FoodLog!$G:$G)))</f>
        <v/>
      </c>
      <c r="X340">
        <f>IF($A340="","",IF(SUMIF(FoodLog!$A:$A,$A340,FoodLog!$H:$H)=0,"",SUMIF(FoodLog!$A:$A,$A340,FoodLog!$H:$H)))</f>
        <v/>
      </c>
      <c r="Y340">
        <f>IF($A340="","",IFERROR(ROUND(100*AVERAGE(IF($B340="","",XLOOKUP($B340,FILTER(Dictionaries!$B:$B,Dictionaries!$A:$A="Тренировка"),FILTER(Dictionaries!$C:$C,Dictionaries!$A:$A="Тренировка"))),IF($C340="","",MIN($C340/40,1)),IF($D340="","",XLOOKUP($D340,FILTER(Dictionaries!$B:$B,Dictionaries!$A:$A="Шаги"),FILTER(Dictionaries!$C:$C,Dictionaries!$A:$A="Шаги"))),IF($E340="","",MIN($E340/120,1)),IF(OR($F340&lt;&gt;"",$G340&lt;&gt;""),1,""),IF($H340="","",MIN($H340/100,1)),IF($L340="","",XLOOKUP($L340,FILTER(Dictionaries!$B:$B,Dictionaries!$A:$A="Сон_часы"),FILTER(Dictionaries!$C:$C,Dictionaries!$A:$A="Сон_часы"))),IF($M340="","",XLOOKUP($M340,FILTER(Dictionaries!$B:$B,Dictionaries!$A:$A="Режим"),FILTER(Dictionaries!$C:$C,Dictionaries!$A:$A="Режим"))),IF($N340="","",MIN($N340/100,1)),IF($O340="","",XLOOKUP($O340,FILTER(Dictionaries!$B:$B,Dictionaries!$A:$A="Настроение"),FILTER(Dictionaries!$C:$C,Dictionaries!$A:$A="Настроение"))),IF($P340="","",XLOOKUP($P340,FILTER(Dictionaries!$B:$B,Dictionaries!$A:$A="Энергия"),FILTER(Dictionaries!$C:$C,Dictionaries!$A:$A="Энергия"))),IF($U340="","",AVERAGE(IF(OR($B340="Ноги",$B340="Верх"),IFS(AND($U340&gt;=1900,$U340&lt;=2050),1,AND($U340&gt;=1850,$U340&lt;1900),0.7,AND($U340&gt;2050,$U340&lt;=2100),0.7,TRUE,0.2),IFS(AND($U340&gt;=1700,$U340&lt;=1850),1,AND($U340&gt;=1650,$U340&lt;1700),0.7,AND($U340&gt;1850,$U340&lt;=1900),0.7,TRUE,0.2)),IF(OR($B340="Ноги",$B340="Верх"),IFS(AND($V340&gt;=125,$V340&lt;=135),1,AND($V340&gt;=115,$V340&lt;125),0.7,AND($V340&gt;135,$V340&lt;=145),0.7,AND($V340&gt;=105,$V340&lt;115),0.4,AND($V340&gt;145,$V340&lt;=155),0.4,TRUE,0.2),IFS(AND($V340&gt;=120,$V340&lt;=130),1,AND($V340&gt;=110,$V340&lt;120),0.7,AND($V340&gt;130,$V340&lt;=140),0.7,AND($V340&gt;=100,$V340&lt;110),0.4,AND($V340&gt;140,$V340&lt;=150),0.4,TRUE,0.2)),IFS(AND($W340&gt;=55,$W340&lt;=65),1,AND($W340&gt;=50,$W340&lt;55),0.7,AND($W340&gt;65,$W340&lt;=70),0.7,AND($W340&gt;=45,$W340&lt;50),0.4,AND($W340&gt;70,$W340&lt;=75),0.4,TRUE,0.2),IF(OR($B340="Ноги",$B340="Верх"),IFS(AND($X340&gt;=180,$X340&lt;=210),1,AND($X340&gt;=160,$X340&lt;180),0.7,AND($X340&gt;210,$X340&lt;=230),0.7,AND($X340&gt;=140,$X340&lt;160),0.4,AND($X340&gt;230,$X340&lt;=250),0.4,TRUE,0.2),IFS(AND($X340&gt;=140,$X340&lt;=170),1,AND($X340&gt;=120,$X340&lt;140),0.7,AND($X340&gt;170,$X340&lt;=190),0.7,AND($X340&gt;=100,$X340&lt;120),0.4,AND($X340&gt;190,$X340&lt;=210),0.4,TRUE,0.2))))),1),""))</f>
        <v/>
      </c>
      <c r="Z340">
        <f>IF($A340="","",TEXTJOIN(", ",TRUE,IF($B340="","Тренировка",""),IF($C340="","Кардио",""),IF($D340="","Шаги",""),IF($E340="","Английский",""),IF($F340="","Код-режим",""),IF($G340="","Код-тема",""),IF($H340="","Чтение",""),IF($L340="","Сон",""),IF($M340="","Режим",""),IF($N340="","Продуктивность",""),IF($O340="","Настроение",""),IF($P340="","Энергия",""),IF($U340="","Еда","")))</f>
        <v/>
      </c>
    </row>
    <row r="341">
      <c r="A341" t="inlineStr"/>
      <c r="U341">
        <f>IF($A341="","",IF(SUMIF(FoodLog!$A:$A,$A341,FoodLog!$I:$I)=0,"",SUMIF(FoodLog!$A:$A,$A341,FoodLog!$I:$I)))</f>
        <v/>
      </c>
      <c r="V341">
        <f>IF($A341="","",IF(SUMIF(FoodLog!$A:$A,$A341,FoodLog!$F:$F)=0,"",SUMIF(FoodLog!$A:$A,$A341,FoodLog!$F:$F)))</f>
        <v/>
      </c>
      <c r="W341">
        <f>IF($A341="","",IF(SUMIF(FoodLog!$A:$A,$A341,FoodLog!$G:$G)=0,"",SUMIF(FoodLog!$A:$A,$A341,FoodLog!$G:$G)))</f>
        <v/>
      </c>
      <c r="X341">
        <f>IF($A341="","",IF(SUMIF(FoodLog!$A:$A,$A341,FoodLog!$H:$H)=0,"",SUMIF(FoodLog!$A:$A,$A341,FoodLog!$H:$H)))</f>
        <v/>
      </c>
      <c r="Y341">
        <f>IF($A341="","",IFERROR(ROUND(100*AVERAGE(IF($B341="","",XLOOKUP($B341,FILTER(Dictionaries!$B:$B,Dictionaries!$A:$A="Тренировка"),FILTER(Dictionaries!$C:$C,Dictionaries!$A:$A="Тренировка"))),IF($C341="","",MIN($C341/40,1)),IF($D341="","",XLOOKUP($D341,FILTER(Dictionaries!$B:$B,Dictionaries!$A:$A="Шаги"),FILTER(Dictionaries!$C:$C,Dictionaries!$A:$A="Шаги"))),IF($E341="","",MIN($E341/120,1)),IF(OR($F341&lt;&gt;"",$G341&lt;&gt;""),1,""),IF($H341="","",MIN($H341/100,1)),IF($L341="","",XLOOKUP($L341,FILTER(Dictionaries!$B:$B,Dictionaries!$A:$A="Сон_часы"),FILTER(Dictionaries!$C:$C,Dictionaries!$A:$A="Сон_часы"))),IF($M341="","",XLOOKUP($M341,FILTER(Dictionaries!$B:$B,Dictionaries!$A:$A="Режим"),FILTER(Dictionaries!$C:$C,Dictionaries!$A:$A="Режим"))),IF($N341="","",MIN($N341/100,1)),IF($O341="","",XLOOKUP($O341,FILTER(Dictionaries!$B:$B,Dictionaries!$A:$A="Настроение"),FILTER(Dictionaries!$C:$C,Dictionaries!$A:$A="Настроение"))),IF($P341="","",XLOOKUP($P341,FILTER(Dictionaries!$B:$B,Dictionaries!$A:$A="Энергия"),FILTER(Dictionaries!$C:$C,Dictionaries!$A:$A="Энергия"))),IF($U341="","",AVERAGE(IF(OR($B341="Ноги",$B341="Верх"),IFS(AND($U341&gt;=1900,$U341&lt;=2050),1,AND($U341&gt;=1850,$U341&lt;1900),0.7,AND($U341&gt;2050,$U341&lt;=2100),0.7,TRUE,0.2),IFS(AND($U341&gt;=1700,$U341&lt;=1850),1,AND($U341&gt;=1650,$U341&lt;1700),0.7,AND($U341&gt;1850,$U341&lt;=1900),0.7,TRUE,0.2)),IF(OR($B341="Ноги",$B341="Верх"),IFS(AND($V341&gt;=125,$V341&lt;=135),1,AND($V341&gt;=115,$V341&lt;125),0.7,AND($V341&gt;135,$V341&lt;=145),0.7,AND($V341&gt;=105,$V341&lt;115),0.4,AND($V341&gt;145,$V341&lt;=155),0.4,TRUE,0.2),IFS(AND($V341&gt;=120,$V341&lt;=130),1,AND($V341&gt;=110,$V341&lt;120),0.7,AND($V341&gt;130,$V341&lt;=140),0.7,AND($V341&gt;=100,$V341&lt;110),0.4,AND($V341&gt;140,$V341&lt;=150),0.4,TRUE,0.2)),IFS(AND($W341&gt;=55,$W341&lt;=65),1,AND($W341&gt;=50,$W341&lt;55),0.7,AND($W341&gt;65,$W341&lt;=70),0.7,AND($W341&gt;=45,$W341&lt;50),0.4,AND($W341&gt;70,$W341&lt;=75),0.4,TRUE,0.2),IF(OR($B341="Ноги",$B341="Верх"),IFS(AND($X341&gt;=180,$X341&lt;=210),1,AND($X341&gt;=160,$X341&lt;180),0.7,AND($X341&gt;210,$X341&lt;=230),0.7,AND($X341&gt;=140,$X341&lt;160),0.4,AND($X341&gt;230,$X341&lt;=250),0.4,TRUE,0.2),IFS(AND($X341&gt;=140,$X341&lt;=170),1,AND($X341&gt;=120,$X341&lt;140),0.7,AND($X341&gt;170,$X341&lt;=190),0.7,AND($X341&gt;=100,$X341&lt;120),0.4,AND($X341&gt;190,$X341&lt;=210),0.4,TRUE,0.2))))),1),""))</f>
        <v/>
      </c>
      <c r="Z341">
        <f>IF($A341="","",TEXTJOIN(", ",TRUE,IF($B341="","Тренировка",""),IF($C341="","Кардио",""),IF($D341="","Шаги",""),IF($E341="","Английский",""),IF($F341="","Код-режим",""),IF($G341="","Код-тема",""),IF($H341="","Чтение",""),IF($L341="","Сон",""),IF($M341="","Режим",""),IF($N341="","Продуктивность",""),IF($O341="","Настроение",""),IF($P341="","Энергия",""),IF($U341="","Еда","")))</f>
        <v/>
      </c>
    </row>
    <row r="342">
      <c r="A342" t="inlineStr"/>
      <c r="U342">
        <f>IF($A342="","",IF(SUMIF(FoodLog!$A:$A,$A342,FoodLog!$I:$I)=0,"",SUMIF(FoodLog!$A:$A,$A342,FoodLog!$I:$I)))</f>
        <v/>
      </c>
      <c r="V342">
        <f>IF($A342="","",IF(SUMIF(FoodLog!$A:$A,$A342,FoodLog!$F:$F)=0,"",SUMIF(FoodLog!$A:$A,$A342,FoodLog!$F:$F)))</f>
        <v/>
      </c>
      <c r="W342">
        <f>IF($A342="","",IF(SUMIF(FoodLog!$A:$A,$A342,FoodLog!$G:$G)=0,"",SUMIF(FoodLog!$A:$A,$A342,FoodLog!$G:$G)))</f>
        <v/>
      </c>
      <c r="X342">
        <f>IF($A342="","",IF(SUMIF(FoodLog!$A:$A,$A342,FoodLog!$H:$H)=0,"",SUMIF(FoodLog!$A:$A,$A342,FoodLog!$H:$H)))</f>
        <v/>
      </c>
      <c r="Y342">
        <f>IF($A342="","",IFERROR(ROUND(100*AVERAGE(IF($B342="","",XLOOKUP($B342,FILTER(Dictionaries!$B:$B,Dictionaries!$A:$A="Тренировка"),FILTER(Dictionaries!$C:$C,Dictionaries!$A:$A="Тренировка"))),IF($C342="","",MIN($C342/40,1)),IF($D342="","",XLOOKUP($D342,FILTER(Dictionaries!$B:$B,Dictionaries!$A:$A="Шаги"),FILTER(Dictionaries!$C:$C,Dictionaries!$A:$A="Шаги"))),IF($E342="","",MIN($E342/120,1)),IF(OR($F342&lt;&gt;"",$G342&lt;&gt;""),1,""),IF($H342="","",MIN($H342/100,1)),IF($L342="","",XLOOKUP($L342,FILTER(Dictionaries!$B:$B,Dictionaries!$A:$A="Сон_часы"),FILTER(Dictionaries!$C:$C,Dictionaries!$A:$A="Сон_часы"))),IF($M342="","",XLOOKUP($M342,FILTER(Dictionaries!$B:$B,Dictionaries!$A:$A="Режим"),FILTER(Dictionaries!$C:$C,Dictionaries!$A:$A="Режим"))),IF($N342="","",MIN($N342/100,1)),IF($O342="","",XLOOKUP($O342,FILTER(Dictionaries!$B:$B,Dictionaries!$A:$A="Настроение"),FILTER(Dictionaries!$C:$C,Dictionaries!$A:$A="Настроение"))),IF($P342="","",XLOOKUP($P342,FILTER(Dictionaries!$B:$B,Dictionaries!$A:$A="Энергия"),FILTER(Dictionaries!$C:$C,Dictionaries!$A:$A="Энергия"))),IF($U342="","",AVERAGE(IF(OR($B342="Ноги",$B342="Верх"),IFS(AND($U342&gt;=1900,$U342&lt;=2050),1,AND($U342&gt;=1850,$U342&lt;1900),0.7,AND($U342&gt;2050,$U342&lt;=2100),0.7,TRUE,0.2),IFS(AND($U342&gt;=1700,$U342&lt;=1850),1,AND($U342&gt;=1650,$U342&lt;1700),0.7,AND($U342&gt;1850,$U342&lt;=1900),0.7,TRUE,0.2)),IF(OR($B342="Ноги",$B342="Верх"),IFS(AND($V342&gt;=125,$V342&lt;=135),1,AND($V342&gt;=115,$V342&lt;125),0.7,AND($V342&gt;135,$V342&lt;=145),0.7,AND($V342&gt;=105,$V342&lt;115),0.4,AND($V342&gt;145,$V342&lt;=155),0.4,TRUE,0.2),IFS(AND($V342&gt;=120,$V342&lt;=130),1,AND($V342&gt;=110,$V342&lt;120),0.7,AND($V342&gt;130,$V342&lt;=140),0.7,AND($V342&gt;=100,$V342&lt;110),0.4,AND($V342&gt;140,$V342&lt;=150),0.4,TRUE,0.2)),IFS(AND($W342&gt;=55,$W342&lt;=65),1,AND($W342&gt;=50,$W342&lt;55),0.7,AND($W342&gt;65,$W342&lt;=70),0.7,AND($W342&gt;=45,$W342&lt;50),0.4,AND($W342&gt;70,$W342&lt;=75),0.4,TRUE,0.2),IF(OR($B342="Ноги",$B342="Верх"),IFS(AND($X342&gt;=180,$X342&lt;=210),1,AND($X342&gt;=160,$X342&lt;180),0.7,AND($X342&gt;210,$X342&lt;=230),0.7,AND($X342&gt;=140,$X342&lt;160),0.4,AND($X342&gt;230,$X342&lt;=250),0.4,TRUE,0.2),IFS(AND($X342&gt;=140,$X342&lt;=170),1,AND($X342&gt;=120,$X342&lt;140),0.7,AND($X342&gt;170,$X342&lt;=190),0.7,AND($X342&gt;=100,$X342&lt;120),0.4,AND($X342&gt;190,$X342&lt;=210),0.4,TRUE,0.2))))),1),""))</f>
        <v/>
      </c>
      <c r="Z342">
        <f>IF($A342="","",TEXTJOIN(", ",TRUE,IF($B342="","Тренировка",""),IF($C342="","Кардио",""),IF($D342="","Шаги",""),IF($E342="","Английский",""),IF($F342="","Код-режим",""),IF($G342="","Код-тема",""),IF($H342="","Чтение",""),IF($L342="","Сон",""),IF($M342="","Режим",""),IF($N342="","Продуктивность",""),IF($O342="","Настроение",""),IF($P342="","Энергия",""),IF($U342="","Еда","")))</f>
        <v/>
      </c>
    </row>
    <row r="343">
      <c r="A343" t="inlineStr"/>
      <c r="U343">
        <f>IF($A343="","",IF(SUMIF(FoodLog!$A:$A,$A343,FoodLog!$I:$I)=0,"",SUMIF(FoodLog!$A:$A,$A343,FoodLog!$I:$I)))</f>
        <v/>
      </c>
      <c r="V343">
        <f>IF($A343="","",IF(SUMIF(FoodLog!$A:$A,$A343,FoodLog!$F:$F)=0,"",SUMIF(FoodLog!$A:$A,$A343,FoodLog!$F:$F)))</f>
        <v/>
      </c>
      <c r="W343">
        <f>IF($A343="","",IF(SUMIF(FoodLog!$A:$A,$A343,FoodLog!$G:$G)=0,"",SUMIF(FoodLog!$A:$A,$A343,FoodLog!$G:$G)))</f>
        <v/>
      </c>
      <c r="X343">
        <f>IF($A343="","",IF(SUMIF(FoodLog!$A:$A,$A343,FoodLog!$H:$H)=0,"",SUMIF(FoodLog!$A:$A,$A343,FoodLog!$H:$H)))</f>
        <v/>
      </c>
      <c r="Y343">
        <f>IF($A343="","",IFERROR(ROUND(100*AVERAGE(IF($B343="","",XLOOKUP($B343,FILTER(Dictionaries!$B:$B,Dictionaries!$A:$A="Тренировка"),FILTER(Dictionaries!$C:$C,Dictionaries!$A:$A="Тренировка"))),IF($C343="","",MIN($C343/40,1)),IF($D343="","",XLOOKUP($D343,FILTER(Dictionaries!$B:$B,Dictionaries!$A:$A="Шаги"),FILTER(Dictionaries!$C:$C,Dictionaries!$A:$A="Шаги"))),IF($E343="","",MIN($E343/120,1)),IF(OR($F343&lt;&gt;"",$G343&lt;&gt;""),1,""),IF($H343="","",MIN($H343/100,1)),IF($L343="","",XLOOKUP($L343,FILTER(Dictionaries!$B:$B,Dictionaries!$A:$A="Сон_часы"),FILTER(Dictionaries!$C:$C,Dictionaries!$A:$A="Сон_часы"))),IF($M343="","",XLOOKUP($M343,FILTER(Dictionaries!$B:$B,Dictionaries!$A:$A="Режим"),FILTER(Dictionaries!$C:$C,Dictionaries!$A:$A="Режим"))),IF($N343="","",MIN($N343/100,1)),IF($O343="","",XLOOKUP($O343,FILTER(Dictionaries!$B:$B,Dictionaries!$A:$A="Настроение"),FILTER(Dictionaries!$C:$C,Dictionaries!$A:$A="Настроение"))),IF($P343="","",XLOOKUP($P343,FILTER(Dictionaries!$B:$B,Dictionaries!$A:$A="Энергия"),FILTER(Dictionaries!$C:$C,Dictionaries!$A:$A="Энергия"))),IF($U343="","",AVERAGE(IF(OR($B343="Ноги",$B343="Верх"),IFS(AND($U343&gt;=1900,$U343&lt;=2050),1,AND($U343&gt;=1850,$U343&lt;1900),0.7,AND($U343&gt;2050,$U343&lt;=2100),0.7,TRUE,0.2),IFS(AND($U343&gt;=1700,$U343&lt;=1850),1,AND($U343&gt;=1650,$U343&lt;1700),0.7,AND($U343&gt;1850,$U343&lt;=1900),0.7,TRUE,0.2)),IF(OR($B343="Ноги",$B343="Верх"),IFS(AND($V343&gt;=125,$V343&lt;=135),1,AND($V343&gt;=115,$V343&lt;125),0.7,AND($V343&gt;135,$V343&lt;=145),0.7,AND($V343&gt;=105,$V343&lt;115),0.4,AND($V343&gt;145,$V343&lt;=155),0.4,TRUE,0.2),IFS(AND($V343&gt;=120,$V343&lt;=130),1,AND($V343&gt;=110,$V343&lt;120),0.7,AND($V343&gt;130,$V343&lt;=140),0.7,AND($V343&gt;=100,$V343&lt;110),0.4,AND($V343&gt;140,$V343&lt;=150),0.4,TRUE,0.2)),IFS(AND($W343&gt;=55,$W343&lt;=65),1,AND($W343&gt;=50,$W343&lt;55),0.7,AND($W343&gt;65,$W343&lt;=70),0.7,AND($W343&gt;=45,$W343&lt;50),0.4,AND($W343&gt;70,$W343&lt;=75),0.4,TRUE,0.2),IF(OR($B343="Ноги",$B343="Верх"),IFS(AND($X343&gt;=180,$X343&lt;=210),1,AND($X343&gt;=160,$X343&lt;180),0.7,AND($X343&gt;210,$X343&lt;=230),0.7,AND($X343&gt;=140,$X343&lt;160),0.4,AND($X343&gt;230,$X343&lt;=250),0.4,TRUE,0.2),IFS(AND($X343&gt;=140,$X343&lt;=170),1,AND($X343&gt;=120,$X343&lt;140),0.7,AND($X343&gt;170,$X343&lt;=190),0.7,AND($X343&gt;=100,$X343&lt;120),0.4,AND($X343&gt;190,$X343&lt;=210),0.4,TRUE,0.2))))),1),""))</f>
        <v/>
      </c>
      <c r="Z343">
        <f>IF($A343="","",TEXTJOIN(", ",TRUE,IF($B343="","Тренировка",""),IF($C343="","Кардио",""),IF($D343="","Шаги",""),IF($E343="","Английский",""),IF($F343="","Код-режим",""),IF($G343="","Код-тема",""),IF($H343="","Чтение",""),IF($L343="","Сон",""),IF($M343="","Режим",""),IF($N343="","Продуктивность",""),IF($O343="","Настроение",""),IF($P343="","Энергия",""),IF($U343="","Еда","")))</f>
        <v/>
      </c>
    </row>
    <row r="344">
      <c r="A344" t="inlineStr"/>
      <c r="U344">
        <f>IF($A344="","",IF(SUMIF(FoodLog!$A:$A,$A344,FoodLog!$I:$I)=0,"",SUMIF(FoodLog!$A:$A,$A344,FoodLog!$I:$I)))</f>
        <v/>
      </c>
      <c r="V344">
        <f>IF($A344="","",IF(SUMIF(FoodLog!$A:$A,$A344,FoodLog!$F:$F)=0,"",SUMIF(FoodLog!$A:$A,$A344,FoodLog!$F:$F)))</f>
        <v/>
      </c>
      <c r="W344">
        <f>IF($A344="","",IF(SUMIF(FoodLog!$A:$A,$A344,FoodLog!$G:$G)=0,"",SUMIF(FoodLog!$A:$A,$A344,FoodLog!$G:$G)))</f>
        <v/>
      </c>
      <c r="X344">
        <f>IF($A344="","",IF(SUMIF(FoodLog!$A:$A,$A344,FoodLog!$H:$H)=0,"",SUMIF(FoodLog!$A:$A,$A344,FoodLog!$H:$H)))</f>
        <v/>
      </c>
      <c r="Y344">
        <f>IF($A344="","",IFERROR(ROUND(100*AVERAGE(IF($B344="","",XLOOKUP($B344,FILTER(Dictionaries!$B:$B,Dictionaries!$A:$A="Тренировка"),FILTER(Dictionaries!$C:$C,Dictionaries!$A:$A="Тренировка"))),IF($C344="","",MIN($C344/40,1)),IF($D344="","",XLOOKUP($D344,FILTER(Dictionaries!$B:$B,Dictionaries!$A:$A="Шаги"),FILTER(Dictionaries!$C:$C,Dictionaries!$A:$A="Шаги"))),IF($E344="","",MIN($E344/120,1)),IF(OR($F344&lt;&gt;"",$G344&lt;&gt;""),1,""),IF($H344="","",MIN($H344/100,1)),IF($L344="","",XLOOKUP($L344,FILTER(Dictionaries!$B:$B,Dictionaries!$A:$A="Сон_часы"),FILTER(Dictionaries!$C:$C,Dictionaries!$A:$A="Сон_часы"))),IF($M344="","",XLOOKUP($M344,FILTER(Dictionaries!$B:$B,Dictionaries!$A:$A="Режим"),FILTER(Dictionaries!$C:$C,Dictionaries!$A:$A="Режим"))),IF($N344="","",MIN($N344/100,1)),IF($O344="","",XLOOKUP($O344,FILTER(Dictionaries!$B:$B,Dictionaries!$A:$A="Настроение"),FILTER(Dictionaries!$C:$C,Dictionaries!$A:$A="Настроение"))),IF($P344="","",XLOOKUP($P344,FILTER(Dictionaries!$B:$B,Dictionaries!$A:$A="Энергия"),FILTER(Dictionaries!$C:$C,Dictionaries!$A:$A="Энергия"))),IF($U344="","",AVERAGE(IF(OR($B344="Ноги",$B344="Верх"),IFS(AND($U344&gt;=1900,$U344&lt;=2050),1,AND($U344&gt;=1850,$U344&lt;1900),0.7,AND($U344&gt;2050,$U344&lt;=2100),0.7,TRUE,0.2),IFS(AND($U344&gt;=1700,$U344&lt;=1850),1,AND($U344&gt;=1650,$U344&lt;1700),0.7,AND($U344&gt;1850,$U344&lt;=1900),0.7,TRUE,0.2)),IF(OR($B344="Ноги",$B344="Верх"),IFS(AND($V344&gt;=125,$V344&lt;=135),1,AND($V344&gt;=115,$V344&lt;125),0.7,AND($V344&gt;135,$V344&lt;=145),0.7,AND($V344&gt;=105,$V344&lt;115),0.4,AND($V344&gt;145,$V344&lt;=155),0.4,TRUE,0.2),IFS(AND($V344&gt;=120,$V344&lt;=130),1,AND($V344&gt;=110,$V344&lt;120),0.7,AND($V344&gt;130,$V344&lt;=140),0.7,AND($V344&gt;=100,$V344&lt;110),0.4,AND($V344&gt;140,$V344&lt;=150),0.4,TRUE,0.2)),IFS(AND($W344&gt;=55,$W344&lt;=65),1,AND($W344&gt;=50,$W344&lt;55),0.7,AND($W344&gt;65,$W344&lt;=70),0.7,AND($W344&gt;=45,$W344&lt;50),0.4,AND($W344&gt;70,$W344&lt;=75),0.4,TRUE,0.2),IF(OR($B344="Ноги",$B344="Верх"),IFS(AND($X344&gt;=180,$X344&lt;=210),1,AND($X344&gt;=160,$X344&lt;180),0.7,AND($X344&gt;210,$X344&lt;=230),0.7,AND($X344&gt;=140,$X344&lt;160),0.4,AND($X344&gt;230,$X344&lt;=250),0.4,TRUE,0.2),IFS(AND($X344&gt;=140,$X344&lt;=170),1,AND($X344&gt;=120,$X344&lt;140),0.7,AND($X344&gt;170,$X344&lt;=190),0.7,AND($X344&gt;=100,$X344&lt;120),0.4,AND($X344&gt;190,$X344&lt;=210),0.4,TRUE,0.2))))),1),""))</f>
        <v/>
      </c>
      <c r="Z344">
        <f>IF($A344="","",TEXTJOIN(", ",TRUE,IF($B344="","Тренировка",""),IF($C344="","Кардио",""),IF($D344="","Шаги",""),IF($E344="","Английский",""),IF($F344="","Код-режим",""),IF($G344="","Код-тема",""),IF($H344="","Чтение",""),IF($L344="","Сон",""),IF($M344="","Режим",""),IF($N344="","Продуктивность",""),IF($O344="","Настроение",""),IF($P344="","Энергия",""),IF($U344="","Еда","")))</f>
        <v/>
      </c>
    </row>
    <row r="345">
      <c r="A345" t="inlineStr"/>
      <c r="U345">
        <f>IF($A345="","",IF(SUMIF(FoodLog!$A:$A,$A345,FoodLog!$I:$I)=0,"",SUMIF(FoodLog!$A:$A,$A345,FoodLog!$I:$I)))</f>
        <v/>
      </c>
      <c r="V345">
        <f>IF($A345="","",IF(SUMIF(FoodLog!$A:$A,$A345,FoodLog!$F:$F)=0,"",SUMIF(FoodLog!$A:$A,$A345,FoodLog!$F:$F)))</f>
        <v/>
      </c>
      <c r="W345">
        <f>IF($A345="","",IF(SUMIF(FoodLog!$A:$A,$A345,FoodLog!$G:$G)=0,"",SUMIF(FoodLog!$A:$A,$A345,FoodLog!$G:$G)))</f>
        <v/>
      </c>
      <c r="X345">
        <f>IF($A345="","",IF(SUMIF(FoodLog!$A:$A,$A345,FoodLog!$H:$H)=0,"",SUMIF(FoodLog!$A:$A,$A345,FoodLog!$H:$H)))</f>
        <v/>
      </c>
      <c r="Y345">
        <f>IF($A345="","",IFERROR(ROUND(100*AVERAGE(IF($B345="","",XLOOKUP($B345,FILTER(Dictionaries!$B:$B,Dictionaries!$A:$A="Тренировка"),FILTER(Dictionaries!$C:$C,Dictionaries!$A:$A="Тренировка"))),IF($C345="","",MIN($C345/40,1)),IF($D345="","",XLOOKUP($D345,FILTER(Dictionaries!$B:$B,Dictionaries!$A:$A="Шаги"),FILTER(Dictionaries!$C:$C,Dictionaries!$A:$A="Шаги"))),IF($E345="","",MIN($E345/120,1)),IF(OR($F345&lt;&gt;"",$G345&lt;&gt;""),1,""),IF($H345="","",MIN($H345/100,1)),IF($L345="","",XLOOKUP($L345,FILTER(Dictionaries!$B:$B,Dictionaries!$A:$A="Сон_часы"),FILTER(Dictionaries!$C:$C,Dictionaries!$A:$A="Сон_часы"))),IF($M345="","",XLOOKUP($M345,FILTER(Dictionaries!$B:$B,Dictionaries!$A:$A="Режим"),FILTER(Dictionaries!$C:$C,Dictionaries!$A:$A="Режим"))),IF($N345="","",MIN($N345/100,1)),IF($O345="","",XLOOKUP($O345,FILTER(Dictionaries!$B:$B,Dictionaries!$A:$A="Настроение"),FILTER(Dictionaries!$C:$C,Dictionaries!$A:$A="Настроение"))),IF($P345="","",XLOOKUP($P345,FILTER(Dictionaries!$B:$B,Dictionaries!$A:$A="Энергия"),FILTER(Dictionaries!$C:$C,Dictionaries!$A:$A="Энергия"))),IF($U345="","",AVERAGE(IF(OR($B345="Ноги",$B345="Верх"),IFS(AND($U345&gt;=1900,$U345&lt;=2050),1,AND($U345&gt;=1850,$U345&lt;1900),0.7,AND($U345&gt;2050,$U345&lt;=2100),0.7,TRUE,0.2),IFS(AND($U345&gt;=1700,$U345&lt;=1850),1,AND($U345&gt;=1650,$U345&lt;1700),0.7,AND($U345&gt;1850,$U345&lt;=1900),0.7,TRUE,0.2)),IF(OR($B345="Ноги",$B345="Верх"),IFS(AND($V345&gt;=125,$V345&lt;=135),1,AND($V345&gt;=115,$V345&lt;125),0.7,AND($V345&gt;135,$V345&lt;=145),0.7,AND($V345&gt;=105,$V345&lt;115),0.4,AND($V345&gt;145,$V345&lt;=155),0.4,TRUE,0.2),IFS(AND($V345&gt;=120,$V345&lt;=130),1,AND($V345&gt;=110,$V345&lt;120),0.7,AND($V345&gt;130,$V345&lt;=140),0.7,AND($V345&gt;=100,$V345&lt;110),0.4,AND($V345&gt;140,$V345&lt;=150),0.4,TRUE,0.2)),IFS(AND($W345&gt;=55,$W345&lt;=65),1,AND($W345&gt;=50,$W345&lt;55),0.7,AND($W345&gt;65,$W345&lt;=70),0.7,AND($W345&gt;=45,$W345&lt;50),0.4,AND($W345&gt;70,$W345&lt;=75),0.4,TRUE,0.2),IF(OR($B345="Ноги",$B345="Верх"),IFS(AND($X345&gt;=180,$X345&lt;=210),1,AND($X345&gt;=160,$X345&lt;180),0.7,AND($X345&gt;210,$X345&lt;=230),0.7,AND($X345&gt;=140,$X345&lt;160),0.4,AND($X345&gt;230,$X345&lt;=250),0.4,TRUE,0.2),IFS(AND($X345&gt;=140,$X345&lt;=170),1,AND($X345&gt;=120,$X345&lt;140),0.7,AND($X345&gt;170,$X345&lt;=190),0.7,AND($X345&gt;=100,$X345&lt;120),0.4,AND($X345&gt;190,$X345&lt;=210),0.4,TRUE,0.2))))),1),""))</f>
        <v/>
      </c>
      <c r="Z345">
        <f>IF($A345="","",TEXTJOIN(", ",TRUE,IF($B345="","Тренировка",""),IF($C345="","Кардио",""),IF($D345="","Шаги",""),IF($E345="","Английский",""),IF($F345="","Код-режим",""),IF($G345="","Код-тема",""),IF($H345="","Чтение",""),IF($L345="","Сон",""),IF($M345="","Режим",""),IF($N345="","Продуктивность",""),IF($O345="","Настроение",""),IF($P345="","Энергия",""),IF($U345="","Еда","")))</f>
        <v/>
      </c>
    </row>
    <row r="346">
      <c r="A346" t="inlineStr"/>
      <c r="U346">
        <f>IF($A346="","",IF(SUMIF(FoodLog!$A:$A,$A346,FoodLog!$I:$I)=0,"",SUMIF(FoodLog!$A:$A,$A346,FoodLog!$I:$I)))</f>
        <v/>
      </c>
      <c r="V346">
        <f>IF($A346="","",IF(SUMIF(FoodLog!$A:$A,$A346,FoodLog!$F:$F)=0,"",SUMIF(FoodLog!$A:$A,$A346,FoodLog!$F:$F)))</f>
        <v/>
      </c>
      <c r="W346">
        <f>IF($A346="","",IF(SUMIF(FoodLog!$A:$A,$A346,FoodLog!$G:$G)=0,"",SUMIF(FoodLog!$A:$A,$A346,FoodLog!$G:$G)))</f>
        <v/>
      </c>
      <c r="X346">
        <f>IF($A346="","",IF(SUMIF(FoodLog!$A:$A,$A346,FoodLog!$H:$H)=0,"",SUMIF(FoodLog!$A:$A,$A346,FoodLog!$H:$H)))</f>
        <v/>
      </c>
      <c r="Y346">
        <f>IF($A346="","",IFERROR(ROUND(100*AVERAGE(IF($B346="","",XLOOKUP($B346,FILTER(Dictionaries!$B:$B,Dictionaries!$A:$A="Тренировка"),FILTER(Dictionaries!$C:$C,Dictionaries!$A:$A="Тренировка"))),IF($C346="","",MIN($C346/40,1)),IF($D346="","",XLOOKUP($D346,FILTER(Dictionaries!$B:$B,Dictionaries!$A:$A="Шаги"),FILTER(Dictionaries!$C:$C,Dictionaries!$A:$A="Шаги"))),IF($E346="","",MIN($E346/120,1)),IF(OR($F346&lt;&gt;"",$G346&lt;&gt;""),1,""),IF($H346="","",MIN($H346/100,1)),IF($L346="","",XLOOKUP($L346,FILTER(Dictionaries!$B:$B,Dictionaries!$A:$A="Сон_часы"),FILTER(Dictionaries!$C:$C,Dictionaries!$A:$A="Сон_часы"))),IF($M346="","",XLOOKUP($M346,FILTER(Dictionaries!$B:$B,Dictionaries!$A:$A="Режим"),FILTER(Dictionaries!$C:$C,Dictionaries!$A:$A="Режим"))),IF($N346="","",MIN($N346/100,1)),IF($O346="","",XLOOKUP($O346,FILTER(Dictionaries!$B:$B,Dictionaries!$A:$A="Настроение"),FILTER(Dictionaries!$C:$C,Dictionaries!$A:$A="Настроение"))),IF($P346="","",XLOOKUP($P346,FILTER(Dictionaries!$B:$B,Dictionaries!$A:$A="Энергия"),FILTER(Dictionaries!$C:$C,Dictionaries!$A:$A="Энергия"))),IF($U346="","",AVERAGE(IF(OR($B346="Ноги",$B346="Верх"),IFS(AND($U346&gt;=1900,$U346&lt;=2050),1,AND($U346&gt;=1850,$U346&lt;1900),0.7,AND($U346&gt;2050,$U346&lt;=2100),0.7,TRUE,0.2),IFS(AND($U346&gt;=1700,$U346&lt;=1850),1,AND($U346&gt;=1650,$U346&lt;1700),0.7,AND($U346&gt;1850,$U346&lt;=1900),0.7,TRUE,0.2)),IF(OR($B346="Ноги",$B346="Верх"),IFS(AND($V346&gt;=125,$V346&lt;=135),1,AND($V346&gt;=115,$V346&lt;125),0.7,AND($V346&gt;135,$V346&lt;=145),0.7,AND($V346&gt;=105,$V346&lt;115),0.4,AND($V346&gt;145,$V346&lt;=155),0.4,TRUE,0.2),IFS(AND($V346&gt;=120,$V346&lt;=130),1,AND($V346&gt;=110,$V346&lt;120),0.7,AND($V346&gt;130,$V346&lt;=140),0.7,AND($V346&gt;=100,$V346&lt;110),0.4,AND($V346&gt;140,$V346&lt;=150),0.4,TRUE,0.2)),IFS(AND($W346&gt;=55,$W346&lt;=65),1,AND($W346&gt;=50,$W346&lt;55),0.7,AND($W346&gt;65,$W346&lt;=70),0.7,AND($W346&gt;=45,$W346&lt;50),0.4,AND($W346&gt;70,$W346&lt;=75),0.4,TRUE,0.2),IF(OR($B346="Ноги",$B346="Верх"),IFS(AND($X346&gt;=180,$X346&lt;=210),1,AND($X346&gt;=160,$X346&lt;180),0.7,AND($X346&gt;210,$X346&lt;=230),0.7,AND($X346&gt;=140,$X346&lt;160),0.4,AND($X346&gt;230,$X346&lt;=250),0.4,TRUE,0.2),IFS(AND($X346&gt;=140,$X346&lt;=170),1,AND($X346&gt;=120,$X346&lt;140),0.7,AND($X346&gt;170,$X346&lt;=190),0.7,AND($X346&gt;=100,$X346&lt;120),0.4,AND($X346&gt;190,$X346&lt;=210),0.4,TRUE,0.2))))),1),""))</f>
        <v/>
      </c>
      <c r="Z346">
        <f>IF($A346="","",TEXTJOIN(", ",TRUE,IF($B346="","Тренировка",""),IF($C346="","Кардио",""),IF($D346="","Шаги",""),IF($E346="","Английский",""),IF($F346="","Код-режим",""),IF($G346="","Код-тема",""),IF($H346="","Чтение",""),IF($L346="","Сон",""),IF($M346="","Режим",""),IF($N346="","Продуктивность",""),IF($O346="","Настроение",""),IF($P346="","Энергия",""),IF($U346="","Еда","")))</f>
        <v/>
      </c>
    </row>
    <row r="347">
      <c r="A347" t="inlineStr"/>
      <c r="U347">
        <f>IF($A347="","",IF(SUMIF(FoodLog!$A:$A,$A347,FoodLog!$I:$I)=0,"",SUMIF(FoodLog!$A:$A,$A347,FoodLog!$I:$I)))</f>
        <v/>
      </c>
      <c r="V347">
        <f>IF($A347="","",IF(SUMIF(FoodLog!$A:$A,$A347,FoodLog!$F:$F)=0,"",SUMIF(FoodLog!$A:$A,$A347,FoodLog!$F:$F)))</f>
        <v/>
      </c>
      <c r="W347">
        <f>IF($A347="","",IF(SUMIF(FoodLog!$A:$A,$A347,FoodLog!$G:$G)=0,"",SUMIF(FoodLog!$A:$A,$A347,FoodLog!$G:$G)))</f>
        <v/>
      </c>
      <c r="X347">
        <f>IF($A347="","",IF(SUMIF(FoodLog!$A:$A,$A347,FoodLog!$H:$H)=0,"",SUMIF(FoodLog!$A:$A,$A347,FoodLog!$H:$H)))</f>
        <v/>
      </c>
      <c r="Y347">
        <f>IF($A347="","",IFERROR(ROUND(100*AVERAGE(IF($B347="","",XLOOKUP($B347,FILTER(Dictionaries!$B:$B,Dictionaries!$A:$A="Тренировка"),FILTER(Dictionaries!$C:$C,Dictionaries!$A:$A="Тренировка"))),IF($C347="","",MIN($C347/40,1)),IF($D347="","",XLOOKUP($D347,FILTER(Dictionaries!$B:$B,Dictionaries!$A:$A="Шаги"),FILTER(Dictionaries!$C:$C,Dictionaries!$A:$A="Шаги"))),IF($E347="","",MIN($E347/120,1)),IF(OR($F347&lt;&gt;"",$G347&lt;&gt;""),1,""),IF($H347="","",MIN($H347/100,1)),IF($L347="","",XLOOKUP($L347,FILTER(Dictionaries!$B:$B,Dictionaries!$A:$A="Сон_часы"),FILTER(Dictionaries!$C:$C,Dictionaries!$A:$A="Сон_часы"))),IF($M347="","",XLOOKUP($M347,FILTER(Dictionaries!$B:$B,Dictionaries!$A:$A="Режим"),FILTER(Dictionaries!$C:$C,Dictionaries!$A:$A="Режим"))),IF($N347="","",MIN($N347/100,1)),IF($O347="","",XLOOKUP($O347,FILTER(Dictionaries!$B:$B,Dictionaries!$A:$A="Настроение"),FILTER(Dictionaries!$C:$C,Dictionaries!$A:$A="Настроение"))),IF($P347="","",XLOOKUP($P347,FILTER(Dictionaries!$B:$B,Dictionaries!$A:$A="Энергия"),FILTER(Dictionaries!$C:$C,Dictionaries!$A:$A="Энергия"))),IF($U347="","",AVERAGE(IF(OR($B347="Ноги",$B347="Верх"),IFS(AND($U347&gt;=1900,$U347&lt;=2050),1,AND($U347&gt;=1850,$U347&lt;1900),0.7,AND($U347&gt;2050,$U347&lt;=2100),0.7,TRUE,0.2),IFS(AND($U347&gt;=1700,$U347&lt;=1850),1,AND($U347&gt;=1650,$U347&lt;1700),0.7,AND($U347&gt;1850,$U347&lt;=1900),0.7,TRUE,0.2)),IF(OR($B347="Ноги",$B347="Верх"),IFS(AND($V347&gt;=125,$V347&lt;=135),1,AND($V347&gt;=115,$V347&lt;125),0.7,AND($V347&gt;135,$V347&lt;=145),0.7,AND($V347&gt;=105,$V347&lt;115),0.4,AND($V347&gt;145,$V347&lt;=155),0.4,TRUE,0.2),IFS(AND($V347&gt;=120,$V347&lt;=130),1,AND($V347&gt;=110,$V347&lt;120),0.7,AND($V347&gt;130,$V347&lt;=140),0.7,AND($V347&gt;=100,$V347&lt;110),0.4,AND($V347&gt;140,$V347&lt;=150),0.4,TRUE,0.2)),IFS(AND($W347&gt;=55,$W347&lt;=65),1,AND($W347&gt;=50,$W347&lt;55),0.7,AND($W347&gt;65,$W347&lt;=70),0.7,AND($W347&gt;=45,$W347&lt;50),0.4,AND($W347&gt;70,$W347&lt;=75),0.4,TRUE,0.2),IF(OR($B347="Ноги",$B347="Верх"),IFS(AND($X347&gt;=180,$X347&lt;=210),1,AND($X347&gt;=160,$X347&lt;180),0.7,AND($X347&gt;210,$X347&lt;=230),0.7,AND($X347&gt;=140,$X347&lt;160),0.4,AND($X347&gt;230,$X347&lt;=250),0.4,TRUE,0.2),IFS(AND($X347&gt;=140,$X347&lt;=170),1,AND($X347&gt;=120,$X347&lt;140),0.7,AND($X347&gt;170,$X347&lt;=190),0.7,AND($X347&gt;=100,$X347&lt;120),0.4,AND($X347&gt;190,$X347&lt;=210),0.4,TRUE,0.2))))),1),""))</f>
        <v/>
      </c>
      <c r="Z347">
        <f>IF($A347="","",TEXTJOIN(", ",TRUE,IF($B347="","Тренировка",""),IF($C347="","Кардио",""),IF($D347="","Шаги",""),IF($E347="","Английский",""),IF($F347="","Код-режим",""),IF($G347="","Код-тема",""),IF($H347="","Чтение",""),IF($L347="","Сон",""),IF($M347="","Режим",""),IF($N347="","Продуктивность",""),IF($O347="","Настроение",""),IF($P347="","Энергия",""),IF($U347="","Еда","")))</f>
        <v/>
      </c>
    </row>
    <row r="348">
      <c r="A348" t="inlineStr"/>
      <c r="U348">
        <f>IF($A348="","",IF(SUMIF(FoodLog!$A:$A,$A348,FoodLog!$I:$I)=0,"",SUMIF(FoodLog!$A:$A,$A348,FoodLog!$I:$I)))</f>
        <v/>
      </c>
      <c r="V348">
        <f>IF($A348="","",IF(SUMIF(FoodLog!$A:$A,$A348,FoodLog!$F:$F)=0,"",SUMIF(FoodLog!$A:$A,$A348,FoodLog!$F:$F)))</f>
        <v/>
      </c>
      <c r="W348">
        <f>IF($A348="","",IF(SUMIF(FoodLog!$A:$A,$A348,FoodLog!$G:$G)=0,"",SUMIF(FoodLog!$A:$A,$A348,FoodLog!$G:$G)))</f>
        <v/>
      </c>
      <c r="X348">
        <f>IF($A348="","",IF(SUMIF(FoodLog!$A:$A,$A348,FoodLog!$H:$H)=0,"",SUMIF(FoodLog!$A:$A,$A348,FoodLog!$H:$H)))</f>
        <v/>
      </c>
      <c r="Y348">
        <f>IF($A348="","",IFERROR(ROUND(100*AVERAGE(IF($B348="","",XLOOKUP($B348,FILTER(Dictionaries!$B:$B,Dictionaries!$A:$A="Тренировка"),FILTER(Dictionaries!$C:$C,Dictionaries!$A:$A="Тренировка"))),IF($C348="","",MIN($C348/40,1)),IF($D348="","",XLOOKUP($D348,FILTER(Dictionaries!$B:$B,Dictionaries!$A:$A="Шаги"),FILTER(Dictionaries!$C:$C,Dictionaries!$A:$A="Шаги"))),IF($E348="","",MIN($E348/120,1)),IF(OR($F348&lt;&gt;"",$G348&lt;&gt;""),1,""),IF($H348="","",MIN($H348/100,1)),IF($L348="","",XLOOKUP($L348,FILTER(Dictionaries!$B:$B,Dictionaries!$A:$A="Сон_часы"),FILTER(Dictionaries!$C:$C,Dictionaries!$A:$A="Сон_часы"))),IF($M348="","",XLOOKUP($M348,FILTER(Dictionaries!$B:$B,Dictionaries!$A:$A="Режим"),FILTER(Dictionaries!$C:$C,Dictionaries!$A:$A="Режим"))),IF($N348="","",MIN($N348/100,1)),IF($O348="","",XLOOKUP($O348,FILTER(Dictionaries!$B:$B,Dictionaries!$A:$A="Настроение"),FILTER(Dictionaries!$C:$C,Dictionaries!$A:$A="Настроение"))),IF($P348="","",XLOOKUP($P348,FILTER(Dictionaries!$B:$B,Dictionaries!$A:$A="Энергия"),FILTER(Dictionaries!$C:$C,Dictionaries!$A:$A="Энергия"))),IF($U348="","",AVERAGE(IF(OR($B348="Ноги",$B348="Верх"),IFS(AND($U348&gt;=1900,$U348&lt;=2050),1,AND($U348&gt;=1850,$U348&lt;1900),0.7,AND($U348&gt;2050,$U348&lt;=2100),0.7,TRUE,0.2),IFS(AND($U348&gt;=1700,$U348&lt;=1850),1,AND($U348&gt;=1650,$U348&lt;1700),0.7,AND($U348&gt;1850,$U348&lt;=1900),0.7,TRUE,0.2)),IF(OR($B348="Ноги",$B348="Верх"),IFS(AND($V348&gt;=125,$V348&lt;=135),1,AND($V348&gt;=115,$V348&lt;125),0.7,AND($V348&gt;135,$V348&lt;=145),0.7,AND($V348&gt;=105,$V348&lt;115),0.4,AND($V348&gt;145,$V348&lt;=155),0.4,TRUE,0.2),IFS(AND($V348&gt;=120,$V348&lt;=130),1,AND($V348&gt;=110,$V348&lt;120),0.7,AND($V348&gt;130,$V348&lt;=140),0.7,AND($V348&gt;=100,$V348&lt;110),0.4,AND($V348&gt;140,$V348&lt;=150),0.4,TRUE,0.2)),IFS(AND($W348&gt;=55,$W348&lt;=65),1,AND($W348&gt;=50,$W348&lt;55),0.7,AND($W348&gt;65,$W348&lt;=70),0.7,AND($W348&gt;=45,$W348&lt;50),0.4,AND($W348&gt;70,$W348&lt;=75),0.4,TRUE,0.2),IF(OR($B348="Ноги",$B348="Верх"),IFS(AND($X348&gt;=180,$X348&lt;=210),1,AND($X348&gt;=160,$X348&lt;180),0.7,AND($X348&gt;210,$X348&lt;=230),0.7,AND($X348&gt;=140,$X348&lt;160),0.4,AND($X348&gt;230,$X348&lt;=250),0.4,TRUE,0.2),IFS(AND($X348&gt;=140,$X348&lt;=170),1,AND($X348&gt;=120,$X348&lt;140),0.7,AND($X348&gt;170,$X348&lt;=190),0.7,AND($X348&gt;=100,$X348&lt;120),0.4,AND($X348&gt;190,$X348&lt;=210),0.4,TRUE,0.2))))),1),""))</f>
        <v/>
      </c>
      <c r="Z348">
        <f>IF($A348="","",TEXTJOIN(", ",TRUE,IF($B348="","Тренировка",""),IF($C348="","Кардио",""),IF($D348="","Шаги",""),IF($E348="","Английский",""),IF($F348="","Код-режим",""),IF($G348="","Код-тема",""),IF($H348="","Чтение",""),IF($L348="","Сон",""),IF($M348="","Режим",""),IF($N348="","Продуктивность",""),IF($O348="","Настроение",""),IF($P348="","Энергия",""),IF($U348="","Еда","")))</f>
        <v/>
      </c>
    </row>
    <row r="349">
      <c r="A349" t="inlineStr"/>
      <c r="U349">
        <f>IF($A349="","",IF(SUMIF(FoodLog!$A:$A,$A349,FoodLog!$I:$I)=0,"",SUMIF(FoodLog!$A:$A,$A349,FoodLog!$I:$I)))</f>
        <v/>
      </c>
      <c r="V349">
        <f>IF($A349="","",IF(SUMIF(FoodLog!$A:$A,$A349,FoodLog!$F:$F)=0,"",SUMIF(FoodLog!$A:$A,$A349,FoodLog!$F:$F)))</f>
        <v/>
      </c>
      <c r="W349">
        <f>IF($A349="","",IF(SUMIF(FoodLog!$A:$A,$A349,FoodLog!$G:$G)=0,"",SUMIF(FoodLog!$A:$A,$A349,FoodLog!$G:$G)))</f>
        <v/>
      </c>
      <c r="X349">
        <f>IF($A349="","",IF(SUMIF(FoodLog!$A:$A,$A349,FoodLog!$H:$H)=0,"",SUMIF(FoodLog!$A:$A,$A349,FoodLog!$H:$H)))</f>
        <v/>
      </c>
      <c r="Y349">
        <f>IF($A349="","",IFERROR(ROUND(100*AVERAGE(IF($B349="","",XLOOKUP($B349,FILTER(Dictionaries!$B:$B,Dictionaries!$A:$A="Тренировка"),FILTER(Dictionaries!$C:$C,Dictionaries!$A:$A="Тренировка"))),IF($C349="","",MIN($C349/40,1)),IF($D349="","",XLOOKUP($D349,FILTER(Dictionaries!$B:$B,Dictionaries!$A:$A="Шаги"),FILTER(Dictionaries!$C:$C,Dictionaries!$A:$A="Шаги"))),IF($E349="","",MIN($E349/120,1)),IF(OR($F349&lt;&gt;"",$G349&lt;&gt;""),1,""),IF($H349="","",MIN($H349/100,1)),IF($L349="","",XLOOKUP($L349,FILTER(Dictionaries!$B:$B,Dictionaries!$A:$A="Сон_часы"),FILTER(Dictionaries!$C:$C,Dictionaries!$A:$A="Сон_часы"))),IF($M349="","",XLOOKUP($M349,FILTER(Dictionaries!$B:$B,Dictionaries!$A:$A="Режим"),FILTER(Dictionaries!$C:$C,Dictionaries!$A:$A="Режим"))),IF($N349="","",MIN($N349/100,1)),IF($O349="","",XLOOKUP($O349,FILTER(Dictionaries!$B:$B,Dictionaries!$A:$A="Настроение"),FILTER(Dictionaries!$C:$C,Dictionaries!$A:$A="Настроение"))),IF($P349="","",XLOOKUP($P349,FILTER(Dictionaries!$B:$B,Dictionaries!$A:$A="Энергия"),FILTER(Dictionaries!$C:$C,Dictionaries!$A:$A="Энергия"))),IF($U349="","",AVERAGE(IF(OR($B349="Ноги",$B349="Верх"),IFS(AND($U349&gt;=1900,$U349&lt;=2050),1,AND($U349&gt;=1850,$U349&lt;1900),0.7,AND($U349&gt;2050,$U349&lt;=2100),0.7,TRUE,0.2),IFS(AND($U349&gt;=1700,$U349&lt;=1850),1,AND($U349&gt;=1650,$U349&lt;1700),0.7,AND($U349&gt;1850,$U349&lt;=1900),0.7,TRUE,0.2)),IF(OR($B349="Ноги",$B349="Верх"),IFS(AND($V349&gt;=125,$V349&lt;=135),1,AND($V349&gt;=115,$V349&lt;125),0.7,AND($V349&gt;135,$V349&lt;=145),0.7,AND($V349&gt;=105,$V349&lt;115),0.4,AND($V349&gt;145,$V349&lt;=155),0.4,TRUE,0.2),IFS(AND($V349&gt;=120,$V349&lt;=130),1,AND($V349&gt;=110,$V349&lt;120),0.7,AND($V349&gt;130,$V349&lt;=140),0.7,AND($V349&gt;=100,$V349&lt;110),0.4,AND($V349&gt;140,$V349&lt;=150),0.4,TRUE,0.2)),IFS(AND($W349&gt;=55,$W349&lt;=65),1,AND($W349&gt;=50,$W349&lt;55),0.7,AND($W349&gt;65,$W349&lt;=70),0.7,AND($W349&gt;=45,$W349&lt;50),0.4,AND($W349&gt;70,$W349&lt;=75),0.4,TRUE,0.2),IF(OR($B349="Ноги",$B349="Верх"),IFS(AND($X349&gt;=180,$X349&lt;=210),1,AND($X349&gt;=160,$X349&lt;180),0.7,AND($X349&gt;210,$X349&lt;=230),0.7,AND($X349&gt;=140,$X349&lt;160),0.4,AND($X349&gt;230,$X349&lt;=250),0.4,TRUE,0.2),IFS(AND($X349&gt;=140,$X349&lt;=170),1,AND($X349&gt;=120,$X349&lt;140),0.7,AND($X349&gt;170,$X349&lt;=190),0.7,AND($X349&gt;=100,$X349&lt;120),0.4,AND($X349&gt;190,$X349&lt;=210),0.4,TRUE,0.2))))),1),""))</f>
        <v/>
      </c>
      <c r="Z349">
        <f>IF($A349="","",TEXTJOIN(", ",TRUE,IF($B349="","Тренировка",""),IF($C349="","Кардио",""),IF($D349="","Шаги",""),IF($E349="","Английский",""),IF($F349="","Код-режим",""),IF($G349="","Код-тема",""),IF($H349="","Чтение",""),IF($L349="","Сон",""),IF($M349="","Режим",""),IF($N349="","Продуктивность",""),IF($O349="","Настроение",""),IF($P349="","Энергия",""),IF($U349="","Еда","")))</f>
        <v/>
      </c>
    </row>
    <row r="350">
      <c r="A350" t="inlineStr"/>
      <c r="U350">
        <f>IF($A350="","",IF(SUMIF(FoodLog!$A:$A,$A350,FoodLog!$I:$I)=0,"",SUMIF(FoodLog!$A:$A,$A350,FoodLog!$I:$I)))</f>
        <v/>
      </c>
      <c r="V350">
        <f>IF($A350="","",IF(SUMIF(FoodLog!$A:$A,$A350,FoodLog!$F:$F)=0,"",SUMIF(FoodLog!$A:$A,$A350,FoodLog!$F:$F)))</f>
        <v/>
      </c>
      <c r="W350">
        <f>IF($A350="","",IF(SUMIF(FoodLog!$A:$A,$A350,FoodLog!$G:$G)=0,"",SUMIF(FoodLog!$A:$A,$A350,FoodLog!$G:$G)))</f>
        <v/>
      </c>
      <c r="X350">
        <f>IF($A350="","",IF(SUMIF(FoodLog!$A:$A,$A350,FoodLog!$H:$H)=0,"",SUMIF(FoodLog!$A:$A,$A350,FoodLog!$H:$H)))</f>
        <v/>
      </c>
      <c r="Y350">
        <f>IF($A350="","",IFERROR(ROUND(100*AVERAGE(IF($B350="","",XLOOKUP($B350,FILTER(Dictionaries!$B:$B,Dictionaries!$A:$A="Тренировка"),FILTER(Dictionaries!$C:$C,Dictionaries!$A:$A="Тренировка"))),IF($C350="","",MIN($C350/40,1)),IF($D350="","",XLOOKUP($D350,FILTER(Dictionaries!$B:$B,Dictionaries!$A:$A="Шаги"),FILTER(Dictionaries!$C:$C,Dictionaries!$A:$A="Шаги"))),IF($E350="","",MIN($E350/120,1)),IF(OR($F350&lt;&gt;"",$G350&lt;&gt;""),1,""),IF($H350="","",MIN($H350/100,1)),IF($L350="","",XLOOKUP($L350,FILTER(Dictionaries!$B:$B,Dictionaries!$A:$A="Сон_часы"),FILTER(Dictionaries!$C:$C,Dictionaries!$A:$A="Сон_часы"))),IF($M350="","",XLOOKUP($M350,FILTER(Dictionaries!$B:$B,Dictionaries!$A:$A="Режим"),FILTER(Dictionaries!$C:$C,Dictionaries!$A:$A="Режим"))),IF($N350="","",MIN($N350/100,1)),IF($O350="","",XLOOKUP($O350,FILTER(Dictionaries!$B:$B,Dictionaries!$A:$A="Настроение"),FILTER(Dictionaries!$C:$C,Dictionaries!$A:$A="Настроение"))),IF($P350="","",XLOOKUP($P350,FILTER(Dictionaries!$B:$B,Dictionaries!$A:$A="Энергия"),FILTER(Dictionaries!$C:$C,Dictionaries!$A:$A="Энергия"))),IF($U350="","",AVERAGE(IF(OR($B350="Ноги",$B350="Верх"),IFS(AND($U350&gt;=1900,$U350&lt;=2050),1,AND($U350&gt;=1850,$U350&lt;1900),0.7,AND($U350&gt;2050,$U350&lt;=2100),0.7,TRUE,0.2),IFS(AND($U350&gt;=1700,$U350&lt;=1850),1,AND($U350&gt;=1650,$U350&lt;1700),0.7,AND($U350&gt;1850,$U350&lt;=1900),0.7,TRUE,0.2)),IF(OR($B350="Ноги",$B350="Верх"),IFS(AND($V350&gt;=125,$V350&lt;=135),1,AND($V350&gt;=115,$V350&lt;125),0.7,AND($V350&gt;135,$V350&lt;=145),0.7,AND($V350&gt;=105,$V350&lt;115),0.4,AND($V350&gt;145,$V350&lt;=155),0.4,TRUE,0.2),IFS(AND($V350&gt;=120,$V350&lt;=130),1,AND($V350&gt;=110,$V350&lt;120),0.7,AND($V350&gt;130,$V350&lt;=140),0.7,AND($V350&gt;=100,$V350&lt;110),0.4,AND($V350&gt;140,$V350&lt;=150),0.4,TRUE,0.2)),IFS(AND($W350&gt;=55,$W350&lt;=65),1,AND($W350&gt;=50,$W350&lt;55),0.7,AND($W350&gt;65,$W350&lt;=70),0.7,AND($W350&gt;=45,$W350&lt;50),0.4,AND($W350&gt;70,$W350&lt;=75),0.4,TRUE,0.2),IF(OR($B350="Ноги",$B350="Верх"),IFS(AND($X350&gt;=180,$X350&lt;=210),1,AND($X350&gt;=160,$X350&lt;180),0.7,AND($X350&gt;210,$X350&lt;=230),0.7,AND($X350&gt;=140,$X350&lt;160),0.4,AND($X350&gt;230,$X350&lt;=250),0.4,TRUE,0.2),IFS(AND($X350&gt;=140,$X350&lt;=170),1,AND($X350&gt;=120,$X350&lt;140),0.7,AND($X350&gt;170,$X350&lt;=190),0.7,AND($X350&gt;=100,$X350&lt;120),0.4,AND($X350&gt;190,$X350&lt;=210),0.4,TRUE,0.2))))),1),""))</f>
        <v/>
      </c>
      <c r="Z350">
        <f>IF($A350="","",TEXTJOIN(", ",TRUE,IF($B350="","Тренировка",""),IF($C350="","Кардио",""),IF($D350="","Шаги",""),IF($E350="","Английский",""),IF($F350="","Код-режим",""),IF($G350="","Код-тема",""),IF($H350="","Чтение",""),IF($L350="","Сон",""),IF($M350="","Режим",""),IF($N350="","Продуктивность",""),IF($O350="","Настроение",""),IF($P350="","Энергия",""),IF($U350="","Еда","")))</f>
        <v/>
      </c>
    </row>
    <row r="351">
      <c r="A351" t="inlineStr"/>
      <c r="U351">
        <f>IF($A351="","",IF(SUMIF(FoodLog!$A:$A,$A351,FoodLog!$I:$I)=0,"",SUMIF(FoodLog!$A:$A,$A351,FoodLog!$I:$I)))</f>
        <v/>
      </c>
      <c r="V351">
        <f>IF($A351="","",IF(SUMIF(FoodLog!$A:$A,$A351,FoodLog!$F:$F)=0,"",SUMIF(FoodLog!$A:$A,$A351,FoodLog!$F:$F)))</f>
        <v/>
      </c>
      <c r="W351">
        <f>IF($A351="","",IF(SUMIF(FoodLog!$A:$A,$A351,FoodLog!$G:$G)=0,"",SUMIF(FoodLog!$A:$A,$A351,FoodLog!$G:$G)))</f>
        <v/>
      </c>
      <c r="X351">
        <f>IF($A351="","",IF(SUMIF(FoodLog!$A:$A,$A351,FoodLog!$H:$H)=0,"",SUMIF(FoodLog!$A:$A,$A351,FoodLog!$H:$H)))</f>
        <v/>
      </c>
      <c r="Y351">
        <f>IF($A351="","",IFERROR(ROUND(100*AVERAGE(IF($B351="","",XLOOKUP($B351,FILTER(Dictionaries!$B:$B,Dictionaries!$A:$A="Тренировка"),FILTER(Dictionaries!$C:$C,Dictionaries!$A:$A="Тренировка"))),IF($C351="","",MIN($C351/40,1)),IF($D351="","",XLOOKUP($D351,FILTER(Dictionaries!$B:$B,Dictionaries!$A:$A="Шаги"),FILTER(Dictionaries!$C:$C,Dictionaries!$A:$A="Шаги"))),IF($E351="","",MIN($E351/120,1)),IF(OR($F351&lt;&gt;"",$G351&lt;&gt;""),1,""),IF($H351="","",MIN($H351/100,1)),IF($L351="","",XLOOKUP($L351,FILTER(Dictionaries!$B:$B,Dictionaries!$A:$A="Сон_часы"),FILTER(Dictionaries!$C:$C,Dictionaries!$A:$A="Сон_часы"))),IF($M351="","",XLOOKUP($M351,FILTER(Dictionaries!$B:$B,Dictionaries!$A:$A="Режим"),FILTER(Dictionaries!$C:$C,Dictionaries!$A:$A="Режим"))),IF($N351="","",MIN($N351/100,1)),IF($O351="","",XLOOKUP($O351,FILTER(Dictionaries!$B:$B,Dictionaries!$A:$A="Настроение"),FILTER(Dictionaries!$C:$C,Dictionaries!$A:$A="Настроение"))),IF($P351="","",XLOOKUP($P351,FILTER(Dictionaries!$B:$B,Dictionaries!$A:$A="Энергия"),FILTER(Dictionaries!$C:$C,Dictionaries!$A:$A="Энергия"))),IF($U351="","",AVERAGE(IF(OR($B351="Ноги",$B351="Верх"),IFS(AND($U351&gt;=1900,$U351&lt;=2050),1,AND($U351&gt;=1850,$U351&lt;1900),0.7,AND($U351&gt;2050,$U351&lt;=2100),0.7,TRUE,0.2),IFS(AND($U351&gt;=1700,$U351&lt;=1850),1,AND($U351&gt;=1650,$U351&lt;1700),0.7,AND($U351&gt;1850,$U351&lt;=1900),0.7,TRUE,0.2)),IF(OR($B351="Ноги",$B351="Верх"),IFS(AND($V351&gt;=125,$V351&lt;=135),1,AND($V351&gt;=115,$V351&lt;125),0.7,AND($V351&gt;135,$V351&lt;=145),0.7,AND($V351&gt;=105,$V351&lt;115),0.4,AND($V351&gt;145,$V351&lt;=155),0.4,TRUE,0.2),IFS(AND($V351&gt;=120,$V351&lt;=130),1,AND($V351&gt;=110,$V351&lt;120),0.7,AND($V351&gt;130,$V351&lt;=140),0.7,AND($V351&gt;=100,$V351&lt;110),0.4,AND($V351&gt;140,$V351&lt;=150),0.4,TRUE,0.2)),IFS(AND($W351&gt;=55,$W351&lt;=65),1,AND($W351&gt;=50,$W351&lt;55),0.7,AND($W351&gt;65,$W351&lt;=70),0.7,AND($W351&gt;=45,$W351&lt;50),0.4,AND($W351&gt;70,$W351&lt;=75),0.4,TRUE,0.2),IF(OR($B351="Ноги",$B351="Верх"),IFS(AND($X351&gt;=180,$X351&lt;=210),1,AND($X351&gt;=160,$X351&lt;180),0.7,AND($X351&gt;210,$X351&lt;=230),0.7,AND($X351&gt;=140,$X351&lt;160),0.4,AND($X351&gt;230,$X351&lt;=250),0.4,TRUE,0.2),IFS(AND($X351&gt;=140,$X351&lt;=170),1,AND($X351&gt;=120,$X351&lt;140),0.7,AND($X351&gt;170,$X351&lt;=190),0.7,AND($X351&gt;=100,$X351&lt;120),0.4,AND($X351&gt;190,$X351&lt;=210),0.4,TRUE,0.2))))),1),""))</f>
        <v/>
      </c>
      <c r="Z351">
        <f>IF($A351="","",TEXTJOIN(", ",TRUE,IF($B351="","Тренировка",""),IF($C351="","Кардио",""),IF($D351="","Шаги",""),IF($E351="","Английский",""),IF($F351="","Код-режим",""),IF($G351="","Код-тема",""),IF($H351="","Чтение",""),IF($L351="","Сон",""),IF($M351="","Режим",""),IF($N351="","Продуктивность",""),IF($O351="","Настроение",""),IF($P351="","Энергия",""),IF($U351="","Еда","")))</f>
        <v/>
      </c>
    </row>
    <row r="352">
      <c r="A352" t="inlineStr"/>
      <c r="U352">
        <f>IF($A352="","",IF(SUMIF(FoodLog!$A:$A,$A352,FoodLog!$I:$I)=0,"",SUMIF(FoodLog!$A:$A,$A352,FoodLog!$I:$I)))</f>
        <v/>
      </c>
      <c r="V352">
        <f>IF($A352="","",IF(SUMIF(FoodLog!$A:$A,$A352,FoodLog!$F:$F)=0,"",SUMIF(FoodLog!$A:$A,$A352,FoodLog!$F:$F)))</f>
        <v/>
      </c>
      <c r="W352">
        <f>IF($A352="","",IF(SUMIF(FoodLog!$A:$A,$A352,FoodLog!$G:$G)=0,"",SUMIF(FoodLog!$A:$A,$A352,FoodLog!$G:$G)))</f>
        <v/>
      </c>
      <c r="X352">
        <f>IF($A352="","",IF(SUMIF(FoodLog!$A:$A,$A352,FoodLog!$H:$H)=0,"",SUMIF(FoodLog!$A:$A,$A352,FoodLog!$H:$H)))</f>
        <v/>
      </c>
      <c r="Y352">
        <f>IF($A352="","",IFERROR(ROUND(100*AVERAGE(IF($B352="","",XLOOKUP($B352,FILTER(Dictionaries!$B:$B,Dictionaries!$A:$A="Тренировка"),FILTER(Dictionaries!$C:$C,Dictionaries!$A:$A="Тренировка"))),IF($C352="","",MIN($C352/40,1)),IF($D352="","",XLOOKUP($D352,FILTER(Dictionaries!$B:$B,Dictionaries!$A:$A="Шаги"),FILTER(Dictionaries!$C:$C,Dictionaries!$A:$A="Шаги"))),IF($E352="","",MIN($E352/120,1)),IF(OR($F352&lt;&gt;"",$G352&lt;&gt;""),1,""),IF($H352="","",MIN($H352/100,1)),IF($L352="","",XLOOKUP($L352,FILTER(Dictionaries!$B:$B,Dictionaries!$A:$A="Сон_часы"),FILTER(Dictionaries!$C:$C,Dictionaries!$A:$A="Сон_часы"))),IF($M352="","",XLOOKUP($M352,FILTER(Dictionaries!$B:$B,Dictionaries!$A:$A="Режим"),FILTER(Dictionaries!$C:$C,Dictionaries!$A:$A="Режим"))),IF($N352="","",MIN($N352/100,1)),IF($O352="","",XLOOKUP($O352,FILTER(Dictionaries!$B:$B,Dictionaries!$A:$A="Настроение"),FILTER(Dictionaries!$C:$C,Dictionaries!$A:$A="Настроение"))),IF($P352="","",XLOOKUP($P352,FILTER(Dictionaries!$B:$B,Dictionaries!$A:$A="Энергия"),FILTER(Dictionaries!$C:$C,Dictionaries!$A:$A="Энергия"))),IF($U352="","",AVERAGE(IF(OR($B352="Ноги",$B352="Верх"),IFS(AND($U352&gt;=1900,$U352&lt;=2050),1,AND($U352&gt;=1850,$U352&lt;1900),0.7,AND($U352&gt;2050,$U352&lt;=2100),0.7,TRUE,0.2),IFS(AND($U352&gt;=1700,$U352&lt;=1850),1,AND($U352&gt;=1650,$U352&lt;1700),0.7,AND($U352&gt;1850,$U352&lt;=1900),0.7,TRUE,0.2)),IF(OR($B352="Ноги",$B352="Верх"),IFS(AND($V352&gt;=125,$V352&lt;=135),1,AND($V352&gt;=115,$V352&lt;125),0.7,AND($V352&gt;135,$V352&lt;=145),0.7,AND($V352&gt;=105,$V352&lt;115),0.4,AND($V352&gt;145,$V352&lt;=155),0.4,TRUE,0.2),IFS(AND($V352&gt;=120,$V352&lt;=130),1,AND($V352&gt;=110,$V352&lt;120),0.7,AND($V352&gt;130,$V352&lt;=140),0.7,AND($V352&gt;=100,$V352&lt;110),0.4,AND($V352&gt;140,$V352&lt;=150),0.4,TRUE,0.2)),IFS(AND($W352&gt;=55,$W352&lt;=65),1,AND($W352&gt;=50,$W352&lt;55),0.7,AND($W352&gt;65,$W352&lt;=70),0.7,AND($W352&gt;=45,$W352&lt;50),0.4,AND($W352&gt;70,$W352&lt;=75),0.4,TRUE,0.2),IF(OR($B352="Ноги",$B352="Верх"),IFS(AND($X352&gt;=180,$X352&lt;=210),1,AND($X352&gt;=160,$X352&lt;180),0.7,AND($X352&gt;210,$X352&lt;=230),0.7,AND($X352&gt;=140,$X352&lt;160),0.4,AND($X352&gt;230,$X352&lt;=250),0.4,TRUE,0.2),IFS(AND($X352&gt;=140,$X352&lt;=170),1,AND($X352&gt;=120,$X352&lt;140),0.7,AND($X352&gt;170,$X352&lt;=190),0.7,AND($X352&gt;=100,$X352&lt;120),0.4,AND($X352&gt;190,$X352&lt;=210),0.4,TRUE,0.2))))),1),""))</f>
        <v/>
      </c>
      <c r="Z352">
        <f>IF($A352="","",TEXTJOIN(", ",TRUE,IF($B352="","Тренировка",""),IF($C352="","Кардио",""),IF($D352="","Шаги",""),IF($E352="","Английский",""),IF($F352="","Код-режим",""),IF($G352="","Код-тема",""),IF($H352="","Чтение",""),IF($L352="","Сон",""),IF($M352="","Режим",""),IF($N352="","Продуктивность",""),IF($O352="","Настроение",""),IF($P352="","Энергия",""),IF($U352="","Еда","")))</f>
        <v/>
      </c>
    </row>
    <row r="353">
      <c r="A353" t="inlineStr"/>
      <c r="U353">
        <f>IF($A353="","",IF(SUMIF(FoodLog!$A:$A,$A353,FoodLog!$I:$I)=0,"",SUMIF(FoodLog!$A:$A,$A353,FoodLog!$I:$I)))</f>
        <v/>
      </c>
      <c r="V353">
        <f>IF($A353="","",IF(SUMIF(FoodLog!$A:$A,$A353,FoodLog!$F:$F)=0,"",SUMIF(FoodLog!$A:$A,$A353,FoodLog!$F:$F)))</f>
        <v/>
      </c>
      <c r="W353">
        <f>IF($A353="","",IF(SUMIF(FoodLog!$A:$A,$A353,FoodLog!$G:$G)=0,"",SUMIF(FoodLog!$A:$A,$A353,FoodLog!$G:$G)))</f>
        <v/>
      </c>
      <c r="X353">
        <f>IF($A353="","",IF(SUMIF(FoodLog!$A:$A,$A353,FoodLog!$H:$H)=0,"",SUMIF(FoodLog!$A:$A,$A353,FoodLog!$H:$H)))</f>
        <v/>
      </c>
      <c r="Y353">
        <f>IF($A353="","",IFERROR(ROUND(100*AVERAGE(IF($B353="","",XLOOKUP($B353,FILTER(Dictionaries!$B:$B,Dictionaries!$A:$A="Тренировка"),FILTER(Dictionaries!$C:$C,Dictionaries!$A:$A="Тренировка"))),IF($C353="","",MIN($C353/40,1)),IF($D353="","",XLOOKUP($D353,FILTER(Dictionaries!$B:$B,Dictionaries!$A:$A="Шаги"),FILTER(Dictionaries!$C:$C,Dictionaries!$A:$A="Шаги"))),IF($E353="","",MIN($E353/120,1)),IF(OR($F353&lt;&gt;"",$G353&lt;&gt;""),1,""),IF($H353="","",MIN($H353/100,1)),IF($L353="","",XLOOKUP($L353,FILTER(Dictionaries!$B:$B,Dictionaries!$A:$A="Сон_часы"),FILTER(Dictionaries!$C:$C,Dictionaries!$A:$A="Сон_часы"))),IF($M353="","",XLOOKUP($M353,FILTER(Dictionaries!$B:$B,Dictionaries!$A:$A="Режим"),FILTER(Dictionaries!$C:$C,Dictionaries!$A:$A="Режим"))),IF($N353="","",MIN($N353/100,1)),IF($O353="","",XLOOKUP($O353,FILTER(Dictionaries!$B:$B,Dictionaries!$A:$A="Настроение"),FILTER(Dictionaries!$C:$C,Dictionaries!$A:$A="Настроение"))),IF($P353="","",XLOOKUP($P353,FILTER(Dictionaries!$B:$B,Dictionaries!$A:$A="Энергия"),FILTER(Dictionaries!$C:$C,Dictionaries!$A:$A="Энергия"))),IF($U353="","",AVERAGE(IF(OR($B353="Ноги",$B353="Верх"),IFS(AND($U353&gt;=1900,$U353&lt;=2050),1,AND($U353&gt;=1850,$U353&lt;1900),0.7,AND($U353&gt;2050,$U353&lt;=2100),0.7,TRUE,0.2),IFS(AND($U353&gt;=1700,$U353&lt;=1850),1,AND($U353&gt;=1650,$U353&lt;1700),0.7,AND($U353&gt;1850,$U353&lt;=1900),0.7,TRUE,0.2)),IF(OR($B353="Ноги",$B353="Верх"),IFS(AND($V353&gt;=125,$V353&lt;=135),1,AND($V353&gt;=115,$V353&lt;125),0.7,AND($V353&gt;135,$V353&lt;=145),0.7,AND($V353&gt;=105,$V353&lt;115),0.4,AND($V353&gt;145,$V353&lt;=155),0.4,TRUE,0.2),IFS(AND($V353&gt;=120,$V353&lt;=130),1,AND($V353&gt;=110,$V353&lt;120),0.7,AND($V353&gt;130,$V353&lt;=140),0.7,AND($V353&gt;=100,$V353&lt;110),0.4,AND($V353&gt;140,$V353&lt;=150),0.4,TRUE,0.2)),IFS(AND($W353&gt;=55,$W353&lt;=65),1,AND($W353&gt;=50,$W353&lt;55),0.7,AND($W353&gt;65,$W353&lt;=70),0.7,AND($W353&gt;=45,$W353&lt;50),0.4,AND($W353&gt;70,$W353&lt;=75),0.4,TRUE,0.2),IF(OR($B353="Ноги",$B353="Верх"),IFS(AND($X353&gt;=180,$X353&lt;=210),1,AND($X353&gt;=160,$X353&lt;180),0.7,AND($X353&gt;210,$X353&lt;=230),0.7,AND($X353&gt;=140,$X353&lt;160),0.4,AND($X353&gt;230,$X353&lt;=250),0.4,TRUE,0.2),IFS(AND($X353&gt;=140,$X353&lt;=170),1,AND($X353&gt;=120,$X353&lt;140),0.7,AND($X353&gt;170,$X353&lt;=190),0.7,AND($X353&gt;=100,$X353&lt;120),0.4,AND($X353&gt;190,$X353&lt;=210),0.4,TRUE,0.2))))),1),""))</f>
        <v/>
      </c>
      <c r="Z353">
        <f>IF($A353="","",TEXTJOIN(", ",TRUE,IF($B353="","Тренировка",""),IF($C353="","Кардио",""),IF($D353="","Шаги",""),IF($E353="","Английский",""),IF($F353="","Код-режим",""),IF($G353="","Код-тема",""),IF($H353="","Чтение",""),IF($L353="","Сон",""),IF($M353="","Режим",""),IF($N353="","Продуктивность",""),IF($O353="","Настроение",""),IF($P353="","Энергия",""),IF($U353="","Еда","")))</f>
        <v/>
      </c>
    </row>
    <row r="354">
      <c r="A354" t="inlineStr"/>
      <c r="U354">
        <f>IF($A354="","",IF(SUMIF(FoodLog!$A:$A,$A354,FoodLog!$I:$I)=0,"",SUMIF(FoodLog!$A:$A,$A354,FoodLog!$I:$I)))</f>
        <v/>
      </c>
      <c r="V354">
        <f>IF($A354="","",IF(SUMIF(FoodLog!$A:$A,$A354,FoodLog!$F:$F)=0,"",SUMIF(FoodLog!$A:$A,$A354,FoodLog!$F:$F)))</f>
        <v/>
      </c>
      <c r="W354">
        <f>IF($A354="","",IF(SUMIF(FoodLog!$A:$A,$A354,FoodLog!$G:$G)=0,"",SUMIF(FoodLog!$A:$A,$A354,FoodLog!$G:$G)))</f>
        <v/>
      </c>
      <c r="X354">
        <f>IF($A354="","",IF(SUMIF(FoodLog!$A:$A,$A354,FoodLog!$H:$H)=0,"",SUMIF(FoodLog!$A:$A,$A354,FoodLog!$H:$H)))</f>
        <v/>
      </c>
      <c r="Y354">
        <f>IF($A354="","",IFERROR(ROUND(100*AVERAGE(IF($B354="","",XLOOKUP($B354,FILTER(Dictionaries!$B:$B,Dictionaries!$A:$A="Тренировка"),FILTER(Dictionaries!$C:$C,Dictionaries!$A:$A="Тренировка"))),IF($C354="","",MIN($C354/40,1)),IF($D354="","",XLOOKUP($D354,FILTER(Dictionaries!$B:$B,Dictionaries!$A:$A="Шаги"),FILTER(Dictionaries!$C:$C,Dictionaries!$A:$A="Шаги"))),IF($E354="","",MIN($E354/120,1)),IF(OR($F354&lt;&gt;"",$G354&lt;&gt;""),1,""),IF($H354="","",MIN($H354/100,1)),IF($L354="","",XLOOKUP($L354,FILTER(Dictionaries!$B:$B,Dictionaries!$A:$A="Сон_часы"),FILTER(Dictionaries!$C:$C,Dictionaries!$A:$A="Сон_часы"))),IF($M354="","",XLOOKUP($M354,FILTER(Dictionaries!$B:$B,Dictionaries!$A:$A="Режим"),FILTER(Dictionaries!$C:$C,Dictionaries!$A:$A="Режим"))),IF($N354="","",MIN($N354/100,1)),IF($O354="","",XLOOKUP($O354,FILTER(Dictionaries!$B:$B,Dictionaries!$A:$A="Настроение"),FILTER(Dictionaries!$C:$C,Dictionaries!$A:$A="Настроение"))),IF($P354="","",XLOOKUP($P354,FILTER(Dictionaries!$B:$B,Dictionaries!$A:$A="Энергия"),FILTER(Dictionaries!$C:$C,Dictionaries!$A:$A="Энергия"))),IF($U354="","",AVERAGE(IF(OR($B354="Ноги",$B354="Верх"),IFS(AND($U354&gt;=1900,$U354&lt;=2050),1,AND($U354&gt;=1850,$U354&lt;1900),0.7,AND($U354&gt;2050,$U354&lt;=2100),0.7,TRUE,0.2),IFS(AND($U354&gt;=1700,$U354&lt;=1850),1,AND($U354&gt;=1650,$U354&lt;1700),0.7,AND($U354&gt;1850,$U354&lt;=1900),0.7,TRUE,0.2)),IF(OR($B354="Ноги",$B354="Верх"),IFS(AND($V354&gt;=125,$V354&lt;=135),1,AND($V354&gt;=115,$V354&lt;125),0.7,AND($V354&gt;135,$V354&lt;=145),0.7,AND($V354&gt;=105,$V354&lt;115),0.4,AND($V354&gt;145,$V354&lt;=155),0.4,TRUE,0.2),IFS(AND($V354&gt;=120,$V354&lt;=130),1,AND($V354&gt;=110,$V354&lt;120),0.7,AND($V354&gt;130,$V354&lt;=140),0.7,AND($V354&gt;=100,$V354&lt;110),0.4,AND($V354&gt;140,$V354&lt;=150),0.4,TRUE,0.2)),IFS(AND($W354&gt;=55,$W354&lt;=65),1,AND($W354&gt;=50,$W354&lt;55),0.7,AND($W354&gt;65,$W354&lt;=70),0.7,AND($W354&gt;=45,$W354&lt;50),0.4,AND($W354&gt;70,$W354&lt;=75),0.4,TRUE,0.2),IF(OR($B354="Ноги",$B354="Верх"),IFS(AND($X354&gt;=180,$X354&lt;=210),1,AND($X354&gt;=160,$X354&lt;180),0.7,AND($X354&gt;210,$X354&lt;=230),0.7,AND($X354&gt;=140,$X354&lt;160),0.4,AND($X354&gt;230,$X354&lt;=250),0.4,TRUE,0.2),IFS(AND($X354&gt;=140,$X354&lt;=170),1,AND($X354&gt;=120,$X354&lt;140),0.7,AND($X354&gt;170,$X354&lt;=190),0.7,AND($X354&gt;=100,$X354&lt;120),0.4,AND($X354&gt;190,$X354&lt;=210),0.4,TRUE,0.2))))),1),""))</f>
        <v/>
      </c>
      <c r="Z354">
        <f>IF($A354="","",TEXTJOIN(", ",TRUE,IF($B354="","Тренировка",""),IF($C354="","Кардио",""),IF($D354="","Шаги",""),IF($E354="","Английский",""),IF($F354="","Код-режим",""),IF($G354="","Код-тема",""),IF($H354="","Чтение",""),IF($L354="","Сон",""),IF($M354="","Режим",""),IF($N354="","Продуктивность",""),IF($O354="","Настроение",""),IF($P354="","Энергия",""),IF($U354="","Еда","")))</f>
        <v/>
      </c>
    </row>
    <row r="355">
      <c r="A355" t="inlineStr"/>
      <c r="U355">
        <f>IF($A355="","",IF(SUMIF(FoodLog!$A:$A,$A355,FoodLog!$I:$I)=0,"",SUMIF(FoodLog!$A:$A,$A355,FoodLog!$I:$I)))</f>
        <v/>
      </c>
      <c r="V355">
        <f>IF($A355="","",IF(SUMIF(FoodLog!$A:$A,$A355,FoodLog!$F:$F)=0,"",SUMIF(FoodLog!$A:$A,$A355,FoodLog!$F:$F)))</f>
        <v/>
      </c>
      <c r="W355">
        <f>IF($A355="","",IF(SUMIF(FoodLog!$A:$A,$A355,FoodLog!$G:$G)=0,"",SUMIF(FoodLog!$A:$A,$A355,FoodLog!$G:$G)))</f>
        <v/>
      </c>
      <c r="X355">
        <f>IF($A355="","",IF(SUMIF(FoodLog!$A:$A,$A355,FoodLog!$H:$H)=0,"",SUMIF(FoodLog!$A:$A,$A355,FoodLog!$H:$H)))</f>
        <v/>
      </c>
      <c r="Y355">
        <f>IF($A355="","",IFERROR(ROUND(100*AVERAGE(IF($B355="","",XLOOKUP($B355,FILTER(Dictionaries!$B:$B,Dictionaries!$A:$A="Тренировка"),FILTER(Dictionaries!$C:$C,Dictionaries!$A:$A="Тренировка"))),IF($C355="","",MIN($C355/40,1)),IF($D355="","",XLOOKUP($D355,FILTER(Dictionaries!$B:$B,Dictionaries!$A:$A="Шаги"),FILTER(Dictionaries!$C:$C,Dictionaries!$A:$A="Шаги"))),IF($E355="","",MIN($E355/120,1)),IF(OR($F355&lt;&gt;"",$G355&lt;&gt;""),1,""),IF($H355="","",MIN($H355/100,1)),IF($L355="","",XLOOKUP($L355,FILTER(Dictionaries!$B:$B,Dictionaries!$A:$A="Сон_часы"),FILTER(Dictionaries!$C:$C,Dictionaries!$A:$A="Сон_часы"))),IF($M355="","",XLOOKUP($M355,FILTER(Dictionaries!$B:$B,Dictionaries!$A:$A="Режим"),FILTER(Dictionaries!$C:$C,Dictionaries!$A:$A="Режим"))),IF($N355="","",MIN($N355/100,1)),IF($O355="","",XLOOKUP($O355,FILTER(Dictionaries!$B:$B,Dictionaries!$A:$A="Настроение"),FILTER(Dictionaries!$C:$C,Dictionaries!$A:$A="Настроение"))),IF($P355="","",XLOOKUP($P355,FILTER(Dictionaries!$B:$B,Dictionaries!$A:$A="Энергия"),FILTER(Dictionaries!$C:$C,Dictionaries!$A:$A="Энергия"))),IF($U355="","",AVERAGE(IF(OR($B355="Ноги",$B355="Верх"),IFS(AND($U355&gt;=1900,$U355&lt;=2050),1,AND($U355&gt;=1850,$U355&lt;1900),0.7,AND($U355&gt;2050,$U355&lt;=2100),0.7,TRUE,0.2),IFS(AND($U355&gt;=1700,$U355&lt;=1850),1,AND($U355&gt;=1650,$U355&lt;1700),0.7,AND($U355&gt;1850,$U355&lt;=1900),0.7,TRUE,0.2)),IF(OR($B355="Ноги",$B355="Верх"),IFS(AND($V355&gt;=125,$V355&lt;=135),1,AND($V355&gt;=115,$V355&lt;125),0.7,AND($V355&gt;135,$V355&lt;=145),0.7,AND($V355&gt;=105,$V355&lt;115),0.4,AND($V355&gt;145,$V355&lt;=155),0.4,TRUE,0.2),IFS(AND($V355&gt;=120,$V355&lt;=130),1,AND($V355&gt;=110,$V355&lt;120),0.7,AND($V355&gt;130,$V355&lt;=140),0.7,AND($V355&gt;=100,$V355&lt;110),0.4,AND($V355&gt;140,$V355&lt;=150),0.4,TRUE,0.2)),IFS(AND($W355&gt;=55,$W355&lt;=65),1,AND($W355&gt;=50,$W355&lt;55),0.7,AND($W355&gt;65,$W355&lt;=70),0.7,AND($W355&gt;=45,$W355&lt;50),0.4,AND($W355&gt;70,$W355&lt;=75),0.4,TRUE,0.2),IF(OR($B355="Ноги",$B355="Верх"),IFS(AND($X355&gt;=180,$X355&lt;=210),1,AND($X355&gt;=160,$X355&lt;180),0.7,AND($X355&gt;210,$X355&lt;=230),0.7,AND($X355&gt;=140,$X355&lt;160),0.4,AND($X355&gt;230,$X355&lt;=250),0.4,TRUE,0.2),IFS(AND($X355&gt;=140,$X355&lt;=170),1,AND($X355&gt;=120,$X355&lt;140),0.7,AND($X355&gt;170,$X355&lt;=190),0.7,AND($X355&gt;=100,$X355&lt;120),0.4,AND($X355&gt;190,$X355&lt;=210),0.4,TRUE,0.2))))),1),""))</f>
        <v/>
      </c>
      <c r="Z355">
        <f>IF($A355="","",TEXTJOIN(", ",TRUE,IF($B355="","Тренировка",""),IF($C355="","Кардио",""),IF($D355="","Шаги",""),IF($E355="","Английский",""),IF($F355="","Код-режим",""),IF($G355="","Код-тема",""),IF($H355="","Чтение",""),IF($L355="","Сон",""),IF($M355="","Режим",""),IF($N355="","Продуктивность",""),IF($O355="","Настроение",""),IF($P355="","Энергия",""),IF($U355="","Еда","")))</f>
        <v/>
      </c>
    </row>
    <row r="356">
      <c r="A356" t="inlineStr"/>
      <c r="U356">
        <f>IF($A356="","",IF(SUMIF(FoodLog!$A:$A,$A356,FoodLog!$I:$I)=0,"",SUMIF(FoodLog!$A:$A,$A356,FoodLog!$I:$I)))</f>
        <v/>
      </c>
      <c r="V356">
        <f>IF($A356="","",IF(SUMIF(FoodLog!$A:$A,$A356,FoodLog!$F:$F)=0,"",SUMIF(FoodLog!$A:$A,$A356,FoodLog!$F:$F)))</f>
        <v/>
      </c>
      <c r="W356">
        <f>IF($A356="","",IF(SUMIF(FoodLog!$A:$A,$A356,FoodLog!$G:$G)=0,"",SUMIF(FoodLog!$A:$A,$A356,FoodLog!$G:$G)))</f>
        <v/>
      </c>
      <c r="X356">
        <f>IF($A356="","",IF(SUMIF(FoodLog!$A:$A,$A356,FoodLog!$H:$H)=0,"",SUMIF(FoodLog!$A:$A,$A356,FoodLog!$H:$H)))</f>
        <v/>
      </c>
      <c r="Y356">
        <f>IF($A356="","",IFERROR(ROUND(100*AVERAGE(IF($B356="","",XLOOKUP($B356,FILTER(Dictionaries!$B:$B,Dictionaries!$A:$A="Тренировка"),FILTER(Dictionaries!$C:$C,Dictionaries!$A:$A="Тренировка"))),IF($C356="","",MIN($C356/40,1)),IF($D356="","",XLOOKUP($D356,FILTER(Dictionaries!$B:$B,Dictionaries!$A:$A="Шаги"),FILTER(Dictionaries!$C:$C,Dictionaries!$A:$A="Шаги"))),IF($E356="","",MIN($E356/120,1)),IF(OR($F356&lt;&gt;"",$G356&lt;&gt;""),1,""),IF($H356="","",MIN($H356/100,1)),IF($L356="","",XLOOKUP($L356,FILTER(Dictionaries!$B:$B,Dictionaries!$A:$A="Сон_часы"),FILTER(Dictionaries!$C:$C,Dictionaries!$A:$A="Сон_часы"))),IF($M356="","",XLOOKUP($M356,FILTER(Dictionaries!$B:$B,Dictionaries!$A:$A="Режим"),FILTER(Dictionaries!$C:$C,Dictionaries!$A:$A="Режим"))),IF($N356="","",MIN($N356/100,1)),IF($O356="","",XLOOKUP($O356,FILTER(Dictionaries!$B:$B,Dictionaries!$A:$A="Настроение"),FILTER(Dictionaries!$C:$C,Dictionaries!$A:$A="Настроение"))),IF($P356="","",XLOOKUP($P356,FILTER(Dictionaries!$B:$B,Dictionaries!$A:$A="Энергия"),FILTER(Dictionaries!$C:$C,Dictionaries!$A:$A="Энергия"))),IF($U356="","",AVERAGE(IF(OR($B356="Ноги",$B356="Верх"),IFS(AND($U356&gt;=1900,$U356&lt;=2050),1,AND($U356&gt;=1850,$U356&lt;1900),0.7,AND($U356&gt;2050,$U356&lt;=2100),0.7,TRUE,0.2),IFS(AND($U356&gt;=1700,$U356&lt;=1850),1,AND($U356&gt;=1650,$U356&lt;1700),0.7,AND($U356&gt;1850,$U356&lt;=1900),0.7,TRUE,0.2)),IF(OR($B356="Ноги",$B356="Верх"),IFS(AND($V356&gt;=125,$V356&lt;=135),1,AND($V356&gt;=115,$V356&lt;125),0.7,AND($V356&gt;135,$V356&lt;=145),0.7,AND($V356&gt;=105,$V356&lt;115),0.4,AND($V356&gt;145,$V356&lt;=155),0.4,TRUE,0.2),IFS(AND($V356&gt;=120,$V356&lt;=130),1,AND($V356&gt;=110,$V356&lt;120),0.7,AND($V356&gt;130,$V356&lt;=140),0.7,AND($V356&gt;=100,$V356&lt;110),0.4,AND($V356&gt;140,$V356&lt;=150),0.4,TRUE,0.2)),IFS(AND($W356&gt;=55,$W356&lt;=65),1,AND($W356&gt;=50,$W356&lt;55),0.7,AND($W356&gt;65,$W356&lt;=70),0.7,AND($W356&gt;=45,$W356&lt;50),0.4,AND($W356&gt;70,$W356&lt;=75),0.4,TRUE,0.2),IF(OR($B356="Ноги",$B356="Верх"),IFS(AND($X356&gt;=180,$X356&lt;=210),1,AND($X356&gt;=160,$X356&lt;180),0.7,AND($X356&gt;210,$X356&lt;=230),0.7,AND($X356&gt;=140,$X356&lt;160),0.4,AND($X356&gt;230,$X356&lt;=250),0.4,TRUE,0.2),IFS(AND($X356&gt;=140,$X356&lt;=170),1,AND($X356&gt;=120,$X356&lt;140),0.7,AND($X356&gt;170,$X356&lt;=190),0.7,AND($X356&gt;=100,$X356&lt;120),0.4,AND($X356&gt;190,$X356&lt;=210),0.4,TRUE,0.2))))),1),""))</f>
        <v/>
      </c>
      <c r="Z356">
        <f>IF($A356="","",TEXTJOIN(", ",TRUE,IF($B356="","Тренировка",""),IF($C356="","Кардио",""),IF($D356="","Шаги",""),IF($E356="","Английский",""),IF($F356="","Код-режим",""),IF($G356="","Код-тема",""),IF($H356="","Чтение",""),IF($L356="","Сон",""),IF($M356="","Режим",""),IF($N356="","Продуктивность",""),IF($O356="","Настроение",""),IF($P356="","Энергия",""),IF($U356="","Еда","")))</f>
        <v/>
      </c>
    </row>
    <row r="357">
      <c r="A357" t="inlineStr"/>
      <c r="U357">
        <f>IF($A357="","",IF(SUMIF(FoodLog!$A:$A,$A357,FoodLog!$I:$I)=0,"",SUMIF(FoodLog!$A:$A,$A357,FoodLog!$I:$I)))</f>
        <v/>
      </c>
      <c r="V357">
        <f>IF($A357="","",IF(SUMIF(FoodLog!$A:$A,$A357,FoodLog!$F:$F)=0,"",SUMIF(FoodLog!$A:$A,$A357,FoodLog!$F:$F)))</f>
        <v/>
      </c>
      <c r="W357">
        <f>IF($A357="","",IF(SUMIF(FoodLog!$A:$A,$A357,FoodLog!$G:$G)=0,"",SUMIF(FoodLog!$A:$A,$A357,FoodLog!$G:$G)))</f>
        <v/>
      </c>
      <c r="X357">
        <f>IF($A357="","",IF(SUMIF(FoodLog!$A:$A,$A357,FoodLog!$H:$H)=0,"",SUMIF(FoodLog!$A:$A,$A357,FoodLog!$H:$H)))</f>
        <v/>
      </c>
      <c r="Y357">
        <f>IF($A357="","",IFERROR(ROUND(100*AVERAGE(IF($B357="","",XLOOKUP($B357,FILTER(Dictionaries!$B:$B,Dictionaries!$A:$A="Тренировка"),FILTER(Dictionaries!$C:$C,Dictionaries!$A:$A="Тренировка"))),IF($C357="","",MIN($C357/40,1)),IF($D357="","",XLOOKUP($D357,FILTER(Dictionaries!$B:$B,Dictionaries!$A:$A="Шаги"),FILTER(Dictionaries!$C:$C,Dictionaries!$A:$A="Шаги"))),IF($E357="","",MIN($E357/120,1)),IF(OR($F357&lt;&gt;"",$G357&lt;&gt;""),1,""),IF($H357="","",MIN($H357/100,1)),IF($L357="","",XLOOKUP($L357,FILTER(Dictionaries!$B:$B,Dictionaries!$A:$A="Сон_часы"),FILTER(Dictionaries!$C:$C,Dictionaries!$A:$A="Сон_часы"))),IF($M357="","",XLOOKUP($M357,FILTER(Dictionaries!$B:$B,Dictionaries!$A:$A="Режим"),FILTER(Dictionaries!$C:$C,Dictionaries!$A:$A="Режим"))),IF($N357="","",MIN($N357/100,1)),IF($O357="","",XLOOKUP($O357,FILTER(Dictionaries!$B:$B,Dictionaries!$A:$A="Настроение"),FILTER(Dictionaries!$C:$C,Dictionaries!$A:$A="Настроение"))),IF($P357="","",XLOOKUP($P357,FILTER(Dictionaries!$B:$B,Dictionaries!$A:$A="Энергия"),FILTER(Dictionaries!$C:$C,Dictionaries!$A:$A="Энергия"))),IF($U357="","",AVERAGE(IF(OR($B357="Ноги",$B357="Верх"),IFS(AND($U357&gt;=1900,$U357&lt;=2050),1,AND($U357&gt;=1850,$U357&lt;1900),0.7,AND($U357&gt;2050,$U357&lt;=2100),0.7,TRUE,0.2),IFS(AND($U357&gt;=1700,$U357&lt;=1850),1,AND($U357&gt;=1650,$U357&lt;1700),0.7,AND($U357&gt;1850,$U357&lt;=1900),0.7,TRUE,0.2)),IF(OR($B357="Ноги",$B357="Верх"),IFS(AND($V357&gt;=125,$V357&lt;=135),1,AND($V357&gt;=115,$V357&lt;125),0.7,AND($V357&gt;135,$V357&lt;=145),0.7,AND($V357&gt;=105,$V357&lt;115),0.4,AND($V357&gt;145,$V357&lt;=155),0.4,TRUE,0.2),IFS(AND($V357&gt;=120,$V357&lt;=130),1,AND($V357&gt;=110,$V357&lt;120),0.7,AND($V357&gt;130,$V357&lt;=140),0.7,AND($V357&gt;=100,$V357&lt;110),0.4,AND($V357&gt;140,$V357&lt;=150),0.4,TRUE,0.2)),IFS(AND($W357&gt;=55,$W357&lt;=65),1,AND($W357&gt;=50,$W357&lt;55),0.7,AND($W357&gt;65,$W357&lt;=70),0.7,AND($W357&gt;=45,$W357&lt;50),0.4,AND($W357&gt;70,$W357&lt;=75),0.4,TRUE,0.2),IF(OR($B357="Ноги",$B357="Верх"),IFS(AND($X357&gt;=180,$X357&lt;=210),1,AND($X357&gt;=160,$X357&lt;180),0.7,AND($X357&gt;210,$X357&lt;=230),0.7,AND($X357&gt;=140,$X357&lt;160),0.4,AND($X357&gt;230,$X357&lt;=250),0.4,TRUE,0.2),IFS(AND($X357&gt;=140,$X357&lt;=170),1,AND($X357&gt;=120,$X357&lt;140),0.7,AND($X357&gt;170,$X357&lt;=190),0.7,AND($X357&gt;=100,$X357&lt;120),0.4,AND($X357&gt;190,$X357&lt;=210),0.4,TRUE,0.2))))),1),""))</f>
        <v/>
      </c>
      <c r="Z357">
        <f>IF($A357="","",TEXTJOIN(", ",TRUE,IF($B357="","Тренировка",""),IF($C357="","Кардио",""),IF($D357="","Шаги",""),IF($E357="","Английский",""),IF($F357="","Код-режим",""),IF($G357="","Код-тема",""),IF($H357="","Чтение",""),IF($L357="","Сон",""),IF($M357="","Режим",""),IF($N357="","Продуктивность",""),IF($O357="","Настроение",""),IF($P357="","Энергия",""),IF($U357="","Еда","")))</f>
        <v/>
      </c>
    </row>
    <row r="358">
      <c r="A358" t="inlineStr"/>
      <c r="U358">
        <f>IF($A358="","",IF(SUMIF(FoodLog!$A:$A,$A358,FoodLog!$I:$I)=0,"",SUMIF(FoodLog!$A:$A,$A358,FoodLog!$I:$I)))</f>
        <v/>
      </c>
      <c r="V358">
        <f>IF($A358="","",IF(SUMIF(FoodLog!$A:$A,$A358,FoodLog!$F:$F)=0,"",SUMIF(FoodLog!$A:$A,$A358,FoodLog!$F:$F)))</f>
        <v/>
      </c>
      <c r="W358">
        <f>IF($A358="","",IF(SUMIF(FoodLog!$A:$A,$A358,FoodLog!$G:$G)=0,"",SUMIF(FoodLog!$A:$A,$A358,FoodLog!$G:$G)))</f>
        <v/>
      </c>
      <c r="X358">
        <f>IF($A358="","",IF(SUMIF(FoodLog!$A:$A,$A358,FoodLog!$H:$H)=0,"",SUMIF(FoodLog!$A:$A,$A358,FoodLog!$H:$H)))</f>
        <v/>
      </c>
      <c r="Y358">
        <f>IF($A358="","",IFERROR(ROUND(100*AVERAGE(IF($B358="","",XLOOKUP($B358,FILTER(Dictionaries!$B:$B,Dictionaries!$A:$A="Тренировка"),FILTER(Dictionaries!$C:$C,Dictionaries!$A:$A="Тренировка"))),IF($C358="","",MIN($C358/40,1)),IF($D358="","",XLOOKUP($D358,FILTER(Dictionaries!$B:$B,Dictionaries!$A:$A="Шаги"),FILTER(Dictionaries!$C:$C,Dictionaries!$A:$A="Шаги"))),IF($E358="","",MIN($E358/120,1)),IF(OR($F358&lt;&gt;"",$G358&lt;&gt;""),1,""),IF($H358="","",MIN($H358/100,1)),IF($L358="","",XLOOKUP($L358,FILTER(Dictionaries!$B:$B,Dictionaries!$A:$A="Сон_часы"),FILTER(Dictionaries!$C:$C,Dictionaries!$A:$A="Сон_часы"))),IF($M358="","",XLOOKUP($M358,FILTER(Dictionaries!$B:$B,Dictionaries!$A:$A="Режим"),FILTER(Dictionaries!$C:$C,Dictionaries!$A:$A="Режим"))),IF($N358="","",MIN($N358/100,1)),IF($O358="","",XLOOKUP($O358,FILTER(Dictionaries!$B:$B,Dictionaries!$A:$A="Настроение"),FILTER(Dictionaries!$C:$C,Dictionaries!$A:$A="Настроение"))),IF($P358="","",XLOOKUP($P358,FILTER(Dictionaries!$B:$B,Dictionaries!$A:$A="Энергия"),FILTER(Dictionaries!$C:$C,Dictionaries!$A:$A="Энергия"))),IF($U358="","",AVERAGE(IF(OR($B358="Ноги",$B358="Верх"),IFS(AND($U358&gt;=1900,$U358&lt;=2050),1,AND($U358&gt;=1850,$U358&lt;1900),0.7,AND($U358&gt;2050,$U358&lt;=2100),0.7,TRUE,0.2),IFS(AND($U358&gt;=1700,$U358&lt;=1850),1,AND($U358&gt;=1650,$U358&lt;1700),0.7,AND($U358&gt;1850,$U358&lt;=1900),0.7,TRUE,0.2)),IF(OR($B358="Ноги",$B358="Верх"),IFS(AND($V358&gt;=125,$V358&lt;=135),1,AND($V358&gt;=115,$V358&lt;125),0.7,AND($V358&gt;135,$V358&lt;=145),0.7,AND($V358&gt;=105,$V358&lt;115),0.4,AND($V358&gt;145,$V358&lt;=155),0.4,TRUE,0.2),IFS(AND($V358&gt;=120,$V358&lt;=130),1,AND($V358&gt;=110,$V358&lt;120),0.7,AND($V358&gt;130,$V358&lt;=140),0.7,AND($V358&gt;=100,$V358&lt;110),0.4,AND($V358&gt;140,$V358&lt;=150),0.4,TRUE,0.2)),IFS(AND($W358&gt;=55,$W358&lt;=65),1,AND($W358&gt;=50,$W358&lt;55),0.7,AND($W358&gt;65,$W358&lt;=70),0.7,AND($W358&gt;=45,$W358&lt;50),0.4,AND($W358&gt;70,$W358&lt;=75),0.4,TRUE,0.2),IF(OR($B358="Ноги",$B358="Верх"),IFS(AND($X358&gt;=180,$X358&lt;=210),1,AND($X358&gt;=160,$X358&lt;180),0.7,AND($X358&gt;210,$X358&lt;=230),0.7,AND($X358&gt;=140,$X358&lt;160),0.4,AND($X358&gt;230,$X358&lt;=250),0.4,TRUE,0.2),IFS(AND($X358&gt;=140,$X358&lt;=170),1,AND($X358&gt;=120,$X358&lt;140),0.7,AND($X358&gt;170,$X358&lt;=190),0.7,AND($X358&gt;=100,$X358&lt;120),0.4,AND($X358&gt;190,$X358&lt;=210),0.4,TRUE,0.2))))),1),""))</f>
        <v/>
      </c>
      <c r="Z358">
        <f>IF($A358="","",TEXTJOIN(", ",TRUE,IF($B358="","Тренировка",""),IF($C358="","Кардио",""),IF($D358="","Шаги",""),IF($E358="","Английский",""),IF($F358="","Код-режим",""),IF($G358="","Код-тема",""),IF($H358="","Чтение",""),IF($L358="","Сон",""),IF($M358="","Режим",""),IF($N358="","Продуктивность",""),IF($O358="","Настроение",""),IF($P358="","Энергия",""),IF($U358="","Еда","")))</f>
        <v/>
      </c>
    </row>
    <row r="359">
      <c r="A359" t="inlineStr"/>
      <c r="U359">
        <f>IF($A359="","",IF(SUMIF(FoodLog!$A:$A,$A359,FoodLog!$I:$I)=0,"",SUMIF(FoodLog!$A:$A,$A359,FoodLog!$I:$I)))</f>
        <v/>
      </c>
      <c r="V359">
        <f>IF($A359="","",IF(SUMIF(FoodLog!$A:$A,$A359,FoodLog!$F:$F)=0,"",SUMIF(FoodLog!$A:$A,$A359,FoodLog!$F:$F)))</f>
        <v/>
      </c>
      <c r="W359">
        <f>IF($A359="","",IF(SUMIF(FoodLog!$A:$A,$A359,FoodLog!$G:$G)=0,"",SUMIF(FoodLog!$A:$A,$A359,FoodLog!$G:$G)))</f>
        <v/>
      </c>
      <c r="X359">
        <f>IF($A359="","",IF(SUMIF(FoodLog!$A:$A,$A359,FoodLog!$H:$H)=0,"",SUMIF(FoodLog!$A:$A,$A359,FoodLog!$H:$H)))</f>
        <v/>
      </c>
      <c r="Y359">
        <f>IF($A359="","",IFERROR(ROUND(100*AVERAGE(IF($B359="","",XLOOKUP($B359,FILTER(Dictionaries!$B:$B,Dictionaries!$A:$A="Тренировка"),FILTER(Dictionaries!$C:$C,Dictionaries!$A:$A="Тренировка"))),IF($C359="","",MIN($C359/40,1)),IF($D359="","",XLOOKUP($D359,FILTER(Dictionaries!$B:$B,Dictionaries!$A:$A="Шаги"),FILTER(Dictionaries!$C:$C,Dictionaries!$A:$A="Шаги"))),IF($E359="","",MIN($E359/120,1)),IF(OR($F359&lt;&gt;"",$G359&lt;&gt;""),1,""),IF($H359="","",MIN($H359/100,1)),IF($L359="","",XLOOKUP($L359,FILTER(Dictionaries!$B:$B,Dictionaries!$A:$A="Сон_часы"),FILTER(Dictionaries!$C:$C,Dictionaries!$A:$A="Сон_часы"))),IF($M359="","",XLOOKUP($M359,FILTER(Dictionaries!$B:$B,Dictionaries!$A:$A="Режим"),FILTER(Dictionaries!$C:$C,Dictionaries!$A:$A="Режим"))),IF($N359="","",MIN($N359/100,1)),IF($O359="","",XLOOKUP($O359,FILTER(Dictionaries!$B:$B,Dictionaries!$A:$A="Настроение"),FILTER(Dictionaries!$C:$C,Dictionaries!$A:$A="Настроение"))),IF($P359="","",XLOOKUP($P359,FILTER(Dictionaries!$B:$B,Dictionaries!$A:$A="Энергия"),FILTER(Dictionaries!$C:$C,Dictionaries!$A:$A="Энергия"))),IF($U359="","",AVERAGE(IF(OR($B359="Ноги",$B359="Верх"),IFS(AND($U359&gt;=1900,$U359&lt;=2050),1,AND($U359&gt;=1850,$U359&lt;1900),0.7,AND($U359&gt;2050,$U359&lt;=2100),0.7,TRUE,0.2),IFS(AND($U359&gt;=1700,$U359&lt;=1850),1,AND($U359&gt;=1650,$U359&lt;1700),0.7,AND($U359&gt;1850,$U359&lt;=1900),0.7,TRUE,0.2)),IF(OR($B359="Ноги",$B359="Верх"),IFS(AND($V359&gt;=125,$V359&lt;=135),1,AND($V359&gt;=115,$V359&lt;125),0.7,AND($V359&gt;135,$V359&lt;=145),0.7,AND($V359&gt;=105,$V359&lt;115),0.4,AND($V359&gt;145,$V359&lt;=155),0.4,TRUE,0.2),IFS(AND($V359&gt;=120,$V359&lt;=130),1,AND($V359&gt;=110,$V359&lt;120),0.7,AND($V359&gt;130,$V359&lt;=140),0.7,AND($V359&gt;=100,$V359&lt;110),0.4,AND($V359&gt;140,$V359&lt;=150),0.4,TRUE,0.2)),IFS(AND($W359&gt;=55,$W359&lt;=65),1,AND($W359&gt;=50,$W359&lt;55),0.7,AND($W359&gt;65,$W359&lt;=70),0.7,AND($W359&gt;=45,$W359&lt;50),0.4,AND($W359&gt;70,$W359&lt;=75),0.4,TRUE,0.2),IF(OR($B359="Ноги",$B359="Верх"),IFS(AND($X359&gt;=180,$X359&lt;=210),1,AND($X359&gt;=160,$X359&lt;180),0.7,AND($X359&gt;210,$X359&lt;=230),0.7,AND($X359&gt;=140,$X359&lt;160),0.4,AND($X359&gt;230,$X359&lt;=250),0.4,TRUE,0.2),IFS(AND($X359&gt;=140,$X359&lt;=170),1,AND($X359&gt;=120,$X359&lt;140),0.7,AND($X359&gt;170,$X359&lt;=190),0.7,AND($X359&gt;=100,$X359&lt;120),0.4,AND($X359&gt;190,$X359&lt;=210),0.4,TRUE,0.2))))),1),""))</f>
        <v/>
      </c>
      <c r="Z359">
        <f>IF($A359="","",TEXTJOIN(", ",TRUE,IF($B359="","Тренировка",""),IF($C359="","Кардио",""),IF($D359="","Шаги",""),IF($E359="","Английский",""),IF($F359="","Код-режим",""),IF($G359="","Код-тема",""),IF($H359="","Чтение",""),IF($L359="","Сон",""),IF($M359="","Режим",""),IF($N359="","Продуктивность",""),IF($O359="","Настроение",""),IF($P359="","Энергия",""),IF($U359="","Еда","")))</f>
        <v/>
      </c>
    </row>
    <row r="360">
      <c r="A360" t="inlineStr"/>
      <c r="U360">
        <f>IF($A360="","",IF(SUMIF(FoodLog!$A:$A,$A360,FoodLog!$I:$I)=0,"",SUMIF(FoodLog!$A:$A,$A360,FoodLog!$I:$I)))</f>
        <v/>
      </c>
      <c r="V360">
        <f>IF($A360="","",IF(SUMIF(FoodLog!$A:$A,$A360,FoodLog!$F:$F)=0,"",SUMIF(FoodLog!$A:$A,$A360,FoodLog!$F:$F)))</f>
        <v/>
      </c>
      <c r="W360">
        <f>IF($A360="","",IF(SUMIF(FoodLog!$A:$A,$A360,FoodLog!$G:$G)=0,"",SUMIF(FoodLog!$A:$A,$A360,FoodLog!$G:$G)))</f>
        <v/>
      </c>
      <c r="X360">
        <f>IF($A360="","",IF(SUMIF(FoodLog!$A:$A,$A360,FoodLog!$H:$H)=0,"",SUMIF(FoodLog!$A:$A,$A360,FoodLog!$H:$H)))</f>
        <v/>
      </c>
      <c r="Y360">
        <f>IF($A360="","",IFERROR(ROUND(100*AVERAGE(IF($B360="","",XLOOKUP($B360,FILTER(Dictionaries!$B:$B,Dictionaries!$A:$A="Тренировка"),FILTER(Dictionaries!$C:$C,Dictionaries!$A:$A="Тренировка"))),IF($C360="","",MIN($C360/40,1)),IF($D360="","",XLOOKUP($D360,FILTER(Dictionaries!$B:$B,Dictionaries!$A:$A="Шаги"),FILTER(Dictionaries!$C:$C,Dictionaries!$A:$A="Шаги"))),IF($E360="","",MIN($E360/120,1)),IF(OR($F360&lt;&gt;"",$G360&lt;&gt;""),1,""),IF($H360="","",MIN($H360/100,1)),IF($L360="","",XLOOKUP($L360,FILTER(Dictionaries!$B:$B,Dictionaries!$A:$A="Сон_часы"),FILTER(Dictionaries!$C:$C,Dictionaries!$A:$A="Сон_часы"))),IF($M360="","",XLOOKUP($M360,FILTER(Dictionaries!$B:$B,Dictionaries!$A:$A="Режим"),FILTER(Dictionaries!$C:$C,Dictionaries!$A:$A="Режим"))),IF($N360="","",MIN($N360/100,1)),IF($O360="","",XLOOKUP($O360,FILTER(Dictionaries!$B:$B,Dictionaries!$A:$A="Настроение"),FILTER(Dictionaries!$C:$C,Dictionaries!$A:$A="Настроение"))),IF($P360="","",XLOOKUP($P360,FILTER(Dictionaries!$B:$B,Dictionaries!$A:$A="Энергия"),FILTER(Dictionaries!$C:$C,Dictionaries!$A:$A="Энергия"))),IF($U360="","",AVERAGE(IF(OR($B360="Ноги",$B360="Верх"),IFS(AND($U360&gt;=1900,$U360&lt;=2050),1,AND($U360&gt;=1850,$U360&lt;1900),0.7,AND($U360&gt;2050,$U360&lt;=2100),0.7,TRUE,0.2),IFS(AND($U360&gt;=1700,$U360&lt;=1850),1,AND($U360&gt;=1650,$U360&lt;1700),0.7,AND($U360&gt;1850,$U360&lt;=1900),0.7,TRUE,0.2)),IF(OR($B360="Ноги",$B360="Верх"),IFS(AND($V360&gt;=125,$V360&lt;=135),1,AND($V360&gt;=115,$V360&lt;125),0.7,AND($V360&gt;135,$V360&lt;=145),0.7,AND($V360&gt;=105,$V360&lt;115),0.4,AND($V360&gt;145,$V360&lt;=155),0.4,TRUE,0.2),IFS(AND($V360&gt;=120,$V360&lt;=130),1,AND($V360&gt;=110,$V360&lt;120),0.7,AND($V360&gt;130,$V360&lt;=140),0.7,AND($V360&gt;=100,$V360&lt;110),0.4,AND($V360&gt;140,$V360&lt;=150),0.4,TRUE,0.2)),IFS(AND($W360&gt;=55,$W360&lt;=65),1,AND($W360&gt;=50,$W360&lt;55),0.7,AND($W360&gt;65,$W360&lt;=70),0.7,AND($W360&gt;=45,$W360&lt;50),0.4,AND($W360&gt;70,$W360&lt;=75),0.4,TRUE,0.2),IF(OR($B360="Ноги",$B360="Верх"),IFS(AND($X360&gt;=180,$X360&lt;=210),1,AND($X360&gt;=160,$X360&lt;180),0.7,AND($X360&gt;210,$X360&lt;=230),0.7,AND($X360&gt;=140,$X360&lt;160),0.4,AND($X360&gt;230,$X360&lt;=250),0.4,TRUE,0.2),IFS(AND($X360&gt;=140,$X360&lt;=170),1,AND($X360&gt;=120,$X360&lt;140),0.7,AND($X360&gt;170,$X360&lt;=190),0.7,AND($X360&gt;=100,$X360&lt;120),0.4,AND($X360&gt;190,$X360&lt;=210),0.4,TRUE,0.2))))),1),""))</f>
        <v/>
      </c>
      <c r="Z360">
        <f>IF($A360="","",TEXTJOIN(", ",TRUE,IF($B360="","Тренировка",""),IF($C360="","Кардио",""),IF($D360="","Шаги",""),IF($E360="","Английский",""),IF($F360="","Код-режим",""),IF($G360="","Код-тема",""),IF($H360="","Чтение",""),IF($L360="","Сон",""),IF($M360="","Режим",""),IF($N360="","Продуктивность",""),IF($O360="","Настроение",""),IF($P360="","Энергия",""),IF($U360="","Еда","")))</f>
        <v/>
      </c>
    </row>
    <row r="361">
      <c r="A361" t="inlineStr"/>
      <c r="U361">
        <f>IF($A361="","",IF(SUMIF(FoodLog!$A:$A,$A361,FoodLog!$I:$I)=0,"",SUMIF(FoodLog!$A:$A,$A361,FoodLog!$I:$I)))</f>
        <v/>
      </c>
      <c r="V361">
        <f>IF($A361="","",IF(SUMIF(FoodLog!$A:$A,$A361,FoodLog!$F:$F)=0,"",SUMIF(FoodLog!$A:$A,$A361,FoodLog!$F:$F)))</f>
        <v/>
      </c>
      <c r="W361">
        <f>IF($A361="","",IF(SUMIF(FoodLog!$A:$A,$A361,FoodLog!$G:$G)=0,"",SUMIF(FoodLog!$A:$A,$A361,FoodLog!$G:$G)))</f>
        <v/>
      </c>
      <c r="X361">
        <f>IF($A361="","",IF(SUMIF(FoodLog!$A:$A,$A361,FoodLog!$H:$H)=0,"",SUMIF(FoodLog!$A:$A,$A361,FoodLog!$H:$H)))</f>
        <v/>
      </c>
      <c r="Y361">
        <f>IF($A361="","",IFERROR(ROUND(100*AVERAGE(IF($B361="","",XLOOKUP($B361,FILTER(Dictionaries!$B:$B,Dictionaries!$A:$A="Тренировка"),FILTER(Dictionaries!$C:$C,Dictionaries!$A:$A="Тренировка"))),IF($C361="","",MIN($C361/40,1)),IF($D361="","",XLOOKUP($D361,FILTER(Dictionaries!$B:$B,Dictionaries!$A:$A="Шаги"),FILTER(Dictionaries!$C:$C,Dictionaries!$A:$A="Шаги"))),IF($E361="","",MIN($E361/120,1)),IF(OR($F361&lt;&gt;"",$G361&lt;&gt;""),1,""),IF($H361="","",MIN($H361/100,1)),IF($L361="","",XLOOKUP($L361,FILTER(Dictionaries!$B:$B,Dictionaries!$A:$A="Сон_часы"),FILTER(Dictionaries!$C:$C,Dictionaries!$A:$A="Сон_часы"))),IF($M361="","",XLOOKUP($M361,FILTER(Dictionaries!$B:$B,Dictionaries!$A:$A="Режим"),FILTER(Dictionaries!$C:$C,Dictionaries!$A:$A="Режим"))),IF($N361="","",MIN($N361/100,1)),IF($O361="","",XLOOKUP($O361,FILTER(Dictionaries!$B:$B,Dictionaries!$A:$A="Настроение"),FILTER(Dictionaries!$C:$C,Dictionaries!$A:$A="Настроение"))),IF($P361="","",XLOOKUP($P361,FILTER(Dictionaries!$B:$B,Dictionaries!$A:$A="Энергия"),FILTER(Dictionaries!$C:$C,Dictionaries!$A:$A="Энергия"))),IF($U361="","",AVERAGE(IF(OR($B361="Ноги",$B361="Верх"),IFS(AND($U361&gt;=1900,$U361&lt;=2050),1,AND($U361&gt;=1850,$U361&lt;1900),0.7,AND($U361&gt;2050,$U361&lt;=2100),0.7,TRUE,0.2),IFS(AND($U361&gt;=1700,$U361&lt;=1850),1,AND($U361&gt;=1650,$U361&lt;1700),0.7,AND($U361&gt;1850,$U361&lt;=1900),0.7,TRUE,0.2)),IF(OR($B361="Ноги",$B361="Верх"),IFS(AND($V361&gt;=125,$V361&lt;=135),1,AND($V361&gt;=115,$V361&lt;125),0.7,AND($V361&gt;135,$V361&lt;=145),0.7,AND($V361&gt;=105,$V361&lt;115),0.4,AND($V361&gt;145,$V361&lt;=155),0.4,TRUE,0.2),IFS(AND($V361&gt;=120,$V361&lt;=130),1,AND($V361&gt;=110,$V361&lt;120),0.7,AND($V361&gt;130,$V361&lt;=140),0.7,AND($V361&gt;=100,$V361&lt;110),0.4,AND($V361&gt;140,$V361&lt;=150),0.4,TRUE,0.2)),IFS(AND($W361&gt;=55,$W361&lt;=65),1,AND($W361&gt;=50,$W361&lt;55),0.7,AND($W361&gt;65,$W361&lt;=70),0.7,AND($W361&gt;=45,$W361&lt;50),0.4,AND($W361&gt;70,$W361&lt;=75),0.4,TRUE,0.2),IF(OR($B361="Ноги",$B361="Верх"),IFS(AND($X361&gt;=180,$X361&lt;=210),1,AND($X361&gt;=160,$X361&lt;180),0.7,AND($X361&gt;210,$X361&lt;=230),0.7,AND($X361&gt;=140,$X361&lt;160),0.4,AND($X361&gt;230,$X361&lt;=250),0.4,TRUE,0.2),IFS(AND($X361&gt;=140,$X361&lt;=170),1,AND($X361&gt;=120,$X361&lt;140),0.7,AND($X361&gt;170,$X361&lt;=190),0.7,AND($X361&gt;=100,$X361&lt;120),0.4,AND($X361&gt;190,$X361&lt;=210),0.4,TRUE,0.2))))),1),""))</f>
        <v/>
      </c>
      <c r="Z361">
        <f>IF($A361="","",TEXTJOIN(", ",TRUE,IF($B361="","Тренировка",""),IF($C361="","Кардио",""),IF($D361="","Шаги",""),IF($E361="","Английский",""),IF($F361="","Код-режим",""),IF($G361="","Код-тема",""),IF($H361="","Чтение",""),IF($L361="","Сон",""),IF($M361="","Режим",""),IF($N361="","Продуктивность",""),IF($O361="","Настроение",""),IF($P361="","Энергия",""),IF($U361="","Еда","")))</f>
        <v/>
      </c>
    </row>
    <row r="362">
      <c r="A362" t="inlineStr"/>
      <c r="U362">
        <f>IF($A362="","",IF(SUMIF(FoodLog!$A:$A,$A362,FoodLog!$I:$I)=0,"",SUMIF(FoodLog!$A:$A,$A362,FoodLog!$I:$I)))</f>
        <v/>
      </c>
      <c r="V362">
        <f>IF($A362="","",IF(SUMIF(FoodLog!$A:$A,$A362,FoodLog!$F:$F)=0,"",SUMIF(FoodLog!$A:$A,$A362,FoodLog!$F:$F)))</f>
        <v/>
      </c>
      <c r="W362">
        <f>IF($A362="","",IF(SUMIF(FoodLog!$A:$A,$A362,FoodLog!$G:$G)=0,"",SUMIF(FoodLog!$A:$A,$A362,FoodLog!$G:$G)))</f>
        <v/>
      </c>
      <c r="X362">
        <f>IF($A362="","",IF(SUMIF(FoodLog!$A:$A,$A362,FoodLog!$H:$H)=0,"",SUMIF(FoodLog!$A:$A,$A362,FoodLog!$H:$H)))</f>
        <v/>
      </c>
      <c r="Y362">
        <f>IF($A362="","",IFERROR(ROUND(100*AVERAGE(IF($B362="","",XLOOKUP($B362,FILTER(Dictionaries!$B:$B,Dictionaries!$A:$A="Тренировка"),FILTER(Dictionaries!$C:$C,Dictionaries!$A:$A="Тренировка"))),IF($C362="","",MIN($C362/40,1)),IF($D362="","",XLOOKUP($D362,FILTER(Dictionaries!$B:$B,Dictionaries!$A:$A="Шаги"),FILTER(Dictionaries!$C:$C,Dictionaries!$A:$A="Шаги"))),IF($E362="","",MIN($E362/120,1)),IF(OR($F362&lt;&gt;"",$G362&lt;&gt;""),1,""),IF($H362="","",MIN($H362/100,1)),IF($L362="","",XLOOKUP($L362,FILTER(Dictionaries!$B:$B,Dictionaries!$A:$A="Сон_часы"),FILTER(Dictionaries!$C:$C,Dictionaries!$A:$A="Сон_часы"))),IF($M362="","",XLOOKUP($M362,FILTER(Dictionaries!$B:$B,Dictionaries!$A:$A="Режим"),FILTER(Dictionaries!$C:$C,Dictionaries!$A:$A="Режим"))),IF($N362="","",MIN($N362/100,1)),IF($O362="","",XLOOKUP($O362,FILTER(Dictionaries!$B:$B,Dictionaries!$A:$A="Настроение"),FILTER(Dictionaries!$C:$C,Dictionaries!$A:$A="Настроение"))),IF($P362="","",XLOOKUP($P362,FILTER(Dictionaries!$B:$B,Dictionaries!$A:$A="Энергия"),FILTER(Dictionaries!$C:$C,Dictionaries!$A:$A="Энергия"))),IF($U362="","",AVERAGE(IF(OR($B362="Ноги",$B362="Верх"),IFS(AND($U362&gt;=1900,$U362&lt;=2050),1,AND($U362&gt;=1850,$U362&lt;1900),0.7,AND($U362&gt;2050,$U362&lt;=2100),0.7,TRUE,0.2),IFS(AND($U362&gt;=1700,$U362&lt;=1850),1,AND($U362&gt;=1650,$U362&lt;1700),0.7,AND($U362&gt;1850,$U362&lt;=1900),0.7,TRUE,0.2)),IF(OR($B362="Ноги",$B362="Верх"),IFS(AND($V362&gt;=125,$V362&lt;=135),1,AND($V362&gt;=115,$V362&lt;125),0.7,AND($V362&gt;135,$V362&lt;=145),0.7,AND($V362&gt;=105,$V362&lt;115),0.4,AND($V362&gt;145,$V362&lt;=155),0.4,TRUE,0.2),IFS(AND($V362&gt;=120,$V362&lt;=130),1,AND($V362&gt;=110,$V362&lt;120),0.7,AND($V362&gt;130,$V362&lt;=140),0.7,AND($V362&gt;=100,$V362&lt;110),0.4,AND($V362&gt;140,$V362&lt;=150),0.4,TRUE,0.2)),IFS(AND($W362&gt;=55,$W362&lt;=65),1,AND($W362&gt;=50,$W362&lt;55),0.7,AND($W362&gt;65,$W362&lt;=70),0.7,AND($W362&gt;=45,$W362&lt;50),0.4,AND($W362&gt;70,$W362&lt;=75),0.4,TRUE,0.2),IF(OR($B362="Ноги",$B362="Верх"),IFS(AND($X362&gt;=180,$X362&lt;=210),1,AND($X362&gt;=160,$X362&lt;180),0.7,AND($X362&gt;210,$X362&lt;=230),0.7,AND($X362&gt;=140,$X362&lt;160),0.4,AND($X362&gt;230,$X362&lt;=250),0.4,TRUE,0.2),IFS(AND($X362&gt;=140,$X362&lt;=170),1,AND($X362&gt;=120,$X362&lt;140),0.7,AND($X362&gt;170,$X362&lt;=190),0.7,AND($X362&gt;=100,$X362&lt;120),0.4,AND($X362&gt;190,$X362&lt;=210),0.4,TRUE,0.2))))),1),""))</f>
        <v/>
      </c>
      <c r="Z362">
        <f>IF($A362="","",TEXTJOIN(", ",TRUE,IF($B362="","Тренировка",""),IF($C362="","Кардио",""),IF($D362="","Шаги",""),IF($E362="","Английский",""),IF($F362="","Код-режим",""),IF($G362="","Код-тема",""),IF($H362="","Чтение",""),IF($L362="","Сон",""),IF($M362="","Режим",""),IF($N362="","Продуктивность",""),IF($O362="","Настроение",""),IF($P362="","Энергия",""),IF($U362="","Еда","")))</f>
        <v/>
      </c>
    </row>
    <row r="363">
      <c r="A363" t="inlineStr"/>
      <c r="U363">
        <f>IF($A363="","",IF(SUMIF(FoodLog!$A:$A,$A363,FoodLog!$I:$I)=0,"",SUMIF(FoodLog!$A:$A,$A363,FoodLog!$I:$I)))</f>
        <v/>
      </c>
      <c r="V363">
        <f>IF($A363="","",IF(SUMIF(FoodLog!$A:$A,$A363,FoodLog!$F:$F)=0,"",SUMIF(FoodLog!$A:$A,$A363,FoodLog!$F:$F)))</f>
        <v/>
      </c>
      <c r="W363">
        <f>IF($A363="","",IF(SUMIF(FoodLog!$A:$A,$A363,FoodLog!$G:$G)=0,"",SUMIF(FoodLog!$A:$A,$A363,FoodLog!$G:$G)))</f>
        <v/>
      </c>
      <c r="X363">
        <f>IF($A363="","",IF(SUMIF(FoodLog!$A:$A,$A363,FoodLog!$H:$H)=0,"",SUMIF(FoodLog!$A:$A,$A363,FoodLog!$H:$H)))</f>
        <v/>
      </c>
      <c r="Y363">
        <f>IF($A363="","",IFERROR(ROUND(100*AVERAGE(IF($B363="","",XLOOKUP($B363,FILTER(Dictionaries!$B:$B,Dictionaries!$A:$A="Тренировка"),FILTER(Dictionaries!$C:$C,Dictionaries!$A:$A="Тренировка"))),IF($C363="","",MIN($C363/40,1)),IF($D363="","",XLOOKUP($D363,FILTER(Dictionaries!$B:$B,Dictionaries!$A:$A="Шаги"),FILTER(Dictionaries!$C:$C,Dictionaries!$A:$A="Шаги"))),IF($E363="","",MIN($E363/120,1)),IF(OR($F363&lt;&gt;"",$G363&lt;&gt;""),1,""),IF($H363="","",MIN($H363/100,1)),IF($L363="","",XLOOKUP($L363,FILTER(Dictionaries!$B:$B,Dictionaries!$A:$A="Сон_часы"),FILTER(Dictionaries!$C:$C,Dictionaries!$A:$A="Сон_часы"))),IF($M363="","",XLOOKUP($M363,FILTER(Dictionaries!$B:$B,Dictionaries!$A:$A="Режим"),FILTER(Dictionaries!$C:$C,Dictionaries!$A:$A="Режим"))),IF($N363="","",MIN($N363/100,1)),IF($O363="","",XLOOKUP($O363,FILTER(Dictionaries!$B:$B,Dictionaries!$A:$A="Настроение"),FILTER(Dictionaries!$C:$C,Dictionaries!$A:$A="Настроение"))),IF($P363="","",XLOOKUP($P363,FILTER(Dictionaries!$B:$B,Dictionaries!$A:$A="Энергия"),FILTER(Dictionaries!$C:$C,Dictionaries!$A:$A="Энергия"))),IF($U363="","",AVERAGE(IF(OR($B363="Ноги",$B363="Верх"),IFS(AND($U363&gt;=1900,$U363&lt;=2050),1,AND($U363&gt;=1850,$U363&lt;1900),0.7,AND($U363&gt;2050,$U363&lt;=2100),0.7,TRUE,0.2),IFS(AND($U363&gt;=1700,$U363&lt;=1850),1,AND($U363&gt;=1650,$U363&lt;1700),0.7,AND($U363&gt;1850,$U363&lt;=1900),0.7,TRUE,0.2)),IF(OR($B363="Ноги",$B363="Верх"),IFS(AND($V363&gt;=125,$V363&lt;=135),1,AND($V363&gt;=115,$V363&lt;125),0.7,AND($V363&gt;135,$V363&lt;=145),0.7,AND($V363&gt;=105,$V363&lt;115),0.4,AND($V363&gt;145,$V363&lt;=155),0.4,TRUE,0.2),IFS(AND($V363&gt;=120,$V363&lt;=130),1,AND($V363&gt;=110,$V363&lt;120),0.7,AND($V363&gt;130,$V363&lt;=140),0.7,AND($V363&gt;=100,$V363&lt;110),0.4,AND($V363&gt;140,$V363&lt;=150),0.4,TRUE,0.2)),IFS(AND($W363&gt;=55,$W363&lt;=65),1,AND($W363&gt;=50,$W363&lt;55),0.7,AND($W363&gt;65,$W363&lt;=70),0.7,AND($W363&gt;=45,$W363&lt;50),0.4,AND($W363&gt;70,$W363&lt;=75),0.4,TRUE,0.2),IF(OR($B363="Ноги",$B363="Верх"),IFS(AND($X363&gt;=180,$X363&lt;=210),1,AND($X363&gt;=160,$X363&lt;180),0.7,AND($X363&gt;210,$X363&lt;=230),0.7,AND($X363&gt;=140,$X363&lt;160),0.4,AND($X363&gt;230,$X363&lt;=250),0.4,TRUE,0.2),IFS(AND($X363&gt;=140,$X363&lt;=170),1,AND($X363&gt;=120,$X363&lt;140),0.7,AND($X363&gt;170,$X363&lt;=190),0.7,AND($X363&gt;=100,$X363&lt;120),0.4,AND($X363&gt;190,$X363&lt;=210),0.4,TRUE,0.2))))),1),""))</f>
        <v/>
      </c>
      <c r="Z363">
        <f>IF($A363="","",TEXTJOIN(", ",TRUE,IF($B363="","Тренировка",""),IF($C363="","Кардио",""),IF($D363="","Шаги",""),IF($E363="","Английский",""),IF($F363="","Код-режим",""),IF($G363="","Код-тема",""),IF($H363="","Чтение",""),IF($L363="","Сон",""),IF($M363="","Режим",""),IF($N363="","Продуктивность",""),IF($O363="","Настроение",""),IF($P363="","Энергия",""),IF($U363="","Еда","")))</f>
        <v/>
      </c>
    </row>
    <row r="364">
      <c r="A364" t="inlineStr"/>
      <c r="U364">
        <f>IF($A364="","",IF(SUMIF(FoodLog!$A:$A,$A364,FoodLog!$I:$I)=0,"",SUMIF(FoodLog!$A:$A,$A364,FoodLog!$I:$I)))</f>
        <v/>
      </c>
      <c r="V364">
        <f>IF($A364="","",IF(SUMIF(FoodLog!$A:$A,$A364,FoodLog!$F:$F)=0,"",SUMIF(FoodLog!$A:$A,$A364,FoodLog!$F:$F)))</f>
        <v/>
      </c>
      <c r="W364">
        <f>IF($A364="","",IF(SUMIF(FoodLog!$A:$A,$A364,FoodLog!$G:$G)=0,"",SUMIF(FoodLog!$A:$A,$A364,FoodLog!$G:$G)))</f>
        <v/>
      </c>
      <c r="X364">
        <f>IF($A364="","",IF(SUMIF(FoodLog!$A:$A,$A364,FoodLog!$H:$H)=0,"",SUMIF(FoodLog!$A:$A,$A364,FoodLog!$H:$H)))</f>
        <v/>
      </c>
      <c r="Y364">
        <f>IF($A364="","",IFERROR(ROUND(100*AVERAGE(IF($B364="","",XLOOKUP($B364,FILTER(Dictionaries!$B:$B,Dictionaries!$A:$A="Тренировка"),FILTER(Dictionaries!$C:$C,Dictionaries!$A:$A="Тренировка"))),IF($C364="","",MIN($C364/40,1)),IF($D364="","",XLOOKUP($D364,FILTER(Dictionaries!$B:$B,Dictionaries!$A:$A="Шаги"),FILTER(Dictionaries!$C:$C,Dictionaries!$A:$A="Шаги"))),IF($E364="","",MIN($E364/120,1)),IF(OR($F364&lt;&gt;"",$G364&lt;&gt;""),1,""),IF($H364="","",MIN($H364/100,1)),IF($L364="","",XLOOKUP($L364,FILTER(Dictionaries!$B:$B,Dictionaries!$A:$A="Сон_часы"),FILTER(Dictionaries!$C:$C,Dictionaries!$A:$A="Сон_часы"))),IF($M364="","",XLOOKUP($M364,FILTER(Dictionaries!$B:$B,Dictionaries!$A:$A="Режим"),FILTER(Dictionaries!$C:$C,Dictionaries!$A:$A="Режим"))),IF($N364="","",MIN($N364/100,1)),IF($O364="","",XLOOKUP($O364,FILTER(Dictionaries!$B:$B,Dictionaries!$A:$A="Настроение"),FILTER(Dictionaries!$C:$C,Dictionaries!$A:$A="Настроение"))),IF($P364="","",XLOOKUP($P364,FILTER(Dictionaries!$B:$B,Dictionaries!$A:$A="Энергия"),FILTER(Dictionaries!$C:$C,Dictionaries!$A:$A="Энергия"))),IF($U364="","",AVERAGE(IF(OR($B364="Ноги",$B364="Верх"),IFS(AND($U364&gt;=1900,$U364&lt;=2050),1,AND($U364&gt;=1850,$U364&lt;1900),0.7,AND($U364&gt;2050,$U364&lt;=2100),0.7,TRUE,0.2),IFS(AND($U364&gt;=1700,$U364&lt;=1850),1,AND($U364&gt;=1650,$U364&lt;1700),0.7,AND($U364&gt;1850,$U364&lt;=1900),0.7,TRUE,0.2)),IF(OR($B364="Ноги",$B364="Верх"),IFS(AND($V364&gt;=125,$V364&lt;=135),1,AND($V364&gt;=115,$V364&lt;125),0.7,AND($V364&gt;135,$V364&lt;=145),0.7,AND($V364&gt;=105,$V364&lt;115),0.4,AND($V364&gt;145,$V364&lt;=155),0.4,TRUE,0.2),IFS(AND($V364&gt;=120,$V364&lt;=130),1,AND($V364&gt;=110,$V364&lt;120),0.7,AND($V364&gt;130,$V364&lt;=140),0.7,AND($V364&gt;=100,$V364&lt;110),0.4,AND($V364&gt;140,$V364&lt;=150),0.4,TRUE,0.2)),IFS(AND($W364&gt;=55,$W364&lt;=65),1,AND($W364&gt;=50,$W364&lt;55),0.7,AND($W364&gt;65,$W364&lt;=70),0.7,AND($W364&gt;=45,$W364&lt;50),0.4,AND($W364&gt;70,$W364&lt;=75),0.4,TRUE,0.2),IF(OR($B364="Ноги",$B364="Верх"),IFS(AND($X364&gt;=180,$X364&lt;=210),1,AND($X364&gt;=160,$X364&lt;180),0.7,AND($X364&gt;210,$X364&lt;=230),0.7,AND($X364&gt;=140,$X364&lt;160),0.4,AND($X364&gt;230,$X364&lt;=250),0.4,TRUE,0.2),IFS(AND($X364&gt;=140,$X364&lt;=170),1,AND($X364&gt;=120,$X364&lt;140),0.7,AND($X364&gt;170,$X364&lt;=190),0.7,AND($X364&gt;=100,$X364&lt;120),0.4,AND($X364&gt;190,$X364&lt;=210),0.4,TRUE,0.2))))),1),""))</f>
        <v/>
      </c>
      <c r="Z364">
        <f>IF($A364="","",TEXTJOIN(", ",TRUE,IF($B364="","Тренировка",""),IF($C364="","Кардио",""),IF($D364="","Шаги",""),IF($E364="","Английский",""),IF($F364="","Код-режим",""),IF($G364="","Код-тема",""),IF($H364="","Чтение",""),IF($L364="","Сон",""),IF($M364="","Режим",""),IF($N364="","Продуктивность",""),IF($O364="","Настроение",""),IF($P364="","Энергия",""),IF($U364="","Еда","")))</f>
        <v/>
      </c>
    </row>
    <row r="365">
      <c r="A365" t="inlineStr"/>
      <c r="U365">
        <f>IF($A365="","",IF(SUMIF(FoodLog!$A:$A,$A365,FoodLog!$I:$I)=0,"",SUMIF(FoodLog!$A:$A,$A365,FoodLog!$I:$I)))</f>
        <v/>
      </c>
      <c r="V365">
        <f>IF($A365="","",IF(SUMIF(FoodLog!$A:$A,$A365,FoodLog!$F:$F)=0,"",SUMIF(FoodLog!$A:$A,$A365,FoodLog!$F:$F)))</f>
        <v/>
      </c>
      <c r="W365">
        <f>IF($A365="","",IF(SUMIF(FoodLog!$A:$A,$A365,FoodLog!$G:$G)=0,"",SUMIF(FoodLog!$A:$A,$A365,FoodLog!$G:$G)))</f>
        <v/>
      </c>
      <c r="X365">
        <f>IF($A365="","",IF(SUMIF(FoodLog!$A:$A,$A365,FoodLog!$H:$H)=0,"",SUMIF(FoodLog!$A:$A,$A365,FoodLog!$H:$H)))</f>
        <v/>
      </c>
      <c r="Y365">
        <f>IF($A365="","",IFERROR(ROUND(100*AVERAGE(IF($B365="","",XLOOKUP($B365,FILTER(Dictionaries!$B:$B,Dictionaries!$A:$A="Тренировка"),FILTER(Dictionaries!$C:$C,Dictionaries!$A:$A="Тренировка"))),IF($C365="","",MIN($C365/40,1)),IF($D365="","",XLOOKUP($D365,FILTER(Dictionaries!$B:$B,Dictionaries!$A:$A="Шаги"),FILTER(Dictionaries!$C:$C,Dictionaries!$A:$A="Шаги"))),IF($E365="","",MIN($E365/120,1)),IF(OR($F365&lt;&gt;"",$G365&lt;&gt;""),1,""),IF($H365="","",MIN($H365/100,1)),IF($L365="","",XLOOKUP($L365,FILTER(Dictionaries!$B:$B,Dictionaries!$A:$A="Сон_часы"),FILTER(Dictionaries!$C:$C,Dictionaries!$A:$A="Сон_часы"))),IF($M365="","",XLOOKUP($M365,FILTER(Dictionaries!$B:$B,Dictionaries!$A:$A="Режим"),FILTER(Dictionaries!$C:$C,Dictionaries!$A:$A="Режим"))),IF($N365="","",MIN($N365/100,1)),IF($O365="","",XLOOKUP($O365,FILTER(Dictionaries!$B:$B,Dictionaries!$A:$A="Настроение"),FILTER(Dictionaries!$C:$C,Dictionaries!$A:$A="Настроение"))),IF($P365="","",XLOOKUP($P365,FILTER(Dictionaries!$B:$B,Dictionaries!$A:$A="Энергия"),FILTER(Dictionaries!$C:$C,Dictionaries!$A:$A="Энергия"))),IF($U365="","",AVERAGE(IF(OR($B365="Ноги",$B365="Верх"),IFS(AND($U365&gt;=1900,$U365&lt;=2050),1,AND($U365&gt;=1850,$U365&lt;1900),0.7,AND($U365&gt;2050,$U365&lt;=2100),0.7,TRUE,0.2),IFS(AND($U365&gt;=1700,$U365&lt;=1850),1,AND($U365&gt;=1650,$U365&lt;1700),0.7,AND($U365&gt;1850,$U365&lt;=1900),0.7,TRUE,0.2)),IF(OR($B365="Ноги",$B365="Верх"),IFS(AND($V365&gt;=125,$V365&lt;=135),1,AND($V365&gt;=115,$V365&lt;125),0.7,AND($V365&gt;135,$V365&lt;=145),0.7,AND($V365&gt;=105,$V365&lt;115),0.4,AND($V365&gt;145,$V365&lt;=155),0.4,TRUE,0.2),IFS(AND($V365&gt;=120,$V365&lt;=130),1,AND($V365&gt;=110,$V365&lt;120),0.7,AND($V365&gt;130,$V365&lt;=140),0.7,AND($V365&gt;=100,$V365&lt;110),0.4,AND($V365&gt;140,$V365&lt;=150),0.4,TRUE,0.2)),IFS(AND($W365&gt;=55,$W365&lt;=65),1,AND($W365&gt;=50,$W365&lt;55),0.7,AND($W365&gt;65,$W365&lt;=70),0.7,AND($W365&gt;=45,$W365&lt;50),0.4,AND($W365&gt;70,$W365&lt;=75),0.4,TRUE,0.2),IF(OR($B365="Ноги",$B365="Верх"),IFS(AND($X365&gt;=180,$X365&lt;=210),1,AND($X365&gt;=160,$X365&lt;180),0.7,AND($X365&gt;210,$X365&lt;=230),0.7,AND($X365&gt;=140,$X365&lt;160),0.4,AND($X365&gt;230,$X365&lt;=250),0.4,TRUE,0.2),IFS(AND($X365&gt;=140,$X365&lt;=170),1,AND($X365&gt;=120,$X365&lt;140),0.7,AND($X365&gt;170,$X365&lt;=190),0.7,AND($X365&gt;=100,$X365&lt;120),0.4,AND($X365&gt;190,$X365&lt;=210),0.4,TRUE,0.2))))),1),""))</f>
        <v/>
      </c>
      <c r="Z365">
        <f>IF($A365="","",TEXTJOIN(", ",TRUE,IF($B365="","Тренировка",""),IF($C365="","Кардио",""),IF($D365="","Шаги",""),IF($E365="","Английский",""),IF($F365="","Код-режим",""),IF($G365="","Код-тема",""),IF($H365="","Чтение",""),IF($L365="","Сон",""),IF($M365="","Режим",""),IF($N365="","Продуктивность",""),IF($O365="","Настроение",""),IF($P365="","Энергия",""),IF($U365="","Еда","")))</f>
        <v/>
      </c>
    </row>
    <row r="366">
      <c r="A366" t="inlineStr"/>
      <c r="U366">
        <f>IF($A366="","",IF(SUMIF(FoodLog!$A:$A,$A366,FoodLog!$I:$I)=0,"",SUMIF(FoodLog!$A:$A,$A366,FoodLog!$I:$I)))</f>
        <v/>
      </c>
      <c r="V366">
        <f>IF($A366="","",IF(SUMIF(FoodLog!$A:$A,$A366,FoodLog!$F:$F)=0,"",SUMIF(FoodLog!$A:$A,$A366,FoodLog!$F:$F)))</f>
        <v/>
      </c>
      <c r="W366">
        <f>IF($A366="","",IF(SUMIF(FoodLog!$A:$A,$A366,FoodLog!$G:$G)=0,"",SUMIF(FoodLog!$A:$A,$A366,FoodLog!$G:$G)))</f>
        <v/>
      </c>
      <c r="X366">
        <f>IF($A366="","",IF(SUMIF(FoodLog!$A:$A,$A366,FoodLog!$H:$H)=0,"",SUMIF(FoodLog!$A:$A,$A366,FoodLog!$H:$H)))</f>
        <v/>
      </c>
      <c r="Y366">
        <f>IF($A366="","",IFERROR(ROUND(100*AVERAGE(IF($B366="","",XLOOKUP($B366,FILTER(Dictionaries!$B:$B,Dictionaries!$A:$A="Тренировка"),FILTER(Dictionaries!$C:$C,Dictionaries!$A:$A="Тренировка"))),IF($C366="","",MIN($C366/40,1)),IF($D366="","",XLOOKUP($D366,FILTER(Dictionaries!$B:$B,Dictionaries!$A:$A="Шаги"),FILTER(Dictionaries!$C:$C,Dictionaries!$A:$A="Шаги"))),IF($E366="","",MIN($E366/120,1)),IF(OR($F366&lt;&gt;"",$G366&lt;&gt;""),1,""),IF($H366="","",MIN($H366/100,1)),IF($L366="","",XLOOKUP($L366,FILTER(Dictionaries!$B:$B,Dictionaries!$A:$A="Сон_часы"),FILTER(Dictionaries!$C:$C,Dictionaries!$A:$A="Сон_часы"))),IF($M366="","",XLOOKUP($M366,FILTER(Dictionaries!$B:$B,Dictionaries!$A:$A="Режим"),FILTER(Dictionaries!$C:$C,Dictionaries!$A:$A="Режим"))),IF($N366="","",MIN($N366/100,1)),IF($O366="","",XLOOKUP($O366,FILTER(Dictionaries!$B:$B,Dictionaries!$A:$A="Настроение"),FILTER(Dictionaries!$C:$C,Dictionaries!$A:$A="Настроение"))),IF($P366="","",XLOOKUP($P366,FILTER(Dictionaries!$B:$B,Dictionaries!$A:$A="Энергия"),FILTER(Dictionaries!$C:$C,Dictionaries!$A:$A="Энергия"))),IF($U366="","",AVERAGE(IF(OR($B366="Ноги",$B366="Верх"),IFS(AND($U366&gt;=1900,$U366&lt;=2050),1,AND($U366&gt;=1850,$U366&lt;1900),0.7,AND($U366&gt;2050,$U366&lt;=2100),0.7,TRUE,0.2),IFS(AND($U366&gt;=1700,$U366&lt;=1850),1,AND($U366&gt;=1650,$U366&lt;1700),0.7,AND($U366&gt;1850,$U366&lt;=1900),0.7,TRUE,0.2)),IF(OR($B366="Ноги",$B366="Верх"),IFS(AND($V366&gt;=125,$V366&lt;=135),1,AND($V366&gt;=115,$V366&lt;125),0.7,AND($V366&gt;135,$V366&lt;=145),0.7,AND($V366&gt;=105,$V366&lt;115),0.4,AND($V366&gt;145,$V366&lt;=155),0.4,TRUE,0.2),IFS(AND($V366&gt;=120,$V366&lt;=130),1,AND($V366&gt;=110,$V366&lt;120),0.7,AND($V366&gt;130,$V366&lt;=140),0.7,AND($V366&gt;=100,$V366&lt;110),0.4,AND($V366&gt;140,$V366&lt;=150),0.4,TRUE,0.2)),IFS(AND($W366&gt;=55,$W366&lt;=65),1,AND($W366&gt;=50,$W366&lt;55),0.7,AND($W366&gt;65,$W366&lt;=70),0.7,AND($W366&gt;=45,$W366&lt;50),0.4,AND($W366&gt;70,$W366&lt;=75),0.4,TRUE,0.2),IF(OR($B366="Ноги",$B366="Верх"),IFS(AND($X366&gt;=180,$X366&lt;=210),1,AND($X366&gt;=160,$X366&lt;180),0.7,AND($X366&gt;210,$X366&lt;=230),0.7,AND($X366&gt;=140,$X366&lt;160),0.4,AND($X366&gt;230,$X366&lt;=250),0.4,TRUE,0.2),IFS(AND($X366&gt;=140,$X366&lt;=170),1,AND($X366&gt;=120,$X366&lt;140),0.7,AND($X366&gt;170,$X366&lt;=190),0.7,AND($X366&gt;=100,$X366&lt;120),0.4,AND($X366&gt;190,$X366&lt;=210),0.4,TRUE,0.2))))),1),""))</f>
        <v/>
      </c>
      <c r="Z366">
        <f>IF($A366="","",TEXTJOIN(", ",TRUE,IF($B366="","Тренировка",""),IF($C366="","Кардио",""),IF($D366="","Шаги",""),IF($E366="","Английский",""),IF($F366="","Код-режим",""),IF($G366="","Код-тема",""),IF($H366="","Чтение",""),IF($L366="","Сон",""),IF($M366="","Режим",""),IF($N366="","Продуктивность",""),IF($O366="","Настроение",""),IF($P366="","Энергия",""),IF($U366="","Еда","")))</f>
        <v/>
      </c>
    </row>
    <row r="367">
      <c r="A367" t="inlineStr"/>
      <c r="U367">
        <f>IF($A367="","",IF(SUMIF(FoodLog!$A:$A,$A367,FoodLog!$I:$I)=0,"",SUMIF(FoodLog!$A:$A,$A367,FoodLog!$I:$I)))</f>
        <v/>
      </c>
      <c r="V367">
        <f>IF($A367="","",IF(SUMIF(FoodLog!$A:$A,$A367,FoodLog!$F:$F)=0,"",SUMIF(FoodLog!$A:$A,$A367,FoodLog!$F:$F)))</f>
        <v/>
      </c>
      <c r="W367">
        <f>IF($A367="","",IF(SUMIF(FoodLog!$A:$A,$A367,FoodLog!$G:$G)=0,"",SUMIF(FoodLog!$A:$A,$A367,FoodLog!$G:$G)))</f>
        <v/>
      </c>
      <c r="X367">
        <f>IF($A367="","",IF(SUMIF(FoodLog!$A:$A,$A367,FoodLog!$H:$H)=0,"",SUMIF(FoodLog!$A:$A,$A367,FoodLog!$H:$H)))</f>
        <v/>
      </c>
      <c r="Y367">
        <f>IF($A367="","",IFERROR(ROUND(100*AVERAGE(IF($B367="","",XLOOKUP($B367,FILTER(Dictionaries!$B:$B,Dictionaries!$A:$A="Тренировка"),FILTER(Dictionaries!$C:$C,Dictionaries!$A:$A="Тренировка"))),IF($C367="","",MIN($C367/40,1)),IF($D367="","",XLOOKUP($D367,FILTER(Dictionaries!$B:$B,Dictionaries!$A:$A="Шаги"),FILTER(Dictionaries!$C:$C,Dictionaries!$A:$A="Шаги"))),IF($E367="","",MIN($E367/120,1)),IF(OR($F367&lt;&gt;"",$G367&lt;&gt;""),1,""),IF($H367="","",MIN($H367/100,1)),IF($L367="","",XLOOKUP($L367,FILTER(Dictionaries!$B:$B,Dictionaries!$A:$A="Сон_часы"),FILTER(Dictionaries!$C:$C,Dictionaries!$A:$A="Сон_часы"))),IF($M367="","",XLOOKUP($M367,FILTER(Dictionaries!$B:$B,Dictionaries!$A:$A="Режим"),FILTER(Dictionaries!$C:$C,Dictionaries!$A:$A="Режим"))),IF($N367="","",MIN($N367/100,1)),IF($O367="","",XLOOKUP($O367,FILTER(Dictionaries!$B:$B,Dictionaries!$A:$A="Настроение"),FILTER(Dictionaries!$C:$C,Dictionaries!$A:$A="Настроение"))),IF($P367="","",XLOOKUP($P367,FILTER(Dictionaries!$B:$B,Dictionaries!$A:$A="Энергия"),FILTER(Dictionaries!$C:$C,Dictionaries!$A:$A="Энергия"))),IF($U367="","",AVERAGE(IF(OR($B367="Ноги",$B367="Верх"),IFS(AND($U367&gt;=1900,$U367&lt;=2050),1,AND($U367&gt;=1850,$U367&lt;1900),0.7,AND($U367&gt;2050,$U367&lt;=2100),0.7,TRUE,0.2),IFS(AND($U367&gt;=1700,$U367&lt;=1850),1,AND($U367&gt;=1650,$U367&lt;1700),0.7,AND($U367&gt;1850,$U367&lt;=1900),0.7,TRUE,0.2)),IF(OR($B367="Ноги",$B367="Верх"),IFS(AND($V367&gt;=125,$V367&lt;=135),1,AND($V367&gt;=115,$V367&lt;125),0.7,AND($V367&gt;135,$V367&lt;=145),0.7,AND($V367&gt;=105,$V367&lt;115),0.4,AND($V367&gt;145,$V367&lt;=155),0.4,TRUE,0.2),IFS(AND($V367&gt;=120,$V367&lt;=130),1,AND($V367&gt;=110,$V367&lt;120),0.7,AND($V367&gt;130,$V367&lt;=140),0.7,AND($V367&gt;=100,$V367&lt;110),0.4,AND($V367&gt;140,$V367&lt;=150),0.4,TRUE,0.2)),IFS(AND($W367&gt;=55,$W367&lt;=65),1,AND($W367&gt;=50,$W367&lt;55),0.7,AND($W367&gt;65,$W367&lt;=70),0.7,AND($W367&gt;=45,$W367&lt;50),0.4,AND($W367&gt;70,$W367&lt;=75),0.4,TRUE,0.2),IF(OR($B367="Ноги",$B367="Верх"),IFS(AND($X367&gt;=180,$X367&lt;=210),1,AND($X367&gt;=160,$X367&lt;180),0.7,AND($X367&gt;210,$X367&lt;=230),0.7,AND($X367&gt;=140,$X367&lt;160),0.4,AND($X367&gt;230,$X367&lt;=250),0.4,TRUE,0.2),IFS(AND($X367&gt;=140,$X367&lt;=170),1,AND($X367&gt;=120,$X367&lt;140),0.7,AND($X367&gt;170,$X367&lt;=190),0.7,AND($X367&gt;=100,$X367&lt;120),0.4,AND($X367&gt;190,$X367&lt;=210),0.4,TRUE,0.2))))),1),""))</f>
        <v/>
      </c>
      <c r="Z367">
        <f>IF($A367="","",TEXTJOIN(", ",TRUE,IF($B367="","Тренировка",""),IF($C367="","Кардио",""),IF($D367="","Шаги",""),IF($E367="","Английский",""),IF($F367="","Код-режим",""),IF($G367="","Код-тема",""),IF($H367="","Чтение",""),IF($L367="","Сон",""),IF($M367="","Режим",""),IF($N367="","Продуктивность",""),IF($O367="","Настроение",""),IF($P367="","Энергия",""),IF($U367="","Еда","")))</f>
        <v/>
      </c>
    </row>
    <row r="368">
      <c r="A368" t="inlineStr"/>
      <c r="U368">
        <f>IF($A368="","",IF(SUMIF(FoodLog!$A:$A,$A368,FoodLog!$I:$I)=0,"",SUMIF(FoodLog!$A:$A,$A368,FoodLog!$I:$I)))</f>
        <v/>
      </c>
      <c r="V368">
        <f>IF($A368="","",IF(SUMIF(FoodLog!$A:$A,$A368,FoodLog!$F:$F)=0,"",SUMIF(FoodLog!$A:$A,$A368,FoodLog!$F:$F)))</f>
        <v/>
      </c>
      <c r="W368">
        <f>IF($A368="","",IF(SUMIF(FoodLog!$A:$A,$A368,FoodLog!$G:$G)=0,"",SUMIF(FoodLog!$A:$A,$A368,FoodLog!$G:$G)))</f>
        <v/>
      </c>
      <c r="X368">
        <f>IF($A368="","",IF(SUMIF(FoodLog!$A:$A,$A368,FoodLog!$H:$H)=0,"",SUMIF(FoodLog!$A:$A,$A368,FoodLog!$H:$H)))</f>
        <v/>
      </c>
      <c r="Y368">
        <f>IF($A368="","",IFERROR(ROUND(100*AVERAGE(IF($B368="","",XLOOKUP($B368,FILTER(Dictionaries!$B:$B,Dictionaries!$A:$A="Тренировка"),FILTER(Dictionaries!$C:$C,Dictionaries!$A:$A="Тренировка"))),IF($C368="","",MIN($C368/40,1)),IF($D368="","",XLOOKUP($D368,FILTER(Dictionaries!$B:$B,Dictionaries!$A:$A="Шаги"),FILTER(Dictionaries!$C:$C,Dictionaries!$A:$A="Шаги"))),IF($E368="","",MIN($E368/120,1)),IF(OR($F368&lt;&gt;"",$G368&lt;&gt;""),1,""),IF($H368="","",MIN($H368/100,1)),IF($L368="","",XLOOKUP($L368,FILTER(Dictionaries!$B:$B,Dictionaries!$A:$A="Сон_часы"),FILTER(Dictionaries!$C:$C,Dictionaries!$A:$A="Сон_часы"))),IF($M368="","",XLOOKUP($M368,FILTER(Dictionaries!$B:$B,Dictionaries!$A:$A="Режим"),FILTER(Dictionaries!$C:$C,Dictionaries!$A:$A="Режим"))),IF($N368="","",MIN($N368/100,1)),IF($O368="","",XLOOKUP($O368,FILTER(Dictionaries!$B:$B,Dictionaries!$A:$A="Настроение"),FILTER(Dictionaries!$C:$C,Dictionaries!$A:$A="Настроение"))),IF($P368="","",XLOOKUP($P368,FILTER(Dictionaries!$B:$B,Dictionaries!$A:$A="Энергия"),FILTER(Dictionaries!$C:$C,Dictionaries!$A:$A="Энергия"))),IF($U368="","",AVERAGE(IF(OR($B368="Ноги",$B368="Верх"),IFS(AND($U368&gt;=1900,$U368&lt;=2050),1,AND($U368&gt;=1850,$U368&lt;1900),0.7,AND($U368&gt;2050,$U368&lt;=2100),0.7,TRUE,0.2),IFS(AND($U368&gt;=1700,$U368&lt;=1850),1,AND($U368&gt;=1650,$U368&lt;1700),0.7,AND($U368&gt;1850,$U368&lt;=1900),0.7,TRUE,0.2)),IF(OR($B368="Ноги",$B368="Верх"),IFS(AND($V368&gt;=125,$V368&lt;=135),1,AND($V368&gt;=115,$V368&lt;125),0.7,AND($V368&gt;135,$V368&lt;=145),0.7,AND($V368&gt;=105,$V368&lt;115),0.4,AND($V368&gt;145,$V368&lt;=155),0.4,TRUE,0.2),IFS(AND($V368&gt;=120,$V368&lt;=130),1,AND($V368&gt;=110,$V368&lt;120),0.7,AND($V368&gt;130,$V368&lt;=140),0.7,AND($V368&gt;=100,$V368&lt;110),0.4,AND($V368&gt;140,$V368&lt;=150),0.4,TRUE,0.2)),IFS(AND($W368&gt;=55,$W368&lt;=65),1,AND($W368&gt;=50,$W368&lt;55),0.7,AND($W368&gt;65,$W368&lt;=70),0.7,AND($W368&gt;=45,$W368&lt;50),0.4,AND($W368&gt;70,$W368&lt;=75),0.4,TRUE,0.2),IF(OR($B368="Ноги",$B368="Верх"),IFS(AND($X368&gt;=180,$X368&lt;=210),1,AND($X368&gt;=160,$X368&lt;180),0.7,AND($X368&gt;210,$X368&lt;=230),0.7,AND($X368&gt;=140,$X368&lt;160),0.4,AND($X368&gt;230,$X368&lt;=250),0.4,TRUE,0.2),IFS(AND($X368&gt;=140,$X368&lt;=170),1,AND($X368&gt;=120,$X368&lt;140),0.7,AND($X368&gt;170,$X368&lt;=190),0.7,AND($X368&gt;=100,$X368&lt;120),0.4,AND($X368&gt;190,$X368&lt;=210),0.4,TRUE,0.2))))),1),""))</f>
        <v/>
      </c>
      <c r="Z368">
        <f>IF($A368="","",TEXTJOIN(", ",TRUE,IF($B368="","Тренировка",""),IF($C368="","Кардио",""),IF($D368="","Шаги",""),IF($E368="","Английский",""),IF($F368="","Код-режим",""),IF($G368="","Код-тема",""),IF($H368="","Чтение",""),IF($L368="","Сон",""),IF($M368="","Режим",""),IF($N368="","Продуктивность",""),IF($O368="","Настроение",""),IF($P368="","Энергия",""),IF($U368="","Еда","")))</f>
        <v/>
      </c>
    </row>
    <row r="369">
      <c r="A369" t="inlineStr"/>
      <c r="U369">
        <f>IF($A369="","",IF(SUMIF(FoodLog!$A:$A,$A369,FoodLog!$I:$I)=0,"",SUMIF(FoodLog!$A:$A,$A369,FoodLog!$I:$I)))</f>
        <v/>
      </c>
      <c r="V369">
        <f>IF($A369="","",IF(SUMIF(FoodLog!$A:$A,$A369,FoodLog!$F:$F)=0,"",SUMIF(FoodLog!$A:$A,$A369,FoodLog!$F:$F)))</f>
        <v/>
      </c>
      <c r="W369">
        <f>IF($A369="","",IF(SUMIF(FoodLog!$A:$A,$A369,FoodLog!$G:$G)=0,"",SUMIF(FoodLog!$A:$A,$A369,FoodLog!$G:$G)))</f>
        <v/>
      </c>
      <c r="X369">
        <f>IF($A369="","",IF(SUMIF(FoodLog!$A:$A,$A369,FoodLog!$H:$H)=0,"",SUMIF(FoodLog!$A:$A,$A369,FoodLog!$H:$H)))</f>
        <v/>
      </c>
      <c r="Y369">
        <f>IF($A369="","",IFERROR(ROUND(100*AVERAGE(IF($B369="","",XLOOKUP($B369,FILTER(Dictionaries!$B:$B,Dictionaries!$A:$A="Тренировка"),FILTER(Dictionaries!$C:$C,Dictionaries!$A:$A="Тренировка"))),IF($C369="","",MIN($C369/40,1)),IF($D369="","",XLOOKUP($D369,FILTER(Dictionaries!$B:$B,Dictionaries!$A:$A="Шаги"),FILTER(Dictionaries!$C:$C,Dictionaries!$A:$A="Шаги"))),IF($E369="","",MIN($E369/120,1)),IF(OR($F369&lt;&gt;"",$G369&lt;&gt;""),1,""),IF($H369="","",MIN($H369/100,1)),IF($L369="","",XLOOKUP($L369,FILTER(Dictionaries!$B:$B,Dictionaries!$A:$A="Сон_часы"),FILTER(Dictionaries!$C:$C,Dictionaries!$A:$A="Сон_часы"))),IF($M369="","",XLOOKUP($M369,FILTER(Dictionaries!$B:$B,Dictionaries!$A:$A="Режим"),FILTER(Dictionaries!$C:$C,Dictionaries!$A:$A="Режим"))),IF($N369="","",MIN($N369/100,1)),IF($O369="","",XLOOKUP($O369,FILTER(Dictionaries!$B:$B,Dictionaries!$A:$A="Настроение"),FILTER(Dictionaries!$C:$C,Dictionaries!$A:$A="Настроение"))),IF($P369="","",XLOOKUP($P369,FILTER(Dictionaries!$B:$B,Dictionaries!$A:$A="Энергия"),FILTER(Dictionaries!$C:$C,Dictionaries!$A:$A="Энергия"))),IF($U369="","",AVERAGE(IF(OR($B369="Ноги",$B369="Верх"),IFS(AND($U369&gt;=1900,$U369&lt;=2050),1,AND($U369&gt;=1850,$U369&lt;1900),0.7,AND($U369&gt;2050,$U369&lt;=2100),0.7,TRUE,0.2),IFS(AND($U369&gt;=1700,$U369&lt;=1850),1,AND($U369&gt;=1650,$U369&lt;1700),0.7,AND($U369&gt;1850,$U369&lt;=1900),0.7,TRUE,0.2)),IF(OR($B369="Ноги",$B369="Верх"),IFS(AND($V369&gt;=125,$V369&lt;=135),1,AND($V369&gt;=115,$V369&lt;125),0.7,AND($V369&gt;135,$V369&lt;=145),0.7,AND($V369&gt;=105,$V369&lt;115),0.4,AND($V369&gt;145,$V369&lt;=155),0.4,TRUE,0.2),IFS(AND($V369&gt;=120,$V369&lt;=130),1,AND($V369&gt;=110,$V369&lt;120),0.7,AND($V369&gt;130,$V369&lt;=140),0.7,AND($V369&gt;=100,$V369&lt;110),0.4,AND($V369&gt;140,$V369&lt;=150),0.4,TRUE,0.2)),IFS(AND($W369&gt;=55,$W369&lt;=65),1,AND($W369&gt;=50,$W369&lt;55),0.7,AND($W369&gt;65,$W369&lt;=70),0.7,AND($W369&gt;=45,$W369&lt;50),0.4,AND($W369&gt;70,$W369&lt;=75),0.4,TRUE,0.2),IF(OR($B369="Ноги",$B369="Верх"),IFS(AND($X369&gt;=180,$X369&lt;=210),1,AND($X369&gt;=160,$X369&lt;180),0.7,AND($X369&gt;210,$X369&lt;=230),0.7,AND($X369&gt;=140,$X369&lt;160),0.4,AND($X369&gt;230,$X369&lt;=250),0.4,TRUE,0.2),IFS(AND($X369&gt;=140,$X369&lt;=170),1,AND($X369&gt;=120,$X369&lt;140),0.7,AND($X369&gt;170,$X369&lt;=190),0.7,AND($X369&gt;=100,$X369&lt;120),0.4,AND($X369&gt;190,$X369&lt;=210),0.4,TRUE,0.2))))),1),""))</f>
        <v/>
      </c>
      <c r="Z369">
        <f>IF($A369="","",TEXTJOIN(", ",TRUE,IF($B369="","Тренировка",""),IF($C369="","Кардио",""),IF($D369="","Шаги",""),IF($E369="","Английский",""),IF($F369="","Код-режим",""),IF($G369="","Код-тема",""),IF($H369="","Чтение",""),IF($L369="","Сон",""),IF($M369="","Режим",""),IF($N369="","Продуктивность",""),IF($O369="","Настроение",""),IF($P369="","Энергия",""),IF($U369="","Еда","")))</f>
        <v/>
      </c>
    </row>
    <row r="370">
      <c r="A370" t="inlineStr"/>
      <c r="U370">
        <f>IF($A370="","",IF(SUMIF(FoodLog!$A:$A,$A370,FoodLog!$I:$I)=0,"",SUMIF(FoodLog!$A:$A,$A370,FoodLog!$I:$I)))</f>
        <v/>
      </c>
      <c r="V370">
        <f>IF($A370="","",IF(SUMIF(FoodLog!$A:$A,$A370,FoodLog!$F:$F)=0,"",SUMIF(FoodLog!$A:$A,$A370,FoodLog!$F:$F)))</f>
        <v/>
      </c>
      <c r="W370">
        <f>IF($A370="","",IF(SUMIF(FoodLog!$A:$A,$A370,FoodLog!$G:$G)=0,"",SUMIF(FoodLog!$A:$A,$A370,FoodLog!$G:$G)))</f>
        <v/>
      </c>
      <c r="X370">
        <f>IF($A370="","",IF(SUMIF(FoodLog!$A:$A,$A370,FoodLog!$H:$H)=0,"",SUMIF(FoodLog!$A:$A,$A370,FoodLog!$H:$H)))</f>
        <v/>
      </c>
      <c r="Y370">
        <f>IF($A370="","",IFERROR(ROUND(100*AVERAGE(IF($B370="","",XLOOKUP($B370,FILTER(Dictionaries!$B:$B,Dictionaries!$A:$A="Тренировка"),FILTER(Dictionaries!$C:$C,Dictionaries!$A:$A="Тренировка"))),IF($C370="","",MIN($C370/40,1)),IF($D370="","",XLOOKUP($D370,FILTER(Dictionaries!$B:$B,Dictionaries!$A:$A="Шаги"),FILTER(Dictionaries!$C:$C,Dictionaries!$A:$A="Шаги"))),IF($E370="","",MIN($E370/120,1)),IF(OR($F370&lt;&gt;"",$G370&lt;&gt;""),1,""),IF($H370="","",MIN($H370/100,1)),IF($L370="","",XLOOKUP($L370,FILTER(Dictionaries!$B:$B,Dictionaries!$A:$A="Сон_часы"),FILTER(Dictionaries!$C:$C,Dictionaries!$A:$A="Сон_часы"))),IF($M370="","",XLOOKUP($M370,FILTER(Dictionaries!$B:$B,Dictionaries!$A:$A="Режим"),FILTER(Dictionaries!$C:$C,Dictionaries!$A:$A="Режим"))),IF($N370="","",MIN($N370/100,1)),IF($O370="","",XLOOKUP($O370,FILTER(Dictionaries!$B:$B,Dictionaries!$A:$A="Настроение"),FILTER(Dictionaries!$C:$C,Dictionaries!$A:$A="Настроение"))),IF($P370="","",XLOOKUP($P370,FILTER(Dictionaries!$B:$B,Dictionaries!$A:$A="Энергия"),FILTER(Dictionaries!$C:$C,Dictionaries!$A:$A="Энергия"))),IF($U370="","",AVERAGE(IF(OR($B370="Ноги",$B370="Верх"),IFS(AND($U370&gt;=1900,$U370&lt;=2050),1,AND($U370&gt;=1850,$U370&lt;1900),0.7,AND($U370&gt;2050,$U370&lt;=2100),0.7,TRUE,0.2),IFS(AND($U370&gt;=1700,$U370&lt;=1850),1,AND($U370&gt;=1650,$U370&lt;1700),0.7,AND($U370&gt;1850,$U370&lt;=1900),0.7,TRUE,0.2)),IF(OR($B370="Ноги",$B370="Верх"),IFS(AND($V370&gt;=125,$V370&lt;=135),1,AND($V370&gt;=115,$V370&lt;125),0.7,AND($V370&gt;135,$V370&lt;=145),0.7,AND($V370&gt;=105,$V370&lt;115),0.4,AND($V370&gt;145,$V370&lt;=155),0.4,TRUE,0.2),IFS(AND($V370&gt;=120,$V370&lt;=130),1,AND($V370&gt;=110,$V370&lt;120),0.7,AND($V370&gt;130,$V370&lt;=140),0.7,AND($V370&gt;=100,$V370&lt;110),0.4,AND($V370&gt;140,$V370&lt;=150),0.4,TRUE,0.2)),IFS(AND($W370&gt;=55,$W370&lt;=65),1,AND($W370&gt;=50,$W370&lt;55),0.7,AND($W370&gt;65,$W370&lt;=70),0.7,AND($W370&gt;=45,$W370&lt;50),0.4,AND($W370&gt;70,$W370&lt;=75),0.4,TRUE,0.2),IF(OR($B370="Ноги",$B370="Верх"),IFS(AND($X370&gt;=180,$X370&lt;=210),1,AND($X370&gt;=160,$X370&lt;180),0.7,AND($X370&gt;210,$X370&lt;=230),0.7,AND($X370&gt;=140,$X370&lt;160),0.4,AND($X370&gt;230,$X370&lt;=250),0.4,TRUE,0.2),IFS(AND($X370&gt;=140,$X370&lt;=170),1,AND($X370&gt;=120,$X370&lt;140),0.7,AND($X370&gt;170,$X370&lt;=190),0.7,AND($X370&gt;=100,$X370&lt;120),0.4,AND($X370&gt;190,$X370&lt;=210),0.4,TRUE,0.2))))),1),""))</f>
        <v/>
      </c>
      <c r="Z370">
        <f>IF($A370="","",TEXTJOIN(", ",TRUE,IF($B370="","Тренировка",""),IF($C370="","Кардио",""),IF($D370="","Шаги",""),IF($E370="","Английский",""),IF($F370="","Код-режим",""),IF($G370="","Код-тема",""),IF($H370="","Чтение",""),IF($L370="","Сон",""),IF($M370="","Режим",""),IF($N370="","Продуктивность",""),IF($O370="","Настроение",""),IF($P370="","Энергия",""),IF($U370="","Еда","")))</f>
        <v/>
      </c>
    </row>
    <row r="371">
      <c r="A371" t="inlineStr"/>
      <c r="U371">
        <f>IF($A371="","",IF(SUMIF(FoodLog!$A:$A,$A371,FoodLog!$I:$I)=0,"",SUMIF(FoodLog!$A:$A,$A371,FoodLog!$I:$I)))</f>
        <v/>
      </c>
      <c r="V371">
        <f>IF($A371="","",IF(SUMIF(FoodLog!$A:$A,$A371,FoodLog!$F:$F)=0,"",SUMIF(FoodLog!$A:$A,$A371,FoodLog!$F:$F)))</f>
        <v/>
      </c>
      <c r="W371">
        <f>IF($A371="","",IF(SUMIF(FoodLog!$A:$A,$A371,FoodLog!$G:$G)=0,"",SUMIF(FoodLog!$A:$A,$A371,FoodLog!$G:$G)))</f>
        <v/>
      </c>
      <c r="X371">
        <f>IF($A371="","",IF(SUMIF(FoodLog!$A:$A,$A371,FoodLog!$H:$H)=0,"",SUMIF(FoodLog!$A:$A,$A371,FoodLog!$H:$H)))</f>
        <v/>
      </c>
      <c r="Y371">
        <f>IF($A371="","",IFERROR(ROUND(100*AVERAGE(IF($B371="","",XLOOKUP($B371,FILTER(Dictionaries!$B:$B,Dictionaries!$A:$A="Тренировка"),FILTER(Dictionaries!$C:$C,Dictionaries!$A:$A="Тренировка"))),IF($C371="","",MIN($C371/40,1)),IF($D371="","",XLOOKUP($D371,FILTER(Dictionaries!$B:$B,Dictionaries!$A:$A="Шаги"),FILTER(Dictionaries!$C:$C,Dictionaries!$A:$A="Шаги"))),IF($E371="","",MIN($E371/120,1)),IF(OR($F371&lt;&gt;"",$G371&lt;&gt;""),1,""),IF($H371="","",MIN($H371/100,1)),IF($L371="","",XLOOKUP($L371,FILTER(Dictionaries!$B:$B,Dictionaries!$A:$A="Сон_часы"),FILTER(Dictionaries!$C:$C,Dictionaries!$A:$A="Сон_часы"))),IF($M371="","",XLOOKUP($M371,FILTER(Dictionaries!$B:$B,Dictionaries!$A:$A="Режим"),FILTER(Dictionaries!$C:$C,Dictionaries!$A:$A="Режим"))),IF($N371="","",MIN($N371/100,1)),IF($O371="","",XLOOKUP($O371,FILTER(Dictionaries!$B:$B,Dictionaries!$A:$A="Настроение"),FILTER(Dictionaries!$C:$C,Dictionaries!$A:$A="Настроение"))),IF($P371="","",XLOOKUP($P371,FILTER(Dictionaries!$B:$B,Dictionaries!$A:$A="Энергия"),FILTER(Dictionaries!$C:$C,Dictionaries!$A:$A="Энергия"))),IF($U371="","",AVERAGE(IF(OR($B371="Ноги",$B371="Верх"),IFS(AND($U371&gt;=1900,$U371&lt;=2050),1,AND($U371&gt;=1850,$U371&lt;1900),0.7,AND($U371&gt;2050,$U371&lt;=2100),0.7,TRUE,0.2),IFS(AND($U371&gt;=1700,$U371&lt;=1850),1,AND($U371&gt;=1650,$U371&lt;1700),0.7,AND($U371&gt;1850,$U371&lt;=1900),0.7,TRUE,0.2)),IF(OR($B371="Ноги",$B371="Верх"),IFS(AND($V371&gt;=125,$V371&lt;=135),1,AND($V371&gt;=115,$V371&lt;125),0.7,AND($V371&gt;135,$V371&lt;=145),0.7,AND($V371&gt;=105,$V371&lt;115),0.4,AND($V371&gt;145,$V371&lt;=155),0.4,TRUE,0.2),IFS(AND($V371&gt;=120,$V371&lt;=130),1,AND($V371&gt;=110,$V371&lt;120),0.7,AND($V371&gt;130,$V371&lt;=140),0.7,AND($V371&gt;=100,$V371&lt;110),0.4,AND($V371&gt;140,$V371&lt;=150),0.4,TRUE,0.2)),IFS(AND($W371&gt;=55,$W371&lt;=65),1,AND($W371&gt;=50,$W371&lt;55),0.7,AND($W371&gt;65,$W371&lt;=70),0.7,AND($W371&gt;=45,$W371&lt;50),0.4,AND($W371&gt;70,$W371&lt;=75),0.4,TRUE,0.2),IF(OR($B371="Ноги",$B371="Верх"),IFS(AND($X371&gt;=180,$X371&lt;=210),1,AND($X371&gt;=160,$X371&lt;180),0.7,AND($X371&gt;210,$X371&lt;=230),0.7,AND($X371&gt;=140,$X371&lt;160),0.4,AND($X371&gt;230,$X371&lt;=250),0.4,TRUE,0.2),IFS(AND($X371&gt;=140,$X371&lt;=170),1,AND($X371&gt;=120,$X371&lt;140),0.7,AND($X371&gt;170,$X371&lt;=190),0.7,AND($X371&gt;=100,$X371&lt;120),0.4,AND($X371&gt;190,$X371&lt;=210),0.4,TRUE,0.2))))),1),""))</f>
        <v/>
      </c>
      <c r="Z371">
        <f>IF($A371="","",TEXTJOIN(", ",TRUE,IF($B371="","Тренировка",""),IF($C371="","Кардио",""),IF($D371="","Шаги",""),IF($E371="","Английский",""),IF($F371="","Код-режим",""),IF($G371="","Код-тема",""),IF($H371="","Чтение",""),IF($L371="","Сон",""),IF($M371="","Режим",""),IF($N371="","Продуктивность",""),IF($O371="","Настроение",""),IF($P371="","Энергия",""),IF($U371="","Еда","")))</f>
        <v/>
      </c>
    </row>
    <row r="372">
      <c r="A372" t="inlineStr"/>
      <c r="U372">
        <f>IF($A372="","",IF(SUMIF(FoodLog!$A:$A,$A372,FoodLog!$I:$I)=0,"",SUMIF(FoodLog!$A:$A,$A372,FoodLog!$I:$I)))</f>
        <v/>
      </c>
      <c r="V372">
        <f>IF($A372="","",IF(SUMIF(FoodLog!$A:$A,$A372,FoodLog!$F:$F)=0,"",SUMIF(FoodLog!$A:$A,$A372,FoodLog!$F:$F)))</f>
        <v/>
      </c>
      <c r="W372">
        <f>IF($A372="","",IF(SUMIF(FoodLog!$A:$A,$A372,FoodLog!$G:$G)=0,"",SUMIF(FoodLog!$A:$A,$A372,FoodLog!$G:$G)))</f>
        <v/>
      </c>
      <c r="X372">
        <f>IF($A372="","",IF(SUMIF(FoodLog!$A:$A,$A372,FoodLog!$H:$H)=0,"",SUMIF(FoodLog!$A:$A,$A372,FoodLog!$H:$H)))</f>
        <v/>
      </c>
      <c r="Y372">
        <f>IF($A372="","",IFERROR(ROUND(100*AVERAGE(IF($B372="","",XLOOKUP($B372,FILTER(Dictionaries!$B:$B,Dictionaries!$A:$A="Тренировка"),FILTER(Dictionaries!$C:$C,Dictionaries!$A:$A="Тренировка"))),IF($C372="","",MIN($C372/40,1)),IF($D372="","",XLOOKUP($D372,FILTER(Dictionaries!$B:$B,Dictionaries!$A:$A="Шаги"),FILTER(Dictionaries!$C:$C,Dictionaries!$A:$A="Шаги"))),IF($E372="","",MIN($E372/120,1)),IF(OR($F372&lt;&gt;"",$G372&lt;&gt;""),1,""),IF($H372="","",MIN($H372/100,1)),IF($L372="","",XLOOKUP($L372,FILTER(Dictionaries!$B:$B,Dictionaries!$A:$A="Сон_часы"),FILTER(Dictionaries!$C:$C,Dictionaries!$A:$A="Сон_часы"))),IF($M372="","",XLOOKUP($M372,FILTER(Dictionaries!$B:$B,Dictionaries!$A:$A="Режим"),FILTER(Dictionaries!$C:$C,Dictionaries!$A:$A="Режим"))),IF($N372="","",MIN($N372/100,1)),IF($O372="","",XLOOKUP($O372,FILTER(Dictionaries!$B:$B,Dictionaries!$A:$A="Настроение"),FILTER(Dictionaries!$C:$C,Dictionaries!$A:$A="Настроение"))),IF($P372="","",XLOOKUP($P372,FILTER(Dictionaries!$B:$B,Dictionaries!$A:$A="Энергия"),FILTER(Dictionaries!$C:$C,Dictionaries!$A:$A="Энергия"))),IF($U372="","",AVERAGE(IF(OR($B372="Ноги",$B372="Верх"),IFS(AND($U372&gt;=1900,$U372&lt;=2050),1,AND($U372&gt;=1850,$U372&lt;1900),0.7,AND($U372&gt;2050,$U372&lt;=2100),0.7,TRUE,0.2),IFS(AND($U372&gt;=1700,$U372&lt;=1850),1,AND($U372&gt;=1650,$U372&lt;1700),0.7,AND($U372&gt;1850,$U372&lt;=1900),0.7,TRUE,0.2)),IF(OR($B372="Ноги",$B372="Верх"),IFS(AND($V372&gt;=125,$V372&lt;=135),1,AND($V372&gt;=115,$V372&lt;125),0.7,AND($V372&gt;135,$V372&lt;=145),0.7,AND($V372&gt;=105,$V372&lt;115),0.4,AND($V372&gt;145,$V372&lt;=155),0.4,TRUE,0.2),IFS(AND($V372&gt;=120,$V372&lt;=130),1,AND($V372&gt;=110,$V372&lt;120),0.7,AND($V372&gt;130,$V372&lt;=140),0.7,AND($V372&gt;=100,$V372&lt;110),0.4,AND($V372&gt;140,$V372&lt;=150),0.4,TRUE,0.2)),IFS(AND($W372&gt;=55,$W372&lt;=65),1,AND($W372&gt;=50,$W372&lt;55),0.7,AND($W372&gt;65,$W372&lt;=70),0.7,AND($W372&gt;=45,$W372&lt;50),0.4,AND($W372&gt;70,$W372&lt;=75),0.4,TRUE,0.2),IF(OR($B372="Ноги",$B372="Верх"),IFS(AND($X372&gt;=180,$X372&lt;=210),1,AND($X372&gt;=160,$X372&lt;180),0.7,AND($X372&gt;210,$X372&lt;=230),0.7,AND($X372&gt;=140,$X372&lt;160),0.4,AND($X372&gt;230,$X372&lt;=250),0.4,TRUE,0.2),IFS(AND($X372&gt;=140,$X372&lt;=170),1,AND($X372&gt;=120,$X372&lt;140),0.7,AND($X372&gt;170,$X372&lt;=190),0.7,AND($X372&gt;=100,$X372&lt;120),0.4,AND($X372&gt;190,$X372&lt;=210),0.4,TRUE,0.2))))),1),""))</f>
        <v/>
      </c>
      <c r="Z372">
        <f>IF($A372="","",TEXTJOIN(", ",TRUE,IF($B372="","Тренировка",""),IF($C372="","Кардио",""),IF($D372="","Шаги",""),IF($E372="","Английский",""),IF($F372="","Код-режим",""),IF($G372="","Код-тема",""),IF($H372="","Чтение",""),IF($L372="","Сон",""),IF($M372="","Режим",""),IF($N372="","Продуктивность",""),IF($O372="","Настроение",""),IF($P372="","Энергия",""),IF($U372="","Еда","")))</f>
        <v/>
      </c>
    </row>
    <row r="373">
      <c r="A373" t="inlineStr"/>
      <c r="U373">
        <f>IF($A373="","",IF(SUMIF(FoodLog!$A:$A,$A373,FoodLog!$I:$I)=0,"",SUMIF(FoodLog!$A:$A,$A373,FoodLog!$I:$I)))</f>
        <v/>
      </c>
      <c r="V373">
        <f>IF($A373="","",IF(SUMIF(FoodLog!$A:$A,$A373,FoodLog!$F:$F)=0,"",SUMIF(FoodLog!$A:$A,$A373,FoodLog!$F:$F)))</f>
        <v/>
      </c>
      <c r="W373">
        <f>IF($A373="","",IF(SUMIF(FoodLog!$A:$A,$A373,FoodLog!$G:$G)=0,"",SUMIF(FoodLog!$A:$A,$A373,FoodLog!$G:$G)))</f>
        <v/>
      </c>
      <c r="X373">
        <f>IF($A373="","",IF(SUMIF(FoodLog!$A:$A,$A373,FoodLog!$H:$H)=0,"",SUMIF(FoodLog!$A:$A,$A373,FoodLog!$H:$H)))</f>
        <v/>
      </c>
      <c r="Y373">
        <f>IF($A373="","",IFERROR(ROUND(100*AVERAGE(IF($B373="","",XLOOKUP($B373,FILTER(Dictionaries!$B:$B,Dictionaries!$A:$A="Тренировка"),FILTER(Dictionaries!$C:$C,Dictionaries!$A:$A="Тренировка"))),IF($C373="","",MIN($C373/40,1)),IF($D373="","",XLOOKUP($D373,FILTER(Dictionaries!$B:$B,Dictionaries!$A:$A="Шаги"),FILTER(Dictionaries!$C:$C,Dictionaries!$A:$A="Шаги"))),IF($E373="","",MIN($E373/120,1)),IF(OR($F373&lt;&gt;"",$G373&lt;&gt;""),1,""),IF($H373="","",MIN($H373/100,1)),IF($L373="","",XLOOKUP($L373,FILTER(Dictionaries!$B:$B,Dictionaries!$A:$A="Сон_часы"),FILTER(Dictionaries!$C:$C,Dictionaries!$A:$A="Сон_часы"))),IF($M373="","",XLOOKUP($M373,FILTER(Dictionaries!$B:$B,Dictionaries!$A:$A="Режим"),FILTER(Dictionaries!$C:$C,Dictionaries!$A:$A="Режим"))),IF($N373="","",MIN($N373/100,1)),IF($O373="","",XLOOKUP($O373,FILTER(Dictionaries!$B:$B,Dictionaries!$A:$A="Настроение"),FILTER(Dictionaries!$C:$C,Dictionaries!$A:$A="Настроение"))),IF($P373="","",XLOOKUP($P373,FILTER(Dictionaries!$B:$B,Dictionaries!$A:$A="Энергия"),FILTER(Dictionaries!$C:$C,Dictionaries!$A:$A="Энергия"))),IF($U373="","",AVERAGE(IF(OR($B373="Ноги",$B373="Верх"),IFS(AND($U373&gt;=1900,$U373&lt;=2050),1,AND($U373&gt;=1850,$U373&lt;1900),0.7,AND($U373&gt;2050,$U373&lt;=2100),0.7,TRUE,0.2),IFS(AND($U373&gt;=1700,$U373&lt;=1850),1,AND($U373&gt;=1650,$U373&lt;1700),0.7,AND($U373&gt;1850,$U373&lt;=1900),0.7,TRUE,0.2)),IF(OR($B373="Ноги",$B373="Верх"),IFS(AND($V373&gt;=125,$V373&lt;=135),1,AND($V373&gt;=115,$V373&lt;125),0.7,AND($V373&gt;135,$V373&lt;=145),0.7,AND($V373&gt;=105,$V373&lt;115),0.4,AND($V373&gt;145,$V373&lt;=155),0.4,TRUE,0.2),IFS(AND($V373&gt;=120,$V373&lt;=130),1,AND($V373&gt;=110,$V373&lt;120),0.7,AND($V373&gt;130,$V373&lt;=140),0.7,AND($V373&gt;=100,$V373&lt;110),0.4,AND($V373&gt;140,$V373&lt;=150),0.4,TRUE,0.2)),IFS(AND($W373&gt;=55,$W373&lt;=65),1,AND($W373&gt;=50,$W373&lt;55),0.7,AND($W373&gt;65,$W373&lt;=70),0.7,AND($W373&gt;=45,$W373&lt;50),0.4,AND($W373&gt;70,$W373&lt;=75),0.4,TRUE,0.2),IF(OR($B373="Ноги",$B373="Верх"),IFS(AND($X373&gt;=180,$X373&lt;=210),1,AND($X373&gt;=160,$X373&lt;180),0.7,AND($X373&gt;210,$X373&lt;=230),0.7,AND($X373&gt;=140,$X373&lt;160),0.4,AND($X373&gt;230,$X373&lt;=250),0.4,TRUE,0.2),IFS(AND($X373&gt;=140,$X373&lt;=170),1,AND($X373&gt;=120,$X373&lt;140),0.7,AND($X373&gt;170,$X373&lt;=190),0.7,AND($X373&gt;=100,$X373&lt;120),0.4,AND($X373&gt;190,$X373&lt;=210),0.4,TRUE,0.2))))),1),""))</f>
        <v/>
      </c>
      <c r="Z373">
        <f>IF($A373="","",TEXTJOIN(", ",TRUE,IF($B373="","Тренировка",""),IF($C373="","Кардио",""),IF($D373="","Шаги",""),IF($E373="","Английский",""),IF($F373="","Код-режим",""),IF($G373="","Код-тема",""),IF($H373="","Чтение",""),IF($L373="","Сон",""),IF($M373="","Режим",""),IF($N373="","Продуктивность",""),IF($O373="","Настроение",""),IF($P373="","Энергия",""),IF($U373="","Еда","")))</f>
        <v/>
      </c>
    </row>
    <row r="374">
      <c r="A374" t="inlineStr"/>
      <c r="U374">
        <f>IF($A374="","",IF(SUMIF(FoodLog!$A:$A,$A374,FoodLog!$I:$I)=0,"",SUMIF(FoodLog!$A:$A,$A374,FoodLog!$I:$I)))</f>
        <v/>
      </c>
      <c r="V374">
        <f>IF($A374="","",IF(SUMIF(FoodLog!$A:$A,$A374,FoodLog!$F:$F)=0,"",SUMIF(FoodLog!$A:$A,$A374,FoodLog!$F:$F)))</f>
        <v/>
      </c>
      <c r="W374">
        <f>IF($A374="","",IF(SUMIF(FoodLog!$A:$A,$A374,FoodLog!$G:$G)=0,"",SUMIF(FoodLog!$A:$A,$A374,FoodLog!$G:$G)))</f>
        <v/>
      </c>
      <c r="X374">
        <f>IF($A374="","",IF(SUMIF(FoodLog!$A:$A,$A374,FoodLog!$H:$H)=0,"",SUMIF(FoodLog!$A:$A,$A374,FoodLog!$H:$H)))</f>
        <v/>
      </c>
      <c r="Y374">
        <f>IF($A374="","",IFERROR(ROUND(100*AVERAGE(IF($B374="","",XLOOKUP($B374,FILTER(Dictionaries!$B:$B,Dictionaries!$A:$A="Тренировка"),FILTER(Dictionaries!$C:$C,Dictionaries!$A:$A="Тренировка"))),IF($C374="","",MIN($C374/40,1)),IF($D374="","",XLOOKUP($D374,FILTER(Dictionaries!$B:$B,Dictionaries!$A:$A="Шаги"),FILTER(Dictionaries!$C:$C,Dictionaries!$A:$A="Шаги"))),IF($E374="","",MIN($E374/120,1)),IF(OR($F374&lt;&gt;"",$G374&lt;&gt;""),1,""),IF($H374="","",MIN($H374/100,1)),IF($L374="","",XLOOKUP($L374,FILTER(Dictionaries!$B:$B,Dictionaries!$A:$A="Сон_часы"),FILTER(Dictionaries!$C:$C,Dictionaries!$A:$A="Сон_часы"))),IF($M374="","",XLOOKUP($M374,FILTER(Dictionaries!$B:$B,Dictionaries!$A:$A="Режим"),FILTER(Dictionaries!$C:$C,Dictionaries!$A:$A="Режим"))),IF($N374="","",MIN($N374/100,1)),IF($O374="","",XLOOKUP($O374,FILTER(Dictionaries!$B:$B,Dictionaries!$A:$A="Настроение"),FILTER(Dictionaries!$C:$C,Dictionaries!$A:$A="Настроение"))),IF($P374="","",XLOOKUP($P374,FILTER(Dictionaries!$B:$B,Dictionaries!$A:$A="Энергия"),FILTER(Dictionaries!$C:$C,Dictionaries!$A:$A="Энергия"))),IF($U374="","",AVERAGE(IF(OR($B374="Ноги",$B374="Верх"),IFS(AND($U374&gt;=1900,$U374&lt;=2050),1,AND($U374&gt;=1850,$U374&lt;1900),0.7,AND($U374&gt;2050,$U374&lt;=2100),0.7,TRUE,0.2),IFS(AND($U374&gt;=1700,$U374&lt;=1850),1,AND($U374&gt;=1650,$U374&lt;1700),0.7,AND($U374&gt;1850,$U374&lt;=1900),0.7,TRUE,0.2)),IF(OR($B374="Ноги",$B374="Верх"),IFS(AND($V374&gt;=125,$V374&lt;=135),1,AND($V374&gt;=115,$V374&lt;125),0.7,AND($V374&gt;135,$V374&lt;=145),0.7,AND($V374&gt;=105,$V374&lt;115),0.4,AND($V374&gt;145,$V374&lt;=155),0.4,TRUE,0.2),IFS(AND($V374&gt;=120,$V374&lt;=130),1,AND($V374&gt;=110,$V374&lt;120),0.7,AND($V374&gt;130,$V374&lt;=140),0.7,AND($V374&gt;=100,$V374&lt;110),0.4,AND($V374&gt;140,$V374&lt;=150),0.4,TRUE,0.2)),IFS(AND($W374&gt;=55,$W374&lt;=65),1,AND($W374&gt;=50,$W374&lt;55),0.7,AND($W374&gt;65,$W374&lt;=70),0.7,AND($W374&gt;=45,$W374&lt;50),0.4,AND($W374&gt;70,$W374&lt;=75),0.4,TRUE,0.2),IF(OR($B374="Ноги",$B374="Верх"),IFS(AND($X374&gt;=180,$X374&lt;=210),1,AND($X374&gt;=160,$X374&lt;180),0.7,AND($X374&gt;210,$X374&lt;=230),0.7,AND($X374&gt;=140,$X374&lt;160),0.4,AND($X374&gt;230,$X374&lt;=250),0.4,TRUE,0.2),IFS(AND($X374&gt;=140,$X374&lt;=170),1,AND($X374&gt;=120,$X374&lt;140),0.7,AND($X374&gt;170,$X374&lt;=190),0.7,AND($X374&gt;=100,$X374&lt;120),0.4,AND($X374&gt;190,$X374&lt;=210),0.4,TRUE,0.2))))),1),""))</f>
        <v/>
      </c>
      <c r="Z374">
        <f>IF($A374="","",TEXTJOIN(", ",TRUE,IF($B374="","Тренировка",""),IF($C374="","Кардио",""),IF($D374="","Шаги",""),IF($E374="","Английский",""),IF($F374="","Код-режим",""),IF($G374="","Код-тема",""),IF($H374="","Чтение",""),IF($L374="","Сон",""),IF($M374="","Режим",""),IF($N374="","Продуктивность",""),IF($O374="","Настроение",""),IF($P374="","Энергия",""),IF($U374="","Еда","")))</f>
        <v/>
      </c>
    </row>
    <row r="375">
      <c r="A375" t="inlineStr"/>
      <c r="U375">
        <f>IF($A375="","",IF(SUMIF(FoodLog!$A:$A,$A375,FoodLog!$I:$I)=0,"",SUMIF(FoodLog!$A:$A,$A375,FoodLog!$I:$I)))</f>
        <v/>
      </c>
      <c r="V375">
        <f>IF($A375="","",IF(SUMIF(FoodLog!$A:$A,$A375,FoodLog!$F:$F)=0,"",SUMIF(FoodLog!$A:$A,$A375,FoodLog!$F:$F)))</f>
        <v/>
      </c>
      <c r="W375">
        <f>IF($A375="","",IF(SUMIF(FoodLog!$A:$A,$A375,FoodLog!$G:$G)=0,"",SUMIF(FoodLog!$A:$A,$A375,FoodLog!$G:$G)))</f>
        <v/>
      </c>
      <c r="X375">
        <f>IF($A375="","",IF(SUMIF(FoodLog!$A:$A,$A375,FoodLog!$H:$H)=0,"",SUMIF(FoodLog!$A:$A,$A375,FoodLog!$H:$H)))</f>
        <v/>
      </c>
      <c r="Y375">
        <f>IF($A375="","",IFERROR(ROUND(100*AVERAGE(IF($B375="","",XLOOKUP($B375,FILTER(Dictionaries!$B:$B,Dictionaries!$A:$A="Тренировка"),FILTER(Dictionaries!$C:$C,Dictionaries!$A:$A="Тренировка"))),IF($C375="","",MIN($C375/40,1)),IF($D375="","",XLOOKUP($D375,FILTER(Dictionaries!$B:$B,Dictionaries!$A:$A="Шаги"),FILTER(Dictionaries!$C:$C,Dictionaries!$A:$A="Шаги"))),IF($E375="","",MIN($E375/120,1)),IF(OR($F375&lt;&gt;"",$G375&lt;&gt;""),1,""),IF($H375="","",MIN($H375/100,1)),IF($L375="","",XLOOKUP($L375,FILTER(Dictionaries!$B:$B,Dictionaries!$A:$A="Сон_часы"),FILTER(Dictionaries!$C:$C,Dictionaries!$A:$A="Сон_часы"))),IF($M375="","",XLOOKUP($M375,FILTER(Dictionaries!$B:$B,Dictionaries!$A:$A="Режим"),FILTER(Dictionaries!$C:$C,Dictionaries!$A:$A="Режим"))),IF($N375="","",MIN($N375/100,1)),IF($O375="","",XLOOKUP($O375,FILTER(Dictionaries!$B:$B,Dictionaries!$A:$A="Настроение"),FILTER(Dictionaries!$C:$C,Dictionaries!$A:$A="Настроение"))),IF($P375="","",XLOOKUP($P375,FILTER(Dictionaries!$B:$B,Dictionaries!$A:$A="Энергия"),FILTER(Dictionaries!$C:$C,Dictionaries!$A:$A="Энергия"))),IF($U375="","",AVERAGE(IF(OR($B375="Ноги",$B375="Верх"),IFS(AND($U375&gt;=1900,$U375&lt;=2050),1,AND($U375&gt;=1850,$U375&lt;1900),0.7,AND($U375&gt;2050,$U375&lt;=2100),0.7,TRUE,0.2),IFS(AND($U375&gt;=1700,$U375&lt;=1850),1,AND($U375&gt;=1650,$U375&lt;1700),0.7,AND($U375&gt;1850,$U375&lt;=1900),0.7,TRUE,0.2)),IF(OR($B375="Ноги",$B375="Верх"),IFS(AND($V375&gt;=125,$V375&lt;=135),1,AND($V375&gt;=115,$V375&lt;125),0.7,AND($V375&gt;135,$V375&lt;=145),0.7,AND($V375&gt;=105,$V375&lt;115),0.4,AND($V375&gt;145,$V375&lt;=155),0.4,TRUE,0.2),IFS(AND($V375&gt;=120,$V375&lt;=130),1,AND($V375&gt;=110,$V375&lt;120),0.7,AND($V375&gt;130,$V375&lt;=140),0.7,AND($V375&gt;=100,$V375&lt;110),0.4,AND($V375&gt;140,$V375&lt;=150),0.4,TRUE,0.2)),IFS(AND($W375&gt;=55,$W375&lt;=65),1,AND($W375&gt;=50,$W375&lt;55),0.7,AND($W375&gt;65,$W375&lt;=70),0.7,AND($W375&gt;=45,$W375&lt;50),0.4,AND($W375&gt;70,$W375&lt;=75),0.4,TRUE,0.2),IF(OR($B375="Ноги",$B375="Верх"),IFS(AND($X375&gt;=180,$X375&lt;=210),1,AND($X375&gt;=160,$X375&lt;180),0.7,AND($X375&gt;210,$X375&lt;=230),0.7,AND($X375&gt;=140,$X375&lt;160),0.4,AND($X375&gt;230,$X375&lt;=250),0.4,TRUE,0.2),IFS(AND($X375&gt;=140,$X375&lt;=170),1,AND($X375&gt;=120,$X375&lt;140),0.7,AND($X375&gt;170,$X375&lt;=190),0.7,AND($X375&gt;=100,$X375&lt;120),0.4,AND($X375&gt;190,$X375&lt;=210),0.4,TRUE,0.2))))),1),""))</f>
        <v/>
      </c>
      <c r="Z375">
        <f>IF($A375="","",TEXTJOIN(", ",TRUE,IF($B375="","Тренировка",""),IF($C375="","Кардио",""),IF($D375="","Шаги",""),IF($E375="","Английский",""),IF($F375="","Код-режим",""),IF($G375="","Код-тема",""),IF($H375="","Чтение",""),IF($L375="","Сон",""),IF($M375="","Режим",""),IF($N375="","Продуктивность",""),IF($O375="","Настроение",""),IF($P375="","Энергия",""),IF($U375="","Еда","")))</f>
        <v/>
      </c>
    </row>
    <row r="376">
      <c r="A376" t="inlineStr"/>
      <c r="U376">
        <f>IF($A376="","",IF(SUMIF(FoodLog!$A:$A,$A376,FoodLog!$I:$I)=0,"",SUMIF(FoodLog!$A:$A,$A376,FoodLog!$I:$I)))</f>
        <v/>
      </c>
      <c r="V376">
        <f>IF($A376="","",IF(SUMIF(FoodLog!$A:$A,$A376,FoodLog!$F:$F)=0,"",SUMIF(FoodLog!$A:$A,$A376,FoodLog!$F:$F)))</f>
        <v/>
      </c>
      <c r="W376">
        <f>IF($A376="","",IF(SUMIF(FoodLog!$A:$A,$A376,FoodLog!$G:$G)=0,"",SUMIF(FoodLog!$A:$A,$A376,FoodLog!$G:$G)))</f>
        <v/>
      </c>
      <c r="X376">
        <f>IF($A376="","",IF(SUMIF(FoodLog!$A:$A,$A376,FoodLog!$H:$H)=0,"",SUMIF(FoodLog!$A:$A,$A376,FoodLog!$H:$H)))</f>
        <v/>
      </c>
      <c r="Y376">
        <f>IF($A376="","",IFERROR(ROUND(100*AVERAGE(IF($B376="","",XLOOKUP($B376,FILTER(Dictionaries!$B:$B,Dictionaries!$A:$A="Тренировка"),FILTER(Dictionaries!$C:$C,Dictionaries!$A:$A="Тренировка"))),IF($C376="","",MIN($C376/40,1)),IF($D376="","",XLOOKUP($D376,FILTER(Dictionaries!$B:$B,Dictionaries!$A:$A="Шаги"),FILTER(Dictionaries!$C:$C,Dictionaries!$A:$A="Шаги"))),IF($E376="","",MIN($E376/120,1)),IF(OR($F376&lt;&gt;"",$G376&lt;&gt;""),1,""),IF($H376="","",MIN($H376/100,1)),IF($L376="","",XLOOKUP($L376,FILTER(Dictionaries!$B:$B,Dictionaries!$A:$A="Сон_часы"),FILTER(Dictionaries!$C:$C,Dictionaries!$A:$A="Сон_часы"))),IF($M376="","",XLOOKUP($M376,FILTER(Dictionaries!$B:$B,Dictionaries!$A:$A="Режим"),FILTER(Dictionaries!$C:$C,Dictionaries!$A:$A="Режим"))),IF($N376="","",MIN($N376/100,1)),IF($O376="","",XLOOKUP($O376,FILTER(Dictionaries!$B:$B,Dictionaries!$A:$A="Настроение"),FILTER(Dictionaries!$C:$C,Dictionaries!$A:$A="Настроение"))),IF($P376="","",XLOOKUP($P376,FILTER(Dictionaries!$B:$B,Dictionaries!$A:$A="Энергия"),FILTER(Dictionaries!$C:$C,Dictionaries!$A:$A="Энергия"))),IF($U376="","",AVERAGE(IF(OR($B376="Ноги",$B376="Верх"),IFS(AND($U376&gt;=1900,$U376&lt;=2050),1,AND($U376&gt;=1850,$U376&lt;1900),0.7,AND($U376&gt;2050,$U376&lt;=2100),0.7,TRUE,0.2),IFS(AND($U376&gt;=1700,$U376&lt;=1850),1,AND($U376&gt;=1650,$U376&lt;1700),0.7,AND($U376&gt;1850,$U376&lt;=1900),0.7,TRUE,0.2)),IF(OR($B376="Ноги",$B376="Верх"),IFS(AND($V376&gt;=125,$V376&lt;=135),1,AND($V376&gt;=115,$V376&lt;125),0.7,AND($V376&gt;135,$V376&lt;=145),0.7,AND($V376&gt;=105,$V376&lt;115),0.4,AND($V376&gt;145,$V376&lt;=155),0.4,TRUE,0.2),IFS(AND($V376&gt;=120,$V376&lt;=130),1,AND($V376&gt;=110,$V376&lt;120),0.7,AND($V376&gt;130,$V376&lt;=140),0.7,AND($V376&gt;=100,$V376&lt;110),0.4,AND($V376&gt;140,$V376&lt;=150),0.4,TRUE,0.2)),IFS(AND($W376&gt;=55,$W376&lt;=65),1,AND($W376&gt;=50,$W376&lt;55),0.7,AND($W376&gt;65,$W376&lt;=70),0.7,AND($W376&gt;=45,$W376&lt;50),0.4,AND($W376&gt;70,$W376&lt;=75),0.4,TRUE,0.2),IF(OR($B376="Ноги",$B376="Верх"),IFS(AND($X376&gt;=180,$X376&lt;=210),1,AND($X376&gt;=160,$X376&lt;180),0.7,AND($X376&gt;210,$X376&lt;=230),0.7,AND($X376&gt;=140,$X376&lt;160),0.4,AND($X376&gt;230,$X376&lt;=250),0.4,TRUE,0.2),IFS(AND($X376&gt;=140,$X376&lt;=170),1,AND($X376&gt;=120,$X376&lt;140),0.7,AND($X376&gt;170,$X376&lt;=190),0.7,AND($X376&gt;=100,$X376&lt;120),0.4,AND($X376&gt;190,$X376&lt;=210),0.4,TRUE,0.2))))),1),""))</f>
        <v/>
      </c>
      <c r="Z376">
        <f>IF($A376="","",TEXTJOIN(", ",TRUE,IF($B376="","Тренировка",""),IF($C376="","Кардио",""),IF($D376="","Шаги",""),IF($E376="","Английский",""),IF($F376="","Код-режим",""),IF($G376="","Код-тема",""),IF($H376="","Чтение",""),IF($L376="","Сон",""),IF($M376="","Режим",""),IF($N376="","Продуктивность",""),IF($O376="","Настроение",""),IF($P376="","Энергия",""),IF($U376="","Еда","")))</f>
        <v/>
      </c>
    </row>
    <row r="377">
      <c r="A377" t="inlineStr"/>
      <c r="U377">
        <f>IF($A377="","",IF(SUMIF(FoodLog!$A:$A,$A377,FoodLog!$I:$I)=0,"",SUMIF(FoodLog!$A:$A,$A377,FoodLog!$I:$I)))</f>
        <v/>
      </c>
      <c r="V377">
        <f>IF($A377="","",IF(SUMIF(FoodLog!$A:$A,$A377,FoodLog!$F:$F)=0,"",SUMIF(FoodLog!$A:$A,$A377,FoodLog!$F:$F)))</f>
        <v/>
      </c>
      <c r="W377">
        <f>IF($A377="","",IF(SUMIF(FoodLog!$A:$A,$A377,FoodLog!$G:$G)=0,"",SUMIF(FoodLog!$A:$A,$A377,FoodLog!$G:$G)))</f>
        <v/>
      </c>
      <c r="X377">
        <f>IF($A377="","",IF(SUMIF(FoodLog!$A:$A,$A377,FoodLog!$H:$H)=0,"",SUMIF(FoodLog!$A:$A,$A377,FoodLog!$H:$H)))</f>
        <v/>
      </c>
      <c r="Y377">
        <f>IF($A377="","",IFERROR(ROUND(100*AVERAGE(IF($B377="","",XLOOKUP($B377,FILTER(Dictionaries!$B:$B,Dictionaries!$A:$A="Тренировка"),FILTER(Dictionaries!$C:$C,Dictionaries!$A:$A="Тренировка"))),IF($C377="","",MIN($C377/40,1)),IF($D377="","",XLOOKUP($D377,FILTER(Dictionaries!$B:$B,Dictionaries!$A:$A="Шаги"),FILTER(Dictionaries!$C:$C,Dictionaries!$A:$A="Шаги"))),IF($E377="","",MIN($E377/120,1)),IF(OR($F377&lt;&gt;"",$G377&lt;&gt;""),1,""),IF($H377="","",MIN($H377/100,1)),IF($L377="","",XLOOKUP($L377,FILTER(Dictionaries!$B:$B,Dictionaries!$A:$A="Сон_часы"),FILTER(Dictionaries!$C:$C,Dictionaries!$A:$A="Сон_часы"))),IF($M377="","",XLOOKUP($M377,FILTER(Dictionaries!$B:$B,Dictionaries!$A:$A="Режим"),FILTER(Dictionaries!$C:$C,Dictionaries!$A:$A="Режим"))),IF($N377="","",MIN($N377/100,1)),IF($O377="","",XLOOKUP($O377,FILTER(Dictionaries!$B:$B,Dictionaries!$A:$A="Настроение"),FILTER(Dictionaries!$C:$C,Dictionaries!$A:$A="Настроение"))),IF($P377="","",XLOOKUP($P377,FILTER(Dictionaries!$B:$B,Dictionaries!$A:$A="Энергия"),FILTER(Dictionaries!$C:$C,Dictionaries!$A:$A="Энергия"))),IF($U377="","",AVERAGE(IF(OR($B377="Ноги",$B377="Верх"),IFS(AND($U377&gt;=1900,$U377&lt;=2050),1,AND($U377&gt;=1850,$U377&lt;1900),0.7,AND($U377&gt;2050,$U377&lt;=2100),0.7,TRUE,0.2),IFS(AND($U377&gt;=1700,$U377&lt;=1850),1,AND($U377&gt;=1650,$U377&lt;1700),0.7,AND($U377&gt;1850,$U377&lt;=1900),0.7,TRUE,0.2)),IF(OR($B377="Ноги",$B377="Верх"),IFS(AND($V377&gt;=125,$V377&lt;=135),1,AND($V377&gt;=115,$V377&lt;125),0.7,AND($V377&gt;135,$V377&lt;=145),0.7,AND($V377&gt;=105,$V377&lt;115),0.4,AND($V377&gt;145,$V377&lt;=155),0.4,TRUE,0.2),IFS(AND($V377&gt;=120,$V377&lt;=130),1,AND($V377&gt;=110,$V377&lt;120),0.7,AND($V377&gt;130,$V377&lt;=140),0.7,AND($V377&gt;=100,$V377&lt;110),0.4,AND($V377&gt;140,$V377&lt;=150),0.4,TRUE,0.2)),IFS(AND($W377&gt;=55,$W377&lt;=65),1,AND($W377&gt;=50,$W377&lt;55),0.7,AND($W377&gt;65,$W377&lt;=70),0.7,AND($W377&gt;=45,$W377&lt;50),0.4,AND($W377&gt;70,$W377&lt;=75),0.4,TRUE,0.2),IF(OR($B377="Ноги",$B377="Верх"),IFS(AND($X377&gt;=180,$X377&lt;=210),1,AND($X377&gt;=160,$X377&lt;180),0.7,AND($X377&gt;210,$X377&lt;=230),0.7,AND($X377&gt;=140,$X377&lt;160),0.4,AND($X377&gt;230,$X377&lt;=250),0.4,TRUE,0.2),IFS(AND($X377&gt;=140,$X377&lt;=170),1,AND($X377&gt;=120,$X377&lt;140),0.7,AND($X377&gt;170,$X377&lt;=190),0.7,AND($X377&gt;=100,$X377&lt;120),0.4,AND($X377&gt;190,$X377&lt;=210),0.4,TRUE,0.2))))),1),""))</f>
        <v/>
      </c>
      <c r="Z377">
        <f>IF($A377="","",TEXTJOIN(", ",TRUE,IF($B377="","Тренировка",""),IF($C377="","Кардио",""),IF($D377="","Шаги",""),IF($E377="","Английский",""),IF($F377="","Код-режим",""),IF($G377="","Код-тема",""),IF($H377="","Чтение",""),IF($L377="","Сон",""),IF($M377="","Режим",""),IF($N377="","Продуктивность",""),IF($O377="","Настроение",""),IF($P377="","Энергия",""),IF($U377="","Еда","")))</f>
        <v/>
      </c>
    </row>
    <row r="378">
      <c r="A378" t="inlineStr"/>
      <c r="U378">
        <f>IF($A378="","",IF(SUMIF(FoodLog!$A:$A,$A378,FoodLog!$I:$I)=0,"",SUMIF(FoodLog!$A:$A,$A378,FoodLog!$I:$I)))</f>
        <v/>
      </c>
      <c r="V378">
        <f>IF($A378="","",IF(SUMIF(FoodLog!$A:$A,$A378,FoodLog!$F:$F)=0,"",SUMIF(FoodLog!$A:$A,$A378,FoodLog!$F:$F)))</f>
        <v/>
      </c>
      <c r="W378">
        <f>IF($A378="","",IF(SUMIF(FoodLog!$A:$A,$A378,FoodLog!$G:$G)=0,"",SUMIF(FoodLog!$A:$A,$A378,FoodLog!$G:$G)))</f>
        <v/>
      </c>
      <c r="X378">
        <f>IF($A378="","",IF(SUMIF(FoodLog!$A:$A,$A378,FoodLog!$H:$H)=0,"",SUMIF(FoodLog!$A:$A,$A378,FoodLog!$H:$H)))</f>
        <v/>
      </c>
      <c r="Y378">
        <f>IF($A378="","",IFERROR(ROUND(100*AVERAGE(IF($B378="","",XLOOKUP($B378,FILTER(Dictionaries!$B:$B,Dictionaries!$A:$A="Тренировка"),FILTER(Dictionaries!$C:$C,Dictionaries!$A:$A="Тренировка"))),IF($C378="","",MIN($C378/40,1)),IF($D378="","",XLOOKUP($D378,FILTER(Dictionaries!$B:$B,Dictionaries!$A:$A="Шаги"),FILTER(Dictionaries!$C:$C,Dictionaries!$A:$A="Шаги"))),IF($E378="","",MIN($E378/120,1)),IF(OR($F378&lt;&gt;"",$G378&lt;&gt;""),1,""),IF($H378="","",MIN($H378/100,1)),IF($L378="","",XLOOKUP($L378,FILTER(Dictionaries!$B:$B,Dictionaries!$A:$A="Сон_часы"),FILTER(Dictionaries!$C:$C,Dictionaries!$A:$A="Сон_часы"))),IF($M378="","",XLOOKUP($M378,FILTER(Dictionaries!$B:$B,Dictionaries!$A:$A="Режим"),FILTER(Dictionaries!$C:$C,Dictionaries!$A:$A="Режим"))),IF($N378="","",MIN($N378/100,1)),IF($O378="","",XLOOKUP($O378,FILTER(Dictionaries!$B:$B,Dictionaries!$A:$A="Настроение"),FILTER(Dictionaries!$C:$C,Dictionaries!$A:$A="Настроение"))),IF($P378="","",XLOOKUP($P378,FILTER(Dictionaries!$B:$B,Dictionaries!$A:$A="Энергия"),FILTER(Dictionaries!$C:$C,Dictionaries!$A:$A="Энергия"))),IF($U378="","",AVERAGE(IF(OR($B378="Ноги",$B378="Верх"),IFS(AND($U378&gt;=1900,$U378&lt;=2050),1,AND($U378&gt;=1850,$U378&lt;1900),0.7,AND($U378&gt;2050,$U378&lt;=2100),0.7,TRUE,0.2),IFS(AND($U378&gt;=1700,$U378&lt;=1850),1,AND($U378&gt;=1650,$U378&lt;1700),0.7,AND($U378&gt;1850,$U378&lt;=1900),0.7,TRUE,0.2)),IF(OR($B378="Ноги",$B378="Верх"),IFS(AND($V378&gt;=125,$V378&lt;=135),1,AND($V378&gt;=115,$V378&lt;125),0.7,AND($V378&gt;135,$V378&lt;=145),0.7,AND($V378&gt;=105,$V378&lt;115),0.4,AND($V378&gt;145,$V378&lt;=155),0.4,TRUE,0.2),IFS(AND($V378&gt;=120,$V378&lt;=130),1,AND($V378&gt;=110,$V378&lt;120),0.7,AND($V378&gt;130,$V378&lt;=140),0.7,AND($V378&gt;=100,$V378&lt;110),0.4,AND($V378&gt;140,$V378&lt;=150),0.4,TRUE,0.2)),IFS(AND($W378&gt;=55,$W378&lt;=65),1,AND($W378&gt;=50,$W378&lt;55),0.7,AND($W378&gt;65,$W378&lt;=70),0.7,AND($W378&gt;=45,$W378&lt;50),0.4,AND($W378&gt;70,$W378&lt;=75),0.4,TRUE,0.2),IF(OR($B378="Ноги",$B378="Верх"),IFS(AND($X378&gt;=180,$X378&lt;=210),1,AND($X378&gt;=160,$X378&lt;180),0.7,AND($X378&gt;210,$X378&lt;=230),0.7,AND($X378&gt;=140,$X378&lt;160),0.4,AND($X378&gt;230,$X378&lt;=250),0.4,TRUE,0.2),IFS(AND($X378&gt;=140,$X378&lt;=170),1,AND($X378&gt;=120,$X378&lt;140),0.7,AND($X378&gt;170,$X378&lt;=190),0.7,AND($X378&gt;=100,$X378&lt;120),0.4,AND($X378&gt;190,$X378&lt;=210),0.4,TRUE,0.2))))),1),""))</f>
        <v/>
      </c>
      <c r="Z378">
        <f>IF($A378="","",TEXTJOIN(", ",TRUE,IF($B378="","Тренировка",""),IF($C378="","Кардио",""),IF($D378="","Шаги",""),IF($E378="","Английский",""),IF($F378="","Код-режим",""),IF($G378="","Код-тема",""),IF($H378="","Чтение",""),IF($L378="","Сон",""),IF($M378="","Режим",""),IF($N378="","Продуктивность",""),IF($O378="","Настроение",""),IF($P378="","Энергия",""),IF($U378="","Еда","")))</f>
        <v/>
      </c>
    </row>
    <row r="379">
      <c r="A379" t="inlineStr"/>
      <c r="U379">
        <f>IF($A379="","",IF(SUMIF(FoodLog!$A:$A,$A379,FoodLog!$I:$I)=0,"",SUMIF(FoodLog!$A:$A,$A379,FoodLog!$I:$I)))</f>
        <v/>
      </c>
      <c r="V379">
        <f>IF($A379="","",IF(SUMIF(FoodLog!$A:$A,$A379,FoodLog!$F:$F)=0,"",SUMIF(FoodLog!$A:$A,$A379,FoodLog!$F:$F)))</f>
        <v/>
      </c>
      <c r="W379">
        <f>IF($A379="","",IF(SUMIF(FoodLog!$A:$A,$A379,FoodLog!$G:$G)=0,"",SUMIF(FoodLog!$A:$A,$A379,FoodLog!$G:$G)))</f>
        <v/>
      </c>
      <c r="X379">
        <f>IF($A379="","",IF(SUMIF(FoodLog!$A:$A,$A379,FoodLog!$H:$H)=0,"",SUMIF(FoodLog!$A:$A,$A379,FoodLog!$H:$H)))</f>
        <v/>
      </c>
      <c r="Y379">
        <f>IF($A379="","",IFERROR(ROUND(100*AVERAGE(IF($B379="","",XLOOKUP($B379,FILTER(Dictionaries!$B:$B,Dictionaries!$A:$A="Тренировка"),FILTER(Dictionaries!$C:$C,Dictionaries!$A:$A="Тренировка"))),IF($C379="","",MIN($C379/40,1)),IF($D379="","",XLOOKUP($D379,FILTER(Dictionaries!$B:$B,Dictionaries!$A:$A="Шаги"),FILTER(Dictionaries!$C:$C,Dictionaries!$A:$A="Шаги"))),IF($E379="","",MIN($E379/120,1)),IF(OR($F379&lt;&gt;"",$G379&lt;&gt;""),1,""),IF($H379="","",MIN($H379/100,1)),IF($L379="","",XLOOKUP($L379,FILTER(Dictionaries!$B:$B,Dictionaries!$A:$A="Сон_часы"),FILTER(Dictionaries!$C:$C,Dictionaries!$A:$A="Сон_часы"))),IF($M379="","",XLOOKUP($M379,FILTER(Dictionaries!$B:$B,Dictionaries!$A:$A="Режим"),FILTER(Dictionaries!$C:$C,Dictionaries!$A:$A="Режим"))),IF($N379="","",MIN($N379/100,1)),IF($O379="","",XLOOKUP($O379,FILTER(Dictionaries!$B:$B,Dictionaries!$A:$A="Настроение"),FILTER(Dictionaries!$C:$C,Dictionaries!$A:$A="Настроение"))),IF($P379="","",XLOOKUP($P379,FILTER(Dictionaries!$B:$B,Dictionaries!$A:$A="Энергия"),FILTER(Dictionaries!$C:$C,Dictionaries!$A:$A="Энергия"))),IF($U379="","",AVERAGE(IF(OR($B379="Ноги",$B379="Верх"),IFS(AND($U379&gt;=1900,$U379&lt;=2050),1,AND($U379&gt;=1850,$U379&lt;1900),0.7,AND($U379&gt;2050,$U379&lt;=2100),0.7,TRUE,0.2),IFS(AND($U379&gt;=1700,$U379&lt;=1850),1,AND($U379&gt;=1650,$U379&lt;1700),0.7,AND($U379&gt;1850,$U379&lt;=1900),0.7,TRUE,0.2)),IF(OR($B379="Ноги",$B379="Верх"),IFS(AND($V379&gt;=125,$V379&lt;=135),1,AND($V379&gt;=115,$V379&lt;125),0.7,AND($V379&gt;135,$V379&lt;=145),0.7,AND($V379&gt;=105,$V379&lt;115),0.4,AND($V379&gt;145,$V379&lt;=155),0.4,TRUE,0.2),IFS(AND($V379&gt;=120,$V379&lt;=130),1,AND($V379&gt;=110,$V379&lt;120),0.7,AND($V379&gt;130,$V379&lt;=140),0.7,AND($V379&gt;=100,$V379&lt;110),0.4,AND($V379&gt;140,$V379&lt;=150),0.4,TRUE,0.2)),IFS(AND($W379&gt;=55,$W379&lt;=65),1,AND($W379&gt;=50,$W379&lt;55),0.7,AND($W379&gt;65,$W379&lt;=70),0.7,AND($W379&gt;=45,$W379&lt;50),0.4,AND($W379&gt;70,$W379&lt;=75),0.4,TRUE,0.2),IF(OR($B379="Ноги",$B379="Верх"),IFS(AND($X379&gt;=180,$X379&lt;=210),1,AND($X379&gt;=160,$X379&lt;180),0.7,AND($X379&gt;210,$X379&lt;=230),0.7,AND($X379&gt;=140,$X379&lt;160),0.4,AND($X379&gt;230,$X379&lt;=250),0.4,TRUE,0.2),IFS(AND($X379&gt;=140,$X379&lt;=170),1,AND($X379&gt;=120,$X379&lt;140),0.7,AND($X379&gt;170,$X379&lt;=190),0.7,AND($X379&gt;=100,$X379&lt;120),0.4,AND($X379&gt;190,$X379&lt;=210),0.4,TRUE,0.2))))),1),""))</f>
        <v/>
      </c>
      <c r="Z379">
        <f>IF($A379="","",TEXTJOIN(", ",TRUE,IF($B379="","Тренировка",""),IF($C379="","Кардио",""),IF($D379="","Шаги",""),IF($E379="","Английский",""),IF($F379="","Код-режим",""),IF($G379="","Код-тема",""),IF($H379="","Чтение",""),IF($L379="","Сон",""),IF($M379="","Режим",""),IF($N379="","Продуктивность",""),IF($O379="","Настроение",""),IF($P379="","Энергия",""),IF($U379="","Еда","")))</f>
        <v/>
      </c>
    </row>
    <row r="380">
      <c r="A380" t="inlineStr"/>
      <c r="U380">
        <f>IF($A380="","",IF(SUMIF(FoodLog!$A:$A,$A380,FoodLog!$I:$I)=0,"",SUMIF(FoodLog!$A:$A,$A380,FoodLog!$I:$I)))</f>
        <v/>
      </c>
      <c r="V380">
        <f>IF($A380="","",IF(SUMIF(FoodLog!$A:$A,$A380,FoodLog!$F:$F)=0,"",SUMIF(FoodLog!$A:$A,$A380,FoodLog!$F:$F)))</f>
        <v/>
      </c>
      <c r="W380">
        <f>IF($A380="","",IF(SUMIF(FoodLog!$A:$A,$A380,FoodLog!$G:$G)=0,"",SUMIF(FoodLog!$A:$A,$A380,FoodLog!$G:$G)))</f>
        <v/>
      </c>
      <c r="X380">
        <f>IF($A380="","",IF(SUMIF(FoodLog!$A:$A,$A380,FoodLog!$H:$H)=0,"",SUMIF(FoodLog!$A:$A,$A380,FoodLog!$H:$H)))</f>
        <v/>
      </c>
      <c r="Y380">
        <f>IF($A380="","",IFERROR(ROUND(100*AVERAGE(IF($B380="","",XLOOKUP($B380,FILTER(Dictionaries!$B:$B,Dictionaries!$A:$A="Тренировка"),FILTER(Dictionaries!$C:$C,Dictionaries!$A:$A="Тренировка"))),IF($C380="","",MIN($C380/40,1)),IF($D380="","",XLOOKUP($D380,FILTER(Dictionaries!$B:$B,Dictionaries!$A:$A="Шаги"),FILTER(Dictionaries!$C:$C,Dictionaries!$A:$A="Шаги"))),IF($E380="","",MIN($E380/120,1)),IF(OR($F380&lt;&gt;"",$G380&lt;&gt;""),1,""),IF($H380="","",MIN($H380/100,1)),IF($L380="","",XLOOKUP($L380,FILTER(Dictionaries!$B:$B,Dictionaries!$A:$A="Сон_часы"),FILTER(Dictionaries!$C:$C,Dictionaries!$A:$A="Сон_часы"))),IF($M380="","",XLOOKUP($M380,FILTER(Dictionaries!$B:$B,Dictionaries!$A:$A="Режим"),FILTER(Dictionaries!$C:$C,Dictionaries!$A:$A="Режим"))),IF($N380="","",MIN($N380/100,1)),IF($O380="","",XLOOKUP($O380,FILTER(Dictionaries!$B:$B,Dictionaries!$A:$A="Настроение"),FILTER(Dictionaries!$C:$C,Dictionaries!$A:$A="Настроение"))),IF($P380="","",XLOOKUP($P380,FILTER(Dictionaries!$B:$B,Dictionaries!$A:$A="Энергия"),FILTER(Dictionaries!$C:$C,Dictionaries!$A:$A="Энергия"))),IF($U380="","",AVERAGE(IF(OR($B380="Ноги",$B380="Верх"),IFS(AND($U380&gt;=1900,$U380&lt;=2050),1,AND($U380&gt;=1850,$U380&lt;1900),0.7,AND($U380&gt;2050,$U380&lt;=2100),0.7,TRUE,0.2),IFS(AND($U380&gt;=1700,$U380&lt;=1850),1,AND($U380&gt;=1650,$U380&lt;1700),0.7,AND($U380&gt;1850,$U380&lt;=1900),0.7,TRUE,0.2)),IF(OR($B380="Ноги",$B380="Верх"),IFS(AND($V380&gt;=125,$V380&lt;=135),1,AND($V380&gt;=115,$V380&lt;125),0.7,AND($V380&gt;135,$V380&lt;=145),0.7,AND($V380&gt;=105,$V380&lt;115),0.4,AND($V380&gt;145,$V380&lt;=155),0.4,TRUE,0.2),IFS(AND($V380&gt;=120,$V380&lt;=130),1,AND($V380&gt;=110,$V380&lt;120),0.7,AND($V380&gt;130,$V380&lt;=140),0.7,AND($V380&gt;=100,$V380&lt;110),0.4,AND($V380&gt;140,$V380&lt;=150),0.4,TRUE,0.2)),IFS(AND($W380&gt;=55,$W380&lt;=65),1,AND($W380&gt;=50,$W380&lt;55),0.7,AND($W380&gt;65,$W380&lt;=70),0.7,AND($W380&gt;=45,$W380&lt;50),0.4,AND($W380&gt;70,$W380&lt;=75),0.4,TRUE,0.2),IF(OR($B380="Ноги",$B380="Верх"),IFS(AND($X380&gt;=180,$X380&lt;=210),1,AND($X380&gt;=160,$X380&lt;180),0.7,AND($X380&gt;210,$X380&lt;=230),0.7,AND($X380&gt;=140,$X380&lt;160),0.4,AND($X380&gt;230,$X380&lt;=250),0.4,TRUE,0.2),IFS(AND($X380&gt;=140,$X380&lt;=170),1,AND($X380&gt;=120,$X380&lt;140),0.7,AND($X380&gt;170,$X380&lt;=190),0.7,AND($X380&gt;=100,$X380&lt;120),0.4,AND($X380&gt;190,$X380&lt;=210),0.4,TRUE,0.2))))),1),""))</f>
        <v/>
      </c>
      <c r="Z380">
        <f>IF($A380="","",TEXTJOIN(", ",TRUE,IF($B380="","Тренировка",""),IF($C380="","Кардио",""),IF($D380="","Шаги",""),IF($E380="","Английский",""),IF($F380="","Код-режим",""),IF($G380="","Код-тема",""),IF($H380="","Чтение",""),IF($L380="","Сон",""),IF($M380="","Режим",""),IF($N380="","Продуктивность",""),IF($O380="","Настроение",""),IF($P380="","Энергия",""),IF($U380="","Еда","")))</f>
        <v/>
      </c>
    </row>
    <row r="381">
      <c r="A381" t="inlineStr"/>
      <c r="U381">
        <f>IF($A381="","",IF(SUMIF(FoodLog!$A:$A,$A381,FoodLog!$I:$I)=0,"",SUMIF(FoodLog!$A:$A,$A381,FoodLog!$I:$I)))</f>
        <v/>
      </c>
      <c r="V381">
        <f>IF($A381="","",IF(SUMIF(FoodLog!$A:$A,$A381,FoodLog!$F:$F)=0,"",SUMIF(FoodLog!$A:$A,$A381,FoodLog!$F:$F)))</f>
        <v/>
      </c>
      <c r="W381">
        <f>IF($A381="","",IF(SUMIF(FoodLog!$A:$A,$A381,FoodLog!$G:$G)=0,"",SUMIF(FoodLog!$A:$A,$A381,FoodLog!$G:$G)))</f>
        <v/>
      </c>
      <c r="X381">
        <f>IF($A381="","",IF(SUMIF(FoodLog!$A:$A,$A381,FoodLog!$H:$H)=0,"",SUMIF(FoodLog!$A:$A,$A381,FoodLog!$H:$H)))</f>
        <v/>
      </c>
      <c r="Y381">
        <f>IF($A381="","",IFERROR(ROUND(100*AVERAGE(IF($B381="","",XLOOKUP($B381,FILTER(Dictionaries!$B:$B,Dictionaries!$A:$A="Тренировка"),FILTER(Dictionaries!$C:$C,Dictionaries!$A:$A="Тренировка"))),IF($C381="","",MIN($C381/40,1)),IF($D381="","",XLOOKUP($D381,FILTER(Dictionaries!$B:$B,Dictionaries!$A:$A="Шаги"),FILTER(Dictionaries!$C:$C,Dictionaries!$A:$A="Шаги"))),IF($E381="","",MIN($E381/120,1)),IF(OR($F381&lt;&gt;"",$G381&lt;&gt;""),1,""),IF($H381="","",MIN($H381/100,1)),IF($L381="","",XLOOKUP($L381,FILTER(Dictionaries!$B:$B,Dictionaries!$A:$A="Сон_часы"),FILTER(Dictionaries!$C:$C,Dictionaries!$A:$A="Сон_часы"))),IF($M381="","",XLOOKUP($M381,FILTER(Dictionaries!$B:$B,Dictionaries!$A:$A="Режим"),FILTER(Dictionaries!$C:$C,Dictionaries!$A:$A="Режим"))),IF($N381="","",MIN($N381/100,1)),IF($O381="","",XLOOKUP($O381,FILTER(Dictionaries!$B:$B,Dictionaries!$A:$A="Настроение"),FILTER(Dictionaries!$C:$C,Dictionaries!$A:$A="Настроение"))),IF($P381="","",XLOOKUP($P381,FILTER(Dictionaries!$B:$B,Dictionaries!$A:$A="Энергия"),FILTER(Dictionaries!$C:$C,Dictionaries!$A:$A="Энергия"))),IF($U381="","",AVERAGE(IF(OR($B381="Ноги",$B381="Верх"),IFS(AND($U381&gt;=1900,$U381&lt;=2050),1,AND($U381&gt;=1850,$U381&lt;1900),0.7,AND($U381&gt;2050,$U381&lt;=2100),0.7,TRUE,0.2),IFS(AND($U381&gt;=1700,$U381&lt;=1850),1,AND($U381&gt;=1650,$U381&lt;1700),0.7,AND($U381&gt;1850,$U381&lt;=1900),0.7,TRUE,0.2)),IF(OR($B381="Ноги",$B381="Верх"),IFS(AND($V381&gt;=125,$V381&lt;=135),1,AND($V381&gt;=115,$V381&lt;125),0.7,AND($V381&gt;135,$V381&lt;=145),0.7,AND($V381&gt;=105,$V381&lt;115),0.4,AND($V381&gt;145,$V381&lt;=155),0.4,TRUE,0.2),IFS(AND($V381&gt;=120,$V381&lt;=130),1,AND($V381&gt;=110,$V381&lt;120),0.7,AND($V381&gt;130,$V381&lt;=140),0.7,AND($V381&gt;=100,$V381&lt;110),0.4,AND($V381&gt;140,$V381&lt;=150),0.4,TRUE,0.2)),IFS(AND($W381&gt;=55,$W381&lt;=65),1,AND($W381&gt;=50,$W381&lt;55),0.7,AND($W381&gt;65,$W381&lt;=70),0.7,AND($W381&gt;=45,$W381&lt;50),0.4,AND($W381&gt;70,$W381&lt;=75),0.4,TRUE,0.2),IF(OR($B381="Ноги",$B381="Верх"),IFS(AND($X381&gt;=180,$X381&lt;=210),1,AND($X381&gt;=160,$X381&lt;180),0.7,AND($X381&gt;210,$X381&lt;=230),0.7,AND($X381&gt;=140,$X381&lt;160),0.4,AND($X381&gt;230,$X381&lt;=250),0.4,TRUE,0.2),IFS(AND($X381&gt;=140,$X381&lt;=170),1,AND($X381&gt;=120,$X381&lt;140),0.7,AND($X381&gt;170,$X381&lt;=190),0.7,AND($X381&gt;=100,$X381&lt;120),0.4,AND($X381&gt;190,$X381&lt;=210),0.4,TRUE,0.2))))),1),""))</f>
        <v/>
      </c>
      <c r="Z381">
        <f>IF($A381="","",TEXTJOIN(", ",TRUE,IF($B381="","Тренировка",""),IF($C381="","Кардио",""),IF($D381="","Шаги",""),IF($E381="","Английский",""),IF($F381="","Код-режим",""),IF($G381="","Код-тема",""),IF($H381="","Чтение",""),IF($L381="","Сон",""),IF($M381="","Режим",""),IF($N381="","Продуктивность",""),IF($O381="","Настроение",""),IF($P381="","Энергия",""),IF($U381="","Еда","")))</f>
        <v/>
      </c>
    </row>
    <row r="382">
      <c r="A382" t="inlineStr"/>
      <c r="U382">
        <f>IF($A382="","",IF(SUMIF(FoodLog!$A:$A,$A382,FoodLog!$I:$I)=0,"",SUMIF(FoodLog!$A:$A,$A382,FoodLog!$I:$I)))</f>
        <v/>
      </c>
      <c r="V382">
        <f>IF($A382="","",IF(SUMIF(FoodLog!$A:$A,$A382,FoodLog!$F:$F)=0,"",SUMIF(FoodLog!$A:$A,$A382,FoodLog!$F:$F)))</f>
        <v/>
      </c>
      <c r="W382">
        <f>IF($A382="","",IF(SUMIF(FoodLog!$A:$A,$A382,FoodLog!$G:$G)=0,"",SUMIF(FoodLog!$A:$A,$A382,FoodLog!$G:$G)))</f>
        <v/>
      </c>
      <c r="X382">
        <f>IF($A382="","",IF(SUMIF(FoodLog!$A:$A,$A382,FoodLog!$H:$H)=0,"",SUMIF(FoodLog!$A:$A,$A382,FoodLog!$H:$H)))</f>
        <v/>
      </c>
      <c r="Y382">
        <f>IF($A382="","",IFERROR(ROUND(100*AVERAGE(IF($B382="","",XLOOKUP($B382,FILTER(Dictionaries!$B:$B,Dictionaries!$A:$A="Тренировка"),FILTER(Dictionaries!$C:$C,Dictionaries!$A:$A="Тренировка"))),IF($C382="","",MIN($C382/40,1)),IF($D382="","",XLOOKUP($D382,FILTER(Dictionaries!$B:$B,Dictionaries!$A:$A="Шаги"),FILTER(Dictionaries!$C:$C,Dictionaries!$A:$A="Шаги"))),IF($E382="","",MIN($E382/120,1)),IF(OR($F382&lt;&gt;"",$G382&lt;&gt;""),1,""),IF($H382="","",MIN($H382/100,1)),IF($L382="","",XLOOKUP($L382,FILTER(Dictionaries!$B:$B,Dictionaries!$A:$A="Сон_часы"),FILTER(Dictionaries!$C:$C,Dictionaries!$A:$A="Сон_часы"))),IF($M382="","",XLOOKUP($M382,FILTER(Dictionaries!$B:$B,Dictionaries!$A:$A="Режим"),FILTER(Dictionaries!$C:$C,Dictionaries!$A:$A="Режим"))),IF($N382="","",MIN($N382/100,1)),IF($O382="","",XLOOKUP($O382,FILTER(Dictionaries!$B:$B,Dictionaries!$A:$A="Настроение"),FILTER(Dictionaries!$C:$C,Dictionaries!$A:$A="Настроение"))),IF($P382="","",XLOOKUP($P382,FILTER(Dictionaries!$B:$B,Dictionaries!$A:$A="Энергия"),FILTER(Dictionaries!$C:$C,Dictionaries!$A:$A="Энергия"))),IF($U382="","",AVERAGE(IF(OR($B382="Ноги",$B382="Верх"),IFS(AND($U382&gt;=1900,$U382&lt;=2050),1,AND($U382&gt;=1850,$U382&lt;1900),0.7,AND($U382&gt;2050,$U382&lt;=2100),0.7,TRUE,0.2),IFS(AND($U382&gt;=1700,$U382&lt;=1850),1,AND($U382&gt;=1650,$U382&lt;1700),0.7,AND($U382&gt;1850,$U382&lt;=1900),0.7,TRUE,0.2)),IF(OR($B382="Ноги",$B382="Верх"),IFS(AND($V382&gt;=125,$V382&lt;=135),1,AND($V382&gt;=115,$V382&lt;125),0.7,AND($V382&gt;135,$V382&lt;=145),0.7,AND($V382&gt;=105,$V382&lt;115),0.4,AND($V382&gt;145,$V382&lt;=155),0.4,TRUE,0.2),IFS(AND($V382&gt;=120,$V382&lt;=130),1,AND($V382&gt;=110,$V382&lt;120),0.7,AND($V382&gt;130,$V382&lt;=140),0.7,AND($V382&gt;=100,$V382&lt;110),0.4,AND($V382&gt;140,$V382&lt;=150),0.4,TRUE,0.2)),IFS(AND($W382&gt;=55,$W382&lt;=65),1,AND($W382&gt;=50,$W382&lt;55),0.7,AND($W382&gt;65,$W382&lt;=70),0.7,AND($W382&gt;=45,$W382&lt;50),0.4,AND($W382&gt;70,$W382&lt;=75),0.4,TRUE,0.2),IF(OR($B382="Ноги",$B382="Верх"),IFS(AND($X382&gt;=180,$X382&lt;=210),1,AND($X382&gt;=160,$X382&lt;180),0.7,AND($X382&gt;210,$X382&lt;=230),0.7,AND($X382&gt;=140,$X382&lt;160),0.4,AND($X382&gt;230,$X382&lt;=250),0.4,TRUE,0.2),IFS(AND($X382&gt;=140,$X382&lt;=170),1,AND($X382&gt;=120,$X382&lt;140),0.7,AND($X382&gt;170,$X382&lt;=190),0.7,AND($X382&gt;=100,$X382&lt;120),0.4,AND($X382&gt;190,$X382&lt;=210),0.4,TRUE,0.2))))),1),""))</f>
        <v/>
      </c>
      <c r="Z382">
        <f>IF($A382="","",TEXTJOIN(", ",TRUE,IF($B382="","Тренировка",""),IF($C382="","Кардио",""),IF($D382="","Шаги",""),IF($E382="","Английский",""),IF($F382="","Код-режим",""),IF($G382="","Код-тема",""),IF($H382="","Чтение",""),IF($L382="","Сон",""),IF($M382="","Режим",""),IF($N382="","Продуктивность",""),IF($O382="","Настроение",""),IF($P382="","Энергия",""),IF($U382="","Еда","")))</f>
        <v/>
      </c>
    </row>
    <row r="383">
      <c r="A383" t="inlineStr"/>
      <c r="U383">
        <f>IF($A383="","",IF(SUMIF(FoodLog!$A:$A,$A383,FoodLog!$I:$I)=0,"",SUMIF(FoodLog!$A:$A,$A383,FoodLog!$I:$I)))</f>
        <v/>
      </c>
      <c r="V383">
        <f>IF($A383="","",IF(SUMIF(FoodLog!$A:$A,$A383,FoodLog!$F:$F)=0,"",SUMIF(FoodLog!$A:$A,$A383,FoodLog!$F:$F)))</f>
        <v/>
      </c>
      <c r="W383">
        <f>IF($A383="","",IF(SUMIF(FoodLog!$A:$A,$A383,FoodLog!$G:$G)=0,"",SUMIF(FoodLog!$A:$A,$A383,FoodLog!$G:$G)))</f>
        <v/>
      </c>
      <c r="X383">
        <f>IF($A383="","",IF(SUMIF(FoodLog!$A:$A,$A383,FoodLog!$H:$H)=0,"",SUMIF(FoodLog!$A:$A,$A383,FoodLog!$H:$H)))</f>
        <v/>
      </c>
      <c r="Y383">
        <f>IF($A383="","",IFERROR(ROUND(100*AVERAGE(IF($B383="","",XLOOKUP($B383,FILTER(Dictionaries!$B:$B,Dictionaries!$A:$A="Тренировка"),FILTER(Dictionaries!$C:$C,Dictionaries!$A:$A="Тренировка"))),IF($C383="","",MIN($C383/40,1)),IF($D383="","",XLOOKUP($D383,FILTER(Dictionaries!$B:$B,Dictionaries!$A:$A="Шаги"),FILTER(Dictionaries!$C:$C,Dictionaries!$A:$A="Шаги"))),IF($E383="","",MIN($E383/120,1)),IF(OR($F383&lt;&gt;"",$G383&lt;&gt;""),1,""),IF($H383="","",MIN($H383/100,1)),IF($L383="","",XLOOKUP($L383,FILTER(Dictionaries!$B:$B,Dictionaries!$A:$A="Сон_часы"),FILTER(Dictionaries!$C:$C,Dictionaries!$A:$A="Сон_часы"))),IF($M383="","",XLOOKUP($M383,FILTER(Dictionaries!$B:$B,Dictionaries!$A:$A="Режим"),FILTER(Dictionaries!$C:$C,Dictionaries!$A:$A="Режим"))),IF($N383="","",MIN($N383/100,1)),IF($O383="","",XLOOKUP($O383,FILTER(Dictionaries!$B:$B,Dictionaries!$A:$A="Настроение"),FILTER(Dictionaries!$C:$C,Dictionaries!$A:$A="Настроение"))),IF($P383="","",XLOOKUP($P383,FILTER(Dictionaries!$B:$B,Dictionaries!$A:$A="Энергия"),FILTER(Dictionaries!$C:$C,Dictionaries!$A:$A="Энергия"))),IF($U383="","",AVERAGE(IF(OR($B383="Ноги",$B383="Верх"),IFS(AND($U383&gt;=1900,$U383&lt;=2050),1,AND($U383&gt;=1850,$U383&lt;1900),0.7,AND($U383&gt;2050,$U383&lt;=2100),0.7,TRUE,0.2),IFS(AND($U383&gt;=1700,$U383&lt;=1850),1,AND($U383&gt;=1650,$U383&lt;1700),0.7,AND($U383&gt;1850,$U383&lt;=1900),0.7,TRUE,0.2)),IF(OR($B383="Ноги",$B383="Верх"),IFS(AND($V383&gt;=125,$V383&lt;=135),1,AND($V383&gt;=115,$V383&lt;125),0.7,AND($V383&gt;135,$V383&lt;=145),0.7,AND($V383&gt;=105,$V383&lt;115),0.4,AND($V383&gt;145,$V383&lt;=155),0.4,TRUE,0.2),IFS(AND($V383&gt;=120,$V383&lt;=130),1,AND($V383&gt;=110,$V383&lt;120),0.7,AND($V383&gt;130,$V383&lt;=140),0.7,AND($V383&gt;=100,$V383&lt;110),0.4,AND($V383&gt;140,$V383&lt;=150),0.4,TRUE,0.2)),IFS(AND($W383&gt;=55,$W383&lt;=65),1,AND($W383&gt;=50,$W383&lt;55),0.7,AND($W383&gt;65,$W383&lt;=70),0.7,AND($W383&gt;=45,$W383&lt;50),0.4,AND($W383&gt;70,$W383&lt;=75),0.4,TRUE,0.2),IF(OR($B383="Ноги",$B383="Верх"),IFS(AND($X383&gt;=180,$X383&lt;=210),1,AND($X383&gt;=160,$X383&lt;180),0.7,AND($X383&gt;210,$X383&lt;=230),0.7,AND($X383&gt;=140,$X383&lt;160),0.4,AND($X383&gt;230,$X383&lt;=250),0.4,TRUE,0.2),IFS(AND($X383&gt;=140,$X383&lt;=170),1,AND($X383&gt;=120,$X383&lt;140),0.7,AND($X383&gt;170,$X383&lt;=190),0.7,AND($X383&gt;=100,$X383&lt;120),0.4,AND($X383&gt;190,$X383&lt;=210),0.4,TRUE,0.2))))),1),""))</f>
        <v/>
      </c>
      <c r="Z383">
        <f>IF($A383="","",TEXTJOIN(", ",TRUE,IF($B383="","Тренировка",""),IF($C383="","Кардио",""),IF($D383="","Шаги",""),IF($E383="","Английский",""),IF($F383="","Код-режим",""),IF($G383="","Код-тема",""),IF($H383="","Чтение",""),IF($L383="","Сон",""),IF($M383="","Режим",""),IF($N383="","Продуктивность",""),IF($O383="","Настроение",""),IF($P383="","Энергия",""),IF($U383="","Еда","")))</f>
        <v/>
      </c>
    </row>
    <row r="384">
      <c r="A384" t="inlineStr"/>
      <c r="U384">
        <f>IF($A384="","",IF(SUMIF(FoodLog!$A:$A,$A384,FoodLog!$I:$I)=0,"",SUMIF(FoodLog!$A:$A,$A384,FoodLog!$I:$I)))</f>
        <v/>
      </c>
      <c r="V384">
        <f>IF($A384="","",IF(SUMIF(FoodLog!$A:$A,$A384,FoodLog!$F:$F)=0,"",SUMIF(FoodLog!$A:$A,$A384,FoodLog!$F:$F)))</f>
        <v/>
      </c>
      <c r="W384">
        <f>IF($A384="","",IF(SUMIF(FoodLog!$A:$A,$A384,FoodLog!$G:$G)=0,"",SUMIF(FoodLog!$A:$A,$A384,FoodLog!$G:$G)))</f>
        <v/>
      </c>
      <c r="X384">
        <f>IF($A384="","",IF(SUMIF(FoodLog!$A:$A,$A384,FoodLog!$H:$H)=0,"",SUMIF(FoodLog!$A:$A,$A384,FoodLog!$H:$H)))</f>
        <v/>
      </c>
      <c r="Y384">
        <f>IF($A384="","",IFERROR(ROUND(100*AVERAGE(IF($B384="","",XLOOKUP($B384,FILTER(Dictionaries!$B:$B,Dictionaries!$A:$A="Тренировка"),FILTER(Dictionaries!$C:$C,Dictionaries!$A:$A="Тренировка"))),IF($C384="","",MIN($C384/40,1)),IF($D384="","",XLOOKUP($D384,FILTER(Dictionaries!$B:$B,Dictionaries!$A:$A="Шаги"),FILTER(Dictionaries!$C:$C,Dictionaries!$A:$A="Шаги"))),IF($E384="","",MIN($E384/120,1)),IF(OR($F384&lt;&gt;"",$G384&lt;&gt;""),1,""),IF($H384="","",MIN($H384/100,1)),IF($L384="","",XLOOKUP($L384,FILTER(Dictionaries!$B:$B,Dictionaries!$A:$A="Сон_часы"),FILTER(Dictionaries!$C:$C,Dictionaries!$A:$A="Сон_часы"))),IF($M384="","",XLOOKUP($M384,FILTER(Dictionaries!$B:$B,Dictionaries!$A:$A="Режим"),FILTER(Dictionaries!$C:$C,Dictionaries!$A:$A="Режим"))),IF($N384="","",MIN($N384/100,1)),IF($O384="","",XLOOKUP($O384,FILTER(Dictionaries!$B:$B,Dictionaries!$A:$A="Настроение"),FILTER(Dictionaries!$C:$C,Dictionaries!$A:$A="Настроение"))),IF($P384="","",XLOOKUP($P384,FILTER(Dictionaries!$B:$B,Dictionaries!$A:$A="Энергия"),FILTER(Dictionaries!$C:$C,Dictionaries!$A:$A="Энергия"))),IF($U384="","",AVERAGE(IF(OR($B384="Ноги",$B384="Верх"),IFS(AND($U384&gt;=1900,$U384&lt;=2050),1,AND($U384&gt;=1850,$U384&lt;1900),0.7,AND($U384&gt;2050,$U384&lt;=2100),0.7,TRUE,0.2),IFS(AND($U384&gt;=1700,$U384&lt;=1850),1,AND($U384&gt;=1650,$U384&lt;1700),0.7,AND($U384&gt;1850,$U384&lt;=1900),0.7,TRUE,0.2)),IF(OR($B384="Ноги",$B384="Верх"),IFS(AND($V384&gt;=125,$V384&lt;=135),1,AND($V384&gt;=115,$V384&lt;125),0.7,AND($V384&gt;135,$V384&lt;=145),0.7,AND($V384&gt;=105,$V384&lt;115),0.4,AND($V384&gt;145,$V384&lt;=155),0.4,TRUE,0.2),IFS(AND($V384&gt;=120,$V384&lt;=130),1,AND($V384&gt;=110,$V384&lt;120),0.7,AND($V384&gt;130,$V384&lt;=140),0.7,AND($V384&gt;=100,$V384&lt;110),0.4,AND($V384&gt;140,$V384&lt;=150),0.4,TRUE,0.2)),IFS(AND($W384&gt;=55,$W384&lt;=65),1,AND($W384&gt;=50,$W384&lt;55),0.7,AND($W384&gt;65,$W384&lt;=70),0.7,AND($W384&gt;=45,$W384&lt;50),0.4,AND($W384&gt;70,$W384&lt;=75),0.4,TRUE,0.2),IF(OR($B384="Ноги",$B384="Верх"),IFS(AND($X384&gt;=180,$X384&lt;=210),1,AND($X384&gt;=160,$X384&lt;180),0.7,AND($X384&gt;210,$X384&lt;=230),0.7,AND($X384&gt;=140,$X384&lt;160),0.4,AND($X384&gt;230,$X384&lt;=250),0.4,TRUE,0.2),IFS(AND($X384&gt;=140,$X384&lt;=170),1,AND($X384&gt;=120,$X384&lt;140),0.7,AND($X384&gt;170,$X384&lt;=190),0.7,AND($X384&gt;=100,$X384&lt;120),0.4,AND($X384&gt;190,$X384&lt;=210),0.4,TRUE,0.2))))),1),""))</f>
        <v/>
      </c>
      <c r="Z384">
        <f>IF($A384="","",TEXTJOIN(", ",TRUE,IF($B384="","Тренировка",""),IF($C384="","Кардио",""),IF($D384="","Шаги",""),IF($E384="","Английский",""),IF($F384="","Код-режим",""),IF($G384="","Код-тема",""),IF($H384="","Чтение",""),IF($L384="","Сон",""),IF($M384="","Режим",""),IF($N384="","Продуктивность",""),IF($O384="","Настроение",""),IF($P384="","Энергия",""),IF($U384="","Еда","")))</f>
        <v/>
      </c>
    </row>
    <row r="385">
      <c r="A385" t="inlineStr"/>
      <c r="U385">
        <f>IF($A385="","",IF(SUMIF(FoodLog!$A:$A,$A385,FoodLog!$I:$I)=0,"",SUMIF(FoodLog!$A:$A,$A385,FoodLog!$I:$I)))</f>
        <v/>
      </c>
      <c r="V385">
        <f>IF($A385="","",IF(SUMIF(FoodLog!$A:$A,$A385,FoodLog!$F:$F)=0,"",SUMIF(FoodLog!$A:$A,$A385,FoodLog!$F:$F)))</f>
        <v/>
      </c>
      <c r="W385">
        <f>IF($A385="","",IF(SUMIF(FoodLog!$A:$A,$A385,FoodLog!$G:$G)=0,"",SUMIF(FoodLog!$A:$A,$A385,FoodLog!$G:$G)))</f>
        <v/>
      </c>
      <c r="X385">
        <f>IF($A385="","",IF(SUMIF(FoodLog!$A:$A,$A385,FoodLog!$H:$H)=0,"",SUMIF(FoodLog!$A:$A,$A385,FoodLog!$H:$H)))</f>
        <v/>
      </c>
      <c r="Y385">
        <f>IF($A385="","",IFERROR(ROUND(100*AVERAGE(IF($B385="","",XLOOKUP($B385,FILTER(Dictionaries!$B:$B,Dictionaries!$A:$A="Тренировка"),FILTER(Dictionaries!$C:$C,Dictionaries!$A:$A="Тренировка"))),IF($C385="","",MIN($C385/40,1)),IF($D385="","",XLOOKUP($D385,FILTER(Dictionaries!$B:$B,Dictionaries!$A:$A="Шаги"),FILTER(Dictionaries!$C:$C,Dictionaries!$A:$A="Шаги"))),IF($E385="","",MIN($E385/120,1)),IF(OR($F385&lt;&gt;"",$G385&lt;&gt;""),1,""),IF($H385="","",MIN($H385/100,1)),IF($L385="","",XLOOKUP($L385,FILTER(Dictionaries!$B:$B,Dictionaries!$A:$A="Сон_часы"),FILTER(Dictionaries!$C:$C,Dictionaries!$A:$A="Сон_часы"))),IF($M385="","",XLOOKUP($M385,FILTER(Dictionaries!$B:$B,Dictionaries!$A:$A="Режим"),FILTER(Dictionaries!$C:$C,Dictionaries!$A:$A="Режим"))),IF($N385="","",MIN($N385/100,1)),IF($O385="","",XLOOKUP($O385,FILTER(Dictionaries!$B:$B,Dictionaries!$A:$A="Настроение"),FILTER(Dictionaries!$C:$C,Dictionaries!$A:$A="Настроение"))),IF($P385="","",XLOOKUP($P385,FILTER(Dictionaries!$B:$B,Dictionaries!$A:$A="Энергия"),FILTER(Dictionaries!$C:$C,Dictionaries!$A:$A="Энергия"))),IF($U385="","",AVERAGE(IF(OR($B385="Ноги",$B385="Верх"),IFS(AND($U385&gt;=1900,$U385&lt;=2050),1,AND($U385&gt;=1850,$U385&lt;1900),0.7,AND($U385&gt;2050,$U385&lt;=2100),0.7,TRUE,0.2),IFS(AND($U385&gt;=1700,$U385&lt;=1850),1,AND($U385&gt;=1650,$U385&lt;1700),0.7,AND($U385&gt;1850,$U385&lt;=1900),0.7,TRUE,0.2)),IF(OR($B385="Ноги",$B385="Верх"),IFS(AND($V385&gt;=125,$V385&lt;=135),1,AND($V385&gt;=115,$V385&lt;125),0.7,AND($V385&gt;135,$V385&lt;=145),0.7,AND($V385&gt;=105,$V385&lt;115),0.4,AND($V385&gt;145,$V385&lt;=155),0.4,TRUE,0.2),IFS(AND($V385&gt;=120,$V385&lt;=130),1,AND($V385&gt;=110,$V385&lt;120),0.7,AND($V385&gt;130,$V385&lt;=140),0.7,AND($V385&gt;=100,$V385&lt;110),0.4,AND($V385&gt;140,$V385&lt;=150),0.4,TRUE,0.2)),IFS(AND($W385&gt;=55,$W385&lt;=65),1,AND($W385&gt;=50,$W385&lt;55),0.7,AND($W385&gt;65,$W385&lt;=70),0.7,AND($W385&gt;=45,$W385&lt;50),0.4,AND($W385&gt;70,$W385&lt;=75),0.4,TRUE,0.2),IF(OR($B385="Ноги",$B385="Верх"),IFS(AND($X385&gt;=180,$X385&lt;=210),1,AND($X385&gt;=160,$X385&lt;180),0.7,AND($X385&gt;210,$X385&lt;=230),0.7,AND($X385&gt;=140,$X385&lt;160),0.4,AND($X385&gt;230,$X385&lt;=250),0.4,TRUE,0.2),IFS(AND($X385&gt;=140,$X385&lt;=170),1,AND($X385&gt;=120,$X385&lt;140),0.7,AND($X385&gt;170,$X385&lt;=190),0.7,AND($X385&gt;=100,$X385&lt;120),0.4,AND($X385&gt;190,$X385&lt;=210),0.4,TRUE,0.2))))),1),""))</f>
        <v/>
      </c>
      <c r="Z385">
        <f>IF($A385="","",TEXTJOIN(", ",TRUE,IF($B385="","Тренировка",""),IF($C385="","Кардио",""),IF($D385="","Шаги",""),IF($E385="","Английский",""),IF($F385="","Код-режим",""),IF($G385="","Код-тема",""),IF($H385="","Чтение",""),IF($L385="","Сон",""),IF($M385="","Режим",""),IF($N385="","Продуктивность",""),IF($O385="","Настроение",""),IF($P385="","Энергия",""),IF($U385="","Еда","")))</f>
        <v/>
      </c>
    </row>
    <row r="386">
      <c r="A386" t="inlineStr"/>
      <c r="U386">
        <f>IF($A386="","",IF(SUMIF(FoodLog!$A:$A,$A386,FoodLog!$I:$I)=0,"",SUMIF(FoodLog!$A:$A,$A386,FoodLog!$I:$I)))</f>
        <v/>
      </c>
      <c r="V386">
        <f>IF($A386="","",IF(SUMIF(FoodLog!$A:$A,$A386,FoodLog!$F:$F)=0,"",SUMIF(FoodLog!$A:$A,$A386,FoodLog!$F:$F)))</f>
        <v/>
      </c>
      <c r="W386">
        <f>IF($A386="","",IF(SUMIF(FoodLog!$A:$A,$A386,FoodLog!$G:$G)=0,"",SUMIF(FoodLog!$A:$A,$A386,FoodLog!$G:$G)))</f>
        <v/>
      </c>
      <c r="X386">
        <f>IF($A386="","",IF(SUMIF(FoodLog!$A:$A,$A386,FoodLog!$H:$H)=0,"",SUMIF(FoodLog!$A:$A,$A386,FoodLog!$H:$H)))</f>
        <v/>
      </c>
      <c r="Y386">
        <f>IF($A386="","",IFERROR(ROUND(100*AVERAGE(IF($B386="","",XLOOKUP($B386,FILTER(Dictionaries!$B:$B,Dictionaries!$A:$A="Тренировка"),FILTER(Dictionaries!$C:$C,Dictionaries!$A:$A="Тренировка"))),IF($C386="","",MIN($C386/40,1)),IF($D386="","",XLOOKUP($D386,FILTER(Dictionaries!$B:$B,Dictionaries!$A:$A="Шаги"),FILTER(Dictionaries!$C:$C,Dictionaries!$A:$A="Шаги"))),IF($E386="","",MIN($E386/120,1)),IF(OR($F386&lt;&gt;"",$G386&lt;&gt;""),1,""),IF($H386="","",MIN($H386/100,1)),IF($L386="","",XLOOKUP($L386,FILTER(Dictionaries!$B:$B,Dictionaries!$A:$A="Сон_часы"),FILTER(Dictionaries!$C:$C,Dictionaries!$A:$A="Сон_часы"))),IF($M386="","",XLOOKUP($M386,FILTER(Dictionaries!$B:$B,Dictionaries!$A:$A="Режим"),FILTER(Dictionaries!$C:$C,Dictionaries!$A:$A="Режим"))),IF($N386="","",MIN($N386/100,1)),IF($O386="","",XLOOKUP($O386,FILTER(Dictionaries!$B:$B,Dictionaries!$A:$A="Настроение"),FILTER(Dictionaries!$C:$C,Dictionaries!$A:$A="Настроение"))),IF($P386="","",XLOOKUP($P386,FILTER(Dictionaries!$B:$B,Dictionaries!$A:$A="Энергия"),FILTER(Dictionaries!$C:$C,Dictionaries!$A:$A="Энергия"))),IF($U386="","",AVERAGE(IF(OR($B386="Ноги",$B386="Верх"),IFS(AND($U386&gt;=1900,$U386&lt;=2050),1,AND($U386&gt;=1850,$U386&lt;1900),0.7,AND($U386&gt;2050,$U386&lt;=2100),0.7,TRUE,0.2),IFS(AND($U386&gt;=1700,$U386&lt;=1850),1,AND($U386&gt;=1650,$U386&lt;1700),0.7,AND($U386&gt;1850,$U386&lt;=1900),0.7,TRUE,0.2)),IF(OR($B386="Ноги",$B386="Верх"),IFS(AND($V386&gt;=125,$V386&lt;=135),1,AND($V386&gt;=115,$V386&lt;125),0.7,AND($V386&gt;135,$V386&lt;=145),0.7,AND($V386&gt;=105,$V386&lt;115),0.4,AND($V386&gt;145,$V386&lt;=155),0.4,TRUE,0.2),IFS(AND($V386&gt;=120,$V386&lt;=130),1,AND($V386&gt;=110,$V386&lt;120),0.7,AND($V386&gt;130,$V386&lt;=140),0.7,AND($V386&gt;=100,$V386&lt;110),0.4,AND($V386&gt;140,$V386&lt;=150),0.4,TRUE,0.2)),IFS(AND($W386&gt;=55,$W386&lt;=65),1,AND($W386&gt;=50,$W386&lt;55),0.7,AND($W386&gt;65,$W386&lt;=70),0.7,AND($W386&gt;=45,$W386&lt;50),0.4,AND($W386&gt;70,$W386&lt;=75),0.4,TRUE,0.2),IF(OR($B386="Ноги",$B386="Верх"),IFS(AND($X386&gt;=180,$X386&lt;=210),1,AND($X386&gt;=160,$X386&lt;180),0.7,AND($X386&gt;210,$X386&lt;=230),0.7,AND($X386&gt;=140,$X386&lt;160),0.4,AND($X386&gt;230,$X386&lt;=250),0.4,TRUE,0.2),IFS(AND($X386&gt;=140,$X386&lt;=170),1,AND($X386&gt;=120,$X386&lt;140),0.7,AND($X386&gt;170,$X386&lt;=190),0.7,AND($X386&gt;=100,$X386&lt;120),0.4,AND($X386&gt;190,$X386&lt;=210),0.4,TRUE,0.2))))),1),""))</f>
        <v/>
      </c>
      <c r="Z386">
        <f>IF($A386="","",TEXTJOIN(", ",TRUE,IF($B386="","Тренировка",""),IF($C386="","Кардио",""),IF($D386="","Шаги",""),IF($E386="","Английский",""),IF($F386="","Код-режим",""),IF($G386="","Код-тема",""),IF($H386="","Чтение",""),IF($L386="","Сон",""),IF($M386="","Режим",""),IF($N386="","Продуктивность",""),IF($O386="","Настроение",""),IF($P386="","Энергия",""),IF($U386="","Еда","")))</f>
        <v/>
      </c>
    </row>
    <row r="387">
      <c r="A387" t="inlineStr"/>
      <c r="U387">
        <f>IF($A387="","",IF(SUMIF(FoodLog!$A:$A,$A387,FoodLog!$I:$I)=0,"",SUMIF(FoodLog!$A:$A,$A387,FoodLog!$I:$I)))</f>
        <v/>
      </c>
      <c r="V387">
        <f>IF($A387="","",IF(SUMIF(FoodLog!$A:$A,$A387,FoodLog!$F:$F)=0,"",SUMIF(FoodLog!$A:$A,$A387,FoodLog!$F:$F)))</f>
        <v/>
      </c>
      <c r="W387">
        <f>IF($A387="","",IF(SUMIF(FoodLog!$A:$A,$A387,FoodLog!$G:$G)=0,"",SUMIF(FoodLog!$A:$A,$A387,FoodLog!$G:$G)))</f>
        <v/>
      </c>
      <c r="X387">
        <f>IF($A387="","",IF(SUMIF(FoodLog!$A:$A,$A387,FoodLog!$H:$H)=0,"",SUMIF(FoodLog!$A:$A,$A387,FoodLog!$H:$H)))</f>
        <v/>
      </c>
      <c r="Y387">
        <f>IF($A387="","",IFERROR(ROUND(100*AVERAGE(IF($B387="","",XLOOKUP($B387,FILTER(Dictionaries!$B:$B,Dictionaries!$A:$A="Тренировка"),FILTER(Dictionaries!$C:$C,Dictionaries!$A:$A="Тренировка"))),IF($C387="","",MIN($C387/40,1)),IF($D387="","",XLOOKUP($D387,FILTER(Dictionaries!$B:$B,Dictionaries!$A:$A="Шаги"),FILTER(Dictionaries!$C:$C,Dictionaries!$A:$A="Шаги"))),IF($E387="","",MIN($E387/120,1)),IF(OR($F387&lt;&gt;"",$G387&lt;&gt;""),1,""),IF($H387="","",MIN($H387/100,1)),IF($L387="","",XLOOKUP($L387,FILTER(Dictionaries!$B:$B,Dictionaries!$A:$A="Сон_часы"),FILTER(Dictionaries!$C:$C,Dictionaries!$A:$A="Сон_часы"))),IF($M387="","",XLOOKUP($M387,FILTER(Dictionaries!$B:$B,Dictionaries!$A:$A="Режим"),FILTER(Dictionaries!$C:$C,Dictionaries!$A:$A="Режим"))),IF($N387="","",MIN($N387/100,1)),IF($O387="","",XLOOKUP($O387,FILTER(Dictionaries!$B:$B,Dictionaries!$A:$A="Настроение"),FILTER(Dictionaries!$C:$C,Dictionaries!$A:$A="Настроение"))),IF($P387="","",XLOOKUP($P387,FILTER(Dictionaries!$B:$B,Dictionaries!$A:$A="Энергия"),FILTER(Dictionaries!$C:$C,Dictionaries!$A:$A="Энергия"))),IF($U387="","",AVERAGE(IF(OR($B387="Ноги",$B387="Верх"),IFS(AND($U387&gt;=1900,$U387&lt;=2050),1,AND($U387&gt;=1850,$U387&lt;1900),0.7,AND($U387&gt;2050,$U387&lt;=2100),0.7,TRUE,0.2),IFS(AND($U387&gt;=1700,$U387&lt;=1850),1,AND($U387&gt;=1650,$U387&lt;1700),0.7,AND($U387&gt;1850,$U387&lt;=1900),0.7,TRUE,0.2)),IF(OR($B387="Ноги",$B387="Верх"),IFS(AND($V387&gt;=125,$V387&lt;=135),1,AND($V387&gt;=115,$V387&lt;125),0.7,AND($V387&gt;135,$V387&lt;=145),0.7,AND($V387&gt;=105,$V387&lt;115),0.4,AND($V387&gt;145,$V387&lt;=155),0.4,TRUE,0.2),IFS(AND($V387&gt;=120,$V387&lt;=130),1,AND($V387&gt;=110,$V387&lt;120),0.7,AND($V387&gt;130,$V387&lt;=140),0.7,AND($V387&gt;=100,$V387&lt;110),0.4,AND($V387&gt;140,$V387&lt;=150),0.4,TRUE,0.2)),IFS(AND($W387&gt;=55,$W387&lt;=65),1,AND($W387&gt;=50,$W387&lt;55),0.7,AND($W387&gt;65,$W387&lt;=70),0.7,AND($W387&gt;=45,$W387&lt;50),0.4,AND($W387&gt;70,$W387&lt;=75),0.4,TRUE,0.2),IF(OR($B387="Ноги",$B387="Верх"),IFS(AND($X387&gt;=180,$X387&lt;=210),1,AND($X387&gt;=160,$X387&lt;180),0.7,AND($X387&gt;210,$X387&lt;=230),0.7,AND($X387&gt;=140,$X387&lt;160),0.4,AND($X387&gt;230,$X387&lt;=250),0.4,TRUE,0.2),IFS(AND($X387&gt;=140,$X387&lt;=170),1,AND($X387&gt;=120,$X387&lt;140),0.7,AND($X387&gt;170,$X387&lt;=190),0.7,AND($X387&gt;=100,$X387&lt;120),0.4,AND($X387&gt;190,$X387&lt;=210),0.4,TRUE,0.2))))),1),""))</f>
        <v/>
      </c>
      <c r="Z387">
        <f>IF($A387="","",TEXTJOIN(", ",TRUE,IF($B387="","Тренировка",""),IF($C387="","Кардио",""),IF($D387="","Шаги",""),IF($E387="","Английский",""),IF($F387="","Код-режим",""),IF($G387="","Код-тема",""),IF($H387="","Чтение",""),IF($L387="","Сон",""),IF($M387="","Режим",""),IF($N387="","Продуктивность",""),IF($O387="","Настроение",""),IF($P387="","Энергия",""),IF($U387="","Еда","")))</f>
        <v/>
      </c>
    </row>
    <row r="388">
      <c r="A388" t="inlineStr"/>
      <c r="U388">
        <f>IF($A388="","",IF(SUMIF(FoodLog!$A:$A,$A388,FoodLog!$I:$I)=0,"",SUMIF(FoodLog!$A:$A,$A388,FoodLog!$I:$I)))</f>
        <v/>
      </c>
      <c r="V388">
        <f>IF($A388="","",IF(SUMIF(FoodLog!$A:$A,$A388,FoodLog!$F:$F)=0,"",SUMIF(FoodLog!$A:$A,$A388,FoodLog!$F:$F)))</f>
        <v/>
      </c>
      <c r="W388">
        <f>IF($A388="","",IF(SUMIF(FoodLog!$A:$A,$A388,FoodLog!$G:$G)=0,"",SUMIF(FoodLog!$A:$A,$A388,FoodLog!$G:$G)))</f>
        <v/>
      </c>
      <c r="X388">
        <f>IF($A388="","",IF(SUMIF(FoodLog!$A:$A,$A388,FoodLog!$H:$H)=0,"",SUMIF(FoodLog!$A:$A,$A388,FoodLog!$H:$H)))</f>
        <v/>
      </c>
      <c r="Y388">
        <f>IF($A388="","",IFERROR(ROUND(100*AVERAGE(IF($B388="","",XLOOKUP($B388,FILTER(Dictionaries!$B:$B,Dictionaries!$A:$A="Тренировка"),FILTER(Dictionaries!$C:$C,Dictionaries!$A:$A="Тренировка"))),IF($C388="","",MIN($C388/40,1)),IF($D388="","",XLOOKUP($D388,FILTER(Dictionaries!$B:$B,Dictionaries!$A:$A="Шаги"),FILTER(Dictionaries!$C:$C,Dictionaries!$A:$A="Шаги"))),IF($E388="","",MIN($E388/120,1)),IF(OR($F388&lt;&gt;"",$G388&lt;&gt;""),1,""),IF($H388="","",MIN($H388/100,1)),IF($L388="","",XLOOKUP($L388,FILTER(Dictionaries!$B:$B,Dictionaries!$A:$A="Сон_часы"),FILTER(Dictionaries!$C:$C,Dictionaries!$A:$A="Сон_часы"))),IF($M388="","",XLOOKUP($M388,FILTER(Dictionaries!$B:$B,Dictionaries!$A:$A="Режим"),FILTER(Dictionaries!$C:$C,Dictionaries!$A:$A="Режим"))),IF($N388="","",MIN($N388/100,1)),IF($O388="","",XLOOKUP($O388,FILTER(Dictionaries!$B:$B,Dictionaries!$A:$A="Настроение"),FILTER(Dictionaries!$C:$C,Dictionaries!$A:$A="Настроение"))),IF($P388="","",XLOOKUP($P388,FILTER(Dictionaries!$B:$B,Dictionaries!$A:$A="Энергия"),FILTER(Dictionaries!$C:$C,Dictionaries!$A:$A="Энергия"))),IF($U388="","",AVERAGE(IF(OR($B388="Ноги",$B388="Верх"),IFS(AND($U388&gt;=1900,$U388&lt;=2050),1,AND($U388&gt;=1850,$U388&lt;1900),0.7,AND($U388&gt;2050,$U388&lt;=2100),0.7,TRUE,0.2),IFS(AND($U388&gt;=1700,$U388&lt;=1850),1,AND($U388&gt;=1650,$U388&lt;1700),0.7,AND($U388&gt;1850,$U388&lt;=1900),0.7,TRUE,0.2)),IF(OR($B388="Ноги",$B388="Верх"),IFS(AND($V388&gt;=125,$V388&lt;=135),1,AND($V388&gt;=115,$V388&lt;125),0.7,AND($V388&gt;135,$V388&lt;=145),0.7,AND($V388&gt;=105,$V388&lt;115),0.4,AND($V388&gt;145,$V388&lt;=155),0.4,TRUE,0.2),IFS(AND($V388&gt;=120,$V388&lt;=130),1,AND($V388&gt;=110,$V388&lt;120),0.7,AND($V388&gt;130,$V388&lt;=140),0.7,AND($V388&gt;=100,$V388&lt;110),0.4,AND($V388&gt;140,$V388&lt;=150),0.4,TRUE,0.2)),IFS(AND($W388&gt;=55,$W388&lt;=65),1,AND($W388&gt;=50,$W388&lt;55),0.7,AND($W388&gt;65,$W388&lt;=70),0.7,AND($W388&gt;=45,$W388&lt;50),0.4,AND($W388&gt;70,$W388&lt;=75),0.4,TRUE,0.2),IF(OR($B388="Ноги",$B388="Верх"),IFS(AND($X388&gt;=180,$X388&lt;=210),1,AND($X388&gt;=160,$X388&lt;180),0.7,AND($X388&gt;210,$X388&lt;=230),0.7,AND($X388&gt;=140,$X388&lt;160),0.4,AND($X388&gt;230,$X388&lt;=250),0.4,TRUE,0.2),IFS(AND($X388&gt;=140,$X388&lt;=170),1,AND($X388&gt;=120,$X388&lt;140),0.7,AND($X388&gt;170,$X388&lt;=190),0.7,AND($X388&gt;=100,$X388&lt;120),0.4,AND($X388&gt;190,$X388&lt;=210),0.4,TRUE,0.2))))),1),""))</f>
        <v/>
      </c>
      <c r="Z388">
        <f>IF($A388="","",TEXTJOIN(", ",TRUE,IF($B388="","Тренировка",""),IF($C388="","Кардио",""),IF($D388="","Шаги",""),IF($E388="","Английский",""),IF($F388="","Код-режим",""),IF($G388="","Код-тема",""),IF($H388="","Чтение",""),IF($L388="","Сон",""),IF($M388="","Режим",""),IF($N388="","Продуктивность",""),IF($O388="","Настроение",""),IF($P388="","Энергия",""),IF($U388="","Еда","")))</f>
        <v/>
      </c>
    </row>
    <row r="389">
      <c r="A389" t="inlineStr"/>
      <c r="U389">
        <f>IF($A389="","",IF(SUMIF(FoodLog!$A:$A,$A389,FoodLog!$I:$I)=0,"",SUMIF(FoodLog!$A:$A,$A389,FoodLog!$I:$I)))</f>
        <v/>
      </c>
      <c r="V389">
        <f>IF($A389="","",IF(SUMIF(FoodLog!$A:$A,$A389,FoodLog!$F:$F)=0,"",SUMIF(FoodLog!$A:$A,$A389,FoodLog!$F:$F)))</f>
        <v/>
      </c>
      <c r="W389">
        <f>IF($A389="","",IF(SUMIF(FoodLog!$A:$A,$A389,FoodLog!$G:$G)=0,"",SUMIF(FoodLog!$A:$A,$A389,FoodLog!$G:$G)))</f>
        <v/>
      </c>
      <c r="X389">
        <f>IF($A389="","",IF(SUMIF(FoodLog!$A:$A,$A389,FoodLog!$H:$H)=0,"",SUMIF(FoodLog!$A:$A,$A389,FoodLog!$H:$H)))</f>
        <v/>
      </c>
      <c r="Y389">
        <f>IF($A389="","",IFERROR(ROUND(100*AVERAGE(IF($B389="","",XLOOKUP($B389,FILTER(Dictionaries!$B:$B,Dictionaries!$A:$A="Тренировка"),FILTER(Dictionaries!$C:$C,Dictionaries!$A:$A="Тренировка"))),IF($C389="","",MIN($C389/40,1)),IF($D389="","",XLOOKUP($D389,FILTER(Dictionaries!$B:$B,Dictionaries!$A:$A="Шаги"),FILTER(Dictionaries!$C:$C,Dictionaries!$A:$A="Шаги"))),IF($E389="","",MIN($E389/120,1)),IF(OR($F389&lt;&gt;"",$G389&lt;&gt;""),1,""),IF($H389="","",MIN($H389/100,1)),IF($L389="","",XLOOKUP($L389,FILTER(Dictionaries!$B:$B,Dictionaries!$A:$A="Сон_часы"),FILTER(Dictionaries!$C:$C,Dictionaries!$A:$A="Сон_часы"))),IF($M389="","",XLOOKUP($M389,FILTER(Dictionaries!$B:$B,Dictionaries!$A:$A="Режим"),FILTER(Dictionaries!$C:$C,Dictionaries!$A:$A="Режим"))),IF($N389="","",MIN($N389/100,1)),IF($O389="","",XLOOKUP($O389,FILTER(Dictionaries!$B:$B,Dictionaries!$A:$A="Настроение"),FILTER(Dictionaries!$C:$C,Dictionaries!$A:$A="Настроение"))),IF($P389="","",XLOOKUP($P389,FILTER(Dictionaries!$B:$B,Dictionaries!$A:$A="Энергия"),FILTER(Dictionaries!$C:$C,Dictionaries!$A:$A="Энергия"))),IF($U389="","",AVERAGE(IF(OR($B389="Ноги",$B389="Верх"),IFS(AND($U389&gt;=1900,$U389&lt;=2050),1,AND($U389&gt;=1850,$U389&lt;1900),0.7,AND($U389&gt;2050,$U389&lt;=2100),0.7,TRUE,0.2),IFS(AND($U389&gt;=1700,$U389&lt;=1850),1,AND($U389&gt;=1650,$U389&lt;1700),0.7,AND($U389&gt;1850,$U389&lt;=1900),0.7,TRUE,0.2)),IF(OR($B389="Ноги",$B389="Верх"),IFS(AND($V389&gt;=125,$V389&lt;=135),1,AND($V389&gt;=115,$V389&lt;125),0.7,AND($V389&gt;135,$V389&lt;=145),0.7,AND($V389&gt;=105,$V389&lt;115),0.4,AND($V389&gt;145,$V389&lt;=155),0.4,TRUE,0.2),IFS(AND($V389&gt;=120,$V389&lt;=130),1,AND($V389&gt;=110,$V389&lt;120),0.7,AND($V389&gt;130,$V389&lt;=140),0.7,AND($V389&gt;=100,$V389&lt;110),0.4,AND($V389&gt;140,$V389&lt;=150),0.4,TRUE,0.2)),IFS(AND($W389&gt;=55,$W389&lt;=65),1,AND($W389&gt;=50,$W389&lt;55),0.7,AND($W389&gt;65,$W389&lt;=70),0.7,AND($W389&gt;=45,$W389&lt;50),0.4,AND($W389&gt;70,$W389&lt;=75),0.4,TRUE,0.2),IF(OR($B389="Ноги",$B389="Верх"),IFS(AND($X389&gt;=180,$X389&lt;=210),1,AND($X389&gt;=160,$X389&lt;180),0.7,AND($X389&gt;210,$X389&lt;=230),0.7,AND($X389&gt;=140,$X389&lt;160),0.4,AND($X389&gt;230,$X389&lt;=250),0.4,TRUE,0.2),IFS(AND($X389&gt;=140,$X389&lt;=170),1,AND($X389&gt;=120,$X389&lt;140),0.7,AND($X389&gt;170,$X389&lt;=190),0.7,AND($X389&gt;=100,$X389&lt;120),0.4,AND($X389&gt;190,$X389&lt;=210),0.4,TRUE,0.2))))),1),""))</f>
        <v/>
      </c>
      <c r="Z389">
        <f>IF($A389="","",TEXTJOIN(", ",TRUE,IF($B389="","Тренировка",""),IF($C389="","Кардио",""),IF($D389="","Шаги",""),IF($E389="","Английский",""),IF($F389="","Код-режим",""),IF($G389="","Код-тема",""),IF($H389="","Чтение",""),IF($L389="","Сон",""),IF($M389="","Режим",""),IF($N389="","Продуктивность",""),IF($O389="","Настроение",""),IF($P389="","Энергия",""),IF($U389="","Еда","")))</f>
        <v/>
      </c>
    </row>
    <row r="390">
      <c r="A390" t="inlineStr"/>
      <c r="U390">
        <f>IF($A390="","",IF(SUMIF(FoodLog!$A:$A,$A390,FoodLog!$I:$I)=0,"",SUMIF(FoodLog!$A:$A,$A390,FoodLog!$I:$I)))</f>
        <v/>
      </c>
      <c r="V390">
        <f>IF($A390="","",IF(SUMIF(FoodLog!$A:$A,$A390,FoodLog!$F:$F)=0,"",SUMIF(FoodLog!$A:$A,$A390,FoodLog!$F:$F)))</f>
        <v/>
      </c>
      <c r="W390">
        <f>IF($A390="","",IF(SUMIF(FoodLog!$A:$A,$A390,FoodLog!$G:$G)=0,"",SUMIF(FoodLog!$A:$A,$A390,FoodLog!$G:$G)))</f>
        <v/>
      </c>
      <c r="X390">
        <f>IF($A390="","",IF(SUMIF(FoodLog!$A:$A,$A390,FoodLog!$H:$H)=0,"",SUMIF(FoodLog!$A:$A,$A390,FoodLog!$H:$H)))</f>
        <v/>
      </c>
      <c r="Y390">
        <f>IF($A390="","",IFERROR(ROUND(100*AVERAGE(IF($B390="","",XLOOKUP($B390,FILTER(Dictionaries!$B:$B,Dictionaries!$A:$A="Тренировка"),FILTER(Dictionaries!$C:$C,Dictionaries!$A:$A="Тренировка"))),IF($C390="","",MIN($C390/40,1)),IF($D390="","",XLOOKUP($D390,FILTER(Dictionaries!$B:$B,Dictionaries!$A:$A="Шаги"),FILTER(Dictionaries!$C:$C,Dictionaries!$A:$A="Шаги"))),IF($E390="","",MIN($E390/120,1)),IF(OR($F390&lt;&gt;"",$G390&lt;&gt;""),1,""),IF($H390="","",MIN($H390/100,1)),IF($L390="","",XLOOKUP($L390,FILTER(Dictionaries!$B:$B,Dictionaries!$A:$A="Сон_часы"),FILTER(Dictionaries!$C:$C,Dictionaries!$A:$A="Сон_часы"))),IF($M390="","",XLOOKUP($M390,FILTER(Dictionaries!$B:$B,Dictionaries!$A:$A="Режим"),FILTER(Dictionaries!$C:$C,Dictionaries!$A:$A="Режим"))),IF($N390="","",MIN($N390/100,1)),IF($O390="","",XLOOKUP($O390,FILTER(Dictionaries!$B:$B,Dictionaries!$A:$A="Настроение"),FILTER(Dictionaries!$C:$C,Dictionaries!$A:$A="Настроение"))),IF($P390="","",XLOOKUP($P390,FILTER(Dictionaries!$B:$B,Dictionaries!$A:$A="Энергия"),FILTER(Dictionaries!$C:$C,Dictionaries!$A:$A="Энергия"))),IF($U390="","",AVERAGE(IF(OR($B390="Ноги",$B390="Верх"),IFS(AND($U390&gt;=1900,$U390&lt;=2050),1,AND($U390&gt;=1850,$U390&lt;1900),0.7,AND($U390&gt;2050,$U390&lt;=2100),0.7,TRUE,0.2),IFS(AND($U390&gt;=1700,$U390&lt;=1850),1,AND($U390&gt;=1650,$U390&lt;1700),0.7,AND($U390&gt;1850,$U390&lt;=1900),0.7,TRUE,0.2)),IF(OR($B390="Ноги",$B390="Верх"),IFS(AND($V390&gt;=125,$V390&lt;=135),1,AND($V390&gt;=115,$V390&lt;125),0.7,AND($V390&gt;135,$V390&lt;=145),0.7,AND($V390&gt;=105,$V390&lt;115),0.4,AND($V390&gt;145,$V390&lt;=155),0.4,TRUE,0.2),IFS(AND($V390&gt;=120,$V390&lt;=130),1,AND($V390&gt;=110,$V390&lt;120),0.7,AND($V390&gt;130,$V390&lt;=140),0.7,AND($V390&gt;=100,$V390&lt;110),0.4,AND($V390&gt;140,$V390&lt;=150),0.4,TRUE,0.2)),IFS(AND($W390&gt;=55,$W390&lt;=65),1,AND($W390&gt;=50,$W390&lt;55),0.7,AND($W390&gt;65,$W390&lt;=70),0.7,AND($W390&gt;=45,$W390&lt;50),0.4,AND($W390&gt;70,$W390&lt;=75),0.4,TRUE,0.2),IF(OR($B390="Ноги",$B390="Верх"),IFS(AND($X390&gt;=180,$X390&lt;=210),1,AND($X390&gt;=160,$X390&lt;180),0.7,AND($X390&gt;210,$X390&lt;=230),0.7,AND($X390&gt;=140,$X390&lt;160),0.4,AND($X390&gt;230,$X390&lt;=250),0.4,TRUE,0.2),IFS(AND($X390&gt;=140,$X390&lt;=170),1,AND($X390&gt;=120,$X390&lt;140),0.7,AND($X390&gt;170,$X390&lt;=190),0.7,AND($X390&gt;=100,$X390&lt;120),0.4,AND($X390&gt;190,$X390&lt;=210),0.4,TRUE,0.2))))),1),""))</f>
        <v/>
      </c>
      <c r="Z390">
        <f>IF($A390="","",TEXTJOIN(", ",TRUE,IF($B390="","Тренировка",""),IF($C390="","Кардио",""),IF($D390="","Шаги",""),IF($E390="","Английский",""),IF($F390="","Код-режим",""),IF($G390="","Код-тема",""),IF($H390="","Чтение",""),IF($L390="","Сон",""),IF($M390="","Режим",""),IF($N390="","Продуктивность",""),IF($O390="","Настроение",""),IF($P390="","Энергия",""),IF($U390="","Еда","")))</f>
        <v/>
      </c>
    </row>
    <row r="391">
      <c r="A391" t="inlineStr"/>
      <c r="U391">
        <f>IF($A391="","",IF(SUMIF(FoodLog!$A:$A,$A391,FoodLog!$I:$I)=0,"",SUMIF(FoodLog!$A:$A,$A391,FoodLog!$I:$I)))</f>
        <v/>
      </c>
      <c r="V391">
        <f>IF($A391="","",IF(SUMIF(FoodLog!$A:$A,$A391,FoodLog!$F:$F)=0,"",SUMIF(FoodLog!$A:$A,$A391,FoodLog!$F:$F)))</f>
        <v/>
      </c>
      <c r="W391">
        <f>IF($A391="","",IF(SUMIF(FoodLog!$A:$A,$A391,FoodLog!$G:$G)=0,"",SUMIF(FoodLog!$A:$A,$A391,FoodLog!$G:$G)))</f>
        <v/>
      </c>
      <c r="X391">
        <f>IF($A391="","",IF(SUMIF(FoodLog!$A:$A,$A391,FoodLog!$H:$H)=0,"",SUMIF(FoodLog!$A:$A,$A391,FoodLog!$H:$H)))</f>
        <v/>
      </c>
      <c r="Y391">
        <f>IF($A391="","",IFERROR(ROUND(100*AVERAGE(IF($B391="","",XLOOKUP($B391,FILTER(Dictionaries!$B:$B,Dictionaries!$A:$A="Тренировка"),FILTER(Dictionaries!$C:$C,Dictionaries!$A:$A="Тренировка"))),IF($C391="","",MIN($C391/40,1)),IF($D391="","",XLOOKUP($D391,FILTER(Dictionaries!$B:$B,Dictionaries!$A:$A="Шаги"),FILTER(Dictionaries!$C:$C,Dictionaries!$A:$A="Шаги"))),IF($E391="","",MIN($E391/120,1)),IF(OR($F391&lt;&gt;"",$G391&lt;&gt;""),1,""),IF($H391="","",MIN($H391/100,1)),IF($L391="","",XLOOKUP($L391,FILTER(Dictionaries!$B:$B,Dictionaries!$A:$A="Сон_часы"),FILTER(Dictionaries!$C:$C,Dictionaries!$A:$A="Сон_часы"))),IF($M391="","",XLOOKUP($M391,FILTER(Dictionaries!$B:$B,Dictionaries!$A:$A="Режим"),FILTER(Dictionaries!$C:$C,Dictionaries!$A:$A="Режим"))),IF($N391="","",MIN($N391/100,1)),IF($O391="","",XLOOKUP($O391,FILTER(Dictionaries!$B:$B,Dictionaries!$A:$A="Настроение"),FILTER(Dictionaries!$C:$C,Dictionaries!$A:$A="Настроение"))),IF($P391="","",XLOOKUP($P391,FILTER(Dictionaries!$B:$B,Dictionaries!$A:$A="Энергия"),FILTER(Dictionaries!$C:$C,Dictionaries!$A:$A="Энергия"))),IF($U391="","",AVERAGE(IF(OR($B391="Ноги",$B391="Верх"),IFS(AND($U391&gt;=1900,$U391&lt;=2050),1,AND($U391&gt;=1850,$U391&lt;1900),0.7,AND($U391&gt;2050,$U391&lt;=2100),0.7,TRUE,0.2),IFS(AND($U391&gt;=1700,$U391&lt;=1850),1,AND($U391&gt;=1650,$U391&lt;1700),0.7,AND($U391&gt;1850,$U391&lt;=1900),0.7,TRUE,0.2)),IF(OR($B391="Ноги",$B391="Верх"),IFS(AND($V391&gt;=125,$V391&lt;=135),1,AND($V391&gt;=115,$V391&lt;125),0.7,AND($V391&gt;135,$V391&lt;=145),0.7,AND($V391&gt;=105,$V391&lt;115),0.4,AND($V391&gt;145,$V391&lt;=155),0.4,TRUE,0.2),IFS(AND($V391&gt;=120,$V391&lt;=130),1,AND($V391&gt;=110,$V391&lt;120),0.7,AND($V391&gt;130,$V391&lt;=140),0.7,AND($V391&gt;=100,$V391&lt;110),0.4,AND($V391&gt;140,$V391&lt;=150),0.4,TRUE,0.2)),IFS(AND($W391&gt;=55,$W391&lt;=65),1,AND($W391&gt;=50,$W391&lt;55),0.7,AND($W391&gt;65,$W391&lt;=70),0.7,AND($W391&gt;=45,$W391&lt;50),0.4,AND($W391&gt;70,$W391&lt;=75),0.4,TRUE,0.2),IF(OR($B391="Ноги",$B391="Верх"),IFS(AND($X391&gt;=180,$X391&lt;=210),1,AND($X391&gt;=160,$X391&lt;180),0.7,AND($X391&gt;210,$X391&lt;=230),0.7,AND($X391&gt;=140,$X391&lt;160),0.4,AND($X391&gt;230,$X391&lt;=250),0.4,TRUE,0.2),IFS(AND($X391&gt;=140,$X391&lt;=170),1,AND($X391&gt;=120,$X391&lt;140),0.7,AND($X391&gt;170,$X391&lt;=190),0.7,AND($X391&gt;=100,$X391&lt;120),0.4,AND($X391&gt;190,$X391&lt;=210),0.4,TRUE,0.2))))),1),""))</f>
        <v/>
      </c>
      <c r="Z391">
        <f>IF($A391="","",TEXTJOIN(", ",TRUE,IF($B391="","Тренировка",""),IF($C391="","Кардио",""),IF($D391="","Шаги",""),IF($E391="","Английский",""),IF($F391="","Код-режим",""),IF($G391="","Код-тема",""),IF($H391="","Чтение",""),IF($L391="","Сон",""),IF($M391="","Режим",""),IF($N391="","Продуктивность",""),IF($O391="","Настроение",""),IF($P391="","Энергия",""),IF($U391="","Еда","")))</f>
        <v/>
      </c>
    </row>
    <row r="392">
      <c r="A392" t="inlineStr"/>
      <c r="U392">
        <f>IF($A392="","",IF(SUMIF(FoodLog!$A:$A,$A392,FoodLog!$I:$I)=0,"",SUMIF(FoodLog!$A:$A,$A392,FoodLog!$I:$I)))</f>
        <v/>
      </c>
      <c r="V392">
        <f>IF($A392="","",IF(SUMIF(FoodLog!$A:$A,$A392,FoodLog!$F:$F)=0,"",SUMIF(FoodLog!$A:$A,$A392,FoodLog!$F:$F)))</f>
        <v/>
      </c>
      <c r="W392">
        <f>IF($A392="","",IF(SUMIF(FoodLog!$A:$A,$A392,FoodLog!$G:$G)=0,"",SUMIF(FoodLog!$A:$A,$A392,FoodLog!$G:$G)))</f>
        <v/>
      </c>
      <c r="X392">
        <f>IF($A392="","",IF(SUMIF(FoodLog!$A:$A,$A392,FoodLog!$H:$H)=0,"",SUMIF(FoodLog!$A:$A,$A392,FoodLog!$H:$H)))</f>
        <v/>
      </c>
      <c r="Y392">
        <f>IF($A392="","",IFERROR(ROUND(100*AVERAGE(IF($B392="","",XLOOKUP($B392,FILTER(Dictionaries!$B:$B,Dictionaries!$A:$A="Тренировка"),FILTER(Dictionaries!$C:$C,Dictionaries!$A:$A="Тренировка"))),IF($C392="","",MIN($C392/40,1)),IF($D392="","",XLOOKUP($D392,FILTER(Dictionaries!$B:$B,Dictionaries!$A:$A="Шаги"),FILTER(Dictionaries!$C:$C,Dictionaries!$A:$A="Шаги"))),IF($E392="","",MIN($E392/120,1)),IF(OR($F392&lt;&gt;"",$G392&lt;&gt;""),1,""),IF($H392="","",MIN($H392/100,1)),IF($L392="","",XLOOKUP($L392,FILTER(Dictionaries!$B:$B,Dictionaries!$A:$A="Сон_часы"),FILTER(Dictionaries!$C:$C,Dictionaries!$A:$A="Сон_часы"))),IF($M392="","",XLOOKUP($M392,FILTER(Dictionaries!$B:$B,Dictionaries!$A:$A="Режим"),FILTER(Dictionaries!$C:$C,Dictionaries!$A:$A="Режим"))),IF($N392="","",MIN($N392/100,1)),IF($O392="","",XLOOKUP($O392,FILTER(Dictionaries!$B:$B,Dictionaries!$A:$A="Настроение"),FILTER(Dictionaries!$C:$C,Dictionaries!$A:$A="Настроение"))),IF($P392="","",XLOOKUP($P392,FILTER(Dictionaries!$B:$B,Dictionaries!$A:$A="Энергия"),FILTER(Dictionaries!$C:$C,Dictionaries!$A:$A="Энергия"))),IF($U392="","",AVERAGE(IF(OR($B392="Ноги",$B392="Верх"),IFS(AND($U392&gt;=1900,$U392&lt;=2050),1,AND($U392&gt;=1850,$U392&lt;1900),0.7,AND($U392&gt;2050,$U392&lt;=2100),0.7,TRUE,0.2),IFS(AND($U392&gt;=1700,$U392&lt;=1850),1,AND($U392&gt;=1650,$U392&lt;1700),0.7,AND($U392&gt;1850,$U392&lt;=1900),0.7,TRUE,0.2)),IF(OR($B392="Ноги",$B392="Верх"),IFS(AND($V392&gt;=125,$V392&lt;=135),1,AND($V392&gt;=115,$V392&lt;125),0.7,AND($V392&gt;135,$V392&lt;=145),0.7,AND($V392&gt;=105,$V392&lt;115),0.4,AND($V392&gt;145,$V392&lt;=155),0.4,TRUE,0.2),IFS(AND($V392&gt;=120,$V392&lt;=130),1,AND($V392&gt;=110,$V392&lt;120),0.7,AND($V392&gt;130,$V392&lt;=140),0.7,AND($V392&gt;=100,$V392&lt;110),0.4,AND($V392&gt;140,$V392&lt;=150),0.4,TRUE,0.2)),IFS(AND($W392&gt;=55,$W392&lt;=65),1,AND($W392&gt;=50,$W392&lt;55),0.7,AND($W392&gt;65,$W392&lt;=70),0.7,AND($W392&gt;=45,$W392&lt;50),0.4,AND($W392&gt;70,$W392&lt;=75),0.4,TRUE,0.2),IF(OR($B392="Ноги",$B392="Верх"),IFS(AND($X392&gt;=180,$X392&lt;=210),1,AND($X392&gt;=160,$X392&lt;180),0.7,AND($X392&gt;210,$X392&lt;=230),0.7,AND($X392&gt;=140,$X392&lt;160),0.4,AND($X392&gt;230,$X392&lt;=250),0.4,TRUE,0.2),IFS(AND($X392&gt;=140,$X392&lt;=170),1,AND($X392&gt;=120,$X392&lt;140),0.7,AND($X392&gt;170,$X392&lt;=190),0.7,AND($X392&gt;=100,$X392&lt;120),0.4,AND($X392&gt;190,$X392&lt;=210),0.4,TRUE,0.2))))),1),""))</f>
        <v/>
      </c>
      <c r="Z392">
        <f>IF($A392="","",TEXTJOIN(", ",TRUE,IF($B392="","Тренировка",""),IF($C392="","Кардио",""),IF($D392="","Шаги",""),IF($E392="","Английский",""),IF($F392="","Код-режим",""),IF($G392="","Код-тема",""),IF($H392="","Чтение",""),IF($L392="","Сон",""),IF($M392="","Режим",""),IF($N392="","Продуктивность",""),IF($O392="","Настроение",""),IF($P392="","Энергия",""),IF($U392="","Еда","")))</f>
        <v/>
      </c>
    </row>
    <row r="393">
      <c r="A393" t="inlineStr"/>
      <c r="U393">
        <f>IF($A393="","",IF(SUMIF(FoodLog!$A:$A,$A393,FoodLog!$I:$I)=0,"",SUMIF(FoodLog!$A:$A,$A393,FoodLog!$I:$I)))</f>
        <v/>
      </c>
      <c r="V393">
        <f>IF($A393="","",IF(SUMIF(FoodLog!$A:$A,$A393,FoodLog!$F:$F)=0,"",SUMIF(FoodLog!$A:$A,$A393,FoodLog!$F:$F)))</f>
        <v/>
      </c>
      <c r="W393">
        <f>IF($A393="","",IF(SUMIF(FoodLog!$A:$A,$A393,FoodLog!$G:$G)=0,"",SUMIF(FoodLog!$A:$A,$A393,FoodLog!$G:$G)))</f>
        <v/>
      </c>
      <c r="X393">
        <f>IF($A393="","",IF(SUMIF(FoodLog!$A:$A,$A393,FoodLog!$H:$H)=0,"",SUMIF(FoodLog!$A:$A,$A393,FoodLog!$H:$H)))</f>
        <v/>
      </c>
      <c r="Y393">
        <f>IF($A393="","",IFERROR(ROUND(100*AVERAGE(IF($B393="","",XLOOKUP($B393,FILTER(Dictionaries!$B:$B,Dictionaries!$A:$A="Тренировка"),FILTER(Dictionaries!$C:$C,Dictionaries!$A:$A="Тренировка"))),IF($C393="","",MIN($C393/40,1)),IF($D393="","",XLOOKUP($D393,FILTER(Dictionaries!$B:$B,Dictionaries!$A:$A="Шаги"),FILTER(Dictionaries!$C:$C,Dictionaries!$A:$A="Шаги"))),IF($E393="","",MIN($E393/120,1)),IF(OR($F393&lt;&gt;"",$G393&lt;&gt;""),1,""),IF($H393="","",MIN($H393/100,1)),IF($L393="","",XLOOKUP($L393,FILTER(Dictionaries!$B:$B,Dictionaries!$A:$A="Сон_часы"),FILTER(Dictionaries!$C:$C,Dictionaries!$A:$A="Сон_часы"))),IF($M393="","",XLOOKUP($M393,FILTER(Dictionaries!$B:$B,Dictionaries!$A:$A="Режим"),FILTER(Dictionaries!$C:$C,Dictionaries!$A:$A="Режим"))),IF($N393="","",MIN($N393/100,1)),IF($O393="","",XLOOKUP($O393,FILTER(Dictionaries!$B:$B,Dictionaries!$A:$A="Настроение"),FILTER(Dictionaries!$C:$C,Dictionaries!$A:$A="Настроение"))),IF($P393="","",XLOOKUP($P393,FILTER(Dictionaries!$B:$B,Dictionaries!$A:$A="Энергия"),FILTER(Dictionaries!$C:$C,Dictionaries!$A:$A="Энергия"))),IF($U393="","",AVERAGE(IF(OR($B393="Ноги",$B393="Верх"),IFS(AND($U393&gt;=1900,$U393&lt;=2050),1,AND($U393&gt;=1850,$U393&lt;1900),0.7,AND($U393&gt;2050,$U393&lt;=2100),0.7,TRUE,0.2),IFS(AND($U393&gt;=1700,$U393&lt;=1850),1,AND($U393&gt;=1650,$U393&lt;1700),0.7,AND($U393&gt;1850,$U393&lt;=1900),0.7,TRUE,0.2)),IF(OR($B393="Ноги",$B393="Верх"),IFS(AND($V393&gt;=125,$V393&lt;=135),1,AND($V393&gt;=115,$V393&lt;125),0.7,AND($V393&gt;135,$V393&lt;=145),0.7,AND($V393&gt;=105,$V393&lt;115),0.4,AND($V393&gt;145,$V393&lt;=155),0.4,TRUE,0.2),IFS(AND($V393&gt;=120,$V393&lt;=130),1,AND($V393&gt;=110,$V393&lt;120),0.7,AND($V393&gt;130,$V393&lt;=140),0.7,AND($V393&gt;=100,$V393&lt;110),0.4,AND($V393&gt;140,$V393&lt;=150),0.4,TRUE,0.2)),IFS(AND($W393&gt;=55,$W393&lt;=65),1,AND($W393&gt;=50,$W393&lt;55),0.7,AND($W393&gt;65,$W393&lt;=70),0.7,AND($W393&gt;=45,$W393&lt;50),0.4,AND($W393&gt;70,$W393&lt;=75),0.4,TRUE,0.2),IF(OR($B393="Ноги",$B393="Верх"),IFS(AND($X393&gt;=180,$X393&lt;=210),1,AND($X393&gt;=160,$X393&lt;180),0.7,AND($X393&gt;210,$X393&lt;=230),0.7,AND($X393&gt;=140,$X393&lt;160),0.4,AND($X393&gt;230,$X393&lt;=250),0.4,TRUE,0.2),IFS(AND($X393&gt;=140,$X393&lt;=170),1,AND($X393&gt;=120,$X393&lt;140),0.7,AND($X393&gt;170,$X393&lt;=190),0.7,AND($X393&gt;=100,$X393&lt;120),0.4,AND($X393&gt;190,$X393&lt;=210),0.4,TRUE,0.2))))),1),""))</f>
        <v/>
      </c>
      <c r="Z393">
        <f>IF($A393="","",TEXTJOIN(", ",TRUE,IF($B393="","Тренировка",""),IF($C393="","Кардио",""),IF($D393="","Шаги",""),IF($E393="","Английский",""),IF($F393="","Код-режим",""),IF($G393="","Код-тема",""),IF($H393="","Чтение",""),IF($L393="","Сон",""),IF($M393="","Режим",""),IF($N393="","Продуктивность",""),IF($O393="","Настроение",""),IF($P393="","Энергия",""),IF($U393="","Еда","")))</f>
        <v/>
      </c>
    </row>
    <row r="394">
      <c r="A394" t="inlineStr"/>
      <c r="U394">
        <f>IF($A394="","",IF(SUMIF(FoodLog!$A:$A,$A394,FoodLog!$I:$I)=0,"",SUMIF(FoodLog!$A:$A,$A394,FoodLog!$I:$I)))</f>
        <v/>
      </c>
      <c r="V394">
        <f>IF($A394="","",IF(SUMIF(FoodLog!$A:$A,$A394,FoodLog!$F:$F)=0,"",SUMIF(FoodLog!$A:$A,$A394,FoodLog!$F:$F)))</f>
        <v/>
      </c>
      <c r="W394">
        <f>IF($A394="","",IF(SUMIF(FoodLog!$A:$A,$A394,FoodLog!$G:$G)=0,"",SUMIF(FoodLog!$A:$A,$A394,FoodLog!$G:$G)))</f>
        <v/>
      </c>
      <c r="X394">
        <f>IF($A394="","",IF(SUMIF(FoodLog!$A:$A,$A394,FoodLog!$H:$H)=0,"",SUMIF(FoodLog!$A:$A,$A394,FoodLog!$H:$H)))</f>
        <v/>
      </c>
      <c r="Y394">
        <f>IF($A394="","",IFERROR(ROUND(100*AVERAGE(IF($B394="","",XLOOKUP($B394,FILTER(Dictionaries!$B:$B,Dictionaries!$A:$A="Тренировка"),FILTER(Dictionaries!$C:$C,Dictionaries!$A:$A="Тренировка"))),IF($C394="","",MIN($C394/40,1)),IF($D394="","",XLOOKUP($D394,FILTER(Dictionaries!$B:$B,Dictionaries!$A:$A="Шаги"),FILTER(Dictionaries!$C:$C,Dictionaries!$A:$A="Шаги"))),IF($E394="","",MIN($E394/120,1)),IF(OR($F394&lt;&gt;"",$G394&lt;&gt;""),1,""),IF($H394="","",MIN($H394/100,1)),IF($L394="","",XLOOKUP($L394,FILTER(Dictionaries!$B:$B,Dictionaries!$A:$A="Сон_часы"),FILTER(Dictionaries!$C:$C,Dictionaries!$A:$A="Сон_часы"))),IF($M394="","",XLOOKUP($M394,FILTER(Dictionaries!$B:$B,Dictionaries!$A:$A="Режим"),FILTER(Dictionaries!$C:$C,Dictionaries!$A:$A="Режим"))),IF($N394="","",MIN($N394/100,1)),IF($O394="","",XLOOKUP($O394,FILTER(Dictionaries!$B:$B,Dictionaries!$A:$A="Настроение"),FILTER(Dictionaries!$C:$C,Dictionaries!$A:$A="Настроение"))),IF($P394="","",XLOOKUP($P394,FILTER(Dictionaries!$B:$B,Dictionaries!$A:$A="Энергия"),FILTER(Dictionaries!$C:$C,Dictionaries!$A:$A="Энергия"))),IF($U394="","",AVERAGE(IF(OR($B394="Ноги",$B394="Верх"),IFS(AND($U394&gt;=1900,$U394&lt;=2050),1,AND($U394&gt;=1850,$U394&lt;1900),0.7,AND($U394&gt;2050,$U394&lt;=2100),0.7,TRUE,0.2),IFS(AND($U394&gt;=1700,$U394&lt;=1850),1,AND($U394&gt;=1650,$U394&lt;1700),0.7,AND($U394&gt;1850,$U394&lt;=1900),0.7,TRUE,0.2)),IF(OR($B394="Ноги",$B394="Верх"),IFS(AND($V394&gt;=125,$V394&lt;=135),1,AND($V394&gt;=115,$V394&lt;125),0.7,AND($V394&gt;135,$V394&lt;=145),0.7,AND($V394&gt;=105,$V394&lt;115),0.4,AND($V394&gt;145,$V394&lt;=155),0.4,TRUE,0.2),IFS(AND($V394&gt;=120,$V394&lt;=130),1,AND($V394&gt;=110,$V394&lt;120),0.7,AND($V394&gt;130,$V394&lt;=140),0.7,AND($V394&gt;=100,$V394&lt;110),0.4,AND($V394&gt;140,$V394&lt;=150),0.4,TRUE,0.2)),IFS(AND($W394&gt;=55,$W394&lt;=65),1,AND($W394&gt;=50,$W394&lt;55),0.7,AND($W394&gt;65,$W394&lt;=70),0.7,AND($W394&gt;=45,$W394&lt;50),0.4,AND($W394&gt;70,$W394&lt;=75),0.4,TRUE,0.2),IF(OR($B394="Ноги",$B394="Верх"),IFS(AND($X394&gt;=180,$X394&lt;=210),1,AND($X394&gt;=160,$X394&lt;180),0.7,AND($X394&gt;210,$X394&lt;=230),0.7,AND($X394&gt;=140,$X394&lt;160),0.4,AND($X394&gt;230,$X394&lt;=250),0.4,TRUE,0.2),IFS(AND($X394&gt;=140,$X394&lt;=170),1,AND($X394&gt;=120,$X394&lt;140),0.7,AND($X394&gt;170,$X394&lt;=190),0.7,AND($X394&gt;=100,$X394&lt;120),0.4,AND($X394&gt;190,$X394&lt;=210),0.4,TRUE,0.2))))),1),""))</f>
        <v/>
      </c>
      <c r="Z394">
        <f>IF($A394="","",TEXTJOIN(", ",TRUE,IF($B394="","Тренировка",""),IF($C394="","Кардио",""),IF($D394="","Шаги",""),IF($E394="","Английский",""),IF($F394="","Код-режим",""),IF($G394="","Код-тема",""),IF($H394="","Чтение",""),IF($L394="","Сон",""),IF($M394="","Режим",""),IF($N394="","Продуктивность",""),IF($O394="","Настроение",""),IF($P394="","Энергия",""),IF($U394="","Еда","")))</f>
        <v/>
      </c>
    </row>
    <row r="395">
      <c r="A395" t="inlineStr"/>
      <c r="U395">
        <f>IF($A395="","",IF(SUMIF(FoodLog!$A:$A,$A395,FoodLog!$I:$I)=0,"",SUMIF(FoodLog!$A:$A,$A395,FoodLog!$I:$I)))</f>
        <v/>
      </c>
      <c r="V395">
        <f>IF($A395="","",IF(SUMIF(FoodLog!$A:$A,$A395,FoodLog!$F:$F)=0,"",SUMIF(FoodLog!$A:$A,$A395,FoodLog!$F:$F)))</f>
        <v/>
      </c>
      <c r="W395">
        <f>IF($A395="","",IF(SUMIF(FoodLog!$A:$A,$A395,FoodLog!$G:$G)=0,"",SUMIF(FoodLog!$A:$A,$A395,FoodLog!$G:$G)))</f>
        <v/>
      </c>
      <c r="X395">
        <f>IF($A395="","",IF(SUMIF(FoodLog!$A:$A,$A395,FoodLog!$H:$H)=0,"",SUMIF(FoodLog!$A:$A,$A395,FoodLog!$H:$H)))</f>
        <v/>
      </c>
      <c r="Y395">
        <f>IF($A395="","",IFERROR(ROUND(100*AVERAGE(IF($B395="","",XLOOKUP($B395,FILTER(Dictionaries!$B:$B,Dictionaries!$A:$A="Тренировка"),FILTER(Dictionaries!$C:$C,Dictionaries!$A:$A="Тренировка"))),IF($C395="","",MIN($C395/40,1)),IF($D395="","",XLOOKUP($D395,FILTER(Dictionaries!$B:$B,Dictionaries!$A:$A="Шаги"),FILTER(Dictionaries!$C:$C,Dictionaries!$A:$A="Шаги"))),IF($E395="","",MIN($E395/120,1)),IF(OR($F395&lt;&gt;"",$G395&lt;&gt;""),1,""),IF($H395="","",MIN($H395/100,1)),IF($L395="","",XLOOKUP($L395,FILTER(Dictionaries!$B:$B,Dictionaries!$A:$A="Сон_часы"),FILTER(Dictionaries!$C:$C,Dictionaries!$A:$A="Сон_часы"))),IF($M395="","",XLOOKUP($M395,FILTER(Dictionaries!$B:$B,Dictionaries!$A:$A="Режим"),FILTER(Dictionaries!$C:$C,Dictionaries!$A:$A="Режим"))),IF($N395="","",MIN($N395/100,1)),IF($O395="","",XLOOKUP($O395,FILTER(Dictionaries!$B:$B,Dictionaries!$A:$A="Настроение"),FILTER(Dictionaries!$C:$C,Dictionaries!$A:$A="Настроение"))),IF($P395="","",XLOOKUP($P395,FILTER(Dictionaries!$B:$B,Dictionaries!$A:$A="Энергия"),FILTER(Dictionaries!$C:$C,Dictionaries!$A:$A="Энергия"))),IF($U395="","",AVERAGE(IF(OR($B395="Ноги",$B395="Верх"),IFS(AND($U395&gt;=1900,$U395&lt;=2050),1,AND($U395&gt;=1850,$U395&lt;1900),0.7,AND($U395&gt;2050,$U395&lt;=2100),0.7,TRUE,0.2),IFS(AND($U395&gt;=1700,$U395&lt;=1850),1,AND($U395&gt;=1650,$U395&lt;1700),0.7,AND($U395&gt;1850,$U395&lt;=1900),0.7,TRUE,0.2)),IF(OR($B395="Ноги",$B395="Верх"),IFS(AND($V395&gt;=125,$V395&lt;=135),1,AND($V395&gt;=115,$V395&lt;125),0.7,AND($V395&gt;135,$V395&lt;=145),0.7,AND($V395&gt;=105,$V395&lt;115),0.4,AND($V395&gt;145,$V395&lt;=155),0.4,TRUE,0.2),IFS(AND($V395&gt;=120,$V395&lt;=130),1,AND($V395&gt;=110,$V395&lt;120),0.7,AND($V395&gt;130,$V395&lt;=140),0.7,AND($V395&gt;=100,$V395&lt;110),0.4,AND($V395&gt;140,$V395&lt;=150),0.4,TRUE,0.2)),IFS(AND($W395&gt;=55,$W395&lt;=65),1,AND($W395&gt;=50,$W395&lt;55),0.7,AND($W395&gt;65,$W395&lt;=70),0.7,AND($W395&gt;=45,$W395&lt;50),0.4,AND($W395&gt;70,$W395&lt;=75),0.4,TRUE,0.2),IF(OR($B395="Ноги",$B395="Верх"),IFS(AND($X395&gt;=180,$X395&lt;=210),1,AND($X395&gt;=160,$X395&lt;180),0.7,AND($X395&gt;210,$X395&lt;=230),0.7,AND($X395&gt;=140,$X395&lt;160),0.4,AND($X395&gt;230,$X395&lt;=250),0.4,TRUE,0.2),IFS(AND($X395&gt;=140,$X395&lt;=170),1,AND($X395&gt;=120,$X395&lt;140),0.7,AND($X395&gt;170,$X395&lt;=190),0.7,AND($X395&gt;=100,$X395&lt;120),0.4,AND($X395&gt;190,$X395&lt;=210),0.4,TRUE,0.2))))),1),""))</f>
        <v/>
      </c>
      <c r="Z395">
        <f>IF($A395="","",TEXTJOIN(", ",TRUE,IF($B395="","Тренировка",""),IF($C395="","Кардио",""),IF($D395="","Шаги",""),IF($E395="","Английский",""),IF($F395="","Код-режим",""),IF($G395="","Код-тема",""),IF($H395="","Чтение",""),IF($L395="","Сон",""),IF($M395="","Режим",""),IF($N395="","Продуктивность",""),IF($O395="","Настроение",""),IF($P395="","Энергия",""),IF($U395="","Еда","")))</f>
        <v/>
      </c>
    </row>
    <row r="396">
      <c r="A396" t="inlineStr"/>
      <c r="U396">
        <f>IF($A396="","",IF(SUMIF(FoodLog!$A:$A,$A396,FoodLog!$I:$I)=0,"",SUMIF(FoodLog!$A:$A,$A396,FoodLog!$I:$I)))</f>
        <v/>
      </c>
      <c r="V396">
        <f>IF($A396="","",IF(SUMIF(FoodLog!$A:$A,$A396,FoodLog!$F:$F)=0,"",SUMIF(FoodLog!$A:$A,$A396,FoodLog!$F:$F)))</f>
        <v/>
      </c>
      <c r="W396">
        <f>IF($A396="","",IF(SUMIF(FoodLog!$A:$A,$A396,FoodLog!$G:$G)=0,"",SUMIF(FoodLog!$A:$A,$A396,FoodLog!$G:$G)))</f>
        <v/>
      </c>
      <c r="X396">
        <f>IF($A396="","",IF(SUMIF(FoodLog!$A:$A,$A396,FoodLog!$H:$H)=0,"",SUMIF(FoodLog!$A:$A,$A396,FoodLog!$H:$H)))</f>
        <v/>
      </c>
      <c r="Y396">
        <f>IF($A396="","",IFERROR(ROUND(100*AVERAGE(IF($B396="","",XLOOKUP($B396,FILTER(Dictionaries!$B:$B,Dictionaries!$A:$A="Тренировка"),FILTER(Dictionaries!$C:$C,Dictionaries!$A:$A="Тренировка"))),IF($C396="","",MIN($C396/40,1)),IF($D396="","",XLOOKUP($D396,FILTER(Dictionaries!$B:$B,Dictionaries!$A:$A="Шаги"),FILTER(Dictionaries!$C:$C,Dictionaries!$A:$A="Шаги"))),IF($E396="","",MIN($E396/120,1)),IF(OR($F396&lt;&gt;"",$G396&lt;&gt;""),1,""),IF($H396="","",MIN($H396/100,1)),IF($L396="","",XLOOKUP($L396,FILTER(Dictionaries!$B:$B,Dictionaries!$A:$A="Сон_часы"),FILTER(Dictionaries!$C:$C,Dictionaries!$A:$A="Сон_часы"))),IF($M396="","",XLOOKUP($M396,FILTER(Dictionaries!$B:$B,Dictionaries!$A:$A="Режим"),FILTER(Dictionaries!$C:$C,Dictionaries!$A:$A="Режим"))),IF($N396="","",MIN($N396/100,1)),IF($O396="","",XLOOKUP($O396,FILTER(Dictionaries!$B:$B,Dictionaries!$A:$A="Настроение"),FILTER(Dictionaries!$C:$C,Dictionaries!$A:$A="Настроение"))),IF($P396="","",XLOOKUP($P396,FILTER(Dictionaries!$B:$B,Dictionaries!$A:$A="Энергия"),FILTER(Dictionaries!$C:$C,Dictionaries!$A:$A="Энергия"))),IF($U396="","",AVERAGE(IF(OR($B396="Ноги",$B396="Верх"),IFS(AND($U396&gt;=1900,$U396&lt;=2050),1,AND($U396&gt;=1850,$U396&lt;1900),0.7,AND($U396&gt;2050,$U396&lt;=2100),0.7,TRUE,0.2),IFS(AND($U396&gt;=1700,$U396&lt;=1850),1,AND($U396&gt;=1650,$U396&lt;1700),0.7,AND($U396&gt;1850,$U396&lt;=1900),0.7,TRUE,0.2)),IF(OR($B396="Ноги",$B396="Верх"),IFS(AND($V396&gt;=125,$V396&lt;=135),1,AND($V396&gt;=115,$V396&lt;125),0.7,AND($V396&gt;135,$V396&lt;=145),0.7,AND($V396&gt;=105,$V396&lt;115),0.4,AND($V396&gt;145,$V396&lt;=155),0.4,TRUE,0.2),IFS(AND($V396&gt;=120,$V396&lt;=130),1,AND($V396&gt;=110,$V396&lt;120),0.7,AND($V396&gt;130,$V396&lt;=140),0.7,AND($V396&gt;=100,$V396&lt;110),0.4,AND($V396&gt;140,$V396&lt;=150),0.4,TRUE,0.2)),IFS(AND($W396&gt;=55,$W396&lt;=65),1,AND($W396&gt;=50,$W396&lt;55),0.7,AND($W396&gt;65,$W396&lt;=70),0.7,AND($W396&gt;=45,$W396&lt;50),0.4,AND($W396&gt;70,$W396&lt;=75),0.4,TRUE,0.2),IF(OR($B396="Ноги",$B396="Верх"),IFS(AND($X396&gt;=180,$X396&lt;=210),1,AND($X396&gt;=160,$X396&lt;180),0.7,AND($X396&gt;210,$X396&lt;=230),0.7,AND($X396&gt;=140,$X396&lt;160),0.4,AND($X396&gt;230,$X396&lt;=250),0.4,TRUE,0.2),IFS(AND($X396&gt;=140,$X396&lt;=170),1,AND($X396&gt;=120,$X396&lt;140),0.7,AND($X396&gt;170,$X396&lt;=190),0.7,AND($X396&gt;=100,$X396&lt;120),0.4,AND($X396&gt;190,$X396&lt;=210),0.4,TRUE,0.2))))),1),""))</f>
        <v/>
      </c>
      <c r="Z396">
        <f>IF($A396="","",TEXTJOIN(", ",TRUE,IF($B396="","Тренировка",""),IF($C396="","Кардио",""),IF($D396="","Шаги",""),IF($E396="","Английский",""),IF($F396="","Код-режим",""),IF($G396="","Код-тема",""),IF($H396="","Чтение",""),IF($L396="","Сон",""),IF($M396="","Режим",""),IF($N396="","Продуктивность",""),IF($O396="","Настроение",""),IF($P396="","Энергия",""),IF($U396="","Еда","")))</f>
        <v/>
      </c>
    </row>
    <row r="397">
      <c r="A397" t="inlineStr"/>
      <c r="U397">
        <f>IF($A397="","",IF(SUMIF(FoodLog!$A:$A,$A397,FoodLog!$I:$I)=0,"",SUMIF(FoodLog!$A:$A,$A397,FoodLog!$I:$I)))</f>
        <v/>
      </c>
      <c r="V397">
        <f>IF($A397="","",IF(SUMIF(FoodLog!$A:$A,$A397,FoodLog!$F:$F)=0,"",SUMIF(FoodLog!$A:$A,$A397,FoodLog!$F:$F)))</f>
        <v/>
      </c>
      <c r="W397">
        <f>IF($A397="","",IF(SUMIF(FoodLog!$A:$A,$A397,FoodLog!$G:$G)=0,"",SUMIF(FoodLog!$A:$A,$A397,FoodLog!$G:$G)))</f>
        <v/>
      </c>
      <c r="X397">
        <f>IF($A397="","",IF(SUMIF(FoodLog!$A:$A,$A397,FoodLog!$H:$H)=0,"",SUMIF(FoodLog!$A:$A,$A397,FoodLog!$H:$H)))</f>
        <v/>
      </c>
      <c r="Y397">
        <f>IF($A397="","",IFERROR(ROUND(100*AVERAGE(IF($B397="","",XLOOKUP($B397,FILTER(Dictionaries!$B:$B,Dictionaries!$A:$A="Тренировка"),FILTER(Dictionaries!$C:$C,Dictionaries!$A:$A="Тренировка"))),IF($C397="","",MIN($C397/40,1)),IF($D397="","",XLOOKUP($D397,FILTER(Dictionaries!$B:$B,Dictionaries!$A:$A="Шаги"),FILTER(Dictionaries!$C:$C,Dictionaries!$A:$A="Шаги"))),IF($E397="","",MIN($E397/120,1)),IF(OR($F397&lt;&gt;"",$G397&lt;&gt;""),1,""),IF($H397="","",MIN($H397/100,1)),IF($L397="","",XLOOKUP($L397,FILTER(Dictionaries!$B:$B,Dictionaries!$A:$A="Сон_часы"),FILTER(Dictionaries!$C:$C,Dictionaries!$A:$A="Сон_часы"))),IF($M397="","",XLOOKUP($M397,FILTER(Dictionaries!$B:$B,Dictionaries!$A:$A="Режим"),FILTER(Dictionaries!$C:$C,Dictionaries!$A:$A="Режим"))),IF($N397="","",MIN($N397/100,1)),IF($O397="","",XLOOKUP($O397,FILTER(Dictionaries!$B:$B,Dictionaries!$A:$A="Настроение"),FILTER(Dictionaries!$C:$C,Dictionaries!$A:$A="Настроение"))),IF($P397="","",XLOOKUP($P397,FILTER(Dictionaries!$B:$B,Dictionaries!$A:$A="Энергия"),FILTER(Dictionaries!$C:$C,Dictionaries!$A:$A="Энергия"))),IF($U397="","",AVERAGE(IF(OR($B397="Ноги",$B397="Верх"),IFS(AND($U397&gt;=1900,$U397&lt;=2050),1,AND($U397&gt;=1850,$U397&lt;1900),0.7,AND($U397&gt;2050,$U397&lt;=2100),0.7,TRUE,0.2),IFS(AND($U397&gt;=1700,$U397&lt;=1850),1,AND($U397&gt;=1650,$U397&lt;1700),0.7,AND($U397&gt;1850,$U397&lt;=1900),0.7,TRUE,0.2)),IF(OR($B397="Ноги",$B397="Верх"),IFS(AND($V397&gt;=125,$V397&lt;=135),1,AND($V397&gt;=115,$V397&lt;125),0.7,AND($V397&gt;135,$V397&lt;=145),0.7,AND($V397&gt;=105,$V397&lt;115),0.4,AND($V397&gt;145,$V397&lt;=155),0.4,TRUE,0.2),IFS(AND($V397&gt;=120,$V397&lt;=130),1,AND($V397&gt;=110,$V397&lt;120),0.7,AND($V397&gt;130,$V397&lt;=140),0.7,AND($V397&gt;=100,$V397&lt;110),0.4,AND($V397&gt;140,$V397&lt;=150),0.4,TRUE,0.2)),IFS(AND($W397&gt;=55,$W397&lt;=65),1,AND($W397&gt;=50,$W397&lt;55),0.7,AND($W397&gt;65,$W397&lt;=70),0.7,AND($W397&gt;=45,$W397&lt;50),0.4,AND($W397&gt;70,$W397&lt;=75),0.4,TRUE,0.2),IF(OR($B397="Ноги",$B397="Верх"),IFS(AND($X397&gt;=180,$X397&lt;=210),1,AND($X397&gt;=160,$X397&lt;180),0.7,AND($X397&gt;210,$X397&lt;=230),0.7,AND($X397&gt;=140,$X397&lt;160),0.4,AND($X397&gt;230,$X397&lt;=250),0.4,TRUE,0.2),IFS(AND($X397&gt;=140,$X397&lt;=170),1,AND($X397&gt;=120,$X397&lt;140),0.7,AND($X397&gt;170,$X397&lt;=190),0.7,AND($X397&gt;=100,$X397&lt;120),0.4,AND($X397&gt;190,$X397&lt;=210),0.4,TRUE,0.2))))),1),""))</f>
        <v/>
      </c>
      <c r="Z397">
        <f>IF($A397="","",TEXTJOIN(", ",TRUE,IF($B397="","Тренировка",""),IF($C397="","Кардио",""),IF($D397="","Шаги",""),IF($E397="","Английский",""),IF($F397="","Код-режим",""),IF($G397="","Код-тема",""),IF($H397="","Чтение",""),IF($L397="","Сон",""),IF($M397="","Режим",""),IF($N397="","Продуктивность",""),IF($O397="","Настроение",""),IF($P397="","Энергия",""),IF($U397="","Еда","")))</f>
        <v/>
      </c>
    </row>
    <row r="398">
      <c r="A398" t="inlineStr"/>
      <c r="U398">
        <f>IF($A398="","",IF(SUMIF(FoodLog!$A:$A,$A398,FoodLog!$I:$I)=0,"",SUMIF(FoodLog!$A:$A,$A398,FoodLog!$I:$I)))</f>
        <v/>
      </c>
      <c r="V398">
        <f>IF($A398="","",IF(SUMIF(FoodLog!$A:$A,$A398,FoodLog!$F:$F)=0,"",SUMIF(FoodLog!$A:$A,$A398,FoodLog!$F:$F)))</f>
        <v/>
      </c>
      <c r="W398">
        <f>IF($A398="","",IF(SUMIF(FoodLog!$A:$A,$A398,FoodLog!$G:$G)=0,"",SUMIF(FoodLog!$A:$A,$A398,FoodLog!$G:$G)))</f>
        <v/>
      </c>
      <c r="X398">
        <f>IF($A398="","",IF(SUMIF(FoodLog!$A:$A,$A398,FoodLog!$H:$H)=0,"",SUMIF(FoodLog!$A:$A,$A398,FoodLog!$H:$H)))</f>
        <v/>
      </c>
      <c r="Y398">
        <f>IF($A398="","",IFERROR(ROUND(100*AVERAGE(IF($B398="","",XLOOKUP($B398,FILTER(Dictionaries!$B:$B,Dictionaries!$A:$A="Тренировка"),FILTER(Dictionaries!$C:$C,Dictionaries!$A:$A="Тренировка"))),IF($C398="","",MIN($C398/40,1)),IF($D398="","",XLOOKUP($D398,FILTER(Dictionaries!$B:$B,Dictionaries!$A:$A="Шаги"),FILTER(Dictionaries!$C:$C,Dictionaries!$A:$A="Шаги"))),IF($E398="","",MIN($E398/120,1)),IF(OR($F398&lt;&gt;"",$G398&lt;&gt;""),1,""),IF($H398="","",MIN($H398/100,1)),IF($L398="","",XLOOKUP($L398,FILTER(Dictionaries!$B:$B,Dictionaries!$A:$A="Сон_часы"),FILTER(Dictionaries!$C:$C,Dictionaries!$A:$A="Сон_часы"))),IF($M398="","",XLOOKUP($M398,FILTER(Dictionaries!$B:$B,Dictionaries!$A:$A="Режим"),FILTER(Dictionaries!$C:$C,Dictionaries!$A:$A="Режим"))),IF($N398="","",MIN($N398/100,1)),IF($O398="","",XLOOKUP($O398,FILTER(Dictionaries!$B:$B,Dictionaries!$A:$A="Настроение"),FILTER(Dictionaries!$C:$C,Dictionaries!$A:$A="Настроение"))),IF($P398="","",XLOOKUP($P398,FILTER(Dictionaries!$B:$B,Dictionaries!$A:$A="Энергия"),FILTER(Dictionaries!$C:$C,Dictionaries!$A:$A="Энергия"))),IF($U398="","",AVERAGE(IF(OR($B398="Ноги",$B398="Верх"),IFS(AND($U398&gt;=1900,$U398&lt;=2050),1,AND($U398&gt;=1850,$U398&lt;1900),0.7,AND($U398&gt;2050,$U398&lt;=2100),0.7,TRUE,0.2),IFS(AND($U398&gt;=1700,$U398&lt;=1850),1,AND($U398&gt;=1650,$U398&lt;1700),0.7,AND($U398&gt;1850,$U398&lt;=1900),0.7,TRUE,0.2)),IF(OR($B398="Ноги",$B398="Верх"),IFS(AND($V398&gt;=125,$V398&lt;=135),1,AND($V398&gt;=115,$V398&lt;125),0.7,AND($V398&gt;135,$V398&lt;=145),0.7,AND($V398&gt;=105,$V398&lt;115),0.4,AND($V398&gt;145,$V398&lt;=155),0.4,TRUE,0.2),IFS(AND($V398&gt;=120,$V398&lt;=130),1,AND($V398&gt;=110,$V398&lt;120),0.7,AND($V398&gt;130,$V398&lt;=140),0.7,AND($V398&gt;=100,$V398&lt;110),0.4,AND($V398&gt;140,$V398&lt;=150),0.4,TRUE,0.2)),IFS(AND($W398&gt;=55,$W398&lt;=65),1,AND($W398&gt;=50,$W398&lt;55),0.7,AND($W398&gt;65,$W398&lt;=70),0.7,AND($W398&gt;=45,$W398&lt;50),0.4,AND($W398&gt;70,$W398&lt;=75),0.4,TRUE,0.2),IF(OR($B398="Ноги",$B398="Верх"),IFS(AND($X398&gt;=180,$X398&lt;=210),1,AND($X398&gt;=160,$X398&lt;180),0.7,AND($X398&gt;210,$X398&lt;=230),0.7,AND($X398&gt;=140,$X398&lt;160),0.4,AND($X398&gt;230,$X398&lt;=250),0.4,TRUE,0.2),IFS(AND($X398&gt;=140,$X398&lt;=170),1,AND($X398&gt;=120,$X398&lt;140),0.7,AND($X398&gt;170,$X398&lt;=190),0.7,AND($X398&gt;=100,$X398&lt;120),0.4,AND($X398&gt;190,$X398&lt;=210),0.4,TRUE,0.2))))),1),""))</f>
        <v/>
      </c>
      <c r="Z398">
        <f>IF($A398="","",TEXTJOIN(", ",TRUE,IF($B398="","Тренировка",""),IF($C398="","Кардио",""),IF($D398="","Шаги",""),IF($E398="","Английский",""),IF($F398="","Код-режим",""),IF($G398="","Код-тема",""),IF($H398="","Чтение",""),IF($L398="","Сон",""),IF($M398="","Режим",""),IF($N398="","Продуктивность",""),IF($O398="","Настроение",""),IF($P398="","Энергия",""),IF($U398="","Еда","")))</f>
        <v/>
      </c>
    </row>
    <row r="399">
      <c r="A399" t="inlineStr"/>
      <c r="U399">
        <f>IF($A399="","",IF(SUMIF(FoodLog!$A:$A,$A399,FoodLog!$I:$I)=0,"",SUMIF(FoodLog!$A:$A,$A399,FoodLog!$I:$I)))</f>
        <v/>
      </c>
      <c r="V399">
        <f>IF($A399="","",IF(SUMIF(FoodLog!$A:$A,$A399,FoodLog!$F:$F)=0,"",SUMIF(FoodLog!$A:$A,$A399,FoodLog!$F:$F)))</f>
        <v/>
      </c>
      <c r="W399">
        <f>IF($A399="","",IF(SUMIF(FoodLog!$A:$A,$A399,FoodLog!$G:$G)=0,"",SUMIF(FoodLog!$A:$A,$A399,FoodLog!$G:$G)))</f>
        <v/>
      </c>
      <c r="X399">
        <f>IF($A399="","",IF(SUMIF(FoodLog!$A:$A,$A399,FoodLog!$H:$H)=0,"",SUMIF(FoodLog!$A:$A,$A399,FoodLog!$H:$H)))</f>
        <v/>
      </c>
      <c r="Y399">
        <f>IF($A399="","",IFERROR(ROUND(100*AVERAGE(IF($B399="","",XLOOKUP($B399,FILTER(Dictionaries!$B:$B,Dictionaries!$A:$A="Тренировка"),FILTER(Dictionaries!$C:$C,Dictionaries!$A:$A="Тренировка"))),IF($C399="","",MIN($C399/40,1)),IF($D399="","",XLOOKUP($D399,FILTER(Dictionaries!$B:$B,Dictionaries!$A:$A="Шаги"),FILTER(Dictionaries!$C:$C,Dictionaries!$A:$A="Шаги"))),IF($E399="","",MIN($E399/120,1)),IF(OR($F399&lt;&gt;"",$G399&lt;&gt;""),1,""),IF($H399="","",MIN($H399/100,1)),IF($L399="","",XLOOKUP($L399,FILTER(Dictionaries!$B:$B,Dictionaries!$A:$A="Сон_часы"),FILTER(Dictionaries!$C:$C,Dictionaries!$A:$A="Сон_часы"))),IF($M399="","",XLOOKUP($M399,FILTER(Dictionaries!$B:$B,Dictionaries!$A:$A="Режим"),FILTER(Dictionaries!$C:$C,Dictionaries!$A:$A="Режим"))),IF($N399="","",MIN($N399/100,1)),IF($O399="","",XLOOKUP($O399,FILTER(Dictionaries!$B:$B,Dictionaries!$A:$A="Настроение"),FILTER(Dictionaries!$C:$C,Dictionaries!$A:$A="Настроение"))),IF($P399="","",XLOOKUP($P399,FILTER(Dictionaries!$B:$B,Dictionaries!$A:$A="Энергия"),FILTER(Dictionaries!$C:$C,Dictionaries!$A:$A="Энергия"))),IF($U399="","",AVERAGE(IF(OR($B399="Ноги",$B399="Верх"),IFS(AND($U399&gt;=1900,$U399&lt;=2050),1,AND($U399&gt;=1850,$U399&lt;1900),0.7,AND($U399&gt;2050,$U399&lt;=2100),0.7,TRUE,0.2),IFS(AND($U399&gt;=1700,$U399&lt;=1850),1,AND($U399&gt;=1650,$U399&lt;1700),0.7,AND($U399&gt;1850,$U399&lt;=1900),0.7,TRUE,0.2)),IF(OR($B399="Ноги",$B399="Верх"),IFS(AND($V399&gt;=125,$V399&lt;=135),1,AND($V399&gt;=115,$V399&lt;125),0.7,AND($V399&gt;135,$V399&lt;=145),0.7,AND($V399&gt;=105,$V399&lt;115),0.4,AND($V399&gt;145,$V399&lt;=155),0.4,TRUE,0.2),IFS(AND($V399&gt;=120,$V399&lt;=130),1,AND($V399&gt;=110,$V399&lt;120),0.7,AND($V399&gt;130,$V399&lt;=140),0.7,AND($V399&gt;=100,$V399&lt;110),0.4,AND($V399&gt;140,$V399&lt;=150),0.4,TRUE,0.2)),IFS(AND($W399&gt;=55,$W399&lt;=65),1,AND($W399&gt;=50,$W399&lt;55),0.7,AND($W399&gt;65,$W399&lt;=70),0.7,AND($W399&gt;=45,$W399&lt;50),0.4,AND($W399&gt;70,$W399&lt;=75),0.4,TRUE,0.2),IF(OR($B399="Ноги",$B399="Верх"),IFS(AND($X399&gt;=180,$X399&lt;=210),1,AND($X399&gt;=160,$X399&lt;180),0.7,AND($X399&gt;210,$X399&lt;=230),0.7,AND($X399&gt;=140,$X399&lt;160),0.4,AND($X399&gt;230,$X399&lt;=250),0.4,TRUE,0.2),IFS(AND($X399&gt;=140,$X399&lt;=170),1,AND($X399&gt;=120,$X399&lt;140),0.7,AND($X399&gt;170,$X399&lt;=190),0.7,AND($X399&gt;=100,$X399&lt;120),0.4,AND($X399&gt;190,$X399&lt;=210),0.4,TRUE,0.2))))),1),""))</f>
        <v/>
      </c>
      <c r="Z399">
        <f>IF($A399="","",TEXTJOIN(", ",TRUE,IF($B399="","Тренировка",""),IF($C399="","Кардио",""),IF($D399="","Шаги",""),IF($E399="","Английский",""),IF($F399="","Код-режим",""),IF($G399="","Код-тема",""),IF($H399="","Чтение",""),IF($L399="","Сон",""),IF($M399="","Режим",""),IF($N399="","Продуктивность",""),IF($O399="","Настроение",""),IF($P399="","Энергия",""),IF($U399="","Еда","")))</f>
        <v/>
      </c>
    </row>
    <row r="400">
      <c r="A400" t="inlineStr"/>
      <c r="U400">
        <f>IF($A400="","",IF(SUMIF(FoodLog!$A:$A,$A400,FoodLog!$I:$I)=0,"",SUMIF(FoodLog!$A:$A,$A400,FoodLog!$I:$I)))</f>
        <v/>
      </c>
      <c r="V400">
        <f>IF($A400="","",IF(SUMIF(FoodLog!$A:$A,$A400,FoodLog!$F:$F)=0,"",SUMIF(FoodLog!$A:$A,$A400,FoodLog!$F:$F)))</f>
        <v/>
      </c>
      <c r="W400">
        <f>IF($A400="","",IF(SUMIF(FoodLog!$A:$A,$A400,FoodLog!$G:$G)=0,"",SUMIF(FoodLog!$A:$A,$A400,FoodLog!$G:$G)))</f>
        <v/>
      </c>
      <c r="X400">
        <f>IF($A400="","",IF(SUMIF(FoodLog!$A:$A,$A400,FoodLog!$H:$H)=0,"",SUMIF(FoodLog!$A:$A,$A400,FoodLog!$H:$H)))</f>
        <v/>
      </c>
      <c r="Y400">
        <f>IF($A400="","",IFERROR(ROUND(100*AVERAGE(IF($B400="","",XLOOKUP($B400,FILTER(Dictionaries!$B:$B,Dictionaries!$A:$A="Тренировка"),FILTER(Dictionaries!$C:$C,Dictionaries!$A:$A="Тренировка"))),IF($C400="","",MIN($C400/40,1)),IF($D400="","",XLOOKUP($D400,FILTER(Dictionaries!$B:$B,Dictionaries!$A:$A="Шаги"),FILTER(Dictionaries!$C:$C,Dictionaries!$A:$A="Шаги"))),IF($E400="","",MIN($E400/120,1)),IF(OR($F400&lt;&gt;"",$G400&lt;&gt;""),1,""),IF($H400="","",MIN($H400/100,1)),IF($L400="","",XLOOKUP($L400,FILTER(Dictionaries!$B:$B,Dictionaries!$A:$A="Сон_часы"),FILTER(Dictionaries!$C:$C,Dictionaries!$A:$A="Сон_часы"))),IF($M400="","",XLOOKUP($M400,FILTER(Dictionaries!$B:$B,Dictionaries!$A:$A="Режим"),FILTER(Dictionaries!$C:$C,Dictionaries!$A:$A="Режим"))),IF($N400="","",MIN($N400/100,1)),IF($O400="","",XLOOKUP($O400,FILTER(Dictionaries!$B:$B,Dictionaries!$A:$A="Настроение"),FILTER(Dictionaries!$C:$C,Dictionaries!$A:$A="Настроение"))),IF($P400="","",XLOOKUP($P400,FILTER(Dictionaries!$B:$B,Dictionaries!$A:$A="Энергия"),FILTER(Dictionaries!$C:$C,Dictionaries!$A:$A="Энергия"))),IF($U400="","",AVERAGE(IF(OR($B400="Ноги",$B400="Верх"),IFS(AND($U400&gt;=1900,$U400&lt;=2050),1,AND($U400&gt;=1850,$U400&lt;1900),0.7,AND($U400&gt;2050,$U400&lt;=2100),0.7,TRUE,0.2),IFS(AND($U400&gt;=1700,$U400&lt;=1850),1,AND($U400&gt;=1650,$U400&lt;1700),0.7,AND($U400&gt;1850,$U400&lt;=1900),0.7,TRUE,0.2)),IF(OR($B400="Ноги",$B400="Верх"),IFS(AND($V400&gt;=125,$V400&lt;=135),1,AND($V400&gt;=115,$V400&lt;125),0.7,AND($V400&gt;135,$V400&lt;=145),0.7,AND($V400&gt;=105,$V400&lt;115),0.4,AND($V400&gt;145,$V400&lt;=155),0.4,TRUE,0.2),IFS(AND($V400&gt;=120,$V400&lt;=130),1,AND($V400&gt;=110,$V400&lt;120),0.7,AND($V400&gt;130,$V400&lt;=140),0.7,AND($V400&gt;=100,$V400&lt;110),0.4,AND($V400&gt;140,$V400&lt;=150),0.4,TRUE,0.2)),IFS(AND($W400&gt;=55,$W400&lt;=65),1,AND($W400&gt;=50,$W400&lt;55),0.7,AND($W400&gt;65,$W400&lt;=70),0.7,AND($W400&gt;=45,$W400&lt;50),0.4,AND($W400&gt;70,$W400&lt;=75),0.4,TRUE,0.2),IF(OR($B400="Ноги",$B400="Верх"),IFS(AND($X400&gt;=180,$X400&lt;=210),1,AND($X400&gt;=160,$X400&lt;180),0.7,AND($X400&gt;210,$X400&lt;=230),0.7,AND($X400&gt;=140,$X400&lt;160),0.4,AND($X400&gt;230,$X400&lt;=250),0.4,TRUE,0.2),IFS(AND($X400&gt;=140,$X400&lt;=170),1,AND($X400&gt;=120,$X400&lt;140),0.7,AND($X400&gt;170,$X400&lt;=190),0.7,AND($X400&gt;=100,$X400&lt;120),0.4,AND($X400&gt;190,$X400&lt;=210),0.4,TRUE,0.2))))),1),""))</f>
        <v/>
      </c>
      <c r="Z400">
        <f>IF($A400="","",TEXTJOIN(", ",TRUE,IF($B400="","Тренировка",""),IF($C400="","Кардио",""),IF($D400="","Шаги",""),IF($E400="","Английский",""),IF($F400="","Код-режим",""),IF($G400="","Код-тема",""),IF($H400="","Чтение",""),IF($L400="","Сон",""),IF($M400="","Режим",""),IF($N400="","Продуктивность",""),IF($O400="","Настроение",""),IF($P400="","Энергия",""),IF($U400="","Еда","")))</f>
        <v/>
      </c>
    </row>
  </sheetData>
  <dataValidations count="7">
    <dataValidation sqref="B2:B200" showDropDown="0" showInputMessage="0" showErrorMessage="0" allowBlank="1" type="list">
      <formula1>"Пропустил,Отдых,Ноги,Верх"</formula1>
    </dataValidation>
    <dataValidation sqref="D2:D200" showDropDown="0" showInputMessage="0" showErrorMessage="0" allowBlank="1" type="list">
      <formula1>"&lt;5k,5-7k,7-10k,10-12k,12-15k,15k+"</formula1>
    </dataValidation>
    <dataValidation sqref="E2:E200" showDropDown="0" showInputMessage="0" showErrorMessage="0" allowBlank="1" type="list">
      <formula1>"&lt;6,6-8,&gt;8"</formula1>
    </dataValidation>
    <dataValidation sqref="F2:F200" showDropDown="0" showInputMessage="0" showErrorMessage="0" allowBlank="1" type="list">
      <formula1>"Не сбит,Сбит"</formula1>
    </dataValidation>
    <dataValidation sqref="G2:G200" showDropDown="0" showInputMessage="0" showErrorMessage="0" allowBlank="1" type="list">
      <formula1>"Отличное,Веселый,Обычное,Серьезный,Раздраженный,Беспокойный,Злой"</formula1>
    </dataValidation>
    <dataValidation sqref="H2:H200" showDropDown="0" showInputMessage="0" showErrorMessage="0" allowBlank="1" type="list">
      <formula1>"нет,мало,есть,я живчик"</formula1>
    </dataValidation>
    <dataValidation sqref="I2:I200" showDropDown="0" showInputMessage="0" showErrorMessage="0" allowBlank="1" type="list">
      <formula1>"0%,25%,50%,75%,100%"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2" customHeight="1">
      <c r="A1" s="1" t="inlineStr">
        <is>
          <t>????</t>
        </is>
      </c>
      <c r="B1" s="1" t="inlineStr">
        <is>
          <t>?????</t>
        </is>
      </c>
      <c r="C1" s="1" t="inlineStr">
        <is>
          <t>???_??????</t>
        </is>
      </c>
      <c r="D1" s="1" t="inlineStr">
        <is>
          <t>???-??_??????</t>
        </is>
      </c>
      <c r="E1" s="1" t="inlineStr">
        <is>
          <t>?????_?????</t>
        </is>
      </c>
      <c r="F1" s="1" t="inlineStr">
        <is>
          <t>?????</t>
        </is>
      </c>
      <c r="G1" s="1" t="inlineStr">
        <is>
          <t>????</t>
        </is>
      </c>
      <c r="H1" s="1" t="inlineStr">
        <is>
          <t>????</t>
        </is>
      </c>
      <c r="I1" s="1" t="inlineStr">
        <is>
          <t>????</t>
        </is>
      </c>
      <c r="J1" s="1" t="inlineStr">
        <is>
          <t>???????????</t>
        </is>
      </c>
    </row>
    <row r="2">
      <c r="E2">
        <f>ARRAYFORMULA(IF(C2:C="","",D2:D*XLOOKUP(C2:C,Portions!$A:$A,Portions!$D:$D)))</f>
        <v/>
      </c>
      <c r="F2">
        <f>ARRAYFORMULA(IF(E2:E="","",E2:E/100*XLOOKUP(XLOOKUP(C2:C,Portions!$A:$A,Portions!$B:$B),FoodItems!$A:$A,FoodItems!$B:$B)))</f>
        <v/>
      </c>
      <c r="G2">
        <f>ARRAYFORMULA(IF(E2:E="","",E2:E/100*XLOOKUP(XLOOKUP(C2:C,Portions!$A:$A,Portions!$B:$B),FoodItems!$A:$A,FoodItems!$C:$C)))</f>
        <v/>
      </c>
      <c r="H2">
        <f>ARRAYFORMULA(IF(E2:E="","",E2:E/100*XLOOKUP(XLOOKUP(C2:C,Portions!$A:$A,Portions!$B:$B),FoodItems!$A:$A,FoodItems!$D:$D)))</f>
        <v/>
      </c>
      <c r="I2">
        <f>ARRAYFORMULA(IF(E2:E="","",E2:E/100*XLOOKUP(XLOOKUP(C2:C,Portions!$A:$A,Portions!$B:$B),FoodItems!$A:$A,FoodItems!$E:$E)))</f>
        <v/>
      </c>
    </row>
    <row r="3">
      <c r="E3">
        <f>IF(C3="","",D3*XLOOKUP(C3,Portions!$A:$A,Portions!$D:$D))</f>
        <v/>
      </c>
      <c r="F3">
        <f>IF(E3="","",E3/100*XLOOKUP(XLOOKUP(C3,Portions!$A:$A,Portions!$B:$B),FoodItems!$A:$A,FoodItems!$B:$B))</f>
        <v/>
      </c>
      <c r="G3">
        <f>IF(E3="","",E3/100*XLOOKUP(XLOOKUP(C3,Portions!$A:$A,Portions!$B:$B),FoodItems!$A:$A,FoodItems!$C:$C))</f>
        <v/>
      </c>
      <c r="H3">
        <f>IF(E3="","",E3/100*XLOOKUP(XLOOKUP(C3,Portions!$A:$A,Portions!$B:$B),FoodItems!$A:$A,FoodItems!$D:$D))</f>
        <v/>
      </c>
      <c r="I3">
        <f>IF(E3="","",E3/100*XLOOKUP(XLOOKUP(C3,Portions!$A:$A,Portions!$B:$B),FoodItems!$A:$A,FoodItems!$E:$E))</f>
        <v/>
      </c>
    </row>
    <row r="4">
      <c r="E4">
        <f>IF(C4="","",D4*XLOOKUP(C4,Portions!$A:$A,Portions!$D:$D))</f>
        <v/>
      </c>
      <c r="F4">
        <f>IF(E4="","",E4/100*XLOOKUP(XLOOKUP(C4,Portions!$A:$A,Portions!$B:$B),FoodItems!$A:$A,FoodItems!$B:$B))</f>
        <v/>
      </c>
      <c r="G4">
        <f>IF(E4="","",E4/100*XLOOKUP(XLOOKUP(C4,Portions!$A:$A,Portions!$B:$B),FoodItems!$A:$A,FoodItems!$C:$C))</f>
        <v/>
      </c>
      <c r="H4">
        <f>IF(E4="","",E4/100*XLOOKUP(XLOOKUP(C4,Portions!$A:$A,Portions!$B:$B),FoodItems!$A:$A,FoodItems!$D:$D))</f>
        <v/>
      </c>
      <c r="I4">
        <f>IF(E4="","",E4/100*XLOOKUP(XLOOKUP(C4,Portions!$A:$A,Portions!$B:$B),FoodItems!$A:$A,FoodItems!$E:$E))</f>
        <v/>
      </c>
    </row>
    <row r="5">
      <c r="E5">
        <f>IF(C5="","",D5*XLOOKUP(C5,Portions!$A:$A,Portions!$D:$D))</f>
        <v/>
      </c>
      <c r="F5">
        <f>IF(E5="","",E5/100*XLOOKUP(XLOOKUP(C5,Portions!$A:$A,Portions!$B:$B),FoodItems!$A:$A,FoodItems!$B:$B))</f>
        <v/>
      </c>
      <c r="G5">
        <f>IF(E5="","",E5/100*XLOOKUP(XLOOKUP(C5,Portions!$A:$A,Portions!$B:$B),FoodItems!$A:$A,FoodItems!$C:$C))</f>
        <v/>
      </c>
      <c r="H5">
        <f>IF(E5="","",E5/100*XLOOKUP(XLOOKUP(C5,Portions!$A:$A,Portions!$B:$B),FoodItems!$A:$A,FoodItems!$D:$D))</f>
        <v/>
      </c>
      <c r="I5">
        <f>IF(E5="","",E5/100*XLOOKUP(XLOOKUP(C5,Portions!$A:$A,Portions!$B:$B),FoodItems!$A:$A,FoodItems!$E:$E))</f>
        <v/>
      </c>
    </row>
    <row r="6">
      <c r="E6">
        <f>IF(C6="","",D6*XLOOKUP(C6,Portions!$A:$A,Portions!$D:$D))</f>
        <v/>
      </c>
      <c r="F6">
        <f>IF(E6="","",E6/100*XLOOKUP(XLOOKUP(C6,Portions!$A:$A,Portions!$B:$B),FoodItems!$A:$A,FoodItems!$B:$B))</f>
        <v/>
      </c>
      <c r="G6">
        <f>IF(E6="","",E6/100*XLOOKUP(XLOOKUP(C6,Portions!$A:$A,Portions!$B:$B),FoodItems!$A:$A,FoodItems!$C:$C))</f>
        <v/>
      </c>
      <c r="H6">
        <f>IF(E6="","",E6/100*XLOOKUP(XLOOKUP(C6,Portions!$A:$A,Portions!$B:$B),FoodItems!$A:$A,FoodItems!$D:$D))</f>
        <v/>
      </c>
      <c r="I6">
        <f>IF(E6="","",E6/100*XLOOKUP(XLOOKUP(C6,Portions!$A:$A,Portions!$B:$B),FoodItems!$A:$A,FoodItems!$E:$E))</f>
        <v/>
      </c>
    </row>
    <row r="7">
      <c r="E7">
        <f>IF(C7="","",D7*XLOOKUP(C7,Portions!$A:$A,Portions!$D:$D))</f>
        <v/>
      </c>
      <c r="F7">
        <f>IF(E7="","",E7/100*XLOOKUP(XLOOKUP(C7,Portions!$A:$A,Portions!$B:$B),FoodItems!$A:$A,FoodItems!$B:$B))</f>
        <v/>
      </c>
      <c r="G7">
        <f>IF(E7="","",E7/100*XLOOKUP(XLOOKUP(C7,Portions!$A:$A,Portions!$B:$B),FoodItems!$A:$A,FoodItems!$C:$C))</f>
        <v/>
      </c>
      <c r="H7">
        <f>IF(E7="","",E7/100*XLOOKUP(XLOOKUP(C7,Portions!$A:$A,Portions!$B:$B),FoodItems!$A:$A,FoodItems!$D:$D))</f>
        <v/>
      </c>
      <c r="I7">
        <f>IF(E7="","",E7/100*XLOOKUP(XLOOKUP(C7,Portions!$A:$A,Portions!$B:$B),FoodItems!$A:$A,FoodItems!$E:$E))</f>
        <v/>
      </c>
    </row>
    <row r="8">
      <c r="E8">
        <f>IF(C8="","",D8*XLOOKUP(C8,Portions!$A:$A,Portions!$D:$D))</f>
        <v/>
      </c>
      <c r="F8">
        <f>IF(E8="","",E8/100*XLOOKUP(XLOOKUP(C8,Portions!$A:$A,Portions!$B:$B),FoodItems!$A:$A,FoodItems!$B:$B))</f>
        <v/>
      </c>
      <c r="G8">
        <f>IF(E8="","",E8/100*XLOOKUP(XLOOKUP(C8,Portions!$A:$A,Portions!$B:$B),FoodItems!$A:$A,FoodItems!$C:$C))</f>
        <v/>
      </c>
      <c r="H8">
        <f>IF(E8="","",E8/100*XLOOKUP(XLOOKUP(C8,Portions!$A:$A,Portions!$B:$B),FoodItems!$A:$A,FoodItems!$D:$D))</f>
        <v/>
      </c>
      <c r="I8">
        <f>IF(E8="","",E8/100*XLOOKUP(XLOOKUP(C8,Portions!$A:$A,Portions!$B:$B),FoodItems!$A:$A,FoodItems!$E:$E))</f>
        <v/>
      </c>
    </row>
    <row r="9">
      <c r="E9">
        <f>IF(C9="","",D9*XLOOKUP(C9,Portions!$A:$A,Portions!$D:$D))</f>
        <v/>
      </c>
      <c r="F9">
        <f>IF(E9="","",E9/100*XLOOKUP(XLOOKUP(C9,Portions!$A:$A,Portions!$B:$B),FoodItems!$A:$A,FoodItems!$B:$B))</f>
        <v/>
      </c>
      <c r="G9">
        <f>IF(E9="","",E9/100*XLOOKUP(XLOOKUP(C9,Portions!$A:$A,Portions!$B:$B),FoodItems!$A:$A,FoodItems!$C:$C))</f>
        <v/>
      </c>
      <c r="H9">
        <f>IF(E9="","",E9/100*XLOOKUP(XLOOKUP(C9,Portions!$A:$A,Portions!$B:$B),FoodItems!$A:$A,FoodItems!$D:$D))</f>
        <v/>
      </c>
      <c r="I9">
        <f>IF(E9="","",E9/100*XLOOKUP(XLOOKUP(C9,Portions!$A:$A,Portions!$B:$B),FoodItems!$A:$A,FoodItems!$E:$E))</f>
        <v/>
      </c>
    </row>
    <row r="10">
      <c r="E10">
        <f>IF(C10="","",D10*XLOOKUP(C10,Portions!$A:$A,Portions!$D:$D))</f>
        <v/>
      </c>
      <c r="F10">
        <f>IF(E10="","",E10/100*XLOOKUP(XLOOKUP(C10,Portions!$A:$A,Portions!$B:$B),FoodItems!$A:$A,FoodItems!$B:$B))</f>
        <v/>
      </c>
      <c r="G10">
        <f>IF(E10="","",E10/100*XLOOKUP(XLOOKUP(C10,Portions!$A:$A,Portions!$B:$B),FoodItems!$A:$A,FoodItems!$C:$C))</f>
        <v/>
      </c>
      <c r="H10">
        <f>IF(E10="","",E10/100*XLOOKUP(XLOOKUP(C10,Portions!$A:$A,Portions!$B:$B),FoodItems!$A:$A,FoodItems!$D:$D))</f>
        <v/>
      </c>
      <c r="I10">
        <f>IF(E10="","",E10/100*XLOOKUP(XLOOKUP(C10,Portions!$A:$A,Portions!$B:$B),FoodItems!$A:$A,FoodItems!$E:$E))</f>
        <v/>
      </c>
    </row>
    <row r="11">
      <c r="E11">
        <f>IF(C11="","",D11*XLOOKUP(C11,Portions!$A:$A,Portions!$D:$D))</f>
        <v/>
      </c>
      <c r="F11">
        <f>IF(E11="","",E11/100*XLOOKUP(XLOOKUP(C11,Portions!$A:$A,Portions!$B:$B),FoodItems!$A:$A,FoodItems!$B:$B))</f>
        <v/>
      </c>
      <c r="G11">
        <f>IF(E11="","",E11/100*XLOOKUP(XLOOKUP(C11,Portions!$A:$A,Portions!$B:$B),FoodItems!$A:$A,FoodItems!$C:$C))</f>
        <v/>
      </c>
      <c r="H11">
        <f>IF(E11="","",E11/100*XLOOKUP(XLOOKUP(C11,Portions!$A:$A,Portions!$B:$B),FoodItems!$A:$A,FoodItems!$D:$D))</f>
        <v/>
      </c>
      <c r="I11">
        <f>IF(E11="","",E11/100*XLOOKUP(XLOOKUP(C11,Portions!$A:$A,Portions!$B:$B),FoodItems!$A:$A,FoodItems!$E:$E))</f>
        <v/>
      </c>
    </row>
    <row r="12">
      <c r="E12">
        <f>IF(C12="","",D12*XLOOKUP(C12,Portions!$A:$A,Portions!$D:$D))</f>
        <v/>
      </c>
      <c r="F12">
        <f>IF(E12="","",E12/100*XLOOKUP(XLOOKUP(C12,Portions!$A:$A,Portions!$B:$B),FoodItems!$A:$A,FoodItems!$B:$B))</f>
        <v/>
      </c>
      <c r="G12">
        <f>IF(E12="","",E12/100*XLOOKUP(XLOOKUP(C12,Portions!$A:$A,Portions!$B:$B),FoodItems!$A:$A,FoodItems!$C:$C))</f>
        <v/>
      </c>
      <c r="H12">
        <f>IF(E12="","",E12/100*XLOOKUP(XLOOKUP(C12,Portions!$A:$A,Portions!$B:$B),FoodItems!$A:$A,FoodItems!$D:$D))</f>
        <v/>
      </c>
      <c r="I12">
        <f>IF(E12="","",E12/100*XLOOKUP(XLOOKUP(C12,Portions!$A:$A,Portions!$B:$B),FoodItems!$A:$A,FoodItems!$E:$E))</f>
        <v/>
      </c>
    </row>
    <row r="13">
      <c r="E13">
        <f>IF(C13="","",D13*XLOOKUP(C13,Portions!$A:$A,Portions!$D:$D))</f>
        <v/>
      </c>
      <c r="F13">
        <f>IF(E13="","",E13/100*XLOOKUP(XLOOKUP(C13,Portions!$A:$A,Portions!$B:$B),FoodItems!$A:$A,FoodItems!$B:$B))</f>
        <v/>
      </c>
      <c r="G13">
        <f>IF(E13="","",E13/100*XLOOKUP(XLOOKUP(C13,Portions!$A:$A,Portions!$B:$B),FoodItems!$A:$A,FoodItems!$C:$C))</f>
        <v/>
      </c>
      <c r="H13">
        <f>IF(E13="","",E13/100*XLOOKUP(XLOOKUP(C13,Portions!$A:$A,Portions!$B:$B),FoodItems!$A:$A,FoodItems!$D:$D))</f>
        <v/>
      </c>
      <c r="I13">
        <f>IF(E13="","",E13/100*XLOOKUP(XLOOKUP(C13,Portions!$A:$A,Portions!$B:$B),FoodItems!$A:$A,FoodItems!$E:$E))</f>
        <v/>
      </c>
    </row>
    <row r="14">
      <c r="E14">
        <f>IF(C14="","",D14*XLOOKUP(C14,Portions!$A:$A,Portions!$D:$D))</f>
        <v/>
      </c>
      <c r="F14">
        <f>IF(E14="","",E14/100*XLOOKUP(XLOOKUP(C14,Portions!$A:$A,Portions!$B:$B),FoodItems!$A:$A,FoodItems!$B:$B))</f>
        <v/>
      </c>
      <c r="G14">
        <f>IF(E14="","",E14/100*XLOOKUP(XLOOKUP(C14,Portions!$A:$A,Portions!$B:$B),FoodItems!$A:$A,FoodItems!$C:$C))</f>
        <v/>
      </c>
      <c r="H14">
        <f>IF(E14="","",E14/100*XLOOKUP(XLOOKUP(C14,Portions!$A:$A,Portions!$B:$B),FoodItems!$A:$A,FoodItems!$D:$D))</f>
        <v/>
      </c>
      <c r="I14">
        <f>IF(E14="","",E14/100*XLOOKUP(XLOOKUP(C14,Portions!$A:$A,Portions!$B:$B),FoodItems!$A:$A,FoodItems!$E:$E))</f>
        <v/>
      </c>
    </row>
    <row r="15">
      <c r="E15">
        <f>IF(C15="","",D15*XLOOKUP(C15,Portions!$A:$A,Portions!$D:$D))</f>
        <v/>
      </c>
      <c r="F15">
        <f>IF(E15="","",E15/100*XLOOKUP(XLOOKUP(C15,Portions!$A:$A,Portions!$B:$B),FoodItems!$A:$A,FoodItems!$B:$B))</f>
        <v/>
      </c>
      <c r="G15">
        <f>IF(E15="","",E15/100*XLOOKUP(XLOOKUP(C15,Portions!$A:$A,Portions!$B:$B),FoodItems!$A:$A,FoodItems!$C:$C))</f>
        <v/>
      </c>
      <c r="H15">
        <f>IF(E15="","",E15/100*XLOOKUP(XLOOKUP(C15,Portions!$A:$A,Portions!$B:$B),FoodItems!$A:$A,FoodItems!$D:$D))</f>
        <v/>
      </c>
      <c r="I15">
        <f>IF(E15="","",E15/100*XLOOKUP(XLOOKUP(C15,Portions!$A:$A,Portions!$B:$B),FoodItems!$A:$A,FoodItems!$E:$E))</f>
        <v/>
      </c>
    </row>
    <row r="16">
      <c r="E16">
        <f>IF(C16="","",D16*XLOOKUP(C16,Portions!$A:$A,Portions!$D:$D))</f>
        <v/>
      </c>
      <c r="F16">
        <f>IF(E16="","",E16/100*XLOOKUP(XLOOKUP(C16,Portions!$A:$A,Portions!$B:$B),FoodItems!$A:$A,FoodItems!$B:$B))</f>
        <v/>
      </c>
      <c r="G16">
        <f>IF(E16="","",E16/100*XLOOKUP(XLOOKUP(C16,Portions!$A:$A,Portions!$B:$B),FoodItems!$A:$A,FoodItems!$C:$C))</f>
        <v/>
      </c>
      <c r="H16">
        <f>IF(E16="","",E16/100*XLOOKUP(XLOOKUP(C16,Portions!$A:$A,Portions!$B:$B),FoodItems!$A:$A,FoodItems!$D:$D))</f>
        <v/>
      </c>
      <c r="I16">
        <f>IF(E16="","",E16/100*XLOOKUP(XLOOKUP(C16,Portions!$A:$A,Portions!$B:$B),FoodItems!$A:$A,FoodItems!$E:$E))</f>
        <v/>
      </c>
    </row>
    <row r="17">
      <c r="E17">
        <f>IF(C17="","",D17*XLOOKUP(C17,Portions!$A:$A,Portions!$D:$D))</f>
        <v/>
      </c>
      <c r="F17">
        <f>IF(E17="","",E17/100*XLOOKUP(XLOOKUP(C17,Portions!$A:$A,Portions!$B:$B),FoodItems!$A:$A,FoodItems!$B:$B))</f>
        <v/>
      </c>
      <c r="G17">
        <f>IF(E17="","",E17/100*XLOOKUP(XLOOKUP(C17,Portions!$A:$A,Portions!$B:$B),FoodItems!$A:$A,FoodItems!$C:$C))</f>
        <v/>
      </c>
      <c r="H17">
        <f>IF(E17="","",E17/100*XLOOKUP(XLOOKUP(C17,Portions!$A:$A,Portions!$B:$B),FoodItems!$A:$A,FoodItems!$D:$D))</f>
        <v/>
      </c>
      <c r="I17">
        <f>IF(E17="","",E17/100*XLOOKUP(XLOOKUP(C17,Portions!$A:$A,Portions!$B:$B),FoodItems!$A:$A,FoodItems!$E:$E))</f>
        <v/>
      </c>
    </row>
    <row r="18">
      <c r="E18">
        <f>IF(C18="","",D18*XLOOKUP(C18,Portions!$A:$A,Portions!$D:$D))</f>
        <v/>
      </c>
      <c r="F18">
        <f>IF(E18="","",E18/100*XLOOKUP(XLOOKUP(C18,Portions!$A:$A,Portions!$B:$B),FoodItems!$A:$A,FoodItems!$B:$B))</f>
        <v/>
      </c>
      <c r="G18">
        <f>IF(E18="","",E18/100*XLOOKUP(XLOOKUP(C18,Portions!$A:$A,Portions!$B:$B),FoodItems!$A:$A,FoodItems!$C:$C))</f>
        <v/>
      </c>
      <c r="H18">
        <f>IF(E18="","",E18/100*XLOOKUP(XLOOKUP(C18,Portions!$A:$A,Portions!$B:$B),FoodItems!$A:$A,FoodItems!$D:$D))</f>
        <v/>
      </c>
      <c r="I18">
        <f>IF(E18="","",E18/100*XLOOKUP(XLOOKUP(C18,Portions!$A:$A,Portions!$B:$B),FoodItems!$A:$A,FoodItems!$E:$E))</f>
        <v/>
      </c>
    </row>
    <row r="19">
      <c r="E19">
        <f>IF(C19="","",D19*XLOOKUP(C19,Portions!$A:$A,Portions!$D:$D))</f>
        <v/>
      </c>
      <c r="F19">
        <f>IF(E19="","",E19/100*XLOOKUP(XLOOKUP(C19,Portions!$A:$A,Portions!$B:$B),FoodItems!$A:$A,FoodItems!$B:$B))</f>
        <v/>
      </c>
      <c r="G19">
        <f>IF(E19="","",E19/100*XLOOKUP(XLOOKUP(C19,Portions!$A:$A,Portions!$B:$B),FoodItems!$A:$A,FoodItems!$C:$C))</f>
        <v/>
      </c>
      <c r="H19">
        <f>IF(E19="","",E19/100*XLOOKUP(XLOOKUP(C19,Portions!$A:$A,Portions!$B:$B),FoodItems!$A:$A,FoodItems!$D:$D))</f>
        <v/>
      </c>
      <c r="I19">
        <f>IF(E19="","",E19/100*XLOOKUP(XLOOKUP(C19,Portions!$A:$A,Portions!$B:$B),FoodItems!$A:$A,FoodItems!$E:$E))</f>
        <v/>
      </c>
    </row>
    <row r="20">
      <c r="E20">
        <f>IF(C20="","",D20*XLOOKUP(C20,Portions!$A:$A,Portions!$D:$D))</f>
        <v/>
      </c>
      <c r="F20">
        <f>IF(E20="","",E20/100*XLOOKUP(XLOOKUP(C20,Portions!$A:$A,Portions!$B:$B),FoodItems!$A:$A,FoodItems!$B:$B))</f>
        <v/>
      </c>
      <c r="G20">
        <f>IF(E20="","",E20/100*XLOOKUP(XLOOKUP(C20,Portions!$A:$A,Portions!$B:$B),FoodItems!$A:$A,FoodItems!$C:$C))</f>
        <v/>
      </c>
      <c r="H20">
        <f>IF(E20="","",E20/100*XLOOKUP(XLOOKUP(C20,Portions!$A:$A,Portions!$B:$B),FoodItems!$A:$A,FoodItems!$D:$D))</f>
        <v/>
      </c>
      <c r="I20">
        <f>IF(E20="","",E20/100*XLOOKUP(XLOOKUP(C20,Portions!$A:$A,Portions!$B:$B),FoodItems!$A:$A,FoodItems!$E:$E))</f>
        <v/>
      </c>
    </row>
    <row r="21">
      <c r="E21">
        <f>IF(C21="","",D21*XLOOKUP(C21,Portions!$A:$A,Portions!$D:$D))</f>
        <v/>
      </c>
      <c r="F21">
        <f>IF(E21="","",E21/100*XLOOKUP(XLOOKUP(C21,Portions!$A:$A,Portions!$B:$B),FoodItems!$A:$A,FoodItems!$B:$B))</f>
        <v/>
      </c>
      <c r="G21">
        <f>IF(E21="","",E21/100*XLOOKUP(XLOOKUP(C21,Portions!$A:$A,Portions!$B:$B),FoodItems!$A:$A,FoodItems!$C:$C))</f>
        <v/>
      </c>
      <c r="H21">
        <f>IF(E21="","",E21/100*XLOOKUP(XLOOKUP(C21,Portions!$A:$A,Portions!$B:$B),FoodItems!$A:$A,FoodItems!$D:$D))</f>
        <v/>
      </c>
      <c r="I21">
        <f>IF(E21="","",E21/100*XLOOKUP(XLOOKUP(C21,Portions!$A:$A,Portions!$B:$B),FoodItems!$A:$A,FoodItems!$E:$E))</f>
        <v/>
      </c>
    </row>
    <row r="22">
      <c r="E22">
        <f>IF(C22="","",D22*XLOOKUP(C22,Portions!$A:$A,Portions!$D:$D))</f>
        <v/>
      </c>
      <c r="F22">
        <f>IF(E22="","",E22/100*XLOOKUP(XLOOKUP(C22,Portions!$A:$A,Portions!$B:$B),FoodItems!$A:$A,FoodItems!$B:$B))</f>
        <v/>
      </c>
      <c r="G22">
        <f>IF(E22="","",E22/100*XLOOKUP(XLOOKUP(C22,Portions!$A:$A,Portions!$B:$B),FoodItems!$A:$A,FoodItems!$C:$C))</f>
        <v/>
      </c>
      <c r="H22">
        <f>IF(E22="","",E22/100*XLOOKUP(XLOOKUP(C22,Portions!$A:$A,Portions!$B:$B),FoodItems!$A:$A,FoodItems!$D:$D))</f>
        <v/>
      </c>
      <c r="I22">
        <f>IF(E22="","",E22/100*XLOOKUP(XLOOKUP(C22,Portions!$A:$A,Portions!$B:$B),FoodItems!$A:$A,FoodItems!$E:$E))</f>
        <v/>
      </c>
    </row>
    <row r="23">
      <c r="E23">
        <f>IF(C23="","",D23*XLOOKUP(C23,Portions!$A:$A,Portions!$D:$D))</f>
        <v/>
      </c>
      <c r="F23">
        <f>IF(E23="","",E23/100*XLOOKUP(XLOOKUP(C23,Portions!$A:$A,Portions!$B:$B),FoodItems!$A:$A,FoodItems!$B:$B))</f>
        <v/>
      </c>
      <c r="G23">
        <f>IF(E23="","",E23/100*XLOOKUP(XLOOKUP(C23,Portions!$A:$A,Portions!$B:$B),FoodItems!$A:$A,FoodItems!$C:$C))</f>
        <v/>
      </c>
      <c r="H23">
        <f>IF(E23="","",E23/100*XLOOKUP(XLOOKUP(C23,Portions!$A:$A,Portions!$B:$B),FoodItems!$A:$A,FoodItems!$D:$D))</f>
        <v/>
      </c>
      <c r="I23">
        <f>IF(E23="","",E23/100*XLOOKUP(XLOOKUP(C23,Portions!$A:$A,Portions!$B:$B),FoodItems!$A:$A,FoodItems!$E:$E))</f>
        <v/>
      </c>
    </row>
    <row r="24">
      <c r="E24">
        <f>IF(C24="","",D24*XLOOKUP(C24,Portions!$A:$A,Portions!$D:$D))</f>
        <v/>
      </c>
      <c r="F24">
        <f>IF(E24="","",E24/100*XLOOKUP(XLOOKUP(C24,Portions!$A:$A,Portions!$B:$B),FoodItems!$A:$A,FoodItems!$B:$B))</f>
        <v/>
      </c>
      <c r="G24">
        <f>IF(E24="","",E24/100*XLOOKUP(XLOOKUP(C24,Portions!$A:$A,Portions!$B:$B),FoodItems!$A:$A,FoodItems!$C:$C))</f>
        <v/>
      </c>
      <c r="H24">
        <f>IF(E24="","",E24/100*XLOOKUP(XLOOKUP(C24,Portions!$A:$A,Portions!$B:$B),FoodItems!$A:$A,FoodItems!$D:$D))</f>
        <v/>
      </c>
      <c r="I24">
        <f>IF(E24="","",E24/100*XLOOKUP(XLOOKUP(C24,Portions!$A:$A,Portions!$B:$B),FoodItems!$A:$A,FoodItems!$E:$E))</f>
        <v/>
      </c>
    </row>
    <row r="25">
      <c r="E25">
        <f>IF(C25="","",D25*XLOOKUP(C25,Portions!$A:$A,Portions!$D:$D))</f>
        <v/>
      </c>
      <c r="F25">
        <f>IF(E25="","",E25/100*XLOOKUP(XLOOKUP(C25,Portions!$A:$A,Portions!$B:$B),FoodItems!$A:$A,FoodItems!$B:$B))</f>
        <v/>
      </c>
      <c r="G25">
        <f>IF(E25="","",E25/100*XLOOKUP(XLOOKUP(C25,Portions!$A:$A,Portions!$B:$B),FoodItems!$A:$A,FoodItems!$C:$C))</f>
        <v/>
      </c>
      <c r="H25">
        <f>IF(E25="","",E25/100*XLOOKUP(XLOOKUP(C25,Portions!$A:$A,Portions!$B:$B),FoodItems!$A:$A,FoodItems!$D:$D))</f>
        <v/>
      </c>
      <c r="I25">
        <f>IF(E25="","",E25/100*XLOOKUP(XLOOKUP(C25,Portions!$A:$A,Portions!$B:$B),FoodItems!$A:$A,FoodItems!$E:$E))</f>
        <v/>
      </c>
    </row>
    <row r="26">
      <c r="E26">
        <f>IF(C26="","",D26*XLOOKUP(C26,Portions!$A:$A,Portions!$D:$D))</f>
        <v/>
      </c>
      <c r="F26">
        <f>IF(E26="","",E26/100*XLOOKUP(XLOOKUP(C26,Portions!$A:$A,Portions!$B:$B),FoodItems!$A:$A,FoodItems!$B:$B))</f>
        <v/>
      </c>
      <c r="G26">
        <f>IF(E26="","",E26/100*XLOOKUP(XLOOKUP(C26,Portions!$A:$A,Portions!$B:$B),FoodItems!$A:$A,FoodItems!$C:$C))</f>
        <v/>
      </c>
      <c r="H26">
        <f>IF(E26="","",E26/100*XLOOKUP(XLOOKUP(C26,Portions!$A:$A,Portions!$B:$B),FoodItems!$A:$A,FoodItems!$D:$D))</f>
        <v/>
      </c>
      <c r="I26">
        <f>IF(E26="","",E26/100*XLOOKUP(XLOOKUP(C26,Portions!$A:$A,Portions!$B:$B),FoodItems!$A:$A,FoodItems!$E:$E))</f>
        <v/>
      </c>
    </row>
    <row r="27">
      <c r="E27">
        <f>IF(C27="","",D27*XLOOKUP(C27,Portions!$A:$A,Portions!$D:$D))</f>
        <v/>
      </c>
      <c r="F27">
        <f>IF(E27="","",E27/100*XLOOKUP(XLOOKUP(C27,Portions!$A:$A,Portions!$B:$B),FoodItems!$A:$A,FoodItems!$B:$B))</f>
        <v/>
      </c>
      <c r="G27">
        <f>IF(E27="","",E27/100*XLOOKUP(XLOOKUP(C27,Portions!$A:$A,Portions!$B:$B),FoodItems!$A:$A,FoodItems!$C:$C))</f>
        <v/>
      </c>
      <c r="H27">
        <f>IF(E27="","",E27/100*XLOOKUP(XLOOKUP(C27,Portions!$A:$A,Portions!$B:$B),FoodItems!$A:$A,FoodItems!$D:$D))</f>
        <v/>
      </c>
      <c r="I27">
        <f>IF(E27="","",E27/100*XLOOKUP(XLOOKUP(C27,Portions!$A:$A,Portions!$B:$B),FoodItems!$A:$A,FoodItems!$E:$E))</f>
        <v/>
      </c>
    </row>
    <row r="28">
      <c r="E28">
        <f>IF(C28="","",D28*XLOOKUP(C28,Portions!$A:$A,Portions!$D:$D))</f>
        <v/>
      </c>
      <c r="F28">
        <f>IF(E28="","",E28/100*XLOOKUP(XLOOKUP(C28,Portions!$A:$A,Portions!$B:$B),FoodItems!$A:$A,FoodItems!$B:$B))</f>
        <v/>
      </c>
      <c r="G28">
        <f>IF(E28="","",E28/100*XLOOKUP(XLOOKUP(C28,Portions!$A:$A,Portions!$B:$B),FoodItems!$A:$A,FoodItems!$C:$C))</f>
        <v/>
      </c>
      <c r="H28">
        <f>IF(E28="","",E28/100*XLOOKUP(XLOOKUP(C28,Portions!$A:$A,Portions!$B:$B),FoodItems!$A:$A,FoodItems!$D:$D))</f>
        <v/>
      </c>
      <c r="I28">
        <f>IF(E28="","",E28/100*XLOOKUP(XLOOKUP(C28,Portions!$A:$A,Portions!$B:$B),FoodItems!$A:$A,FoodItems!$E:$E))</f>
        <v/>
      </c>
    </row>
    <row r="29">
      <c r="E29">
        <f>IF(C29="","",D29*XLOOKUP(C29,Portions!$A:$A,Portions!$D:$D))</f>
        <v/>
      </c>
      <c r="F29">
        <f>IF(E29="","",E29/100*XLOOKUP(XLOOKUP(C29,Portions!$A:$A,Portions!$B:$B),FoodItems!$A:$A,FoodItems!$B:$B))</f>
        <v/>
      </c>
      <c r="G29">
        <f>IF(E29="","",E29/100*XLOOKUP(XLOOKUP(C29,Portions!$A:$A,Portions!$B:$B),FoodItems!$A:$A,FoodItems!$C:$C))</f>
        <v/>
      </c>
      <c r="H29">
        <f>IF(E29="","",E29/100*XLOOKUP(XLOOKUP(C29,Portions!$A:$A,Portions!$B:$B),FoodItems!$A:$A,FoodItems!$D:$D))</f>
        <v/>
      </c>
      <c r="I29">
        <f>IF(E29="","",E29/100*XLOOKUP(XLOOKUP(C29,Portions!$A:$A,Portions!$B:$B),FoodItems!$A:$A,FoodItems!$E:$E))</f>
        <v/>
      </c>
    </row>
    <row r="30">
      <c r="E30">
        <f>IF(C30="","",D30*XLOOKUP(C30,Portions!$A:$A,Portions!$D:$D))</f>
        <v/>
      </c>
      <c r="F30">
        <f>IF(E30="","",E30/100*XLOOKUP(XLOOKUP(C30,Portions!$A:$A,Portions!$B:$B),FoodItems!$A:$A,FoodItems!$B:$B))</f>
        <v/>
      </c>
      <c r="G30">
        <f>IF(E30="","",E30/100*XLOOKUP(XLOOKUP(C30,Portions!$A:$A,Portions!$B:$B),FoodItems!$A:$A,FoodItems!$C:$C))</f>
        <v/>
      </c>
      <c r="H30">
        <f>IF(E30="","",E30/100*XLOOKUP(XLOOKUP(C30,Portions!$A:$A,Portions!$B:$B),FoodItems!$A:$A,FoodItems!$D:$D))</f>
        <v/>
      </c>
      <c r="I30">
        <f>IF(E30="","",E30/100*XLOOKUP(XLOOKUP(C30,Portions!$A:$A,Portions!$B:$B),FoodItems!$A:$A,FoodItems!$E:$E))</f>
        <v/>
      </c>
    </row>
    <row r="31">
      <c r="E31">
        <f>IF(C31="","",D31*XLOOKUP(C31,Portions!$A:$A,Portions!$D:$D))</f>
        <v/>
      </c>
      <c r="F31">
        <f>IF(E31="","",E31/100*XLOOKUP(XLOOKUP(C31,Portions!$A:$A,Portions!$B:$B),FoodItems!$A:$A,FoodItems!$B:$B))</f>
        <v/>
      </c>
      <c r="G31">
        <f>IF(E31="","",E31/100*XLOOKUP(XLOOKUP(C31,Portions!$A:$A,Portions!$B:$B),FoodItems!$A:$A,FoodItems!$C:$C))</f>
        <v/>
      </c>
      <c r="H31">
        <f>IF(E31="","",E31/100*XLOOKUP(XLOOKUP(C31,Portions!$A:$A,Portions!$B:$B),FoodItems!$A:$A,FoodItems!$D:$D))</f>
        <v/>
      </c>
      <c r="I31">
        <f>IF(E31="","",E31/100*XLOOKUP(XLOOKUP(C31,Portions!$A:$A,Portions!$B:$B),FoodItems!$A:$A,FoodItems!$E:$E))</f>
        <v/>
      </c>
    </row>
    <row r="32">
      <c r="E32">
        <f>IF(C32="","",D32*XLOOKUP(C32,Portions!$A:$A,Portions!$D:$D))</f>
        <v/>
      </c>
      <c r="F32">
        <f>IF(E32="","",E32/100*XLOOKUP(XLOOKUP(C32,Portions!$A:$A,Portions!$B:$B),FoodItems!$A:$A,FoodItems!$B:$B))</f>
        <v/>
      </c>
      <c r="G32">
        <f>IF(E32="","",E32/100*XLOOKUP(XLOOKUP(C32,Portions!$A:$A,Portions!$B:$B),FoodItems!$A:$A,FoodItems!$C:$C))</f>
        <v/>
      </c>
      <c r="H32">
        <f>IF(E32="","",E32/100*XLOOKUP(XLOOKUP(C32,Portions!$A:$A,Portions!$B:$B),FoodItems!$A:$A,FoodItems!$D:$D))</f>
        <v/>
      </c>
      <c r="I32">
        <f>IF(E32="","",E32/100*XLOOKUP(XLOOKUP(C32,Portions!$A:$A,Portions!$B:$B),FoodItems!$A:$A,FoodItems!$E:$E))</f>
        <v/>
      </c>
    </row>
    <row r="33">
      <c r="E33">
        <f>IF(C33="","",D33*XLOOKUP(C33,Portions!$A:$A,Portions!$D:$D))</f>
        <v/>
      </c>
      <c r="F33">
        <f>IF(E33="","",E33/100*XLOOKUP(XLOOKUP(C33,Portions!$A:$A,Portions!$B:$B),FoodItems!$A:$A,FoodItems!$B:$B))</f>
        <v/>
      </c>
      <c r="G33">
        <f>IF(E33="","",E33/100*XLOOKUP(XLOOKUP(C33,Portions!$A:$A,Portions!$B:$B),FoodItems!$A:$A,FoodItems!$C:$C))</f>
        <v/>
      </c>
      <c r="H33">
        <f>IF(E33="","",E33/100*XLOOKUP(XLOOKUP(C33,Portions!$A:$A,Portions!$B:$B),FoodItems!$A:$A,FoodItems!$D:$D))</f>
        <v/>
      </c>
      <c r="I33">
        <f>IF(E33="","",E33/100*XLOOKUP(XLOOKUP(C33,Portions!$A:$A,Portions!$B:$B),FoodItems!$A:$A,FoodItems!$E:$E))</f>
        <v/>
      </c>
    </row>
    <row r="34">
      <c r="E34">
        <f>IF(C34="","",D34*XLOOKUP(C34,Portions!$A:$A,Portions!$D:$D))</f>
        <v/>
      </c>
      <c r="F34">
        <f>IF(E34="","",E34/100*XLOOKUP(XLOOKUP(C34,Portions!$A:$A,Portions!$B:$B),FoodItems!$A:$A,FoodItems!$B:$B))</f>
        <v/>
      </c>
      <c r="G34">
        <f>IF(E34="","",E34/100*XLOOKUP(XLOOKUP(C34,Portions!$A:$A,Portions!$B:$B),FoodItems!$A:$A,FoodItems!$C:$C))</f>
        <v/>
      </c>
      <c r="H34">
        <f>IF(E34="","",E34/100*XLOOKUP(XLOOKUP(C34,Portions!$A:$A,Portions!$B:$B),FoodItems!$A:$A,FoodItems!$D:$D))</f>
        <v/>
      </c>
      <c r="I34">
        <f>IF(E34="","",E34/100*XLOOKUP(XLOOKUP(C34,Portions!$A:$A,Portions!$B:$B),FoodItems!$A:$A,FoodItems!$E:$E))</f>
        <v/>
      </c>
    </row>
    <row r="35">
      <c r="E35">
        <f>IF(C35="","",D35*XLOOKUP(C35,Portions!$A:$A,Portions!$D:$D))</f>
        <v/>
      </c>
      <c r="F35">
        <f>IF(E35="","",E35/100*XLOOKUP(XLOOKUP(C35,Portions!$A:$A,Portions!$B:$B),FoodItems!$A:$A,FoodItems!$B:$B))</f>
        <v/>
      </c>
      <c r="G35">
        <f>IF(E35="","",E35/100*XLOOKUP(XLOOKUP(C35,Portions!$A:$A,Portions!$B:$B),FoodItems!$A:$A,FoodItems!$C:$C))</f>
        <v/>
      </c>
      <c r="H35">
        <f>IF(E35="","",E35/100*XLOOKUP(XLOOKUP(C35,Portions!$A:$A,Portions!$B:$B),FoodItems!$A:$A,FoodItems!$D:$D))</f>
        <v/>
      </c>
      <c r="I35">
        <f>IF(E35="","",E35/100*XLOOKUP(XLOOKUP(C35,Portions!$A:$A,Portions!$B:$B),FoodItems!$A:$A,FoodItems!$E:$E))</f>
        <v/>
      </c>
    </row>
    <row r="36">
      <c r="E36">
        <f>IF(C36="","",D36*XLOOKUP(C36,Portions!$A:$A,Portions!$D:$D))</f>
        <v/>
      </c>
      <c r="F36">
        <f>IF(E36="","",E36/100*XLOOKUP(XLOOKUP(C36,Portions!$A:$A,Portions!$B:$B),FoodItems!$A:$A,FoodItems!$B:$B))</f>
        <v/>
      </c>
      <c r="G36">
        <f>IF(E36="","",E36/100*XLOOKUP(XLOOKUP(C36,Portions!$A:$A,Portions!$B:$B),FoodItems!$A:$A,FoodItems!$C:$C))</f>
        <v/>
      </c>
      <c r="H36">
        <f>IF(E36="","",E36/100*XLOOKUP(XLOOKUP(C36,Portions!$A:$A,Portions!$B:$B),FoodItems!$A:$A,FoodItems!$D:$D))</f>
        <v/>
      </c>
      <c r="I36">
        <f>IF(E36="","",E36/100*XLOOKUP(XLOOKUP(C36,Portions!$A:$A,Portions!$B:$B),FoodItems!$A:$A,FoodItems!$E:$E))</f>
        <v/>
      </c>
    </row>
    <row r="37">
      <c r="E37">
        <f>IF(C37="","",D37*XLOOKUP(C37,Portions!$A:$A,Portions!$D:$D))</f>
        <v/>
      </c>
      <c r="F37">
        <f>IF(E37="","",E37/100*XLOOKUP(XLOOKUP(C37,Portions!$A:$A,Portions!$B:$B),FoodItems!$A:$A,FoodItems!$B:$B))</f>
        <v/>
      </c>
      <c r="G37">
        <f>IF(E37="","",E37/100*XLOOKUP(XLOOKUP(C37,Portions!$A:$A,Portions!$B:$B),FoodItems!$A:$A,FoodItems!$C:$C))</f>
        <v/>
      </c>
      <c r="H37">
        <f>IF(E37="","",E37/100*XLOOKUP(XLOOKUP(C37,Portions!$A:$A,Portions!$B:$B),FoodItems!$A:$A,FoodItems!$D:$D))</f>
        <v/>
      </c>
      <c r="I37">
        <f>IF(E37="","",E37/100*XLOOKUP(XLOOKUP(C37,Portions!$A:$A,Portions!$B:$B),FoodItems!$A:$A,FoodItems!$E:$E))</f>
        <v/>
      </c>
    </row>
    <row r="38">
      <c r="E38">
        <f>IF(C38="","",D38*XLOOKUP(C38,Portions!$A:$A,Portions!$D:$D))</f>
        <v/>
      </c>
      <c r="F38">
        <f>IF(E38="","",E38/100*XLOOKUP(XLOOKUP(C38,Portions!$A:$A,Portions!$B:$B),FoodItems!$A:$A,FoodItems!$B:$B))</f>
        <v/>
      </c>
      <c r="G38">
        <f>IF(E38="","",E38/100*XLOOKUP(XLOOKUP(C38,Portions!$A:$A,Portions!$B:$B),FoodItems!$A:$A,FoodItems!$C:$C))</f>
        <v/>
      </c>
      <c r="H38">
        <f>IF(E38="","",E38/100*XLOOKUP(XLOOKUP(C38,Portions!$A:$A,Portions!$B:$B),FoodItems!$A:$A,FoodItems!$D:$D))</f>
        <v/>
      </c>
      <c r="I38">
        <f>IF(E38="","",E38/100*XLOOKUP(XLOOKUP(C38,Portions!$A:$A,Portions!$B:$B),FoodItems!$A:$A,FoodItems!$E:$E))</f>
        <v/>
      </c>
    </row>
    <row r="39">
      <c r="E39">
        <f>IF(C39="","",D39*XLOOKUP(C39,Portions!$A:$A,Portions!$D:$D))</f>
        <v/>
      </c>
      <c r="F39">
        <f>IF(E39="","",E39/100*XLOOKUP(XLOOKUP(C39,Portions!$A:$A,Portions!$B:$B),FoodItems!$A:$A,FoodItems!$B:$B))</f>
        <v/>
      </c>
      <c r="G39">
        <f>IF(E39="","",E39/100*XLOOKUP(XLOOKUP(C39,Portions!$A:$A,Portions!$B:$B),FoodItems!$A:$A,FoodItems!$C:$C))</f>
        <v/>
      </c>
      <c r="H39">
        <f>IF(E39="","",E39/100*XLOOKUP(XLOOKUP(C39,Portions!$A:$A,Portions!$B:$B),FoodItems!$A:$A,FoodItems!$D:$D))</f>
        <v/>
      </c>
      <c r="I39">
        <f>IF(E39="","",E39/100*XLOOKUP(XLOOKUP(C39,Portions!$A:$A,Portions!$B:$B),FoodItems!$A:$A,FoodItems!$E:$E))</f>
        <v/>
      </c>
    </row>
    <row r="40">
      <c r="E40">
        <f>IF(C40="","",D40*XLOOKUP(C40,Portions!$A:$A,Portions!$D:$D))</f>
        <v/>
      </c>
      <c r="F40">
        <f>IF(E40="","",E40/100*XLOOKUP(XLOOKUP(C40,Portions!$A:$A,Portions!$B:$B),FoodItems!$A:$A,FoodItems!$B:$B))</f>
        <v/>
      </c>
      <c r="G40">
        <f>IF(E40="","",E40/100*XLOOKUP(XLOOKUP(C40,Portions!$A:$A,Portions!$B:$B),FoodItems!$A:$A,FoodItems!$C:$C))</f>
        <v/>
      </c>
      <c r="H40">
        <f>IF(E40="","",E40/100*XLOOKUP(XLOOKUP(C40,Portions!$A:$A,Portions!$B:$B),FoodItems!$A:$A,FoodItems!$D:$D))</f>
        <v/>
      </c>
      <c r="I40">
        <f>IF(E40="","",E40/100*XLOOKUP(XLOOKUP(C40,Portions!$A:$A,Portions!$B:$B),FoodItems!$A:$A,FoodItems!$E:$E))</f>
        <v/>
      </c>
    </row>
    <row r="41">
      <c r="E41">
        <f>IF(C41="","",D41*XLOOKUP(C41,Portions!$A:$A,Portions!$D:$D))</f>
        <v/>
      </c>
      <c r="F41">
        <f>IF(E41="","",E41/100*XLOOKUP(XLOOKUP(C41,Portions!$A:$A,Portions!$B:$B),FoodItems!$A:$A,FoodItems!$B:$B))</f>
        <v/>
      </c>
      <c r="G41">
        <f>IF(E41="","",E41/100*XLOOKUP(XLOOKUP(C41,Portions!$A:$A,Portions!$B:$B),FoodItems!$A:$A,FoodItems!$C:$C))</f>
        <v/>
      </c>
      <c r="H41">
        <f>IF(E41="","",E41/100*XLOOKUP(XLOOKUP(C41,Portions!$A:$A,Portions!$B:$B),FoodItems!$A:$A,FoodItems!$D:$D))</f>
        <v/>
      </c>
      <c r="I41">
        <f>IF(E41="","",E41/100*XLOOKUP(XLOOKUP(C41,Portions!$A:$A,Portions!$B:$B),FoodItems!$A:$A,FoodItems!$E:$E))</f>
        <v/>
      </c>
    </row>
    <row r="42">
      <c r="E42">
        <f>IF(C42="","",D42*XLOOKUP(C42,Portions!$A:$A,Portions!$D:$D))</f>
        <v/>
      </c>
      <c r="F42">
        <f>IF(E42="","",E42/100*XLOOKUP(XLOOKUP(C42,Portions!$A:$A,Portions!$B:$B),FoodItems!$A:$A,FoodItems!$B:$B))</f>
        <v/>
      </c>
      <c r="G42">
        <f>IF(E42="","",E42/100*XLOOKUP(XLOOKUP(C42,Portions!$A:$A,Portions!$B:$B),FoodItems!$A:$A,FoodItems!$C:$C))</f>
        <v/>
      </c>
      <c r="H42">
        <f>IF(E42="","",E42/100*XLOOKUP(XLOOKUP(C42,Portions!$A:$A,Portions!$B:$B),FoodItems!$A:$A,FoodItems!$D:$D))</f>
        <v/>
      </c>
      <c r="I42">
        <f>IF(E42="","",E42/100*XLOOKUP(XLOOKUP(C42,Portions!$A:$A,Portions!$B:$B),FoodItems!$A:$A,FoodItems!$E:$E))</f>
        <v/>
      </c>
    </row>
    <row r="43">
      <c r="E43">
        <f>IF(C43="","",D43*XLOOKUP(C43,Portions!$A:$A,Portions!$D:$D))</f>
        <v/>
      </c>
      <c r="F43">
        <f>IF(E43="","",E43/100*XLOOKUP(XLOOKUP(C43,Portions!$A:$A,Portions!$B:$B),FoodItems!$A:$A,FoodItems!$B:$B))</f>
        <v/>
      </c>
      <c r="G43">
        <f>IF(E43="","",E43/100*XLOOKUP(XLOOKUP(C43,Portions!$A:$A,Portions!$B:$B),FoodItems!$A:$A,FoodItems!$C:$C))</f>
        <v/>
      </c>
      <c r="H43">
        <f>IF(E43="","",E43/100*XLOOKUP(XLOOKUP(C43,Portions!$A:$A,Portions!$B:$B),FoodItems!$A:$A,FoodItems!$D:$D))</f>
        <v/>
      </c>
      <c r="I43">
        <f>IF(E43="","",E43/100*XLOOKUP(XLOOKUP(C43,Portions!$A:$A,Portions!$B:$B),FoodItems!$A:$A,FoodItems!$E:$E))</f>
        <v/>
      </c>
    </row>
    <row r="44">
      <c r="E44">
        <f>IF(C44="","",D44*XLOOKUP(C44,Portions!$A:$A,Portions!$D:$D))</f>
        <v/>
      </c>
      <c r="F44">
        <f>IF(E44="","",E44/100*XLOOKUP(XLOOKUP(C44,Portions!$A:$A,Portions!$B:$B),FoodItems!$A:$A,FoodItems!$B:$B))</f>
        <v/>
      </c>
      <c r="G44">
        <f>IF(E44="","",E44/100*XLOOKUP(XLOOKUP(C44,Portions!$A:$A,Portions!$B:$B),FoodItems!$A:$A,FoodItems!$C:$C))</f>
        <v/>
      </c>
      <c r="H44">
        <f>IF(E44="","",E44/100*XLOOKUP(XLOOKUP(C44,Portions!$A:$A,Portions!$B:$B),FoodItems!$A:$A,FoodItems!$D:$D))</f>
        <v/>
      </c>
      <c r="I44">
        <f>IF(E44="","",E44/100*XLOOKUP(XLOOKUP(C44,Portions!$A:$A,Portions!$B:$B),FoodItems!$A:$A,FoodItems!$E:$E))</f>
        <v/>
      </c>
    </row>
    <row r="45">
      <c r="E45">
        <f>IF(C45="","",D45*XLOOKUP(C45,Portions!$A:$A,Portions!$D:$D))</f>
        <v/>
      </c>
      <c r="F45">
        <f>IF(E45="","",E45/100*XLOOKUP(XLOOKUP(C45,Portions!$A:$A,Portions!$B:$B),FoodItems!$A:$A,FoodItems!$B:$B))</f>
        <v/>
      </c>
      <c r="G45">
        <f>IF(E45="","",E45/100*XLOOKUP(XLOOKUP(C45,Portions!$A:$A,Portions!$B:$B),FoodItems!$A:$A,FoodItems!$C:$C))</f>
        <v/>
      </c>
      <c r="H45">
        <f>IF(E45="","",E45/100*XLOOKUP(XLOOKUP(C45,Portions!$A:$A,Portions!$B:$B),FoodItems!$A:$A,FoodItems!$D:$D))</f>
        <v/>
      </c>
      <c r="I45">
        <f>IF(E45="","",E45/100*XLOOKUP(XLOOKUP(C45,Portions!$A:$A,Portions!$B:$B),FoodItems!$A:$A,FoodItems!$E:$E))</f>
        <v/>
      </c>
    </row>
    <row r="46">
      <c r="E46">
        <f>IF(C46="","",D46*XLOOKUP(C46,Portions!$A:$A,Portions!$D:$D))</f>
        <v/>
      </c>
      <c r="F46">
        <f>IF(E46="","",E46/100*XLOOKUP(XLOOKUP(C46,Portions!$A:$A,Portions!$B:$B),FoodItems!$A:$A,FoodItems!$B:$B))</f>
        <v/>
      </c>
      <c r="G46">
        <f>IF(E46="","",E46/100*XLOOKUP(XLOOKUP(C46,Portions!$A:$A,Portions!$B:$B),FoodItems!$A:$A,FoodItems!$C:$C))</f>
        <v/>
      </c>
      <c r="H46">
        <f>IF(E46="","",E46/100*XLOOKUP(XLOOKUP(C46,Portions!$A:$A,Portions!$B:$B),FoodItems!$A:$A,FoodItems!$D:$D))</f>
        <v/>
      </c>
      <c r="I46">
        <f>IF(E46="","",E46/100*XLOOKUP(XLOOKUP(C46,Portions!$A:$A,Portions!$B:$B),FoodItems!$A:$A,FoodItems!$E:$E))</f>
        <v/>
      </c>
    </row>
    <row r="47">
      <c r="E47">
        <f>IF(C47="","",D47*XLOOKUP(C47,Portions!$A:$A,Portions!$D:$D))</f>
        <v/>
      </c>
      <c r="F47">
        <f>IF(E47="","",E47/100*XLOOKUP(XLOOKUP(C47,Portions!$A:$A,Portions!$B:$B),FoodItems!$A:$A,FoodItems!$B:$B))</f>
        <v/>
      </c>
      <c r="G47">
        <f>IF(E47="","",E47/100*XLOOKUP(XLOOKUP(C47,Portions!$A:$A,Portions!$B:$B),FoodItems!$A:$A,FoodItems!$C:$C))</f>
        <v/>
      </c>
      <c r="H47">
        <f>IF(E47="","",E47/100*XLOOKUP(XLOOKUP(C47,Portions!$A:$A,Portions!$B:$B),FoodItems!$A:$A,FoodItems!$D:$D))</f>
        <v/>
      </c>
      <c r="I47">
        <f>IF(E47="","",E47/100*XLOOKUP(XLOOKUP(C47,Portions!$A:$A,Portions!$B:$B),FoodItems!$A:$A,FoodItems!$E:$E))</f>
        <v/>
      </c>
    </row>
    <row r="48">
      <c r="E48">
        <f>IF(C48="","",D48*XLOOKUP(C48,Portions!$A:$A,Portions!$D:$D))</f>
        <v/>
      </c>
      <c r="F48">
        <f>IF(E48="","",E48/100*XLOOKUP(XLOOKUP(C48,Portions!$A:$A,Portions!$B:$B),FoodItems!$A:$A,FoodItems!$B:$B))</f>
        <v/>
      </c>
      <c r="G48">
        <f>IF(E48="","",E48/100*XLOOKUP(XLOOKUP(C48,Portions!$A:$A,Portions!$B:$B),FoodItems!$A:$A,FoodItems!$C:$C))</f>
        <v/>
      </c>
      <c r="H48">
        <f>IF(E48="","",E48/100*XLOOKUP(XLOOKUP(C48,Portions!$A:$A,Portions!$B:$B),FoodItems!$A:$A,FoodItems!$D:$D))</f>
        <v/>
      </c>
      <c r="I48">
        <f>IF(E48="","",E48/100*XLOOKUP(XLOOKUP(C48,Portions!$A:$A,Portions!$B:$B),FoodItems!$A:$A,FoodItems!$E:$E))</f>
        <v/>
      </c>
    </row>
    <row r="49">
      <c r="E49">
        <f>IF(C49="","",D49*XLOOKUP(C49,Portions!$A:$A,Portions!$D:$D))</f>
        <v/>
      </c>
      <c r="F49">
        <f>IF(E49="","",E49/100*XLOOKUP(XLOOKUP(C49,Portions!$A:$A,Portions!$B:$B),FoodItems!$A:$A,FoodItems!$B:$B))</f>
        <v/>
      </c>
      <c r="G49">
        <f>IF(E49="","",E49/100*XLOOKUP(XLOOKUP(C49,Portions!$A:$A,Portions!$B:$B),FoodItems!$A:$A,FoodItems!$C:$C))</f>
        <v/>
      </c>
      <c r="H49">
        <f>IF(E49="","",E49/100*XLOOKUP(XLOOKUP(C49,Portions!$A:$A,Portions!$B:$B),FoodItems!$A:$A,FoodItems!$D:$D))</f>
        <v/>
      </c>
      <c r="I49">
        <f>IF(E49="","",E49/100*XLOOKUP(XLOOKUP(C49,Portions!$A:$A,Portions!$B:$B),FoodItems!$A:$A,FoodItems!$E:$E))</f>
        <v/>
      </c>
    </row>
    <row r="50">
      <c r="E50">
        <f>IF(C50="","",D50*XLOOKUP(C50,Portions!$A:$A,Portions!$D:$D))</f>
        <v/>
      </c>
      <c r="F50">
        <f>IF(E50="","",E50/100*XLOOKUP(XLOOKUP(C50,Portions!$A:$A,Portions!$B:$B),FoodItems!$A:$A,FoodItems!$B:$B))</f>
        <v/>
      </c>
      <c r="G50">
        <f>IF(E50="","",E50/100*XLOOKUP(XLOOKUP(C50,Portions!$A:$A,Portions!$B:$B),FoodItems!$A:$A,FoodItems!$C:$C))</f>
        <v/>
      </c>
      <c r="H50">
        <f>IF(E50="","",E50/100*XLOOKUP(XLOOKUP(C50,Portions!$A:$A,Portions!$B:$B),FoodItems!$A:$A,FoodItems!$D:$D))</f>
        <v/>
      </c>
      <c r="I50">
        <f>IF(E50="","",E50/100*XLOOKUP(XLOOKUP(C50,Portions!$A:$A,Portions!$B:$B),FoodItems!$A:$A,FoodItems!$E:$E))</f>
        <v/>
      </c>
    </row>
    <row r="51">
      <c r="E51">
        <f>IF(C51="","",D51*XLOOKUP(C51,Portions!$A:$A,Portions!$D:$D))</f>
        <v/>
      </c>
      <c r="F51">
        <f>IF(E51="","",E51/100*XLOOKUP(XLOOKUP(C51,Portions!$A:$A,Portions!$B:$B),FoodItems!$A:$A,FoodItems!$B:$B))</f>
        <v/>
      </c>
      <c r="G51">
        <f>IF(E51="","",E51/100*XLOOKUP(XLOOKUP(C51,Portions!$A:$A,Portions!$B:$B),FoodItems!$A:$A,FoodItems!$C:$C))</f>
        <v/>
      </c>
      <c r="H51">
        <f>IF(E51="","",E51/100*XLOOKUP(XLOOKUP(C51,Portions!$A:$A,Portions!$B:$B),FoodItems!$A:$A,FoodItems!$D:$D))</f>
        <v/>
      </c>
      <c r="I51">
        <f>IF(E51="","",E51/100*XLOOKUP(XLOOKUP(C51,Portions!$A:$A,Portions!$B:$B),FoodItems!$A:$A,FoodItems!$E:$E))</f>
        <v/>
      </c>
    </row>
    <row r="52">
      <c r="E52">
        <f>IF(C52="","",D52*XLOOKUP(C52,Portions!$A:$A,Portions!$D:$D))</f>
        <v/>
      </c>
      <c r="F52">
        <f>IF(E52="","",E52/100*XLOOKUP(XLOOKUP(C52,Portions!$A:$A,Portions!$B:$B),FoodItems!$A:$A,FoodItems!$B:$B))</f>
        <v/>
      </c>
      <c r="G52">
        <f>IF(E52="","",E52/100*XLOOKUP(XLOOKUP(C52,Portions!$A:$A,Portions!$B:$B),FoodItems!$A:$A,FoodItems!$C:$C))</f>
        <v/>
      </c>
      <c r="H52">
        <f>IF(E52="","",E52/100*XLOOKUP(XLOOKUP(C52,Portions!$A:$A,Portions!$B:$B),FoodItems!$A:$A,FoodItems!$D:$D))</f>
        <v/>
      </c>
      <c r="I52">
        <f>IF(E52="","",E52/100*XLOOKUP(XLOOKUP(C52,Portions!$A:$A,Portions!$B:$B),FoodItems!$A:$A,FoodItems!$E:$E))</f>
        <v/>
      </c>
    </row>
    <row r="53">
      <c r="E53">
        <f>IF(C53="","",D53*XLOOKUP(C53,Portions!$A:$A,Portions!$D:$D))</f>
        <v/>
      </c>
      <c r="F53">
        <f>IF(E53="","",E53/100*XLOOKUP(XLOOKUP(C53,Portions!$A:$A,Portions!$B:$B),FoodItems!$A:$A,FoodItems!$B:$B))</f>
        <v/>
      </c>
      <c r="G53">
        <f>IF(E53="","",E53/100*XLOOKUP(XLOOKUP(C53,Portions!$A:$A,Portions!$B:$B),FoodItems!$A:$A,FoodItems!$C:$C))</f>
        <v/>
      </c>
      <c r="H53">
        <f>IF(E53="","",E53/100*XLOOKUP(XLOOKUP(C53,Portions!$A:$A,Portions!$B:$B),FoodItems!$A:$A,FoodItems!$D:$D))</f>
        <v/>
      </c>
      <c r="I53">
        <f>IF(E53="","",E53/100*XLOOKUP(XLOOKUP(C53,Portions!$A:$A,Portions!$B:$B),FoodItems!$A:$A,FoodItems!$E:$E))</f>
        <v/>
      </c>
    </row>
    <row r="54">
      <c r="E54">
        <f>IF(C54="","",D54*XLOOKUP(C54,Portions!$A:$A,Portions!$D:$D))</f>
        <v/>
      </c>
      <c r="F54">
        <f>IF(E54="","",E54/100*XLOOKUP(XLOOKUP(C54,Portions!$A:$A,Portions!$B:$B),FoodItems!$A:$A,FoodItems!$B:$B))</f>
        <v/>
      </c>
      <c r="G54">
        <f>IF(E54="","",E54/100*XLOOKUP(XLOOKUP(C54,Portions!$A:$A,Portions!$B:$B),FoodItems!$A:$A,FoodItems!$C:$C))</f>
        <v/>
      </c>
      <c r="H54">
        <f>IF(E54="","",E54/100*XLOOKUP(XLOOKUP(C54,Portions!$A:$A,Portions!$B:$B),FoodItems!$A:$A,FoodItems!$D:$D))</f>
        <v/>
      </c>
      <c r="I54">
        <f>IF(E54="","",E54/100*XLOOKUP(XLOOKUP(C54,Portions!$A:$A,Portions!$B:$B),FoodItems!$A:$A,FoodItems!$E:$E))</f>
        <v/>
      </c>
    </row>
    <row r="55">
      <c r="E55">
        <f>IF(C55="","",D55*XLOOKUP(C55,Portions!$A:$A,Portions!$D:$D))</f>
        <v/>
      </c>
      <c r="F55">
        <f>IF(E55="","",E55/100*XLOOKUP(XLOOKUP(C55,Portions!$A:$A,Portions!$B:$B),FoodItems!$A:$A,FoodItems!$B:$B))</f>
        <v/>
      </c>
      <c r="G55">
        <f>IF(E55="","",E55/100*XLOOKUP(XLOOKUP(C55,Portions!$A:$A,Portions!$B:$B),FoodItems!$A:$A,FoodItems!$C:$C))</f>
        <v/>
      </c>
      <c r="H55">
        <f>IF(E55="","",E55/100*XLOOKUP(XLOOKUP(C55,Portions!$A:$A,Portions!$B:$B),FoodItems!$A:$A,FoodItems!$D:$D))</f>
        <v/>
      </c>
      <c r="I55">
        <f>IF(E55="","",E55/100*XLOOKUP(XLOOKUP(C55,Portions!$A:$A,Portions!$B:$B),FoodItems!$A:$A,FoodItems!$E:$E))</f>
        <v/>
      </c>
    </row>
    <row r="56">
      <c r="E56">
        <f>IF(C56="","",D56*XLOOKUP(C56,Portions!$A:$A,Portions!$D:$D))</f>
        <v/>
      </c>
      <c r="F56">
        <f>IF(E56="","",E56/100*XLOOKUP(XLOOKUP(C56,Portions!$A:$A,Portions!$B:$B),FoodItems!$A:$A,FoodItems!$B:$B))</f>
        <v/>
      </c>
      <c r="G56">
        <f>IF(E56="","",E56/100*XLOOKUP(XLOOKUP(C56,Portions!$A:$A,Portions!$B:$B),FoodItems!$A:$A,FoodItems!$C:$C))</f>
        <v/>
      </c>
      <c r="H56">
        <f>IF(E56="","",E56/100*XLOOKUP(XLOOKUP(C56,Portions!$A:$A,Portions!$B:$B),FoodItems!$A:$A,FoodItems!$D:$D))</f>
        <v/>
      </c>
      <c r="I56">
        <f>IF(E56="","",E56/100*XLOOKUP(XLOOKUP(C56,Portions!$A:$A,Portions!$B:$B),FoodItems!$A:$A,FoodItems!$E:$E))</f>
        <v/>
      </c>
    </row>
    <row r="57">
      <c r="E57">
        <f>IF(C57="","",D57*XLOOKUP(C57,Portions!$A:$A,Portions!$D:$D))</f>
        <v/>
      </c>
      <c r="F57">
        <f>IF(E57="","",E57/100*XLOOKUP(XLOOKUP(C57,Portions!$A:$A,Portions!$B:$B),FoodItems!$A:$A,FoodItems!$B:$B))</f>
        <v/>
      </c>
      <c r="G57">
        <f>IF(E57="","",E57/100*XLOOKUP(XLOOKUP(C57,Portions!$A:$A,Portions!$B:$B),FoodItems!$A:$A,FoodItems!$C:$C))</f>
        <v/>
      </c>
      <c r="H57">
        <f>IF(E57="","",E57/100*XLOOKUP(XLOOKUP(C57,Portions!$A:$A,Portions!$B:$B),FoodItems!$A:$A,FoodItems!$D:$D))</f>
        <v/>
      </c>
      <c r="I57">
        <f>IF(E57="","",E57/100*XLOOKUP(XLOOKUP(C57,Portions!$A:$A,Portions!$B:$B),FoodItems!$A:$A,FoodItems!$E:$E))</f>
        <v/>
      </c>
    </row>
    <row r="58">
      <c r="E58">
        <f>IF(C58="","",D58*XLOOKUP(C58,Portions!$A:$A,Portions!$D:$D))</f>
        <v/>
      </c>
      <c r="F58">
        <f>IF(E58="","",E58/100*XLOOKUP(XLOOKUP(C58,Portions!$A:$A,Portions!$B:$B),FoodItems!$A:$A,FoodItems!$B:$B))</f>
        <v/>
      </c>
      <c r="G58">
        <f>IF(E58="","",E58/100*XLOOKUP(XLOOKUP(C58,Portions!$A:$A,Portions!$B:$B),FoodItems!$A:$A,FoodItems!$C:$C))</f>
        <v/>
      </c>
      <c r="H58">
        <f>IF(E58="","",E58/100*XLOOKUP(XLOOKUP(C58,Portions!$A:$A,Portions!$B:$B),FoodItems!$A:$A,FoodItems!$D:$D))</f>
        <v/>
      </c>
      <c r="I58">
        <f>IF(E58="","",E58/100*XLOOKUP(XLOOKUP(C58,Portions!$A:$A,Portions!$B:$B),FoodItems!$A:$A,FoodItems!$E:$E))</f>
        <v/>
      </c>
    </row>
    <row r="59">
      <c r="E59">
        <f>IF(C59="","",D59*XLOOKUP(C59,Portions!$A:$A,Portions!$D:$D))</f>
        <v/>
      </c>
      <c r="F59">
        <f>IF(E59="","",E59/100*XLOOKUP(XLOOKUP(C59,Portions!$A:$A,Portions!$B:$B),FoodItems!$A:$A,FoodItems!$B:$B))</f>
        <v/>
      </c>
      <c r="G59">
        <f>IF(E59="","",E59/100*XLOOKUP(XLOOKUP(C59,Portions!$A:$A,Portions!$B:$B),FoodItems!$A:$A,FoodItems!$C:$C))</f>
        <v/>
      </c>
      <c r="H59">
        <f>IF(E59="","",E59/100*XLOOKUP(XLOOKUP(C59,Portions!$A:$A,Portions!$B:$B),FoodItems!$A:$A,FoodItems!$D:$D))</f>
        <v/>
      </c>
      <c r="I59">
        <f>IF(E59="","",E59/100*XLOOKUP(XLOOKUP(C59,Portions!$A:$A,Portions!$B:$B),FoodItems!$A:$A,FoodItems!$E:$E))</f>
        <v/>
      </c>
    </row>
    <row r="60">
      <c r="E60">
        <f>IF(C60="","",D60*XLOOKUP(C60,Portions!$A:$A,Portions!$D:$D))</f>
        <v/>
      </c>
      <c r="F60">
        <f>IF(E60="","",E60/100*XLOOKUP(XLOOKUP(C60,Portions!$A:$A,Portions!$B:$B),FoodItems!$A:$A,FoodItems!$B:$B))</f>
        <v/>
      </c>
      <c r="G60">
        <f>IF(E60="","",E60/100*XLOOKUP(XLOOKUP(C60,Portions!$A:$A,Portions!$B:$B),FoodItems!$A:$A,FoodItems!$C:$C))</f>
        <v/>
      </c>
      <c r="H60">
        <f>IF(E60="","",E60/100*XLOOKUP(XLOOKUP(C60,Portions!$A:$A,Portions!$B:$B),FoodItems!$A:$A,FoodItems!$D:$D))</f>
        <v/>
      </c>
      <c r="I60">
        <f>IF(E60="","",E60/100*XLOOKUP(XLOOKUP(C60,Portions!$A:$A,Portions!$B:$B),FoodItems!$A:$A,FoodItems!$E:$E))</f>
        <v/>
      </c>
    </row>
    <row r="61">
      <c r="E61">
        <f>IF(C61="","",D61*XLOOKUP(C61,Portions!$A:$A,Portions!$D:$D))</f>
        <v/>
      </c>
      <c r="F61">
        <f>IF(E61="","",E61/100*XLOOKUP(XLOOKUP(C61,Portions!$A:$A,Portions!$B:$B),FoodItems!$A:$A,FoodItems!$B:$B))</f>
        <v/>
      </c>
      <c r="G61">
        <f>IF(E61="","",E61/100*XLOOKUP(XLOOKUP(C61,Portions!$A:$A,Portions!$B:$B),FoodItems!$A:$A,FoodItems!$C:$C))</f>
        <v/>
      </c>
      <c r="H61">
        <f>IF(E61="","",E61/100*XLOOKUP(XLOOKUP(C61,Portions!$A:$A,Portions!$B:$B),FoodItems!$A:$A,FoodItems!$D:$D))</f>
        <v/>
      </c>
      <c r="I61">
        <f>IF(E61="","",E61/100*XLOOKUP(XLOOKUP(C61,Portions!$A:$A,Portions!$B:$B),FoodItems!$A:$A,FoodItems!$E:$E))</f>
        <v/>
      </c>
    </row>
    <row r="62">
      <c r="E62">
        <f>IF(C62="","",D62*XLOOKUP(C62,Portions!$A:$A,Portions!$D:$D))</f>
        <v/>
      </c>
      <c r="F62">
        <f>IF(E62="","",E62/100*XLOOKUP(XLOOKUP(C62,Portions!$A:$A,Portions!$B:$B),FoodItems!$A:$A,FoodItems!$B:$B))</f>
        <v/>
      </c>
      <c r="G62">
        <f>IF(E62="","",E62/100*XLOOKUP(XLOOKUP(C62,Portions!$A:$A,Portions!$B:$B),FoodItems!$A:$A,FoodItems!$C:$C))</f>
        <v/>
      </c>
      <c r="H62">
        <f>IF(E62="","",E62/100*XLOOKUP(XLOOKUP(C62,Portions!$A:$A,Portions!$B:$B),FoodItems!$A:$A,FoodItems!$D:$D))</f>
        <v/>
      </c>
      <c r="I62">
        <f>IF(E62="","",E62/100*XLOOKUP(XLOOKUP(C62,Portions!$A:$A,Portions!$B:$B),FoodItems!$A:$A,FoodItems!$E:$E))</f>
        <v/>
      </c>
    </row>
    <row r="63">
      <c r="E63">
        <f>IF(C63="","",D63*XLOOKUP(C63,Portions!$A:$A,Portions!$D:$D))</f>
        <v/>
      </c>
      <c r="F63">
        <f>IF(E63="","",E63/100*XLOOKUP(XLOOKUP(C63,Portions!$A:$A,Portions!$B:$B),FoodItems!$A:$A,FoodItems!$B:$B))</f>
        <v/>
      </c>
      <c r="G63">
        <f>IF(E63="","",E63/100*XLOOKUP(XLOOKUP(C63,Portions!$A:$A,Portions!$B:$B),FoodItems!$A:$A,FoodItems!$C:$C))</f>
        <v/>
      </c>
      <c r="H63">
        <f>IF(E63="","",E63/100*XLOOKUP(XLOOKUP(C63,Portions!$A:$A,Portions!$B:$B),FoodItems!$A:$A,FoodItems!$D:$D))</f>
        <v/>
      </c>
      <c r="I63">
        <f>IF(E63="","",E63/100*XLOOKUP(XLOOKUP(C63,Portions!$A:$A,Portions!$B:$B),FoodItems!$A:$A,FoodItems!$E:$E))</f>
        <v/>
      </c>
    </row>
    <row r="64">
      <c r="E64">
        <f>IF(C64="","",D64*XLOOKUP(C64,Portions!$A:$A,Portions!$D:$D))</f>
        <v/>
      </c>
      <c r="F64">
        <f>IF(E64="","",E64/100*XLOOKUP(XLOOKUP(C64,Portions!$A:$A,Portions!$B:$B),FoodItems!$A:$A,FoodItems!$B:$B))</f>
        <v/>
      </c>
      <c r="G64">
        <f>IF(E64="","",E64/100*XLOOKUP(XLOOKUP(C64,Portions!$A:$A,Portions!$B:$B),FoodItems!$A:$A,FoodItems!$C:$C))</f>
        <v/>
      </c>
      <c r="H64">
        <f>IF(E64="","",E64/100*XLOOKUP(XLOOKUP(C64,Portions!$A:$A,Portions!$B:$B),FoodItems!$A:$A,FoodItems!$D:$D))</f>
        <v/>
      </c>
      <c r="I64">
        <f>IF(E64="","",E64/100*XLOOKUP(XLOOKUP(C64,Portions!$A:$A,Portions!$B:$B),FoodItems!$A:$A,FoodItems!$E:$E))</f>
        <v/>
      </c>
    </row>
    <row r="65">
      <c r="E65">
        <f>IF(C65="","",D65*XLOOKUP(C65,Portions!$A:$A,Portions!$D:$D))</f>
        <v/>
      </c>
      <c r="F65">
        <f>IF(E65="","",E65/100*XLOOKUP(XLOOKUP(C65,Portions!$A:$A,Portions!$B:$B),FoodItems!$A:$A,FoodItems!$B:$B))</f>
        <v/>
      </c>
      <c r="G65">
        <f>IF(E65="","",E65/100*XLOOKUP(XLOOKUP(C65,Portions!$A:$A,Portions!$B:$B),FoodItems!$A:$A,FoodItems!$C:$C))</f>
        <v/>
      </c>
      <c r="H65">
        <f>IF(E65="","",E65/100*XLOOKUP(XLOOKUP(C65,Portions!$A:$A,Portions!$B:$B),FoodItems!$A:$A,FoodItems!$D:$D))</f>
        <v/>
      </c>
      <c r="I65">
        <f>IF(E65="","",E65/100*XLOOKUP(XLOOKUP(C65,Portions!$A:$A,Portions!$B:$B),FoodItems!$A:$A,FoodItems!$E:$E))</f>
        <v/>
      </c>
    </row>
    <row r="66">
      <c r="E66">
        <f>IF(C66="","",D66*XLOOKUP(C66,Portions!$A:$A,Portions!$D:$D))</f>
        <v/>
      </c>
      <c r="F66">
        <f>IF(E66="","",E66/100*XLOOKUP(XLOOKUP(C66,Portions!$A:$A,Portions!$B:$B),FoodItems!$A:$A,FoodItems!$B:$B))</f>
        <v/>
      </c>
      <c r="G66">
        <f>IF(E66="","",E66/100*XLOOKUP(XLOOKUP(C66,Portions!$A:$A,Portions!$B:$B),FoodItems!$A:$A,FoodItems!$C:$C))</f>
        <v/>
      </c>
      <c r="H66">
        <f>IF(E66="","",E66/100*XLOOKUP(XLOOKUP(C66,Portions!$A:$A,Portions!$B:$B),FoodItems!$A:$A,FoodItems!$D:$D))</f>
        <v/>
      </c>
      <c r="I66">
        <f>IF(E66="","",E66/100*XLOOKUP(XLOOKUP(C66,Portions!$A:$A,Portions!$B:$B),FoodItems!$A:$A,FoodItems!$E:$E))</f>
        <v/>
      </c>
    </row>
    <row r="67">
      <c r="E67">
        <f>IF(C67="","",D67*XLOOKUP(C67,Portions!$A:$A,Portions!$D:$D))</f>
        <v/>
      </c>
      <c r="F67">
        <f>IF(E67="","",E67/100*XLOOKUP(XLOOKUP(C67,Portions!$A:$A,Portions!$B:$B),FoodItems!$A:$A,FoodItems!$B:$B))</f>
        <v/>
      </c>
      <c r="G67">
        <f>IF(E67="","",E67/100*XLOOKUP(XLOOKUP(C67,Portions!$A:$A,Portions!$B:$B),FoodItems!$A:$A,FoodItems!$C:$C))</f>
        <v/>
      </c>
      <c r="H67">
        <f>IF(E67="","",E67/100*XLOOKUP(XLOOKUP(C67,Portions!$A:$A,Portions!$B:$B),FoodItems!$A:$A,FoodItems!$D:$D))</f>
        <v/>
      </c>
      <c r="I67">
        <f>IF(E67="","",E67/100*XLOOKUP(XLOOKUP(C67,Portions!$A:$A,Portions!$B:$B),FoodItems!$A:$A,FoodItems!$E:$E))</f>
        <v/>
      </c>
    </row>
    <row r="68">
      <c r="E68">
        <f>IF(C68="","",D68*XLOOKUP(C68,Portions!$A:$A,Portions!$D:$D))</f>
        <v/>
      </c>
      <c r="F68">
        <f>IF(E68="","",E68/100*XLOOKUP(XLOOKUP(C68,Portions!$A:$A,Portions!$B:$B),FoodItems!$A:$A,FoodItems!$B:$B))</f>
        <v/>
      </c>
      <c r="G68">
        <f>IF(E68="","",E68/100*XLOOKUP(XLOOKUP(C68,Portions!$A:$A,Portions!$B:$B),FoodItems!$A:$A,FoodItems!$C:$C))</f>
        <v/>
      </c>
      <c r="H68">
        <f>IF(E68="","",E68/100*XLOOKUP(XLOOKUP(C68,Portions!$A:$A,Portions!$B:$B),FoodItems!$A:$A,FoodItems!$D:$D))</f>
        <v/>
      </c>
      <c r="I68">
        <f>IF(E68="","",E68/100*XLOOKUP(XLOOKUP(C68,Portions!$A:$A,Portions!$B:$B),FoodItems!$A:$A,FoodItems!$E:$E))</f>
        <v/>
      </c>
    </row>
    <row r="69">
      <c r="E69">
        <f>IF(C69="","",D69*XLOOKUP(C69,Portions!$A:$A,Portions!$D:$D))</f>
        <v/>
      </c>
      <c r="F69">
        <f>IF(E69="","",E69/100*XLOOKUP(XLOOKUP(C69,Portions!$A:$A,Portions!$B:$B),FoodItems!$A:$A,FoodItems!$B:$B))</f>
        <v/>
      </c>
      <c r="G69">
        <f>IF(E69="","",E69/100*XLOOKUP(XLOOKUP(C69,Portions!$A:$A,Portions!$B:$B),FoodItems!$A:$A,FoodItems!$C:$C))</f>
        <v/>
      </c>
      <c r="H69">
        <f>IF(E69="","",E69/100*XLOOKUP(XLOOKUP(C69,Portions!$A:$A,Portions!$B:$B),FoodItems!$A:$A,FoodItems!$D:$D))</f>
        <v/>
      </c>
      <c r="I69">
        <f>IF(E69="","",E69/100*XLOOKUP(XLOOKUP(C69,Portions!$A:$A,Portions!$B:$B),FoodItems!$A:$A,FoodItems!$E:$E))</f>
        <v/>
      </c>
    </row>
    <row r="70">
      <c r="E70">
        <f>IF(C70="","",D70*XLOOKUP(C70,Portions!$A:$A,Portions!$D:$D))</f>
        <v/>
      </c>
      <c r="F70">
        <f>IF(E70="","",E70/100*XLOOKUP(XLOOKUP(C70,Portions!$A:$A,Portions!$B:$B),FoodItems!$A:$A,FoodItems!$B:$B))</f>
        <v/>
      </c>
      <c r="G70">
        <f>IF(E70="","",E70/100*XLOOKUP(XLOOKUP(C70,Portions!$A:$A,Portions!$B:$B),FoodItems!$A:$A,FoodItems!$C:$C))</f>
        <v/>
      </c>
      <c r="H70">
        <f>IF(E70="","",E70/100*XLOOKUP(XLOOKUP(C70,Portions!$A:$A,Portions!$B:$B),FoodItems!$A:$A,FoodItems!$D:$D))</f>
        <v/>
      </c>
      <c r="I70">
        <f>IF(E70="","",E70/100*XLOOKUP(XLOOKUP(C70,Portions!$A:$A,Portions!$B:$B),FoodItems!$A:$A,FoodItems!$E:$E))</f>
        <v/>
      </c>
    </row>
    <row r="71">
      <c r="E71">
        <f>IF(C71="","",D71*XLOOKUP(C71,Portions!$A:$A,Portions!$D:$D))</f>
        <v/>
      </c>
      <c r="F71">
        <f>IF(E71="","",E71/100*XLOOKUP(XLOOKUP(C71,Portions!$A:$A,Portions!$B:$B),FoodItems!$A:$A,FoodItems!$B:$B))</f>
        <v/>
      </c>
      <c r="G71">
        <f>IF(E71="","",E71/100*XLOOKUP(XLOOKUP(C71,Portions!$A:$A,Portions!$B:$B),FoodItems!$A:$A,FoodItems!$C:$C))</f>
        <v/>
      </c>
      <c r="H71">
        <f>IF(E71="","",E71/100*XLOOKUP(XLOOKUP(C71,Portions!$A:$A,Portions!$B:$B),FoodItems!$A:$A,FoodItems!$D:$D))</f>
        <v/>
      </c>
      <c r="I71">
        <f>IF(E71="","",E71/100*XLOOKUP(XLOOKUP(C71,Portions!$A:$A,Portions!$B:$B),FoodItems!$A:$A,FoodItems!$E:$E))</f>
        <v/>
      </c>
    </row>
    <row r="72">
      <c r="E72">
        <f>IF(C72="","",D72*XLOOKUP(C72,Portions!$A:$A,Portions!$D:$D))</f>
        <v/>
      </c>
      <c r="F72">
        <f>IF(E72="","",E72/100*XLOOKUP(XLOOKUP(C72,Portions!$A:$A,Portions!$B:$B),FoodItems!$A:$A,FoodItems!$B:$B))</f>
        <v/>
      </c>
      <c r="G72">
        <f>IF(E72="","",E72/100*XLOOKUP(XLOOKUP(C72,Portions!$A:$A,Portions!$B:$B),FoodItems!$A:$A,FoodItems!$C:$C))</f>
        <v/>
      </c>
      <c r="H72">
        <f>IF(E72="","",E72/100*XLOOKUP(XLOOKUP(C72,Portions!$A:$A,Portions!$B:$B),FoodItems!$A:$A,FoodItems!$D:$D))</f>
        <v/>
      </c>
      <c r="I72">
        <f>IF(E72="","",E72/100*XLOOKUP(XLOOKUP(C72,Portions!$A:$A,Portions!$B:$B),FoodItems!$A:$A,FoodItems!$E:$E))</f>
        <v/>
      </c>
    </row>
    <row r="73">
      <c r="E73">
        <f>IF(C73="","",D73*XLOOKUP(C73,Portions!$A:$A,Portions!$D:$D))</f>
        <v/>
      </c>
      <c r="F73">
        <f>IF(E73="","",E73/100*XLOOKUP(XLOOKUP(C73,Portions!$A:$A,Portions!$B:$B),FoodItems!$A:$A,FoodItems!$B:$B))</f>
        <v/>
      </c>
      <c r="G73">
        <f>IF(E73="","",E73/100*XLOOKUP(XLOOKUP(C73,Portions!$A:$A,Portions!$B:$B),FoodItems!$A:$A,FoodItems!$C:$C))</f>
        <v/>
      </c>
      <c r="H73">
        <f>IF(E73="","",E73/100*XLOOKUP(XLOOKUP(C73,Portions!$A:$A,Portions!$B:$B),FoodItems!$A:$A,FoodItems!$D:$D))</f>
        <v/>
      </c>
      <c r="I73">
        <f>IF(E73="","",E73/100*XLOOKUP(XLOOKUP(C73,Portions!$A:$A,Portions!$B:$B),FoodItems!$A:$A,FoodItems!$E:$E))</f>
        <v/>
      </c>
    </row>
    <row r="74">
      <c r="E74">
        <f>IF(C74="","",D74*XLOOKUP(C74,Portions!$A:$A,Portions!$D:$D))</f>
        <v/>
      </c>
      <c r="F74">
        <f>IF(E74="","",E74/100*XLOOKUP(XLOOKUP(C74,Portions!$A:$A,Portions!$B:$B),FoodItems!$A:$A,FoodItems!$B:$B))</f>
        <v/>
      </c>
      <c r="G74">
        <f>IF(E74="","",E74/100*XLOOKUP(XLOOKUP(C74,Portions!$A:$A,Portions!$B:$B),FoodItems!$A:$A,FoodItems!$C:$C))</f>
        <v/>
      </c>
      <c r="H74">
        <f>IF(E74="","",E74/100*XLOOKUP(XLOOKUP(C74,Portions!$A:$A,Portions!$B:$B),FoodItems!$A:$A,FoodItems!$D:$D))</f>
        <v/>
      </c>
      <c r="I74">
        <f>IF(E74="","",E74/100*XLOOKUP(XLOOKUP(C74,Portions!$A:$A,Portions!$B:$B),FoodItems!$A:$A,FoodItems!$E:$E))</f>
        <v/>
      </c>
    </row>
    <row r="75">
      <c r="E75">
        <f>IF(C75="","",D75*XLOOKUP(C75,Portions!$A:$A,Portions!$D:$D))</f>
        <v/>
      </c>
      <c r="F75">
        <f>IF(E75="","",E75/100*XLOOKUP(XLOOKUP(C75,Portions!$A:$A,Portions!$B:$B),FoodItems!$A:$A,FoodItems!$B:$B))</f>
        <v/>
      </c>
      <c r="G75">
        <f>IF(E75="","",E75/100*XLOOKUP(XLOOKUP(C75,Portions!$A:$A,Portions!$B:$B),FoodItems!$A:$A,FoodItems!$C:$C))</f>
        <v/>
      </c>
      <c r="H75">
        <f>IF(E75="","",E75/100*XLOOKUP(XLOOKUP(C75,Portions!$A:$A,Portions!$B:$B),FoodItems!$A:$A,FoodItems!$D:$D))</f>
        <v/>
      </c>
      <c r="I75">
        <f>IF(E75="","",E75/100*XLOOKUP(XLOOKUP(C75,Portions!$A:$A,Portions!$B:$B),FoodItems!$A:$A,FoodItems!$E:$E))</f>
        <v/>
      </c>
    </row>
    <row r="76">
      <c r="E76">
        <f>IF(C76="","",D76*XLOOKUP(C76,Portions!$A:$A,Portions!$D:$D))</f>
        <v/>
      </c>
      <c r="F76">
        <f>IF(E76="","",E76/100*XLOOKUP(XLOOKUP(C76,Portions!$A:$A,Portions!$B:$B),FoodItems!$A:$A,FoodItems!$B:$B))</f>
        <v/>
      </c>
      <c r="G76">
        <f>IF(E76="","",E76/100*XLOOKUP(XLOOKUP(C76,Portions!$A:$A,Portions!$B:$B),FoodItems!$A:$A,FoodItems!$C:$C))</f>
        <v/>
      </c>
      <c r="H76">
        <f>IF(E76="","",E76/100*XLOOKUP(XLOOKUP(C76,Portions!$A:$A,Portions!$B:$B),FoodItems!$A:$A,FoodItems!$D:$D))</f>
        <v/>
      </c>
      <c r="I76">
        <f>IF(E76="","",E76/100*XLOOKUP(XLOOKUP(C76,Portions!$A:$A,Portions!$B:$B),FoodItems!$A:$A,FoodItems!$E:$E))</f>
        <v/>
      </c>
    </row>
    <row r="77">
      <c r="E77">
        <f>IF(C77="","",D77*XLOOKUP(C77,Portions!$A:$A,Portions!$D:$D))</f>
        <v/>
      </c>
      <c r="F77">
        <f>IF(E77="","",E77/100*XLOOKUP(XLOOKUP(C77,Portions!$A:$A,Portions!$B:$B),FoodItems!$A:$A,FoodItems!$B:$B))</f>
        <v/>
      </c>
      <c r="G77">
        <f>IF(E77="","",E77/100*XLOOKUP(XLOOKUP(C77,Portions!$A:$A,Portions!$B:$B),FoodItems!$A:$A,FoodItems!$C:$C))</f>
        <v/>
      </c>
      <c r="H77">
        <f>IF(E77="","",E77/100*XLOOKUP(XLOOKUP(C77,Portions!$A:$A,Portions!$B:$B),FoodItems!$A:$A,FoodItems!$D:$D))</f>
        <v/>
      </c>
      <c r="I77">
        <f>IF(E77="","",E77/100*XLOOKUP(XLOOKUP(C77,Portions!$A:$A,Portions!$B:$B),FoodItems!$A:$A,FoodItems!$E:$E))</f>
        <v/>
      </c>
    </row>
    <row r="78">
      <c r="E78">
        <f>IF(C78="","",D78*XLOOKUP(C78,Portions!$A:$A,Portions!$D:$D))</f>
        <v/>
      </c>
      <c r="F78">
        <f>IF(E78="","",E78/100*XLOOKUP(XLOOKUP(C78,Portions!$A:$A,Portions!$B:$B),FoodItems!$A:$A,FoodItems!$B:$B))</f>
        <v/>
      </c>
      <c r="G78">
        <f>IF(E78="","",E78/100*XLOOKUP(XLOOKUP(C78,Portions!$A:$A,Portions!$B:$B),FoodItems!$A:$A,FoodItems!$C:$C))</f>
        <v/>
      </c>
      <c r="H78">
        <f>IF(E78="","",E78/100*XLOOKUP(XLOOKUP(C78,Portions!$A:$A,Portions!$B:$B),FoodItems!$A:$A,FoodItems!$D:$D))</f>
        <v/>
      </c>
      <c r="I78">
        <f>IF(E78="","",E78/100*XLOOKUP(XLOOKUP(C78,Portions!$A:$A,Portions!$B:$B),FoodItems!$A:$A,FoodItems!$E:$E))</f>
        <v/>
      </c>
    </row>
    <row r="79">
      <c r="E79">
        <f>IF(C79="","",D79*XLOOKUP(C79,Portions!$A:$A,Portions!$D:$D))</f>
        <v/>
      </c>
      <c r="F79">
        <f>IF(E79="","",E79/100*XLOOKUP(XLOOKUP(C79,Portions!$A:$A,Portions!$B:$B),FoodItems!$A:$A,FoodItems!$B:$B))</f>
        <v/>
      </c>
      <c r="G79">
        <f>IF(E79="","",E79/100*XLOOKUP(XLOOKUP(C79,Portions!$A:$A,Portions!$B:$B),FoodItems!$A:$A,FoodItems!$C:$C))</f>
        <v/>
      </c>
      <c r="H79">
        <f>IF(E79="","",E79/100*XLOOKUP(XLOOKUP(C79,Portions!$A:$A,Portions!$B:$B),FoodItems!$A:$A,FoodItems!$D:$D))</f>
        <v/>
      </c>
      <c r="I79">
        <f>IF(E79="","",E79/100*XLOOKUP(XLOOKUP(C79,Portions!$A:$A,Portions!$B:$B),FoodItems!$A:$A,FoodItems!$E:$E))</f>
        <v/>
      </c>
    </row>
    <row r="80">
      <c r="E80">
        <f>IF(C80="","",D80*XLOOKUP(C80,Portions!$A:$A,Portions!$D:$D))</f>
        <v/>
      </c>
      <c r="F80">
        <f>IF(E80="","",E80/100*XLOOKUP(XLOOKUP(C80,Portions!$A:$A,Portions!$B:$B),FoodItems!$A:$A,FoodItems!$B:$B))</f>
        <v/>
      </c>
      <c r="G80">
        <f>IF(E80="","",E80/100*XLOOKUP(XLOOKUP(C80,Portions!$A:$A,Portions!$B:$B),FoodItems!$A:$A,FoodItems!$C:$C))</f>
        <v/>
      </c>
      <c r="H80">
        <f>IF(E80="","",E80/100*XLOOKUP(XLOOKUP(C80,Portions!$A:$A,Portions!$B:$B),FoodItems!$A:$A,FoodItems!$D:$D))</f>
        <v/>
      </c>
      <c r="I80">
        <f>IF(E80="","",E80/100*XLOOKUP(XLOOKUP(C80,Portions!$A:$A,Portions!$B:$B),FoodItems!$A:$A,FoodItems!$E:$E))</f>
        <v/>
      </c>
    </row>
    <row r="81">
      <c r="E81">
        <f>IF(C81="","",D81*XLOOKUP(C81,Portions!$A:$A,Portions!$D:$D))</f>
        <v/>
      </c>
      <c r="F81">
        <f>IF(E81="","",E81/100*XLOOKUP(XLOOKUP(C81,Portions!$A:$A,Portions!$B:$B),FoodItems!$A:$A,FoodItems!$B:$B))</f>
        <v/>
      </c>
      <c r="G81">
        <f>IF(E81="","",E81/100*XLOOKUP(XLOOKUP(C81,Portions!$A:$A,Portions!$B:$B),FoodItems!$A:$A,FoodItems!$C:$C))</f>
        <v/>
      </c>
      <c r="H81">
        <f>IF(E81="","",E81/100*XLOOKUP(XLOOKUP(C81,Portions!$A:$A,Portions!$B:$B),FoodItems!$A:$A,FoodItems!$D:$D))</f>
        <v/>
      </c>
      <c r="I81">
        <f>IF(E81="","",E81/100*XLOOKUP(XLOOKUP(C81,Portions!$A:$A,Portions!$B:$B),FoodItems!$A:$A,FoodItems!$E:$E))</f>
        <v/>
      </c>
    </row>
    <row r="82">
      <c r="E82">
        <f>IF(C82="","",D82*XLOOKUP(C82,Portions!$A:$A,Portions!$D:$D))</f>
        <v/>
      </c>
      <c r="F82">
        <f>IF(E82="","",E82/100*XLOOKUP(XLOOKUP(C82,Portions!$A:$A,Portions!$B:$B),FoodItems!$A:$A,FoodItems!$B:$B))</f>
        <v/>
      </c>
      <c r="G82">
        <f>IF(E82="","",E82/100*XLOOKUP(XLOOKUP(C82,Portions!$A:$A,Portions!$B:$B),FoodItems!$A:$A,FoodItems!$C:$C))</f>
        <v/>
      </c>
      <c r="H82">
        <f>IF(E82="","",E82/100*XLOOKUP(XLOOKUP(C82,Portions!$A:$A,Portions!$B:$B),FoodItems!$A:$A,FoodItems!$D:$D))</f>
        <v/>
      </c>
      <c r="I82">
        <f>IF(E82="","",E82/100*XLOOKUP(XLOOKUP(C82,Portions!$A:$A,Portions!$B:$B),FoodItems!$A:$A,FoodItems!$E:$E))</f>
        <v/>
      </c>
    </row>
    <row r="83">
      <c r="E83">
        <f>IF(C83="","",D83*XLOOKUP(C83,Portions!$A:$A,Portions!$D:$D))</f>
        <v/>
      </c>
      <c r="F83">
        <f>IF(E83="","",E83/100*XLOOKUP(XLOOKUP(C83,Portions!$A:$A,Portions!$B:$B),FoodItems!$A:$A,FoodItems!$B:$B))</f>
        <v/>
      </c>
      <c r="G83">
        <f>IF(E83="","",E83/100*XLOOKUP(XLOOKUP(C83,Portions!$A:$A,Portions!$B:$B),FoodItems!$A:$A,FoodItems!$C:$C))</f>
        <v/>
      </c>
      <c r="H83">
        <f>IF(E83="","",E83/100*XLOOKUP(XLOOKUP(C83,Portions!$A:$A,Portions!$B:$B),FoodItems!$A:$A,FoodItems!$D:$D))</f>
        <v/>
      </c>
      <c r="I83">
        <f>IF(E83="","",E83/100*XLOOKUP(XLOOKUP(C83,Portions!$A:$A,Portions!$B:$B),FoodItems!$A:$A,FoodItems!$E:$E))</f>
        <v/>
      </c>
    </row>
    <row r="84">
      <c r="E84">
        <f>IF(C84="","",D84*XLOOKUP(C84,Portions!$A:$A,Portions!$D:$D))</f>
        <v/>
      </c>
      <c r="F84">
        <f>IF(E84="","",E84/100*XLOOKUP(XLOOKUP(C84,Portions!$A:$A,Portions!$B:$B),FoodItems!$A:$A,FoodItems!$B:$B))</f>
        <v/>
      </c>
      <c r="G84">
        <f>IF(E84="","",E84/100*XLOOKUP(XLOOKUP(C84,Portions!$A:$A,Portions!$B:$B),FoodItems!$A:$A,FoodItems!$C:$C))</f>
        <v/>
      </c>
      <c r="H84">
        <f>IF(E84="","",E84/100*XLOOKUP(XLOOKUP(C84,Portions!$A:$A,Portions!$B:$B),FoodItems!$A:$A,FoodItems!$D:$D))</f>
        <v/>
      </c>
      <c r="I84">
        <f>IF(E84="","",E84/100*XLOOKUP(XLOOKUP(C84,Portions!$A:$A,Portions!$B:$B),FoodItems!$A:$A,FoodItems!$E:$E))</f>
        <v/>
      </c>
    </row>
    <row r="85">
      <c r="E85">
        <f>IF(C85="","",D85*XLOOKUP(C85,Portions!$A:$A,Portions!$D:$D))</f>
        <v/>
      </c>
      <c r="F85">
        <f>IF(E85="","",E85/100*XLOOKUP(XLOOKUP(C85,Portions!$A:$A,Portions!$B:$B),FoodItems!$A:$A,FoodItems!$B:$B))</f>
        <v/>
      </c>
      <c r="G85">
        <f>IF(E85="","",E85/100*XLOOKUP(XLOOKUP(C85,Portions!$A:$A,Portions!$B:$B),FoodItems!$A:$A,FoodItems!$C:$C))</f>
        <v/>
      </c>
      <c r="H85">
        <f>IF(E85="","",E85/100*XLOOKUP(XLOOKUP(C85,Portions!$A:$A,Portions!$B:$B),FoodItems!$A:$A,FoodItems!$D:$D))</f>
        <v/>
      </c>
      <c r="I85">
        <f>IF(E85="","",E85/100*XLOOKUP(XLOOKUP(C85,Portions!$A:$A,Portions!$B:$B),FoodItems!$A:$A,FoodItems!$E:$E))</f>
        <v/>
      </c>
    </row>
    <row r="86">
      <c r="E86">
        <f>IF(C86="","",D86*XLOOKUP(C86,Portions!$A:$A,Portions!$D:$D))</f>
        <v/>
      </c>
      <c r="F86">
        <f>IF(E86="","",E86/100*XLOOKUP(XLOOKUP(C86,Portions!$A:$A,Portions!$B:$B),FoodItems!$A:$A,FoodItems!$B:$B))</f>
        <v/>
      </c>
      <c r="G86">
        <f>IF(E86="","",E86/100*XLOOKUP(XLOOKUP(C86,Portions!$A:$A,Portions!$B:$B),FoodItems!$A:$A,FoodItems!$C:$C))</f>
        <v/>
      </c>
      <c r="H86">
        <f>IF(E86="","",E86/100*XLOOKUP(XLOOKUP(C86,Portions!$A:$A,Portions!$B:$B),FoodItems!$A:$A,FoodItems!$D:$D))</f>
        <v/>
      </c>
      <c r="I86">
        <f>IF(E86="","",E86/100*XLOOKUP(XLOOKUP(C86,Portions!$A:$A,Portions!$B:$B),FoodItems!$A:$A,FoodItems!$E:$E))</f>
        <v/>
      </c>
    </row>
    <row r="87">
      <c r="E87">
        <f>IF(C87="","",D87*XLOOKUP(C87,Portions!$A:$A,Portions!$D:$D))</f>
        <v/>
      </c>
      <c r="F87">
        <f>IF(E87="","",E87/100*XLOOKUP(XLOOKUP(C87,Portions!$A:$A,Portions!$B:$B),FoodItems!$A:$A,FoodItems!$B:$B))</f>
        <v/>
      </c>
      <c r="G87">
        <f>IF(E87="","",E87/100*XLOOKUP(XLOOKUP(C87,Portions!$A:$A,Portions!$B:$B),FoodItems!$A:$A,FoodItems!$C:$C))</f>
        <v/>
      </c>
      <c r="H87">
        <f>IF(E87="","",E87/100*XLOOKUP(XLOOKUP(C87,Portions!$A:$A,Portions!$B:$B),FoodItems!$A:$A,FoodItems!$D:$D))</f>
        <v/>
      </c>
      <c r="I87">
        <f>IF(E87="","",E87/100*XLOOKUP(XLOOKUP(C87,Portions!$A:$A,Portions!$B:$B),FoodItems!$A:$A,FoodItems!$E:$E))</f>
        <v/>
      </c>
    </row>
    <row r="88">
      <c r="E88">
        <f>IF(C88="","",D88*XLOOKUP(C88,Portions!$A:$A,Portions!$D:$D))</f>
        <v/>
      </c>
      <c r="F88">
        <f>IF(E88="","",E88/100*XLOOKUP(XLOOKUP(C88,Portions!$A:$A,Portions!$B:$B),FoodItems!$A:$A,FoodItems!$B:$B))</f>
        <v/>
      </c>
      <c r="G88">
        <f>IF(E88="","",E88/100*XLOOKUP(XLOOKUP(C88,Portions!$A:$A,Portions!$B:$B),FoodItems!$A:$A,FoodItems!$C:$C))</f>
        <v/>
      </c>
      <c r="H88">
        <f>IF(E88="","",E88/100*XLOOKUP(XLOOKUP(C88,Portions!$A:$A,Portions!$B:$B),FoodItems!$A:$A,FoodItems!$D:$D))</f>
        <v/>
      </c>
      <c r="I88">
        <f>IF(E88="","",E88/100*XLOOKUP(XLOOKUP(C88,Portions!$A:$A,Portions!$B:$B),FoodItems!$A:$A,FoodItems!$E:$E))</f>
        <v/>
      </c>
    </row>
    <row r="89">
      <c r="E89">
        <f>IF(C89="","",D89*XLOOKUP(C89,Portions!$A:$A,Portions!$D:$D))</f>
        <v/>
      </c>
      <c r="F89">
        <f>IF(E89="","",E89/100*XLOOKUP(XLOOKUP(C89,Portions!$A:$A,Portions!$B:$B),FoodItems!$A:$A,FoodItems!$B:$B))</f>
        <v/>
      </c>
      <c r="G89">
        <f>IF(E89="","",E89/100*XLOOKUP(XLOOKUP(C89,Portions!$A:$A,Portions!$B:$B),FoodItems!$A:$A,FoodItems!$C:$C))</f>
        <v/>
      </c>
      <c r="H89">
        <f>IF(E89="","",E89/100*XLOOKUP(XLOOKUP(C89,Portions!$A:$A,Portions!$B:$B),FoodItems!$A:$A,FoodItems!$D:$D))</f>
        <v/>
      </c>
      <c r="I89">
        <f>IF(E89="","",E89/100*XLOOKUP(XLOOKUP(C89,Portions!$A:$A,Portions!$B:$B),FoodItems!$A:$A,FoodItems!$E:$E))</f>
        <v/>
      </c>
    </row>
    <row r="90">
      <c r="E90">
        <f>IF(C90="","",D90*XLOOKUP(C90,Portions!$A:$A,Portions!$D:$D))</f>
        <v/>
      </c>
      <c r="F90">
        <f>IF(E90="","",E90/100*XLOOKUP(XLOOKUP(C90,Portions!$A:$A,Portions!$B:$B),FoodItems!$A:$A,FoodItems!$B:$B))</f>
        <v/>
      </c>
      <c r="G90">
        <f>IF(E90="","",E90/100*XLOOKUP(XLOOKUP(C90,Portions!$A:$A,Portions!$B:$B),FoodItems!$A:$A,FoodItems!$C:$C))</f>
        <v/>
      </c>
      <c r="H90">
        <f>IF(E90="","",E90/100*XLOOKUP(XLOOKUP(C90,Portions!$A:$A,Portions!$B:$B),FoodItems!$A:$A,FoodItems!$D:$D))</f>
        <v/>
      </c>
      <c r="I90">
        <f>IF(E90="","",E90/100*XLOOKUP(XLOOKUP(C90,Portions!$A:$A,Portions!$B:$B),FoodItems!$A:$A,FoodItems!$E:$E))</f>
        <v/>
      </c>
    </row>
    <row r="91">
      <c r="E91">
        <f>IF(C91="","",D91*XLOOKUP(C91,Portions!$A:$A,Portions!$D:$D))</f>
        <v/>
      </c>
      <c r="F91">
        <f>IF(E91="","",E91/100*XLOOKUP(XLOOKUP(C91,Portions!$A:$A,Portions!$B:$B),FoodItems!$A:$A,FoodItems!$B:$B))</f>
        <v/>
      </c>
      <c r="G91">
        <f>IF(E91="","",E91/100*XLOOKUP(XLOOKUP(C91,Portions!$A:$A,Portions!$B:$B),FoodItems!$A:$A,FoodItems!$C:$C))</f>
        <v/>
      </c>
      <c r="H91">
        <f>IF(E91="","",E91/100*XLOOKUP(XLOOKUP(C91,Portions!$A:$A,Portions!$B:$B),FoodItems!$A:$A,FoodItems!$D:$D))</f>
        <v/>
      </c>
      <c r="I91">
        <f>IF(E91="","",E91/100*XLOOKUP(XLOOKUP(C91,Portions!$A:$A,Portions!$B:$B),FoodItems!$A:$A,FoodItems!$E:$E))</f>
        <v/>
      </c>
    </row>
    <row r="92">
      <c r="E92">
        <f>IF(C92="","",D92*XLOOKUP(C92,Portions!$A:$A,Portions!$D:$D))</f>
        <v/>
      </c>
      <c r="F92">
        <f>IF(E92="","",E92/100*XLOOKUP(XLOOKUP(C92,Portions!$A:$A,Portions!$B:$B),FoodItems!$A:$A,FoodItems!$B:$B))</f>
        <v/>
      </c>
      <c r="G92">
        <f>IF(E92="","",E92/100*XLOOKUP(XLOOKUP(C92,Portions!$A:$A,Portions!$B:$B),FoodItems!$A:$A,FoodItems!$C:$C))</f>
        <v/>
      </c>
      <c r="H92">
        <f>IF(E92="","",E92/100*XLOOKUP(XLOOKUP(C92,Portions!$A:$A,Portions!$B:$B),FoodItems!$A:$A,FoodItems!$D:$D))</f>
        <v/>
      </c>
      <c r="I92">
        <f>IF(E92="","",E92/100*XLOOKUP(XLOOKUP(C92,Portions!$A:$A,Portions!$B:$B),FoodItems!$A:$A,FoodItems!$E:$E))</f>
        <v/>
      </c>
    </row>
    <row r="93">
      <c r="E93">
        <f>IF(C93="","",D93*XLOOKUP(C93,Portions!$A:$A,Portions!$D:$D))</f>
        <v/>
      </c>
      <c r="F93">
        <f>IF(E93="","",E93/100*XLOOKUP(XLOOKUP(C93,Portions!$A:$A,Portions!$B:$B),FoodItems!$A:$A,FoodItems!$B:$B))</f>
        <v/>
      </c>
      <c r="G93">
        <f>IF(E93="","",E93/100*XLOOKUP(XLOOKUP(C93,Portions!$A:$A,Portions!$B:$B),FoodItems!$A:$A,FoodItems!$C:$C))</f>
        <v/>
      </c>
      <c r="H93">
        <f>IF(E93="","",E93/100*XLOOKUP(XLOOKUP(C93,Portions!$A:$A,Portions!$B:$B),FoodItems!$A:$A,FoodItems!$D:$D))</f>
        <v/>
      </c>
      <c r="I93">
        <f>IF(E93="","",E93/100*XLOOKUP(XLOOKUP(C93,Portions!$A:$A,Portions!$B:$B),FoodItems!$A:$A,FoodItems!$E:$E))</f>
        <v/>
      </c>
    </row>
    <row r="94">
      <c r="E94">
        <f>IF(C94="","",D94*XLOOKUP(C94,Portions!$A:$A,Portions!$D:$D))</f>
        <v/>
      </c>
      <c r="F94">
        <f>IF(E94="","",E94/100*XLOOKUP(XLOOKUP(C94,Portions!$A:$A,Portions!$B:$B),FoodItems!$A:$A,FoodItems!$B:$B))</f>
        <v/>
      </c>
      <c r="G94">
        <f>IF(E94="","",E94/100*XLOOKUP(XLOOKUP(C94,Portions!$A:$A,Portions!$B:$B),FoodItems!$A:$A,FoodItems!$C:$C))</f>
        <v/>
      </c>
      <c r="H94">
        <f>IF(E94="","",E94/100*XLOOKUP(XLOOKUP(C94,Portions!$A:$A,Portions!$B:$B),FoodItems!$A:$A,FoodItems!$D:$D))</f>
        <v/>
      </c>
      <c r="I94">
        <f>IF(E94="","",E94/100*XLOOKUP(XLOOKUP(C94,Portions!$A:$A,Portions!$B:$B),FoodItems!$A:$A,FoodItems!$E:$E))</f>
        <v/>
      </c>
    </row>
    <row r="95">
      <c r="E95">
        <f>IF(C95="","",D95*XLOOKUP(C95,Portions!$A:$A,Portions!$D:$D))</f>
        <v/>
      </c>
      <c r="F95">
        <f>IF(E95="","",E95/100*XLOOKUP(XLOOKUP(C95,Portions!$A:$A,Portions!$B:$B),FoodItems!$A:$A,FoodItems!$B:$B))</f>
        <v/>
      </c>
      <c r="G95">
        <f>IF(E95="","",E95/100*XLOOKUP(XLOOKUP(C95,Portions!$A:$A,Portions!$B:$B),FoodItems!$A:$A,FoodItems!$C:$C))</f>
        <v/>
      </c>
      <c r="H95">
        <f>IF(E95="","",E95/100*XLOOKUP(XLOOKUP(C95,Portions!$A:$A,Portions!$B:$B),FoodItems!$A:$A,FoodItems!$D:$D))</f>
        <v/>
      </c>
      <c r="I95">
        <f>IF(E95="","",E95/100*XLOOKUP(XLOOKUP(C95,Portions!$A:$A,Portions!$B:$B),FoodItems!$A:$A,FoodItems!$E:$E))</f>
        <v/>
      </c>
    </row>
    <row r="96">
      <c r="E96">
        <f>IF(C96="","",D96*XLOOKUP(C96,Portions!$A:$A,Portions!$D:$D))</f>
        <v/>
      </c>
      <c r="F96">
        <f>IF(E96="","",E96/100*XLOOKUP(XLOOKUP(C96,Portions!$A:$A,Portions!$B:$B),FoodItems!$A:$A,FoodItems!$B:$B))</f>
        <v/>
      </c>
      <c r="G96">
        <f>IF(E96="","",E96/100*XLOOKUP(XLOOKUP(C96,Portions!$A:$A,Portions!$B:$B),FoodItems!$A:$A,FoodItems!$C:$C))</f>
        <v/>
      </c>
      <c r="H96">
        <f>IF(E96="","",E96/100*XLOOKUP(XLOOKUP(C96,Portions!$A:$A,Portions!$B:$B),FoodItems!$A:$A,FoodItems!$D:$D))</f>
        <v/>
      </c>
      <c r="I96">
        <f>IF(E96="","",E96/100*XLOOKUP(XLOOKUP(C96,Portions!$A:$A,Portions!$B:$B),FoodItems!$A:$A,FoodItems!$E:$E))</f>
        <v/>
      </c>
    </row>
    <row r="97">
      <c r="E97">
        <f>IF(C97="","",D97*XLOOKUP(C97,Portions!$A:$A,Portions!$D:$D))</f>
        <v/>
      </c>
      <c r="F97">
        <f>IF(E97="","",E97/100*XLOOKUP(XLOOKUP(C97,Portions!$A:$A,Portions!$B:$B),FoodItems!$A:$A,FoodItems!$B:$B))</f>
        <v/>
      </c>
      <c r="G97">
        <f>IF(E97="","",E97/100*XLOOKUP(XLOOKUP(C97,Portions!$A:$A,Portions!$B:$B),FoodItems!$A:$A,FoodItems!$C:$C))</f>
        <v/>
      </c>
      <c r="H97">
        <f>IF(E97="","",E97/100*XLOOKUP(XLOOKUP(C97,Portions!$A:$A,Portions!$B:$B),FoodItems!$A:$A,FoodItems!$D:$D))</f>
        <v/>
      </c>
      <c r="I97">
        <f>IF(E97="","",E97/100*XLOOKUP(XLOOKUP(C97,Portions!$A:$A,Portions!$B:$B),FoodItems!$A:$A,FoodItems!$E:$E))</f>
        <v/>
      </c>
    </row>
    <row r="98">
      <c r="E98">
        <f>IF(C98="","",D98*XLOOKUP(C98,Portions!$A:$A,Portions!$D:$D))</f>
        <v/>
      </c>
      <c r="F98">
        <f>IF(E98="","",E98/100*XLOOKUP(XLOOKUP(C98,Portions!$A:$A,Portions!$B:$B),FoodItems!$A:$A,FoodItems!$B:$B))</f>
        <v/>
      </c>
      <c r="G98">
        <f>IF(E98="","",E98/100*XLOOKUP(XLOOKUP(C98,Portions!$A:$A,Portions!$B:$B),FoodItems!$A:$A,FoodItems!$C:$C))</f>
        <v/>
      </c>
      <c r="H98">
        <f>IF(E98="","",E98/100*XLOOKUP(XLOOKUP(C98,Portions!$A:$A,Portions!$B:$B),FoodItems!$A:$A,FoodItems!$D:$D))</f>
        <v/>
      </c>
      <c r="I98">
        <f>IF(E98="","",E98/100*XLOOKUP(XLOOKUP(C98,Portions!$A:$A,Portions!$B:$B),FoodItems!$A:$A,FoodItems!$E:$E))</f>
        <v/>
      </c>
    </row>
    <row r="99">
      <c r="E99">
        <f>IF(C99="","",D99*XLOOKUP(C99,Portions!$A:$A,Portions!$D:$D))</f>
        <v/>
      </c>
      <c r="F99">
        <f>IF(E99="","",E99/100*XLOOKUP(XLOOKUP(C99,Portions!$A:$A,Portions!$B:$B),FoodItems!$A:$A,FoodItems!$B:$B))</f>
        <v/>
      </c>
      <c r="G99">
        <f>IF(E99="","",E99/100*XLOOKUP(XLOOKUP(C99,Portions!$A:$A,Portions!$B:$B),FoodItems!$A:$A,FoodItems!$C:$C))</f>
        <v/>
      </c>
      <c r="H99">
        <f>IF(E99="","",E99/100*XLOOKUP(XLOOKUP(C99,Portions!$A:$A,Portions!$B:$B),FoodItems!$A:$A,FoodItems!$D:$D))</f>
        <v/>
      </c>
      <c r="I99">
        <f>IF(E99="","",E99/100*XLOOKUP(XLOOKUP(C99,Portions!$A:$A,Portions!$B:$B),FoodItems!$A:$A,FoodItems!$E:$E))</f>
        <v/>
      </c>
    </row>
    <row r="100">
      <c r="E100">
        <f>IF(C100="","",D100*XLOOKUP(C100,Portions!$A:$A,Portions!$D:$D))</f>
        <v/>
      </c>
      <c r="F100">
        <f>IF(E100="","",E100/100*XLOOKUP(XLOOKUP(C100,Portions!$A:$A,Portions!$B:$B),FoodItems!$A:$A,FoodItems!$B:$B))</f>
        <v/>
      </c>
      <c r="G100">
        <f>IF(E100="","",E100/100*XLOOKUP(XLOOKUP(C100,Portions!$A:$A,Portions!$B:$B),FoodItems!$A:$A,FoodItems!$C:$C))</f>
        <v/>
      </c>
      <c r="H100">
        <f>IF(E100="","",E100/100*XLOOKUP(XLOOKUP(C100,Portions!$A:$A,Portions!$B:$B),FoodItems!$A:$A,FoodItems!$D:$D))</f>
        <v/>
      </c>
      <c r="I100">
        <f>IF(E100="","",E100/100*XLOOKUP(XLOOKUP(C100,Portions!$A:$A,Portions!$B:$B),FoodItems!$A:$A,FoodItems!$E:$E))</f>
        <v/>
      </c>
    </row>
    <row r="101">
      <c r="E101">
        <f>IF(C101="","",D101*XLOOKUP(C101,Portions!$A:$A,Portions!$D:$D))</f>
        <v/>
      </c>
      <c r="F101">
        <f>IF(E101="","",E101/100*XLOOKUP(XLOOKUP(C101,Portions!$A:$A,Portions!$B:$B),FoodItems!$A:$A,FoodItems!$B:$B))</f>
        <v/>
      </c>
      <c r="G101">
        <f>IF(E101="","",E101/100*XLOOKUP(XLOOKUP(C101,Portions!$A:$A,Portions!$B:$B),FoodItems!$A:$A,FoodItems!$C:$C))</f>
        <v/>
      </c>
      <c r="H101">
        <f>IF(E101="","",E101/100*XLOOKUP(XLOOKUP(C101,Portions!$A:$A,Portions!$B:$B),FoodItems!$A:$A,FoodItems!$D:$D))</f>
        <v/>
      </c>
      <c r="I101">
        <f>IF(E101="","",E101/100*XLOOKUP(XLOOKUP(C101,Portions!$A:$A,Portions!$B:$B),FoodItems!$A:$A,FoodItems!$E:$E))</f>
        <v/>
      </c>
    </row>
    <row r="102">
      <c r="E102">
        <f>IF(C102="","",D102*XLOOKUP(C102,Portions!$A:$A,Portions!$D:$D))</f>
        <v/>
      </c>
      <c r="F102">
        <f>IF(E102="","",E102/100*XLOOKUP(XLOOKUP(C102,Portions!$A:$A,Portions!$B:$B),FoodItems!$A:$A,FoodItems!$B:$B))</f>
        <v/>
      </c>
      <c r="G102">
        <f>IF(E102="","",E102/100*XLOOKUP(XLOOKUP(C102,Portions!$A:$A,Portions!$B:$B),FoodItems!$A:$A,FoodItems!$C:$C))</f>
        <v/>
      </c>
      <c r="H102">
        <f>IF(E102="","",E102/100*XLOOKUP(XLOOKUP(C102,Portions!$A:$A,Portions!$B:$B),FoodItems!$A:$A,FoodItems!$D:$D))</f>
        <v/>
      </c>
      <c r="I102">
        <f>IF(E102="","",E102/100*XLOOKUP(XLOOKUP(C102,Portions!$A:$A,Portions!$B:$B),FoodItems!$A:$A,FoodItems!$E:$E))</f>
        <v/>
      </c>
    </row>
    <row r="103">
      <c r="E103">
        <f>IF(C103="","",D103*XLOOKUP(C103,Portions!$A:$A,Portions!$D:$D))</f>
        <v/>
      </c>
      <c r="F103">
        <f>IF(E103="","",E103/100*XLOOKUP(XLOOKUP(C103,Portions!$A:$A,Portions!$B:$B),FoodItems!$A:$A,FoodItems!$B:$B))</f>
        <v/>
      </c>
      <c r="G103">
        <f>IF(E103="","",E103/100*XLOOKUP(XLOOKUP(C103,Portions!$A:$A,Portions!$B:$B),FoodItems!$A:$A,FoodItems!$C:$C))</f>
        <v/>
      </c>
      <c r="H103">
        <f>IF(E103="","",E103/100*XLOOKUP(XLOOKUP(C103,Portions!$A:$A,Portions!$B:$B),FoodItems!$A:$A,FoodItems!$D:$D))</f>
        <v/>
      </c>
      <c r="I103">
        <f>IF(E103="","",E103/100*XLOOKUP(XLOOKUP(C103,Portions!$A:$A,Portions!$B:$B),FoodItems!$A:$A,FoodItems!$E:$E))</f>
        <v/>
      </c>
    </row>
    <row r="104">
      <c r="E104">
        <f>IF(C104="","",D104*XLOOKUP(C104,Portions!$A:$A,Portions!$D:$D))</f>
        <v/>
      </c>
      <c r="F104">
        <f>IF(E104="","",E104/100*XLOOKUP(XLOOKUP(C104,Portions!$A:$A,Portions!$B:$B),FoodItems!$A:$A,FoodItems!$B:$B))</f>
        <v/>
      </c>
      <c r="G104">
        <f>IF(E104="","",E104/100*XLOOKUP(XLOOKUP(C104,Portions!$A:$A,Portions!$B:$B),FoodItems!$A:$A,FoodItems!$C:$C))</f>
        <v/>
      </c>
      <c r="H104">
        <f>IF(E104="","",E104/100*XLOOKUP(XLOOKUP(C104,Portions!$A:$A,Portions!$B:$B),FoodItems!$A:$A,FoodItems!$D:$D))</f>
        <v/>
      </c>
      <c r="I104">
        <f>IF(E104="","",E104/100*XLOOKUP(XLOOKUP(C104,Portions!$A:$A,Portions!$B:$B),FoodItems!$A:$A,FoodItems!$E:$E))</f>
        <v/>
      </c>
    </row>
    <row r="105">
      <c r="E105">
        <f>IF(C105="","",D105*XLOOKUP(C105,Portions!$A:$A,Portions!$D:$D))</f>
        <v/>
      </c>
      <c r="F105">
        <f>IF(E105="","",E105/100*XLOOKUP(XLOOKUP(C105,Portions!$A:$A,Portions!$B:$B),FoodItems!$A:$A,FoodItems!$B:$B))</f>
        <v/>
      </c>
      <c r="G105">
        <f>IF(E105="","",E105/100*XLOOKUP(XLOOKUP(C105,Portions!$A:$A,Portions!$B:$B),FoodItems!$A:$A,FoodItems!$C:$C))</f>
        <v/>
      </c>
      <c r="H105">
        <f>IF(E105="","",E105/100*XLOOKUP(XLOOKUP(C105,Portions!$A:$A,Portions!$B:$B),FoodItems!$A:$A,FoodItems!$D:$D))</f>
        <v/>
      </c>
      <c r="I105">
        <f>IF(E105="","",E105/100*XLOOKUP(XLOOKUP(C105,Portions!$A:$A,Portions!$B:$B),FoodItems!$A:$A,FoodItems!$E:$E))</f>
        <v/>
      </c>
    </row>
    <row r="106">
      <c r="E106">
        <f>IF(C106="","",D106*XLOOKUP(C106,Portions!$A:$A,Portions!$D:$D))</f>
        <v/>
      </c>
      <c r="F106">
        <f>IF(E106="","",E106/100*XLOOKUP(XLOOKUP(C106,Portions!$A:$A,Portions!$B:$B),FoodItems!$A:$A,FoodItems!$B:$B))</f>
        <v/>
      </c>
      <c r="G106">
        <f>IF(E106="","",E106/100*XLOOKUP(XLOOKUP(C106,Portions!$A:$A,Portions!$B:$B),FoodItems!$A:$A,FoodItems!$C:$C))</f>
        <v/>
      </c>
      <c r="H106">
        <f>IF(E106="","",E106/100*XLOOKUP(XLOOKUP(C106,Portions!$A:$A,Portions!$B:$B),FoodItems!$A:$A,FoodItems!$D:$D))</f>
        <v/>
      </c>
      <c r="I106">
        <f>IF(E106="","",E106/100*XLOOKUP(XLOOKUP(C106,Portions!$A:$A,Portions!$B:$B),FoodItems!$A:$A,FoodItems!$E:$E))</f>
        <v/>
      </c>
    </row>
    <row r="107">
      <c r="E107">
        <f>IF(C107="","",D107*XLOOKUP(C107,Portions!$A:$A,Portions!$D:$D))</f>
        <v/>
      </c>
      <c r="F107">
        <f>IF(E107="","",E107/100*XLOOKUP(XLOOKUP(C107,Portions!$A:$A,Portions!$B:$B),FoodItems!$A:$A,FoodItems!$B:$B))</f>
        <v/>
      </c>
      <c r="G107">
        <f>IF(E107="","",E107/100*XLOOKUP(XLOOKUP(C107,Portions!$A:$A,Portions!$B:$B),FoodItems!$A:$A,FoodItems!$C:$C))</f>
        <v/>
      </c>
      <c r="H107">
        <f>IF(E107="","",E107/100*XLOOKUP(XLOOKUP(C107,Portions!$A:$A,Portions!$B:$B),FoodItems!$A:$A,FoodItems!$D:$D))</f>
        <v/>
      </c>
      <c r="I107">
        <f>IF(E107="","",E107/100*XLOOKUP(XLOOKUP(C107,Portions!$A:$A,Portions!$B:$B),FoodItems!$A:$A,FoodItems!$E:$E))</f>
        <v/>
      </c>
    </row>
    <row r="108">
      <c r="E108">
        <f>IF(C108="","",D108*XLOOKUP(C108,Portions!$A:$A,Portions!$D:$D))</f>
        <v/>
      </c>
      <c r="F108">
        <f>IF(E108="","",E108/100*XLOOKUP(XLOOKUP(C108,Portions!$A:$A,Portions!$B:$B),FoodItems!$A:$A,FoodItems!$B:$B))</f>
        <v/>
      </c>
      <c r="G108">
        <f>IF(E108="","",E108/100*XLOOKUP(XLOOKUP(C108,Portions!$A:$A,Portions!$B:$B),FoodItems!$A:$A,FoodItems!$C:$C))</f>
        <v/>
      </c>
      <c r="H108">
        <f>IF(E108="","",E108/100*XLOOKUP(XLOOKUP(C108,Portions!$A:$A,Portions!$B:$B),FoodItems!$A:$A,FoodItems!$D:$D))</f>
        <v/>
      </c>
      <c r="I108">
        <f>IF(E108="","",E108/100*XLOOKUP(XLOOKUP(C108,Portions!$A:$A,Portions!$B:$B),FoodItems!$A:$A,FoodItems!$E:$E))</f>
        <v/>
      </c>
    </row>
    <row r="109">
      <c r="E109">
        <f>IF(C109="","",D109*XLOOKUP(C109,Portions!$A:$A,Portions!$D:$D))</f>
        <v/>
      </c>
      <c r="F109">
        <f>IF(E109="","",E109/100*XLOOKUP(XLOOKUP(C109,Portions!$A:$A,Portions!$B:$B),FoodItems!$A:$A,FoodItems!$B:$B))</f>
        <v/>
      </c>
      <c r="G109">
        <f>IF(E109="","",E109/100*XLOOKUP(XLOOKUP(C109,Portions!$A:$A,Portions!$B:$B),FoodItems!$A:$A,FoodItems!$C:$C))</f>
        <v/>
      </c>
      <c r="H109">
        <f>IF(E109="","",E109/100*XLOOKUP(XLOOKUP(C109,Portions!$A:$A,Portions!$B:$B),FoodItems!$A:$A,FoodItems!$D:$D))</f>
        <v/>
      </c>
      <c r="I109">
        <f>IF(E109="","",E109/100*XLOOKUP(XLOOKUP(C109,Portions!$A:$A,Portions!$B:$B),FoodItems!$A:$A,FoodItems!$E:$E))</f>
        <v/>
      </c>
    </row>
    <row r="110">
      <c r="E110">
        <f>IF(C110="","",D110*XLOOKUP(C110,Portions!$A:$A,Portions!$D:$D))</f>
        <v/>
      </c>
      <c r="F110">
        <f>IF(E110="","",E110/100*XLOOKUP(XLOOKUP(C110,Portions!$A:$A,Portions!$B:$B),FoodItems!$A:$A,FoodItems!$B:$B))</f>
        <v/>
      </c>
      <c r="G110">
        <f>IF(E110="","",E110/100*XLOOKUP(XLOOKUP(C110,Portions!$A:$A,Portions!$B:$B),FoodItems!$A:$A,FoodItems!$C:$C))</f>
        <v/>
      </c>
      <c r="H110">
        <f>IF(E110="","",E110/100*XLOOKUP(XLOOKUP(C110,Portions!$A:$A,Portions!$B:$B),FoodItems!$A:$A,FoodItems!$D:$D))</f>
        <v/>
      </c>
      <c r="I110">
        <f>IF(E110="","",E110/100*XLOOKUP(XLOOKUP(C110,Portions!$A:$A,Portions!$B:$B),FoodItems!$A:$A,FoodItems!$E:$E))</f>
        <v/>
      </c>
    </row>
    <row r="111">
      <c r="E111">
        <f>IF(C111="","",D111*XLOOKUP(C111,Portions!$A:$A,Portions!$D:$D))</f>
        <v/>
      </c>
      <c r="F111">
        <f>IF(E111="","",E111/100*XLOOKUP(XLOOKUP(C111,Portions!$A:$A,Portions!$B:$B),FoodItems!$A:$A,FoodItems!$B:$B))</f>
        <v/>
      </c>
      <c r="G111">
        <f>IF(E111="","",E111/100*XLOOKUP(XLOOKUP(C111,Portions!$A:$A,Portions!$B:$B),FoodItems!$A:$A,FoodItems!$C:$C))</f>
        <v/>
      </c>
      <c r="H111">
        <f>IF(E111="","",E111/100*XLOOKUP(XLOOKUP(C111,Portions!$A:$A,Portions!$B:$B),FoodItems!$A:$A,FoodItems!$D:$D))</f>
        <v/>
      </c>
      <c r="I111">
        <f>IF(E111="","",E111/100*XLOOKUP(XLOOKUP(C111,Portions!$A:$A,Portions!$B:$B),FoodItems!$A:$A,FoodItems!$E:$E))</f>
        <v/>
      </c>
    </row>
    <row r="112">
      <c r="E112">
        <f>IF(C112="","",D112*XLOOKUP(C112,Portions!$A:$A,Portions!$D:$D))</f>
        <v/>
      </c>
      <c r="F112">
        <f>IF(E112="","",E112/100*XLOOKUP(XLOOKUP(C112,Portions!$A:$A,Portions!$B:$B),FoodItems!$A:$A,FoodItems!$B:$B))</f>
        <v/>
      </c>
      <c r="G112">
        <f>IF(E112="","",E112/100*XLOOKUP(XLOOKUP(C112,Portions!$A:$A,Portions!$B:$B),FoodItems!$A:$A,FoodItems!$C:$C))</f>
        <v/>
      </c>
      <c r="H112">
        <f>IF(E112="","",E112/100*XLOOKUP(XLOOKUP(C112,Portions!$A:$A,Portions!$B:$B),FoodItems!$A:$A,FoodItems!$D:$D))</f>
        <v/>
      </c>
      <c r="I112">
        <f>IF(E112="","",E112/100*XLOOKUP(XLOOKUP(C112,Portions!$A:$A,Portions!$B:$B),FoodItems!$A:$A,FoodItems!$E:$E))</f>
        <v/>
      </c>
    </row>
    <row r="113">
      <c r="E113">
        <f>IF(C113="","",D113*XLOOKUP(C113,Portions!$A:$A,Portions!$D:$D))</f>
        <v/>
      </c>
      <c r="F113">
        <f>IF(E113="","",E113/100*XLOOKUP(XLOOKUP(C113,Portions!$A:$A,Portions!$B:$B),FoodItems!$A:$A,FoodItems!$B:$B))</f>
        <v/>
      </c>
      <c r="G113">
        <f>IF(E113="","",E113/100*XLOOKUP(XLOOKUP(C113,Portions!$A:$A,Portions!$B:$B),FoodItems!$A:$A,FoodItems!$C:$C))</f>
        <v/>
      </c>
      <c r="H113">
        <f>IF(E113="","",E113/100*XLOOKUP(XLOOKUP(C113,Portions!$A:$A,Portions!$B:$B),FoodItems!$A:$A,FoodItems!$D:$D))</f>
        <v/>
      </c>
      <c r="I113">
        <f>IF(E113="","",E113/100*XLOOKUP(XLOOKUP(C113,Portions!$A:$A,Portions!$B:$B),FoodItems!$A:$A,FoodItems!$E:$E))</f>
        <v/>
      </c>
    </row>
    <row r="114">
      <c r="E114">
        <f>IF(C114="","",D114*XLOOKUP(C114,Portions!$A:$A,Portions!$D:$D))</f>
        <v/>
      </c>
      <c r="F114">
        <f>IF(E114="","",E114/100*XLOOKUP(XLOOKUP(C114,Portions!$A:$A,Portions!$B:$B),FoodItems!$A:$A,FoodItems!$B:$B))</f>
        <v/>
      </c>
      <c r="G114">
        <f>IF(E114="","",E114/100*XLOOKUP(XLOOKUP(C114,Portions!$A:$A,Portions!$B:$B),FoodItems!$A:$A,FoodItems!$C:$C))</f>
        <v/>
      </c>
      <c r="H114">
        <f>IF(E114="","",E114/100*XLOOKUP(XLOOKUP(C114,Portions!$A:$A,Portions!$B:$B),FoodItems!$A:$A,FoodItems!$D:$D))</f>
        <v/>
      </c>
      <c r="I114">
        <f>IF(E114="","",E114/100*XLOOKUP(XLOOKUP(C114,Portions!$A:$A,Portions!$B:$B),FoodItems!$A:$A,FoodItems!$E:$E))</f>
        <v/>
      </c>
    </row>
    <row r="115">
      <c r="E115">
        <f>IF(C115="","",D115*XLOOKUP(C115,Portions!$A:$A,Portions!$D:$D))</f>
        <v/>
      </c>
      <c r="F115">
        <f>IF(E115="","",E115/100*XLOOKUP(XLOOKUP(C115,Portions!$A:$A,Portions!$B:$B),FoodItems!$A:$A,FoodItems!$B:$B))</f>
        <v/>
      </c>
      <c r="G115">
        <f>IF(E115="","",E115/100*XLOOKUP(XLOOKUP(C115,Portions!$A:$A,Portions!$B:$B),FoodItems!$A:$A,FoodItems!$C:$C))</f>
        <v/>
      </c>
      <c r="H115">
        <f>IF(E115="","",E115/100*XLOOKUP(XLOOKUP(C115,Portions!$A:$A,Portions!$B:$B),FoodItems!$A:$A,FoodItems!$D:$D))</f>
        <v/>
      </c>
      <c r="I115">
        <f>IF(E115="","",E115/100*XLOOKUP(XLOOKUP(C115,Portions!$A:$A,Portions!$B:$B),FoodItems!$A:$A,FoodItems!$E:$E))</f>
        <v/>
      </c>
    </row>
    <row r="116">
      <c r="E116">
        <f>IF(C116="","",D116*XLOOKUP(C116,Portions!$A:$A,Portions!$D:$D))</f>
        <v/>
      </c>
      <c r="F116">
        <f>IF(E116="","",E116/100*XLOOKUP(XLOOKUP(C116,Portions!$A:$A,Portions!$B:$B),FoodItems!$A:$A,FoodItems!$B:$B))</f>
        <v/>
      </c>
      <c r="G116">
        <f>IF(E116="","",E116/100*XLOOKUP(XLOOKUP(C116,Portions!$A:$A,Portions!$B:$B),FoodItems!$A:$A,FoodItems!$C:$C))</f>
        <v/>
      </c>
      <c r="H116">
        <f>IF(E116="","",E116/100*XLOOKUP(XLOOKUP(C116,Portions!$A:$A,Portions!$B:$B),FoodItems!$A:$A,FoodItems!$D:$D))</f>
        <v/>
      </c>
      <c r="I116">
        <f>IF(E116="","",E116/100*XLOOKUP(XLOOKUP(C116,Portions!$A:$A,Portions!$B:$B),FoodItems!$A:$A,FoodItems!$E:$E))</f>
        <v/>
      </c>
    </row>
    <row r="117">
      <c r="E117">
        <f>IF(C117="","",D117*XLOOKUP(C117,Portions!$A:$A,Portions!$D:$D))</f>
        <v/>
      </c>
      <c r="F117">
        <f>IF(E117="","",E117/100*XLOOKUP(XLOOKUP(C117,Portions!$A:$A,Portions!$B:$B),FoodItems!$A:$A,FoodItems!$B:$B))</f>
        <v/>
      </c>
      <c r="G117">
        <f>IF(E117="","",E117/100*XLOOKUP(XLOOKUP(C117,Portions!$A:$A,Portions!$B:$B),FoodItems!$A:$A,FoodItems!$C:$C))</f>
        <v/>
      </c>
      <c r="H117">
        <f>IF(E117="","",E117/100*XLOOKUP(XLOOKUP(C117,Portions!$A:$A,Portions!$B:$B),FoodItems!$A:$A,FoodItems!$D:$D))</f>
        <v/>
      </c>
      <c r="I117">
        <f>IF(E117="","",E117/100*XLOOKUP(XLOOKUP(C117,Portions!$A:$A,Portions!$B:$B),FoodItems!$A:$A,FoodItems!$E:$E))</f>
        <v/>
      </c>
    </row>
    <row r="118">
      <c r="E118">
        <f>IF(C118="","",D118*XLOOKUP(C118,Portions!$A:$A,Portions!$D:$D))</f>
        <v/>
      </c>
      <c r="F118">
        <f>IF(E118="","",E118/100*XLOOKUP(XLOOKUP(C118,Portions!$A:$A,Portions!$B:$B),FoodItems!$A:$A,FoodItems!$B:$B))</f>
        <v/>
      </c>
      <c r="G118">
        <f>IF(E118="","",E118/100*XLOOKUP(XLOOKUP(C118,Portions!$A:$A,Portions!$B:$B),FoodItems!$A:$A,FoodItems!$C:$C))</f>
        <v/>
      </c>
      <c r="H118">
        <f>IF(E118="","",E118/100*XLOOKUP(XLOOKUP(C118,Portions!$A:$A,Portions!$B:$B),FoodItems!$A:$A,FoodItems!$D:$D))</f>
        <v/>
      </c>
      <c r="I118">
        <f>IF(E118="","",E118/100*XLOOKUP(XLOOKUP(C118,Portions!$A:$A,Portions!$B:$B),FoodItems!$A:$A,FoodItems!$E:$E))</f>
        <v/>
      </c>
    </row>
    <row r="119">
      <c r="E119">
        <f>IF(C119="","",D119*XLOOKUP(C119,Portions!$A:$A,Portions!$D:$D))</f>
        <v/>
      </c>
      <c r="F119">
        <f>IF(E119="","",E119/100*XLOOKUP(XLOOKUP(C119,Portions!$A:$A,Portions!$B:$B),FoodItems!$A:$A,FoodItems!$B:$B))</f>
        <v/>
      </c>
      <c r="G119">
        <f>IF(E119="","",E119/100*XLOOKUP(XLOOKUP(C119,Portions!$A:$A,Portions!$B:$B),FoodItems!$A:$A,FoodItems!$C:$C))</f>
        <v/>
      </c>
      <c r="H119">
        <f>IF(E119="","",E119/100*XLOOKUP(XLOOKUP(C119,Portions!$A:$A,Portions!$B:$B),FoodItems!$A:$A,FoodItems!$D:$D))</f>
        <v/>
      </c>
      <c r="I119">
        <f>IF(E119="","",E119/100*XLOOKUP(XLOOKUP(C119,Portions!$A:$A,Portions!$B:$B),FoodItems!$A:$A,FoodItems!$E:$E))</f>
        <v/>
      </c>
    </row>
    <row r="120">
      <c r="E120">
        <f>IF(C120="","",D120*XLOOKUP(C120,Portions!$A:$A,Portions!$D:$D))</f>
        <v/>
      </c>
      <c r="F120">
        <f>IF(E120="","",E120/100*XLOOKUP(XLOOKUP(C120,Portions!$A:$A,Portions!$B:$B),FoodItems!$A:$A,FoodItems!$B:$B))</f>
        <v/>
      </c>
      <c r="G120">
        <f>IF(E120="","",E120/100*XLOOKUP(XLOOKUP(C120,Portions!$A:$A,Portions!$B:$B),FoodItems!$A:$A,FoodItems!$C:$C))</f>
        <v/>
      </c>
      <c r="H120">
        <f>IF(E120="","",E120/100*XLOOKUP(XLOOKUP(C120,Portions!$A:$A,Portions!$B:$B),FoodItems!$A:$A,FoodItems!$D:$D))</f>
        <v/>
      </c>
      <c r="I120">
        <f>IF(E120="","",E120/100*XLOOKUP(XLOOKUP(C120,Portions!$A:$A,Portions!$B:$B),FoodItems!$A:$A,FoodItems!$E:$E))</f>
        <v/>
      </c>
    </row>
    <row r="121">
      <c r="E121">
        <f>IF(C121="","",D121*XLOOKUP(C121,Portions!$A:$A,Portions!$D:$D))</f>
        <v/>
      </c>
      <c r="F121">
        <f>IF(E121="","",E121/100*XLOOKUP(XLOOKUP(C121,Portions!$A:$A,Portions!$B:$B),FoodItems!$A:$A,FoodItems!$B:$B))</f>
        <v/>
      </c>
      <c r="G121">
        <f>IF(E121="","",E121/100*XLOOKUP(XLOOKUP(C121,Portions!$A:$A,Portions!$B:$B),FoodItems!$A:$A,FoodItems!$C:$C))</f>
        <v/>
      </c>
      <c r="H121">
        <f>IF(E121="","",E121/100*XLOOKUP(XLOOKUP(C121,Portions!$A:$A,Portions!$B:$B),FoodItems!$A:$A,FoodItems!$D:$D))</f>
        <v/>
      </c>
      <c r="I121">
        <f>IF(E121="","",E121/100*XLOOKUP(XLOOKUP(C121,Portions!$A:$A,Portions!$B:$B),FoodItems!$A:$A,FoodItems!$E:$E))</f>
        <v/>
      </c>
    </row>
    <row r="122">
      <c r="E122">
        <f>IF(C122="","",D122*XLOOKUP(C122,Portions!$A:$A,Portions!$D:$D))</f>
        <v/>
      </c>
      <c r="F122">
        <f>IF(E122="","",E122/100*XLOOKUP(XLOOKUP(C122,Portions!$A:$A,Portions!$B:$B),FoodItems!$A:$A,FoodItems!$B:$B))</f>
        <v/>
      </c>
      <c r="G122">
        <f>IF(E122="","",E122/100*XLOOKUP(XLOOKUP(C122,Portions!$A:$A,Portions!$B:$B),FoodItems!$A:$A,FoodItems!$C:$C))</f>
        <v/>
      </c>
      <c r="H122">
        <f>IF(E122="","",E122/100*XLOOKUP(XLOOKUP(C122,Portions!$A:$A,Portions!$B:$B),FoodItems!$A:$A,FoodItems!$D:$D))</f>
        <v/>
      </c>
      <c r="I122">
        <f>IF(E122="","",E122/100*XLOOKUP(XLOOKUP(C122,Portions!$A:$A,Portions!$B:$B),FoodItems!$A:$A,FoodItems!$E:$E))</f>
        <v/>
      </c>
    </row>
    <row r="123">
      <c r="E123">
        <f>IF(C123="","",D123*XLOOKUP(C123,Portions!$A:$A,Portions!$D:$D))</f>
        <v/>
      </c>
      <c r="F123">
        <f>IF(E123="","",E123/100*XLOOKUP(XLOOKUP(C123,Portions!$A:$A,Portions!$B:$B),FoodItems!$A:$A,FoodItems!$B:$B))</f>
        <v/>
      </c>
      <c r="G123">
        <f>IF(E123="","",E123/100*XLOOKUP(XLOOKUP(C123,Portions!$A:$A,Portions!$B:$B),FoodItems!$A:$A,FoodItems!$C:$C))</f>
        <v/>
      </c>
      <c r="H123">
        <f>IF(E123="","",E123/100*XLOOKUP(XLOOKUP(C123,Portions!$A:$A,Portions!$B:$B),FoodItems!$A:$A,FoodItems!$D:$D))</f>
        <v/>
      </c>
      <c r="I123">
        <f>IF(E123="","",E123/100*XLOOKUP(XLOOKUP(C123,Portions!$A:$A,Portions!$B:$B),FoodItems!$A:$A,FoodItems!$E:$E))</f>
        <v/>
      </c>
    </row>
    <row r="124">
      <c r="E124">
        <f>IF(C124="","",D124*XLOOKUP(C124,Portions!$A:$A,Portions!$D:$D))</f>
        <v/>
      </c>
      <c r="F124">
        <f>IF(E124="","",E124/100*XLOOKUP(XLOOKUP(C124,Portions!$A:$A,Portions!$B:$B),FoodItems!$A:$A,FoodItems!$B:$B))</f>
        <v/>
      </c>
      <c r="G124">
        <f>IF(E124="","",E124/100*XLOOKUP(XLOOKUP(C124,Portions!$A:$A,Portions!$B:$B),FoodItems!$A:$A,FoodItems!$C:$C))</f>
        <v/>
      </c>
      <c r="H124">
        <f>IF(E124="","",E124/100*XLOOKUP(XLOOKUP(C124,Portions!$A:$A,Portions!$B:$B),FoodItems!$A:$A,FoodItems!$D:$D))</f>
        <v/>
      </c>
      <c r="I124">
        <f>IF(E124="","",E124/100*XLOOKUP(XLOOKUP(C124,Portions!$A:$A,Portions!$B:$B),FoodItems!$A:$A,FoodItems!$E:$E))</f>
        <v/>
      </c>
    </row>
    <row r="125">
      <c r="E125">
        <f>IF(C125="","",D125*XLOOKUP(C125,Portions!$A:$A,Portions!$D:$D))</f>
        <v/>
      </c>
      <c r="F125">
        <f>IF(E125="","",E125/100*XLOOKUP(XLOOKUP(C125,Portions!$A:$A,Portions!$B:$B),FoodItems!$A:$A,FoodItems!$B:$B))</f>
        <v/>
      </c>
      <c r="G125">
        <f>IF(E125="","",E125/100*XLOOKUP(XLOOKUP(C125,Portions!$A:$A,Portions!$B:$B),FoodItems!$A:$A,FoodItems!$C:$C))</f>
        <v/>
      </c>
      <c r="H125">
        <f>IF(E125="","",E125/100*XLOOKUP(XLOOKUP(C125,Portions!$A:$A,Portions!$B:$B),FoodItems!$A:$A,FoodItems!$D:$D))</f>
        <v/>
      </c>
      <c r="I125">
        <f>IF(E125="","",E125/100*XLOOKUP(XLOOKUP(C125,Portions!$A:$A,Portions!$B:$B),FoodItems!$A:$A,FoodItems!$E:$E))</f>
        <v/>
      </c>
    </row>
    <row r="126">
      <c r="E126">
        <f>IF(C126="","",D126*XLOOKUP(C126,Portions!$A:$A,Portions!$D:$D))</f>
        <v/>
      </c>
      <c r="F126">
        <f>IF(E126="","",E126/100*XLOOKUP(XLOOKUP(C126,Portions!$A:$A,Portions!$B:$B),FoodItems!$A:$A,FoodItems!$B:$B))</f>
        <v/>
      </c>
      <c r="G126">
        <f>IF(E126="","",E126/100*XLOOKUP(XLOOKUP(C126,Portions!$A:$A,Portions!$B:$B),FoodItems!$A:$A,FoodItems!$C:$C))</f>
        <v/>
      </c>
      <c r="H126">
        <f>IF(E126="","",E126/100*XLOOKUP(XLOOKUP(C126,Portions!$A:$A,Portions!$B:$B),FoodItems!$A:$A,FoodItems!$D:$D))</f>
        <v/>
      </c>
      <c r="I126">
        <f>IF(E126="","",E126/100*XLOOKUP(XLOOKUP(C126,Portions!$A:$A,Portions!$B:$B),FoodItems!$A:$A,FoodItems!$E:$E))</f>
        <v/>
      </c>
    </row>
    <row r="127">
      <c r="E127">
        <f>IF(C127="","",D127*XLOOKUP(C127,Portions!$A:$A,Portions!$D:$D))</f>
        <v/>
      </c>
      <c r="F127">
        <f>IF(E127="","",E127/100*XLOOKUP(XLOOKUP(C127,Portions!$A:$A,Portions!$B:$B),FoodItems!$A:$A,FoodItems!$B:$B))</f>
        <v/>
      </c>
      <c r="G127">
        <f>IF(E127="","",E127/100*XLOOKUP(XLOOKUP(C127,Portions!$A:$A,Portions!$B:$B),FoodItems!$A:$A,FoodItems!$C:$C))</f>
        <v/>
      </c>
      <c r="H127">
        <f>IF(E127="","",E127/100*XLOOKUP(XLOOKUP(C127,Portions!$A:$A,Portions!$B:$B),FoodItems!$A:$A,FoodItems!$D:$D))</f>
        <v/>
      </c>
      <c r="I127">
        <f>IF(E127="","",E127/100*XLOOKUP(XLOOKUP(C127,Portions!$A:$A,Portions!$B:$B),FoodItems!$A:$A,FoodItems!$E:$E))</f>
        <v/>
      </c>
    </row>
    <row r="128">
      <c r="E128">
        <f>IF(C128="","",D128*XLOOKUP(C128,Portions!$A:$A,Portions!$D:$D))</f>
        <v/>
      </c>
      <c r="F128">
        <f>IF(E128="","",E128/100*XLOOKUP(XLOOKUP(C128,Portions!$A:$A,Portions!$B:$B),FoodItems!$A:$A,FoodItems!$B:$B))</f>
        <v/>
      </c>
      <c r="G128">
        <f>IF(E128="","",E128/100*XLOOKUP(XLOOKUP(C128,Portions!$A:$A,Portions!$B:$B),FoodItems!$A:$A,FoodItems!$C:$C))</f>
        <v/>
      </c>
      <c r="H128">
        <f>IF(E128="","",E128/100*XLOOKUP(XLOOKUP(C128,Portions!$A:$A,Portions!$B:$B),FoodItems!$A:$A,FoodItems!$D:$D))</f>
        <v/>
      </c>
      <c r="I128">
        <f>IF(E128="","",E128/100*XLOOKUP(XLOOKUP(C128,Portions!$A:$A,Portions!$B:$B),FoodItems!$A:$A,FoodItems!$E:$E))</f>
        <v/>
      </c>
    </row>
    <row r="129">
      <c r="E129">
        <f>IF(C129="","",D129*XLOOKUP(C129,Portions!$A:$A,Portions!$D:$D))</f>
        <v/>
      </c>
      <c r="F129">
        <f>IF(E129="","",E129/100*XLOOKUP(XLOOKUP(C129,Portions!$A:$A,Portions!$B:$B),FoodItems!$A:$A,FoodItems!$B:$B))</f>
        <v/>
      </c>
      <c r="G129">
        <f>IF(E129="","",E129/100*XLOOKUP(XLOOKUP(C129,Portions!$A:$A,Portions!$B:$B),FoodItems!$A:$A,FoodItems!$C:$C))</f>
        <v/>
      </c>
      <c r="H129">
        <f>IF(E129="","",E129/100*XLOOKUP(XLOOKUP(C129,Portions!$A:$A,Portions!$B:$B),FoodItems!$A:$A,FoodItems!$D:$D))</f>
        <v/>
      </c>
      <c r="I129">
        <f>IF(E129="","",E129/100*XLOOKUP(XLOOKUP(C129,Portions!$A:$A,Portions!$B:$B),FoodItems!$A:$A,FoodItems!$E:$E))</f>
        <v/>
      </c>
    </row>
    <row r="130">
      <c r="E130">
        <f>IF(C130="","",D130*XLOOKUP(C130,Portions!$A:$A,Portions!$D:$D))</f>
        <v/>
      </c>
      <c r="F130">
        <f>IF(E130="","",E130/100*XLOOKUP(XLOOKUP(C130,Portions!$A:$A,Portions!$B:$B),FoodItems!$A:$A,FoodItems!$B:$B))</f>
        <v/>
      </c>
      <c r="G130">
        <f>IF(E130="","",E130/100*XLOOKUP(XLOOKUP(C130,Portions!$A:$A,Portions!$B:$B),FoodItems!$A:$A,FoodItems!$C:$C))</f>
        <v/>
      </c>
      <c r="H130">
        <f>IF(E130="","",E130/100*XLOOKUP(XLOOKUP(C130,Portions!$A:$A,Portions!$B:$B),FoodItems!$A:$A,FoodItems!$D:$D))</f>
        <v/>
      </c>
      <c r="I130">
        <f>IF(E130="","",E130/100*XLOOKUP(XLOOKUP(C130,Portions!$A:$A,Portions!$B:$B),FoodItems!$A:$A,FoodItems!$E:$E))</f>
        <v/>
      </c>
    </row>
    <row r="131">
      <c r="E131">
        <f>IF(C131="","",D131*XLOOKUP(C131,Portions!$A:$A,Portions!$D:$D))</f>
        <v/>
      </c>
      <c r="F131">
        <f>IF(E131="","",E131/100*XLOOKUP(XLOOKUP(C131,Portions!$A:$A,Portions!$B:$B),FoodItems!$A:$A,FoodItems!$B:$B))</f>
        <v/>
      </c>
      <c r="G131">
        <f>IF(E131="","",E131/100*XLOOKUP(XLOOKUP(C131,Portions!$A:$A,Portions!$B:$B),FoodItems!$A:$A,FoodItems!$C:$C))</f>
        <v/>
      </c>
      <c r="H131">
        <f>IF(E131="","",E131/100*XLOOKUP(XLOOKUP(C131,Portions!$A:$A,Portions!$B:$B),FoodItems!$A:$A,FoodItems!$D:$D))</f>
        <v/>
      </c>
      <c r="I131">
        <f>IF(E131="","",E131/100*XLOOKUP(XLOOKUP(C131,Portions!$A:$A,Portions!$B:$B),FoodItems!$A:$A,FoodItems!$E:$E))</f>
        <v/>
      </c>
    </row>
    <row r="132">
      <c r="E132">
        <f>IF(C132="","",D132*XLOOKUP(C132,Portions!$A:$A,Portions!$D:$D))</f>
        <v/>
      </c>
      <c r="F132">
        <f>IF(E132="","",E132/100*XLOOKUP(XLOOKUP(C132,Portions!$A:$A,Portions!$B:$B),FoodItems!$A:$A,FoodItems!$B:$B))</f>
        <v/>
      </c>
      <c r="G132">
        <f>IF(E132="","",E132/100*XLOOKUP(XLOOKUP(C132,Portions!$A:$A,Portions!$B:$B),FoodItems!$A:$A,FoodItems!$C:$C))</f>
        <v/>
      </c>
      <c r="H132">
        <f>IF(E132="","",E132/100*XLOOKUP(XLOOKUP(C132,Portions!$A:$A,Portions!$B:$B),FoodItems!$A:$A,FoodItems!$D:$D))</f>
        <v/>
      </c>
      <c r="I132">
        <f>IF(E132="","",E132/100*XLOOKUP(XLOOKUP(C132,Portions!$A:$A,Portions!$B:$B),FoodItems!$A:$A,FoodItems!$E:$E))</f>
        <v/>
      </c>
    </row>
    <row r="133">
      <c r="E133">
        <f>IF(C133="","",D133*XLOOKUP(C133,Portions!$A:$A,Portions!$D:$D))</f>
        <v/>
      </c>
      <c r="F133">
        <f>IF(E133="","",E133/100*XLOOKUP(XLOOKUP(C133,Portions!$A:$A,Portions!$B:$B),FoodItems!$A:$A,FoodItems!$B:$B))</f>
        <v/>
      </c>
      <c r="G133">
        <f>IF(E133="","",E133/100*XLOOKUP(XLOOKUP(C133,Portions!$A:$A,Portions!$B:$B),FoodItems!$A:$A,FoodItems!$C:$C))</f>
        <v/>
      </c>
      <c r="H133">
        <f>IF(E133="","",E133/100*XLOOKUP(XLOOKUP(C133,Portions!$A:$A,Portions!$B:$B),FoodItems!$A:$A,FoodItems!$D:$D))</f>
        <v/>
      </c>
      <c r="I133">
        <f>IF(E133="","",E133/100*XLOOKUP(XLOOKUP(C133,Portions!$A:$A,Portions!$B:$B),FoodItems!$A:$A,FoodItems!$E:$E))</f>
        <v/>
      </c>
    </row>
    <row r="134">
      <c r="E134">
        <f>IF(C134="","",D134*XLOOKUP(C134,Portions!$A:$A,Portions!$D:$D))</f>
        <v/>
      </c>
      <c r="F134">
        <f>IF(E134="","",E134/100*XLOOKUP(XLOOKUP(C134,Portions!$A:$A,Portions!$B:$B),FoodItems!$A:$A,FoodItems!$B:$B))</f>
        <v/>
      </c>
      <c r="G134">
        <f>IF(E134="","",E134/100*XLOOKUP(XLOOKUP(C134,Portions!$A:$A,Portions!$B:$B),FoodItems!$A:$A,FoodItems!$C:$C))</f>
        <v/>
      </c>
      <c r="H134">
        <f>IF(E134="","",E134/100*XLOOKUP(XLOOKUP(C134,Portions!$A:$A,Portions!$B:$B),FoodItems!$A:$A,FoodItems!$D:$D))</f>
        <v/>
      </c>
      <c r="I134">
        <f>IF(E134="","",E134/100*XLOOKUP(XLOOKUP(C134,Portions!$A:$A,Portions!$B:$B),FoodItems!$A:$A,FoodItems!$E:$E))</f>
        <v/>
      </c>
    </row>
    <row r="135">
      <c r="E135">
        <f>IF(C135="","",D135*XLOOKUP(C135,Portions!$A:$A,Portions!$D:$D))</f>
        <v/>
      </c>
      <c r="F135">
        <f>IF(E135="","",E135/100*XLOOKUP(XLOOKUP(C135,Portions!$A:$A,Portions!$B:$B),FoodItems!$A:$A,FoodItems!$B:$B))</f>
        <v/>
      </c>
      <c r="G135">
        <f>IF(E135="","",E135/100*XLOOKUP(XLOOKUP(C135,Portions!$A:$A,Portions!$B:$B),FoodItems!$A:$A,FoodItems!$C:$C))</f>
        <v/>
      </c>
      <c r="H135">
        <f>IF(E135="","",E135/100*XLOOKUP(XLOOKUP(C135,Portions!$A:$A,Portions!$B:$B),FoodItems!$A:$A,FoodItems!$D:$D))</f>
        <v/>
      </c>
      <c r="I135">
        <f>IF(E135="","",E135/100*XLOOKUP(XLOOKUP(C135,Portions!$A:$A,Portions!$B:$B),FoodItems!$A:$A,FoodItems!$E:$E))</f>
        <v/>
      </c>
    </row>
    <row r="136">
      <c r="E136">
        <f>IF(C136="","",D136*XLOOKUP(C136,Portions!$A:$A,Portions!$D:$D))</f>
        <v/>
      </c>
      <c r="F136">
        <f>IF(E136="","",E136/100*XLOOKUP(XLOOKUP(C136,Portions!$A:$A,Portions!$B:$B),FoodItems!$A:$A,FoodItems!$B:$B))</f>
        <v/>
      </c>
      <c r="G136">
        <f>IF(E136="","",E136/100*XLOOKUP(XLOOKUP(C136,Portions!$A:$A,Portions!$B:$B),FoodItems!$A:$A,FoodItems!$C:$C))</f>
        <v/>
      </c>
      <c r="H136">
        <f>IF(E136="","",E136/100*XLOOKUP(XLOOKUP(C136,Portions!$A:$A,Portions!$B:$B),FoodItems!$A:$A,FoodItems!$D:$D))</f>
        <v/>
      </c>
      <c r="I136">
        <f>IF(E136="","",E136/100*XLOOKUP(XLOOKUP(C136,Portions!$A:$A,Portions!$B:$B),FoodItems!$A:$A,FoodItems!$E:$E))</f>
        <v/>
      </c>
    </row>
    <row r="137">
      <c r="E137">
        <f>IF(C137="","",D137*XLOOKUP(C137,Portions!$A:$A,Portions!$D:$D))</f>
        <v/>
      </c>
      <c r="F137">
        <f>IF(E137="","",E137/100*XLOOKUP(XLOOKUP(C137,Portions!$A:$A,Portions!$B:$B),FoodItems!$A:$A,FoodItems!$B:$B))</f>
        <v/>
      </c>
      <c r="G137">
        <f>IF(E137="","",E137/100*XLOOKUP(XLOOKUP(C137,Portions!$A:$A,Portions!$B:$B),FoodItems!$A:$A,FoodItems!$C:$C))</f>
        <v/>
      </c>
      <c r="H137">
        <f>IF(E137="","",E137/100*XLOOKUP(XLOOKUP(C137,Portions!$A:$A,Portions!$B:$B),FoodItems!$A:$A,FoodItems!$D:$D))</f>
        <v/>
      </c>
      <c r="I137">
        <f>IF(E137="","",E137/100*XLOOKUP(XLOOKUP(C137,Portions!$A:$A,Portions!$B:$B),FoodItems!$A:$A,FoodItems!$E:$E))</f>
        <v/>
      </c>
    </row>
    <row r="138">
      <c r="E138">
        <f>IF(C138="","",D138*XLOOKUP(C138,Portions!$A:$A,Portions!$D:$D))</f>
        <v/>
      </c>
      <c r="F138">
        <f>IF(E138="","",E138/100*XLOOKUP(XLOOKUP(C138,Portions!$A:$A,Portions!$B:$B),FoodItems!$A:$A,FoodItems!$B:$B))</f>
        <v/>
      </c>
      <c r="G138">
        <f>IF(E138="","",E138/100*XLOOKUP(XLOOKUP(C138,Portions!$A:$A,Portions!$B:$B),FoodItems!$A:$A,FoodItems!$C:$C))</f>
        <v/>
      </c>
      <c r="H138">
        <f>IF(E138="","",E138/100*XLOOKUP(XLOOKUP(C138,Portions!$A:$A,Portions!$B:$B),FoodItems!$A:$A,FoodItems!$D:$D))</f>
        <v/>
      </c>
      <c r="I138">
        <f>IF(E138="","",E138/100*XLOOKUP(XLOOKUP(C138,Portions!$A:$A,Portions!$B:$B),FoodItems!$A:$A,FoodItems!$E:$E))</f>
        <v/>
      </c>
    </row>
    <row r="139">
      <c r="E139">
        <f>IF(C139="","",D139*XLOOKUP(C139,Portions!$A:$A,Portions!$D:$D))</f>
        <v/>
      </c>
      <c r="F139">
        <f>IF(E139="","",E139/100*XLOOKUP(XLOOKUP(C139,Portions!$A:$A,Portions!$B:$B),FoodItems!$A:$A,FoodItems!$B:$B))</f>
        <v/>
      </c>
      <c r="G139">
        <f>IF(E139="","",E139/100*XLOOKUP(XLOOKUP(C139,Portions!$A:$A,Portions!$B:$B),FoodItems!$A:$A,FoodItems!$C:$C))</f>
        <v/>
      </c>
      <c r="H139">
        <f>IF(E139="","",E139/100*XLOOKUP(XLOOKUP(C139,Portions!$A:$A,Portions!$B:$B),FoodItems!$A:$A,FoodItems!$D:$D))</f>
        <v/>
      </c>
      <c r="I139">
        <f>IF(E139="","",E139/100*XLOOKUP(XLOOKUP(C139,Portions!$A:$A,Portions!$B:$B),FoodItems!$A:$A,FoodItems!$E:$E))</f>
        <v/>
      </c>
    </row>
    <row r="140">
      <c r="E140">
        <f>IF(C140="","",D140*XLOOKUP(C140,Portions!$A:$A,Portions!$D:$D))</f>
        <v/>
      </c>
      <c r="F140">
        <f>IF(E140="","",E140/100*XLOOKUP(XLOOKUP(C140,Portions!$A:$A,Portions!$B:$B),FoodItems!$A:$A,FoodItems!$B:$B))</f>
        <v/>
      </c>
      <c r="G140">
        <f>IF(E140="","",E140/100*XLOOKUP(XLOOKUP(C140,Portions!$A:$A,Portions!$B:$B),FoodItems!$A:$A,FoodItems!$C:$C))</f>
        <v/>
      </c>
      <c r="H140">
        <f>IF(E140="","",E140/100*XLOOKUP(XLOOKUP(C140,Portions!$A:$A,Portions!$B:$B),FoodItems!$A:$A,FoodItems!$D:$D))</f>
        <v/>
      </c>
      <c r="I140">
        <f>IF(E140="","",E140/100*XLOOKUP(XLOOKUP(C140,Portions!$A:$A,Portions!$B:$B),FoodItems!$A:$A,FoodItems!$E:$E))</f>
        <v/>
      </c>
    </row>
    <row r="141">
      <c r="E141">
        <f>IF(C141="","",D141*XLOOKUP(C141,Portions!$A:$A,Portions!$D:$D))</f>
        <v/>
      </c>
      <c r="F141">
        <f>IF(E141="","",E141/100*XLOOKUP(XLOOKUP(C141,Portions!$A:$A,Portions!$B:$B),FoodItems!$A:$A,FoodItems!$B:$B))</f>
        <v/>
      </c>
      <c r="G141">
        <f>IF(E141="","",E141/100*XLOOKUP(XLOOKUP(C141,Portions!$A:$A,Portions!$B:$B),FoodItems!$A:$A,FoodItems!$C:$C))</f>
        <v/>
      </c>
      <c r="H141">
        <f>IF(E141="","",E141/100*XLOOKUP(XLOOKUP(C141,Portions!$A:$A,Portions!$B:$B),FoodItems!$A:$A,FoodItems!$D:$D))</f>
        <v/>
      </c>
      <c r="I141">
        <f>IF(E141="","",E141/100*XLOOKUP(XLOOKUP(C141,Portions!$A:$A,Portions!$B:$B),FoodItems!$A:$A,FoodItems!$E:$E))</f>
        <v/>
      </c>
    </row>
    <row r="142">
      <c r="E142">
        <f>IF(C142="","",D142*XLOOKUP(C142,Portions!$A:$A,Portions!$D:$D))</f>
        <v/>
      </c>
      <c r="F142">
        <f>IF(E142="","",E142/100*XLOOKUP(XLOOKUP(C142,Portions!$A:$A,Portions!$B:$B),FoodItems!$A:$A,FoodItems!$B:$B))</f>
        <v/>
      </c>
      <c r="G142">
        <f>IF(E142="","",E142/100*XLOOKUP(XLOOKUP(C142,Portions!$A:$A,Portions!$B:$B),FoodItems!$A:$A,FoodItems!$C:$C))</f>
        <v/>
      </c>
      <c r="H142">
        <f>IF(E142="","",E142/100*XLOOKUP(XLOOKUP(C142,Portions!$A:$A,Portions!$B:$B),FoodItems!$A:$A,FoodItems!$D:$D))</f>
        <v/>
      </c>
      <c r="I142">
        <f>IF(E142="","",E142/100*XLOOKUP(XLOOKUP(C142,Portions!$A:$A,Portions!$B:$B),FoodItems!$A:$A,FoodItems!$E:$E))</f>
        <v/>
      </c>
    </row>
    <row r="143">
      <c r="E143">
        <f>IF(C143="","",D143*XLOOKUP(C143,Portions!$A:$A,Portions!$D:$D))</f>
        <v/>
      </c>
      <c r="F143">
        <f>IF(E143="","",E143/100*XLOOKUP(XLOOKUP(C143,Portions!$A:$A,Portions!$B:$B),FoodItems!$A:$A,FoodItems!$B:$B))</f>
        <v/>
      </c>
      <c r="G143">
        <f>IF(E143="","",E143/100*XLOOKUP(XLOOKUP(C143,Portions!$A:$A,Portions!$B:$B),FoodItems!$A:$A,FoodItems!$C:$C))</f>
        <v/>
      </c>
      <c r="H143">
        <f>IF(E143="","",E143/100*XLOOKUP(XLOOKUP(C143,Portions!$A:$A,Portions!$B:$B),FoodItems!$A:$A,FoodItems!$D:$D))</f>
        <v/>
      </c>
      <c r="I143">
        <f>IF(E143="","",E143/100*XLOOKUP(XLOOKUP(C143,Portions!$A:$A,Portions!$B:$B),FoodItems!$A:$A,FoodItems!$E:$E))</f>
        <v/>
      </c>
    </row>
    <row r="144">
      <c r="E144">
        <f>IF(C144="","",D144*XLOOKUP(C144,Portions!$A:$A,Portions!$D:$D))</f>
        <v/>
      </c>
      <c r="F144">
        <f>IF(E144="","",E144/100*XLOOKUP(XLOOKUP(C144,Portions!$A:$A,Portions!$B:$B),FoodItems!$A:$A,FoodItems!$B:$B))</f>
        <v/>
      </c>
      <c r="G144">
        <f>IF(E144="","",E144/100*XLOOKUP(XLOOKUP(C144,Portions!$A:$A,Portions!$B:$B),FoodItems!$A:$A,FoodItems!$C:$C))</f>
        <v/>
      </c>
      <c r="H144">
        <f>IF(E144="","",E144/100*XLOOKUP(XLOOKUP(C144,Portions!$A:$A,Portions!$B:$B),FoodItems!$A:$A,FoodItems!$D:$D))</f>
        <v/>
      </c>
      <c r="I144">
        <f>IF(E144="","",E144/100*XLOOKUP(XLOOKUP(C144,Portions!$A:$A,Portions!$B:$B),FoodItems!$A:$A,FoodItems!$E:$E))</f>
        <v/>
      </c>
    </row>
    <row r="145">
      <c r="E145">
        <f>IF(C145="","",D145*XLOOKUP(C145,Portions!$A:$A,Portions!$D:$D))</f>
        <v/>
      </c>
      <c r="F145">
        <f>IF(E145="","",E145/100*XLOOKUP(XLOOKUP(C145,Portions!$A:$A,Portions!$B:$B),FoodItems!$A:$A,FoodItems!$B:$B))</f>
        <v/>
      </c>
      <c r="G145">
        <f>IF(E145="","",E145/100*XLOOKUP(XLOOKUP(C145,Portions!$A:$A,Portions!$B:$B),FoodItems!$A:$A,FoodItems!$C:$C))</f>
        <v/>
      </c>
      <c r="H145">
        <f>IF(E145="","",E145/100*XLOOKUP(XLOOKUP(C145,Portions!$A:$A,Portions!$B:$B),FoodItems!$A:$A,FoodItems!$D:$D))</f>
        <v/>
      </c>
      <c r="I145">
        <f>IF(E145="","",E145/100*XLOOKUP(XLOOKUP(C145,Portions!$A:$A,Portions!$B:$B),FoodItems!$A:$A,FoodItems!$E:$E))</f>
        <v/>
      </c>
    </row>
    <row r="146">
      <c r="E146">
        <f>IF(C146="","",D146*XLOOKUP(C146,Portions!$A:$A,Portions!$D:$D))</f>
        <v/>
      </c>
      <c r="F146">
        <f>IF(E146="","",E146/100*XLOOKUP(XLOOKUP(C146,Portions!$A:$A,Portions!$B:$B),FoodItems!$A:$A,FoodItems!$B:$B))</f>
        <v/>
      </c>
      <c r="G146">
        <f>IF(E146="","",E146/100*XLOOKUP(XLOOKUP(C146,Portions!$A:$A,Portions!$B:$B),FoodItems!$A:$A,FoodItems!$C:$C))</f>
        <v/>
      </c>
      <c r="H146">
        <f>IF(E146="","",E146/100*XLOOKUP(XLOOKUP(C146,Portions!$A:$A,Portions!$B:$B),FoodItems!$A:$A,FoodItems!$D:$D))</f>
        <v/>
      </c>
      <c r="I146">
        <f>IF(E146="","",E146/100*XLOOKUP(XLOOKUP(C146,Portions!$A:$A,Portions!$B:$B),FoodItems!$A:$A,FoodItems!$E:$E))</f>
        <v/>
      </c>
    </row>
    <row r="147">
      <c r="E147">
        <f>IF(C147="","",D147*XLOOKUP(C147,Portions!$A:$A,Portions!$D:$D))</f>
        <v/>
      </c>
      <c r="F147">
        <f>IF(E147="","",E147/100*XLOOKUP(XLOOKUP(C147,Portions!$A:$A,Portions!$B:$B),FoodItems!$A:$A,FoodItems!$B:$B))</f>
        <v/>
      </c>
      <c r="G147">
        <f>IF(E147="","",E147/100*XLOOKUP(XLOOKUP(C147,Portions!$A:$A,Portions!$B:$B),FoodItems!$A:$A,FoodItems!$C:$C))</f>
        <v/>
      </c>
      <c r="H147">
        <f>IF(E147="","",E147/100*XLOOKUP(XLOOKUP(C147,Portions!$A:$A,Portions!$B:$B),FoodItems!$A:$A,FoodItems!$D:$D))</f>
        <v/>
      </c>
      <c r="I147">
        <f>IF(E147="","",E147/100*XLOOKUP(XLOOKUP(C147,Portions!$A:$A,Portions!$B:$B),FoodItems!$A:$A,FoodItems!$E:$E))</f>
        <v/>
      </c>
    </row>
    <row r="148">
      <c r="E148">
        <f>IF(C148="","",D148*XLOOKUP(C148,Portions!$A:$A,Portions!$D:$D))</f>
        <v/>
      </c>
      <c r="F148">
        <f>IF(E148="","",E148/100*XLOOKUP(XLOOKUP(C148,Portions!$A:$A,Portions!$B:$B),FoodItems!$A:$A,FoodItems!$B:$B))</f>
        <v/>
      </c>
      <c r="G148">
        <f>IF(E148="","",E148/100*XLOOKUP(XLOOKUP(C148,Portions!$A:$A,Portions!$B:$B),FoodItems!$A:$A,FoodItems!$C:$C))</f>
        <v/>
      </c>
      <c r="H148">
        <f>IF(E148="","",E148/100*XLOOKUP(XLOOKUP(C148,Portions!$A:$A,Portions!$B:$B),FoodItems!$A:$A,FoodItems!$D:$D))</f>
        <v/>
      </c>
      <c r="I148">
        <f>IF(E148="","",E148/100*XLOOKUP(XLOOKUP(C148,Portions!$A:$A,Portions!$B:$B),FoodItems!$A:$A,FoodItems!$E:$E))</f>
        <v/>
      </c>
    </row>
    <row r="149">
      <c r="E149">
        <f>IF(C149="","",D149*XLOOKUP(C149,Portions!$A:$A,Portions!$D:$D))</f>
        <v/>
      </c>
      <c r="F149">
        <f>IF(E149="","",E149/100*XLOOKUP(XLOOKUP(C149,Portions!$A:$A,Portions!$B:$B),FoodItems!$A:$A,FoodItems!$B:$B))</f>
        <v/>
      </c>
      <c r="G149">
        <f>IF(E149="","",E149/100*XLOOKUP(XLOOKUP(C149,Portions!$A:$A,Portions!$B:$B),FoodItems!$A:$A,FoodItems!$C:$C))</f>
        <v/>
      </c>
      <c r="H149">
        <f>IF(E149="","",E149/100*XLOOKUP(XLOOKUP(C149,Portions!$A:$A,Portions!$B:$B),FoodItems!$A:$A,FoodItems!$D:$D))</f>
        <v/>
      </c>
      <c r="I149">
        <f>IF(E149="","",E149/100*XLOOKUP(XLOOKUP(C149,Portions!$A:$A,Portions!$B:$B),FoodItems!$A:$A,FoodItems!$E:$E))</f>
        <v/>
      </c>
    </row>
    <row r="150">
      <c r="E150">
        <f>IF(C150="","",D150*XLOOKUP(C150,Portions!$A:$A,Portions!$D:$D))</f>
        <v/>
      </c>
      <c r="F150">
        <f>IF(E150="","",E150/100*XLOOKUP(XLOOKUP(C150,Portions!$A:$A,Portions!$B:$B),FoodItems!$A:$A,FoodItems!$B:$B))</f>
        <v/>
      </c>
      <c r="G150">
        <f>IF(E150="","",E150/100*XLOOKUP(XLOOKUP(C150,Portions!$A:$A,Portions!$B:$B),FoodItems!$A:$A,FoodItems!$C:$C))</f>
        <v/>
      </c>
      <c r="H150">
        <f>IF(E150="","",E150/100*XLOOKUP(XLOOKUP(C150,Portions!$A:$A,Portions!$B:$B),FoodItems!$A:$A,FoodItems!$D:$D))</f>
        <v/>
      </c>
      <c r="I150">
        <f>IF(E150="","",E150/100*XLOOKUP(XLOOKUP(C150,Portions!$A:$A,Portions!$B:$B),FoodItems!$A:$A,FoodItems!$E:$E))</f>
        <v/>
      </c>
    </row>
    <row r="151">
      <c r="E151">
        <f>IF(C151="","",D151*XLOOKUP(C151,Portions!$A:$A,Portions!$D:$D))</f>
        <v/>
      </c>
      <c r="F151">
        <f>IF(E151="","",E151/100*XLOOKUP(XLOOKUP(C151,Portions!$A:$A,Portions!$B:$B),FoodItems!$A:$A,FoodItems!$B:$B))</f>
        <v/>
      </c>
      <c r="G151">
        <f>IF(E151="","",E151/100*XLOOKUP(XLOOKUP(C151,Portions!$A:$A,Portions!$B:$B),FoodItems!$A:$A,FoodItems!$C:$C))</f>
        <v/>
      </c>
      <c r="H151">
        <f>IF(E151="","",E151/100*XLOOKUP(XLOOKUP(C151,Portions!$A:$A,Portions!$B:$B),FoodItems!$A:$A,FoodItems!$D:$D))</f>
        <v/>
      </c>
      <c r="I151">
        <f>IF(E151="","",E151/100*XLOOKUP(XLOOKUP(C151,Portions!$A:$A,Portions!$B:$B),FoodItems!$A:$A,FoodItems!$E:$E))</f>
        <v/>
      </c>
    </row>
    <row r="152">
      <c r="E152">
        <f>IF(C152="","",D152*XLOOKUP(C152,Portions!$A:$A,Portions!$D:$D))</f>
        <v/>
      </c>
      <c r="F152">
        <f>IF(E152="","",E152/100*XLOOKUP(XLOOKUP(C152,Portions!$A:$A,Portions!$B:$B),FoodItems!$A:$A,FoodItems!$B:$B))</f>
        <v/>
      </c>
      <c r="G152">
        <f>IF(E152="","",E152/100*XLOOKUP(XLOOKUP(C152,Portions!$A:$A,Portions!$B:$B),FoodItems!$A:$A,FoodItems!$C:$C))</f>
        <v/>
      </c>
      <c r="H152">
        <f>IF(E152="","",E152/100*XLOOKUP(XLOOKUP(C152,Portions!$A:$A,Portions!$B:$B),FoodItems!$A:$A,FoodItems!$D:$D))</f>
        <v/>
      </c>
      <c r="I152">
        <f>IF(E152="","",E152/100*XLOOKUP(XLOOKUP(C152,Portions!$A:$A,Portions!$B:$B),FoodItems!$A:$A,FoodItems!$E:$E))</f>
        <v/>
      </c>
    </row>
    <row r="153">
      <c r="E153">
        <f>IF(C153="","",D153*XLOOKUP(C153,Portions!$A:$A,Portions!$D:$D))</f>
        <v/>
      </c>
      <c r="F153">
        <f>IF(E153="","",E153/100*XLOOKUP(XLOOKUP(C153,Portions!$A:$A,Portions!$B:$B),FoodItems!$A:$A,FoodItems!$B:$B))</f>
        <v/>
      </c>
      <c r="G153">
        <f>IF(E153="","",E153/100*XLOOKUP(XLOOKUP(C153,Portions!$A:$A,Portions!$B:$B),FoodItems!$A:$A,FoodItems!$C:$C))</f>
        <v/>
      </c>
      <c r="H153">
        <f>IF(E153="","",E153/100*XLOOKUP(XLOOKUP(C153,Portions!$A:$A,Portions!$B:$B),FoodItems!$A:$A,FoodItems!$D:$D))</f>
        <v/>
      </c>
      <c r="I153">
        <f>IF(E153="","",E153/100*XLOOKUP(XLOOKUP(C153,Portions!$A:$A,Portions!$B:$B),FoodItems!$A:$A,FoodItems!$E:$E))</f>
        <v/>
      </c>
    </row>
    <row r="154">
      <c r="E154">
        <f>IF(C154="","",D154*XLOOKUP(C154,Portions!$A:$A,Portions!$D:$D))</f>
        <v/>
      </c>
      <c r="F154">
        <f>IF(E154="","",E154/100*XLOOKUP(XLOOKUP(C154,Portions!$A:$A,Portions!$B:$B),FoodItems!$A:$A,FoodItems!$B:$B))</f>
        <v/>
      </c>
      <c r="G154">
        <f>IF(E154="","",E154/100*XLOOKUP(XLOOKUP(C154,Portions!$A:$A,Portions!$B:$B),FoodItems!$A:$A,FoodItems!$C:$C))</f>
        <v/>
      </c>
      <c r="H154">
        <f>IF(E154="","",E154/100*XLOOKUP(XLOOKUP(C154,Portions!$A:$A,Portions!$B:$B),FoodItems!$A:$A,FoodItems!$D:$D))</f>
        <v/>
      </c>
      <c r="I154">
        <f>IF(E154="","",E154/100*XLOOKUP(XLOOKUP(C154,Portions!$A:$A,Portions!$B:$B),FoodItems!$A:$A,FoodItems!$E:$E))</f>
        <v/>
      </c>
    </row>
    <row r="155">
      <c r="E155">
        <f>IF(C155="","",D155*XLOOKUP(C155,Portions!$A:$A,Portions!$D:$D))</f>
        <v/>
      </c>
      <c r="F155">
        <f>IF(E155="","",E155/100*XLOOKUP(XLOOKUP(C155,Portions!$A:$A,Portions!$B:$B),FoodItems!$A:$A,FoodItems!$B:$B))</f>
        <v/>
      </c>
      <c r="G155">
        <f>IF(E155="","",E155/100*XLOOKUP(XLOOKUP(C155,Portions!$A:$A,Portions!$B:$B),FoodItems!$A:$A,FoodItems!$C:$C))</f>
        <v/>
      </c>
      <c r="H155">
        <f>IF(E155="","",E155/100*XLOOKUP(XLOOKUP(C155,Portions!$A:$A,Portions!$B:$B),FoodItems!$A:$A,FoodItems!$D:$D))</f>
        <v/>
      </c>
      <c r="I155">
        <f>IF(E155="","",E155/100*XLOOKUP(XLOOKUP(C155,Portions!$A:$A,Portions!$B:$B),FoodItems!$A:$A,FoodItems!$E:$E))</f>
        <v/>
      </c>
    </row>
    <row r="156">
      <c r="E156">
        <f>IF(C156="","",D156*XLOOKUP(C156,Portions!$A:$A,Portions!$D:$D))</f>
        <v/>
      </c>
      <c r="F156">
        <f>IF(E156="","",E156/100*XLOOKUP(XLOOKUP(C156,Portions!$A:$A,Portions!$B:$B),FoodItems!$A:$A,FoodItems!$B:$B))</f>
        <v/>
      </c>
      <c r="G156">
        <f>IF(E156="","",E156/100*XLOOKUP(XLOOKUP(C156,Portions!$A:$A,Portions!$B:$B),FoodItems!$A:$A,FoodItems!$C:$C))</f>
        <v/>
      </c>
      <c r="H156">
        <f>IF(E156="","",E156/100*XLOOKUP(XLOOKUP(C156,Portions!$A:$A,Portions!$B:$B),FoodItems!$A:$A,FoodItems!$D:$D))</f>
        <v/>
      </c>
      <c r="I156">
        <f>IF(E156="","",E156/100*XLOOKUP(XLOOKUP(C156,Portions!$A:$A,Portions!$B:$B),FoodItems!$A:$A,FoodItems!$E:$E))</f>
        <v/>
      </c>
    </row>
    <row r="157">
      <c r="E157">
        <f>IF(C157="","",D157*XLOOKUP(C157,Portions!$A:$A,Portions!$D:$D))</f>
        <v/>
      </c>
      <c r="F157">
        <f>IF(E157="","",E157/100*XLOOKUP(XLOOKUP(C157,Portions!$A:$A,Portions!$B:$B),FoodItems!$A:$A,FoodItems!$B:$B))</f>
        <v/>
      </c>
      <c r="G157">
        <f>IF(E157="","",E157/100*XLOOKUP(XLOOKUP(C157,Portions!$A:$A,Portions!$B:$B),FoodItems!$A:$A,FoodItems!$C:$C))</f>
        <v/>
      </c>
      <c r="H157">
        <f>IF(E157="","",E157/100*XLOOKUP(XLOOKUP(C157,Portions!$A:$A,Portions!$B:$B),FoodItems!$A:$A,FoodItems!$D:$D))</f>
        <v/>
      </c>
      <c r="I157">
        <f>IF(E157="","",E157/100*XLOOKUP(XLOOKUP(C157,Portions!$A:$A,Portions!$B:$B),FoodItems!$A:$A,FoodItems!$E:$E))</f>
        <v/>
      </c>
    </row>
    <row r="158">
      <c r="E158">
        <f>IF(C158="","",D158*XLOOKUP(C158,Portions!$A:$A,Portions!$D:$D))</f>
        <v/>
      </c>
      <c r="F158">
        <f>IF(E158="","",E158/100*XLOOKUP(XLOOKUP(C158,Portions!$A:$A,Portions!$B:$B),FoodItems!$A:$A,FoodItems!$B:$B))</f>
        <v/>
      </c>
      <c r="G158">
        <f>IF(E158="","",E158/100*XLOOKUP(XLOOKUP(C158,Portions!$A:$A,Portions!$B:$B),FoodItems!$A:$A,FoodItems!$C:$C))</f>
        <v/>
      </c>
      <c r="H158">
        <f>IF(E158="","",E158/100*XLOOKUP(XLOOKUP(C158,Portions!$A:$A,Portions!$B:$B),FoodItems!$A:$A,FoodItems!$D:$D))</f>
        <v/>
      </c>
      <c r="I158">
        <f>IF(E158="","",E158/100*XLOOKUP(XLOOKUP(C158,Portions!$A:$A,Portions!$B:$B),FoodItems!$A:$A,FoodItems!$E:$E))</f>
        <v/>
      </c>
    </row>
    <row r="159">
      <c r="E159">
        <f>IF(C159="","",D159*XLOOKUP(C159,Portions!$A:$A,Portions!$D:$D))</f>
        <v/>
      </c>
      <c r="F159">
        <f>IF(E159="","",E159/100*XLOOKUP(XLOOKUP(C159,Portions!$A:$A,Portions!$B:$B),FoodItems!$A:$A,FoodItems!$B:$B))</f>
        <v/>
      </c>
      <c r="G159">
        <f>IF(E159="","",E159/100*XLOOKUP(XLOOKUP(C159,Portions!$A:$A,Portions!$B:$B),FoodItems!$A:$A,FoodItems!$C:$C))</f>
        <v/>
      </c>
      <c r="H159">
        <f>IF(E159="","",E159/100*XLOOKUP(XLOOKUP(C159,Portions!$A:$A,Portions!$B:$B),FoodItems!$A:$A,FoodItems!$D:$D))</f>
        <v/>
      </c>
      <c r="I159">
        <f>IF(E159="","",E159/100*XLOOKUP(XLOOKUP(C159,Portions!$A:$A,Portions!$B:$B),FoodItems!$A:$A,FoodItems!$E:$E))</f>
        <v/>
      </c>
    </row>
    <row r="160">
      <c r="E160">
        <f>IF(C160="","",D160*XLOOKUP(C160,Portions!$A:$A,Portions!$D:$D))</f>
        <v/>
      </c>
      <c r="F160">
        <f>IF(E160="","",E160/100*XLOOKUP(XLOOKUP(C160,Portions!$A:$A,Portions!$B:$B),FoodItems!$A:$A,FoodItems!$B:$B))</f>
        <v/>
      </c>
      <c r="G160">
        <f>IF(E160="","",E160/100*XLOOKUP(XLOOKUP(C160,Portions!$A:$A,Portions!$B:$B),FoodItems!$A:$A,FoodItems!$C:$C))</f>
        <v/>
      </c>
      <c r="H160">
        <f>IF(E160="","",E160/100*XLOOKUP(XLOOKUP(C160,Portions!$A:$A,Portions!$B:$B),FoodItems!$A:$A,FoodItems!$D:$D))</f>
        <v/>
      </c>
      <c r="I160">
        <f>IF(E160="","",E160/100*XLOOKUP(XLOOKUP(C160,Portions!$A:$A,Portions!$B:$B),FoodItems!$A:$A,FoodItems!$E:$E))</f>
        <v/>
      </c>
    </row>
    <row r="161">
      <c r="E161">
        <f>IF(C161="","",D161*XLOOKUP(C161,Portions!$A:$A,Portions!$D:$D))</f>
        <v/>
      </c>
      <c r="F161">
        <f>IF(E161="","",E161/100*XLOOKUP(XLOOKUP(C161,Portions!$A:$A,Portions!$B:$B),FoodItems!$A:$A,FoodItems!$B:$B))</f>
        <v/>
      </c>
      <c r="G161">
        <f>IF(E161="","",E161/100*XLOOKUP(XLOOKUP(C161,Portions!$A:$A,Portions!$B:$B),FoodItems!$A:$A,FoodItems!$C:$C))</f>
        <v/>
      </c>
      <c r="H161">
        <f>IF(E161="","",E161/100*XLOOKUP(XLOOKUP(C161,Portions!$A:$A,Portions!$B:$B),FoodItems!$A:$A,FoodItems!$D:$D))</f>
        <v/>
      </c>
      <c r="I161">
        <f>IF(E161="","",E161/100*XLOOKUP(XLOOKUP(C161,Portions!$A:$A,Portions!$B:$B),FoodItems!$A:$A,FoodItems!$E:$E))</f>
        <v/>
      </c>
    </row>
    <row r="162">
      <c r="E162">
        <f>IF(C162="","",D162*XLOOKUP(C162,Portions!$A:$A,Portions!$D:$D))</f>
        <v/>
      </c>
      <c r="F162">
        <f>IF(E162="","",E162/100*XLOOKUP(XLOOKUP(C162,Portions!$A:$A,Portions!$B:$B),FoodItems!$A:$A,FoodItems!$B:$B))</f>
        <v/>
      </c>
      <c r="G162">
        <f>IF(E162="","",E162/100*XLOOKUP(XLOOKUP(C162,Portions!$A:$A,Portions!$B:$B),FoodItems!$A:$A,FoodItems!$C:$C))</f>
        <v/>
      </c>
      <c r="H162">
        <f>IF(E162="","",E162/100*XLOOKUP(XLOOKUP(C162,Portions!$A:$A,Portions!$B:$B),FoodItems!$A:$A,FoodItems!$D:$D))</f>
        <v/>
      </c>
      <c r="I162">
        <f>IF(E162="","",E162/100*XLOOKUP(XLOOKUP(C162,Portions!$A:$A,Portions!$B:$B),FoodItems!$A:$A,FoodItems!$E:$E))</f>
        <v/>
      </c>
    </row>
    <row r="163">
      <c r="E163">
        <f>IF(C163="","",D163*XLOOKUP(C163,Portions!$A:$A,Portions!$D:$D))</f>
        <v/>
      </c>
      <c r="F163">
        <f>IF(E163="","",E163/100*XLOOKUP(XLOOKUP(C163,Portions!$A:$A,Portions!$B:$B),FoodItems!$A:$A,FoodItems!$B:$B))</f>
        <v/>
      </c>
      <c r="G163">
        <f>IF(E163="","",E163/100*XLOOKUP(XLOOKUP(C163,Portions!$A:$A,Portions!$B:$B),FoodItems!$A:$A,FoodItems!$C:$C))</f>
        <v/>
      </c>
      <c r="H163">
        <f>IF(E163="","",E163/100*XLOOKUP(XLOOKUP(C163,Portions!$A:$A,Portions!$B:$B),FoodItems!$A:$A,FoodItems!$D:$D))</f>
        <v/>
      </c>
      <c r="I163">
        <f>IF(E163="","",E163/100*XLOOKUP(XLOOKUP(C163,Portions!$A:$A,Portions!$B:$B),FoodItems!$A:$A,FoodItems!$E:$E))</f>
        <v/>
      </c>
    </row>
    <row r="164">
      <c r="E164">
        <f>IF(C164="","",D164*XLOOKUP(C164,Portions!$A:$A,Portions!$D:$D))</f>
        <v/>
      </c>
      <c r="F164">
        <f>IF(E164="","",E164/100*XLOOKUP(XLOOKUP(C164,Portions!$A:$A,Portions!$B:$B),FoodItems!$A:$A,FoodItems!$B:$B))</f>
        <v/>
      </c>
      <c r="G164">
        <f>IF(E164="","",E164/100*XLOOKUP(XLOOKUP(C164,Portions!$A:$A,Portions!$B:$B),FoodItems!$A:$A,FoodItems!$C:$C))</f>
        <v/>
      </c>
      <c r="H164">
        <f>IF(E164="","",E164/100*XLOOKUP(XLOOKUP(C164,Portions!$A:$A,Portions!$B:$B),FoodItems!$A:$A,FoodItems!$D:$D))</f>
        <v/>
      </c>
      <c r="I164">
        <f>IF(E164="","",E164/100*XLOOKUP(XLOOKUP(C164,Portions!$A:$A,Portions!$B:$B),FoodItems!$A:$A,FoodItems!$E:$E))</f>
        <v/>
      </c>
    </row>
    <row r="165">
      <c r="E165">
        <f>IF(C165="","",D165*XLOOKUP(C165,Portions!$A:$A,Portions!$D:$D))</f>
        <v/>
      </c>
      <c r="F165">
        <f>IF(E165="","",E165/100*XLOOKUP(XLOOKUP(C165,Portions!$A:$A,Portions!$B:$B),FoodItems!$A:$A,FoodItems!$B:$B))</f>
        <v/>
      </c>
      <c r="G165">
        <f>IF(E165="","",E165/100*XLOOKUP(XLOOKUP(C165,Portions!$A:$A,Portions!$B:$B),FoodItems!$A:$A,FoodItems!$C:$C))</f>
        <v/>
      </c>
      <c r="H165">
        <f>IF(E165="","",E165/100*XLOOKUP(XLOOKUP(C165,Portions!$A:$A,Portions!$B:$B),FoodItems!$A:$A,FoodItems!$D:$D))</f>
        <v/>
      </c>
      <c r="I165">
        <f>IF(E165="","",E165/100*XLOOKUP(XLOOKUP(C165,Portions!$A:$A,Portions!$B:$B),FoodItems!$A:$A,FoodItems!$E:$E))</f>
        <v/>
      </c>
    </row>
    <row r="166">
      <c r="E166">
        <f>IF(C166="","",D166*XLOOKUP(C166,Portions!$A:$A,Portions!$D:$D))</f>
        <v/>
      </c>
      <c r="F166">
        <f>IF(E166="","",E166/100*XLOOKUP(XLOOKUP(C166,Portions!$A:$A,Portions!$B:$B),FoodItems!$A:$A,FoodItems!$B:$B))</f>
        <v/>
      </c>
      <c r="G166">
        <f>IF(E166="","",E166/100*XLOOKUP(XLOOKUP(C166,Portions!$A:$A,Portions!$B:$B),FoodItems!$A:$A,FoodItems!$C:$C))</f>
        <v/>
      </c>
      <c r="H166">
        <f>IF(E166="","",E166/100*XLOOKUP(XLOOKUP(C166,Portions!$A:$A,Portions!$B:$B),FoodItems!$A:$A,FoodItems!$D:$D))</f>
        <v/>
      </c>
      <c r="I166">
        <f>IF(E166="","",E166/100*XLOOKUP(XLOOKUP(C166,Portions!$A:$A,Portions!$B:$B),FoodItems!$A:$A,FoodItems!$E:$E))</f>
        <v/>
      </c>
    </row>
    <row r="167">
      <c r="E167">
        <f>IF(C167="","",D167*XLOOKUP(C167,Portions!$A:$A,Portions!$D:$D))</f>
        <v/>
      </c>
      <c r="F167">
        <f>IF(E167="","",E167/100*XLOOKUP(XLOOKUP(C167,Portions!$A:$A,Portions!$B:$B),FoodItems!$A:$A,FoodItems!$B:$B))</f>
        <v/>
      </c>
      <c r="G167">
        <f>IF(E167="","",E167/100*XLOOKUP(XLOOKUP(C167,Portions!$A:$A,Portions!$B:$B),FoodItems!$A:$A,FoodItems!$C:$C))</f>
        <v/>
      </c>
      <c r="H167">
        <f>IF(E167="","",E167/100*XLOOKUP(XLOOKUP(C167,Portions!$A:$A,Portions!$B:$B),FoodItems!$A:$A,FoodItems!$D:$D))</f>
        <v/>
      </c>
      <c r="I167">
        <f>IF(E167="","",E167/100*XLOOKUP(XLOOKUP(C167,Portions!$A:$A,Portions!$B:$B),FoodItems!$A:$A,FoodItems!$E:$E))</f>
        <v/>
      </c>
    </row>
    <row r="168">
      <c r="E168">
        <f>IF(C168="","",D168*XLOOKUP(C168,Portions!$A:$A,Portions!$D:$D))</f>
        <v/>
      </c>
      <c r="F168">
        <f>IF(E168="","",E168/100*XLOOKUP(XLOOKUP(C168,Portions!$A:$A,Portions!$B:$B),FoodItems!$A:$A,FoodItems!$B:$B))</f>
        <v/>
      </c>
      <c r="G168">
        <f>IF(E168="","",E168/100*XLOOKUP(XLOOKUP(C168,Portions!$A:$A,Portions!$B:$B),FoodItems!$A:$A,FoodItems!$C:$C))</f>
        <v/>
      </c>
      <c r="H168">
        <f>IF(E168="","",E168/100*XLOOKUP(XLOOKUP(C168,Portions!$A:$A,Portions!$B:$B),FoodItems!$A:$A,FoodItems!$D:$D))</f>
        <v/>
      </c>
      <c r="I168">
        <f>IF(E168="","",E168/100*XLOOKUP(XLOOKUP(C168,Portions!$A:$A,Portions!$B:$B),FoodItems!$A:$A,FoodItems!$E:$E))</f>
        <v/>
      </c>
    </row>
    <row r="169">
      <c r="E169">
        <f>IF(C169="","",D169*XLOOKUP(C169,Portions!$A:$A,Portions!$D:$D))</f>
        <v/>
      </c>
      <c r="F169">
        <f>IF(E169="","",E169/100*XLOOKUP(XLOOKUP(C169,Portions!$A:$A,Portions!$B:$B),FoodItems!$A:$A,FoodItems!$B:$B))</f>
        <v/>
      </c>
      <c r="G169">
        <f>IF(E169="","",E169/100*XLOOKUP(XLOOKUP(C169,Portions!$A:$A,Portions!$B:$B),FoodItems!$A:$A,FoodItems!$C:$C))</f>
        <v/>
      </c>
      <c r="H169">
        <f>IF(E169="","",E169/100*XLOOKUP(XLOOKUP(C169,Portions!$A:$A,Portions!$B:$B),FoodItems!$A:$A,FoodItems!$D:$D))</f>
        <v/>
      </c>
      <c r="I169">
        <f>IF(E169="","",E169/100*XLOOKUP(XLOOKUP(C169,Portions!$A:$A,Portions!$B:$B),FoodItems!$A:$A,FoodItems!$E:$E))</f>
        <v/>
      </c>
    </row>
    <row r="170">
      <c r="E170">
        <f>IF(C170="","",D170*XLOOKUP(C170,Portions!$A:$A,Portions!$D:$D))</f>
        <v/>
      </c>
      <c r="F170">
        <f>IF(E170="","",E170/100*XLOOKUP(XLOOKUP(C170,Portions!$A:$A,Portions!$B:$B),FoodItems!$A:$A,FoodItems!$B:$B))</f>
        <v/>
      </c>
      <c r="G170">
        <f>IF(E170="","",E170/100*XLOOKUP(XLOOKUP(C170,Portions!$A:$A,Portions!$B:$B),FoodItems!$A:$A,FoodItems!$C:$C))</f>
        <v/>
      </c>
      <c r="H170">
        <f>IF(E170="","",E170/100*XLOOKUP(XLOOKUP(C170,Portions!$A:$A,Portions!$B:$B),FoodItems!$A:$A,FoodItems!$D:$D))</f>
        <v/>
      </c>
      <c r="I170">
        <f>IF(E170="","",E170/100*XLOOKUP(XLOOKUP(C170,Portions!$A:$A,Portions!$B:$B),FoodItems!$A:$A,FoodItems!$E:$E))</f>
        <v/>
      </c>
    </row>
    <row r="171">
      <c r="E171">
        <f>IF(C171="","",D171*XLOOKUP(C171,Portions!$A:$A,Portions!$D:$D))</f>
        <v/>
      </c>
      <c r="F171">
        <f>IF(E171="","",E171/100*XLOOKUP(XLOOKUP(C171,Portions!$A:$A,Portions!$B:$B),FoodItems!$A:$A,FoodItems!$B:$B))</f>
        <v/>
      </c>
      <c r="G171">
        <f>IF(E171="","",E171/100*XLOOKUP(XLOOKUP(C171,Portions!$A:$A,Portions!$B:$B),FoodItems!$A:$A,FoodItems!$C:$C))</f>
        <v/>
      </c>
      <c r="H171">
        <f>IF(E171="","",E171/100*XLOOKUP(XLOOKUP(C171,Portions!$A:$A,Portions!$B:$B),FoodItems!$A:$A,FoodItems!$D:$D))</f>
        <v/>
      </c>
      <c r="I171">
        <f>IF(E171="","",E171/100*XLOOKUP(XLOOKUP(C171,Portions!$A:$A,Portions!$B:$B),FoodItems!$A:$A,FoodItems!$E:$E))</f>
        <v/>
      </c>
    </row>
    <row r="172">
      <c r="E172">
        <f>IF(C172="","",D172*XLOOKUP(C172,Portions!$A:$A,Portions!$D:$D))</f>
        <v/>
      </c>
      <c r="F172">
        <f>IF(E172="","",E172/100*XLOOKUP(XLOOKUP(C172,Portions!$A:$A,Portions!$B:$B),FoodItems!$A:$A,FoodItems!$B:$B))</f>
        <v/>
      </c>
      <c r="G172">
        <f>IF(E172="","",E172/100*XLOOKUP(XLOOKUP(C172,Portions!$A:$A,Portions!$B:$B),FoodItems!$A:$A,FoodItems!$C:$C))</f>
        <v/>
      </c>
      <c r="H172">
        <f>IF(E172="","",E172/100*XLOOKUP(XLOOKUP(C172,Portions!$A:$A,Portions!$B:$B),FoodItems!$A:$A,FoodItems!$D:$D))</f>
        <v/>
      </c>
      <c r="I172">
        <f>IF(E172="","",E172/100*XLOOKUP(XLOOKUP(C172,Portions!$A:$A,Portions!$B:$B),FoodItems!$A:$A,FoodItems!$E:$E))</f>
        <v/>
      </c>
    </row>
    <row r="173">
      <c r="E173">
        <f>IF(C173="","",D173*XLOOKUP(C173,Portions!$A:$A,Portions!$D:$D))</f>
        <v/>
      </c>
      <c r="F173">
        <f>IF(E173="","",E173/100*XLOOKUP(XLOOKUP(C173,Portions!$A:$A,Portions!$B:$B),FoodItems!$A:$A,FoodItems!$B:$B))</f>
        <v/>
      </c>
      <c r="G173">
        <f>IF(E173="","",E173/100*XLOOKUP(XLOOKUP(C173,Portions!$A:$A,Portions!$B:$B),FoodItems!$A:$A,FoodItems!$C:$C))</f>
        <v/>
      </c>
      <c r="H173">
        <f>IF(E173="","",E173/100*XLOOKUP(XLOOKUP(C173,Portions!$A:$A,Portions!$B:$B),FoodItems!$A:$A,FoodItems!$D:$D))</f>
        <v/>
      </c>
      <c r="I173">
        <f>IF(E173="","",E173/100*XLOOKUP(XLOOKUP(C173,Portions!$A:$A,Portions!$B:$B),FoodItems!$A:$A,FoodItems!$E:$E))</f>
        <v/>
      </c>
    </row>
    <row r="174">
      <c r="E174">
        <f>IF(C174="","",D174*XLOOKUP(C174,Portions!$A:$A,Portions!$D:$D))</f>
        <v/>
      </c>
      <c r="F174">
        <f>IF(E174="","",E174/100*XLOOKUP(XLOOKUP(C174,Portions!$A:$A,Portions!$B:$B),FoodItems!$A:$A,FoodItems!$B:$B))</f>
        <v/>
      </c>
      <c r="G174">
        <f>IF(E174="","",E174/100*XLOOKUP(XLOOKUP(C174,Portions!$A:$A,Portions!$B:$B),FoodItems!$A:$A,FoodItems!$C:$C))</f>
        <v/>
      </c>
      <c r="H174">
        <f>IF(E174="","",E174/100*XLOOKUP(XLOOKUP(C174,Portions!$A:$A,Portions!$B:$B),FoodItems!$A:$A,FoodItems!$D:$D))</f>
        <v/>
      </c>
      <c r="I174">
        <f>IF(E174="","",E174/100*XLOOKUP(XLOOKUP(C174,Portions!$A:$A,Portions!$B:$B),FoodItems!$A:$A,FoodItems!$E:$E))</f>
        <v/>
      </c>
    </row>
    <row r="175">
      <c r="E175">
        <f>IF(C175="","",D175*XLOOKUP(C175,Portions!$A:$A,Portions!$D:$D))</f>
        <v/>
      </c>
      <c r="F175">
        <f>IF(E175="","",E175/100*XLOOKUP(XLOOKUP(C175,Portions!$A:$A,Portions!$B:$B),FoodItems!$A:$A,FoodItems!$B:$B))</f>
        <v/>
      </c>
      <c r="G175">
        <f>IF(E175="","",E175/100*XLOOKUP(XLOOKUP(C175,Portions!$A:$A,Portions!$B:$B),FoodItems!$A:$A,FoodItems!$C:$C))</f>
        <v/>
      </c>
      <c r="H175">
        <f>IF(E175="","",E175/100*XLOOKUP(XLOOKUP(C175,Portions!$A:$A,Portions!$B:$B),FoodItems!$A:$A,FoodItems!$D:$D))</f>
        <v/>
      </c>
      <c r="I175">
        <f>IF(E175="","",E175/100*XLOOKUP(XLOOKUP(C175,Portions!$A:$A,Portions!$B:$B),FoodItems!$A:$A,FoodItems!$E:$E))</f>
        <v/>
      </c>
    </row>
    <row r="176">
      <c r="E176">
        <f>IF(C176="","",D176*XLOOKUP(C176,Portions!$A:$A,Portions!$D:$D))</f>
        <v/>
      </c>
      <c r="F176">
        <f>IF(E176="","",E176/100*XLOOKUP(XLOOKUP(C176,Portions!$A:$A,Portions!$B:$B),FoodItems!$A:$A,FoodItems!$B:$B))</f>
        <v/>
      </c>
      <c r="G176">
        <f>IF(E176="","",E176/100*XLOOKUP(XLOOKUP(C176,Portions!$A:$A,Portions!$B:$B),FoodItems!$A:$A,FoodItems!$C:$C))</f>
        <v/>
      </c>
      <c r="H176">
        <f>IF(E176="","",E176/100*XLOOKUP(XLOOKUP(C176,Portions!$A:$A,Portions!$B:$B),FoodItems!$A:$A,FoodItems!$D:$D))</f>
        <v/>
      </c>
      <c r="I176">
        <f>IF(E176="","",E176/100*XLOOKUP(XLOOKUP(C176,Portions!$A:$A,Portions!$B:$B),FoodItems!$A:$A,FoodItems!$E:$E))</f>
        <v/>
      </c>
    </row>
    <row r="177">
      <c r="E177">
        <f>IF(C177="","",D177*XLOOKUP(C177,Portions!$A:$A,Portions!$D:$D))</f>
        <v/>
      </c>
      <c r="F177">
        <f>IF(E177="","",E177/100*XLOOKUP(XLOOKUP(C177,Portions!$A:$A,Portions!$B:$B),FoodItems!$A:$A,FoodItems!$B:$B))</f>
        <v/>
      </c>
      <c r="G177">
        <f>IF(E177="","",E177/100*XLOOKUP(XLOOKUP(C177,Portions!$A:$A,Portions!$B:$B),FoodItems!$A:$A,FoodItems!$C:$C))</f>
        <v/>
      </c>
      <c r="H177">
        <f>IF(E177="","",E177/100*XLOOKUP(XLOOKUP(C177,Portions!$A:$A,Portions!$B:$B),FoodItems!$A:$A,FoodItems!$D:$D))</f>
        <v/>
      </c>
      <c r="I177">
        <f>IF(E177="","",E177/100*XLOOKUP(XLOOKUP(C177,Portions!$A:$A,Portions!$B:$B),FoodItems!$A:$A,FoodItems!$E:$E))</f>
        <v/>
      </c>
    </row>
    <row r="178">
      <c r="E178">
        <f>IF(C178="","",D178*XLOOKUP(C178,Portions!$A:$A,Portions!$D:$D))</f>
        <v/>
      </c>
      <c r="F178">
        <f>IF(E178="","",E178/100*XLOOKUP(XLOOKUP(C178,Portions!$A:$A,Portions!$B:$B),FoodItems!$A:$A,FoodItems!$B:$B))</f>
        <v/>
      </c>
      <c r="G178">
        <f>IF(E178="","",E178/100*XLOOKUP(XLOOKUP(C178,Portions!$A:$A,Portions!$B:$B),FoodItems!$A:$A,FoodItems!$C:$C))</f>
        <v/>
      </c>
      <c r="H178">
        <f>IF(E178="","",E178/100*XLOOKUP(XLOOKUP(C178,Portions!$A:$A,Portions!$B:$B),FoodItems!$A:$A,FoodItems!$D:$D))</f>
        <v/>
      </c>
      <c r="I178">
        <f>IF(E178="","",E178/100*XLOOKUP(XLOOKUP(C178,Portions!$A:$A,Portions!$B:$B),FoodItems!$A:$A,FoodItems!$E:$E))</f>
        <v/>
      </c>
    </row>
    <row r="179">
      <c r="E179">
        <f>IF(C179="","",D179*XLOOKUP(C179,Portions!$A:$A,Portions!$D:$D))</f>
        <v/>
      </c>
      <c r="F179">
        <f>IF(E179="","",E179/100*XLOOKUP(XLOOKUP(C179,Portions!$A:$A,Portions!$B:$B),FoodItems!$A:$A,FoodItems!$B:$B))</f>
        <v/>
      </c>
      <c r="G179">
        <f>IF(E179="","",E179/100*XLOOKUP(XLOOKUP(C179,Portions!$A:$A,Portions!$B:$B),FoodItems!$A:$A,FoodItems!$C:$C))</f>
        <v/>
      </c>
      <c r="H179">
        <f>IF(E179="","",E179/100*XLOOKUP(XLOOKUP(C179,Portions!$A:$A,Portions!$B:$B),FoodItems!$A:$A,FoodItems!$D:$D))</f>
        <v/>
      </c>
      <c r="I179">
        <f>IF(E179="","",E179/100*XLOOKUP(XLOOKUP(C179,Portions!$A:$A,Portions!$B:$B),FoodItems!$A:$A,FoodItems!$E:$E))</f>
        <v/>
      </c>
    </row>
    <row r="180">
      <c r="E180">
        <f>IF(C180="","",D180*XLOOKUP(C180,Portions!$A:$A,Portions!$D:$D))</f>
        <v/>
      </c>
      <c r="F180">
        <f>IF(E180="","",E180/100*XLOOKUP(XLOOKUP(C180,Portions!$A:$A,Portions!$B:$B),FoodItems!$A:$A,FoodItems!$B:$B))</f>
        <v/>
      </c>
      <c r="G180">
        <f>IF(E180="","",E180/100*XLOOKUP(XLOOKUP(C180,Portions!$A:$A,Portions!$B:$B),FoodItems!$A:$A,FoodItems!$C:$C))</f>
        <v/>
      </c>
      <c r="H180">
        <f>IF(E180="","",E180/100*XLOOKUP(XLOOKUP(C180,Portions!$A:$A,Portions!$B:$B),FoodItems!$A:$A,FoodItems!$D:$D))</f>
        <v/>
      </c>
      <c r="I180">
        <f>IF(E180="","",E180/100*XLOOKUP(XLOOKUP(C180,Portions!$A:$A,Portions!$B:$B),FoodItems!$A:$A,FoodItems!$E:$E))</f>
        <v/>
      </c>
    </row>
    <row r="181">
      <c r="E181">
        <f>IF(C181="","",D181*XLOOKUP(C181,Portions!$A:$A,Portions!$D:$D))</f>
        <v/>
      </c>
      <c r="F181">
        <f>IF(E181="","",E181/100*XLOOKUP(XLOOKUP(C181,Portions!$A:$A,Portions!$B:$B),FoodItems!$A:$A,FoodItems!$B:$B))</f>
        <v/>
      </c>
      <c r="G181">
        <f>IF(E181="","",E181/100*XLOOKUP(XLOOKUP(C181,Portions!$A:$A,Portions!$B:$B),FoodItems!$A:$A,FoodItems!$C:$C))</f>
        <v/>
      </c>
      <c r="H181">
        <f>IF(E181="","",E181/100*XLOOKUP(XLOOKUP(C181,Portions!$A:$A,Portions!$B:$B),FoodItems!$A:$A,FoodItems!$D:$D))</f>
        <v/>
      </c>
      <c r="I181">
        <f>IF(E181="","",E181/100*XLOOKUP(XLOOKUP(C181,Portions!$A:$A,Portions!$B:$B),FoodItems!$A:$A,FoodItems!$E:$E))</f>
        <v/>
      </c>
    </row>
    <row r="182">
      <c r="E182">
        <f>IF(C182="","",D182*XLOOKUP(C182,Portions!$A:$A,Portions!$D:$D))</f>
        <v/>
      </c>
      <c r="F182">
        <f>IF(E182="","",E182/100*XLOOKUP(XLOOKUP(C182,Portions!$A:$A,Portions!$B:$B),FoodItems!$A:$A,FoodItems!$B:$B))</f>
        <v/>
      </c>
      <c r="G182">
        <f>IF(E182="","",E182/100*XLOOKUP(XLOOKUP(C182,Portions!$A:$A,Portions!$B:$B),FoodItems!$A:$A,FoodItems!$C:$C))</f>
        <v/>
      </c>
      <c r="H182">
        <f>IF(E182="","",E182/100*XLOOKUP(XLOOKUP(C182,Portions!$A:$A,Portions!$B:$B),FoodItems!$A:$A,FoodItems!$D:$D))</f>
        <v/>
      </c>
      <c r="I182">
        <f>IF(E182="","",E182/100*XLOOKUP(XLOOKUP(C182,Portions!$A:$A,Portions!$B:$B),FoodItems!$A:$A,FoodItems!$E:$E))</f>
        <v/>
      </c>
    </row>
    <row r="183">
      <c r="E183">
        <f>IF(C183="","",D183*XLOOKUP(C183,Portions!$A:$A,Portions!$D:$D))</f>
        <v/>
      </c>
      <c r="F183">
        <f>IF(E183="","",E183/100*XLOOKUP(XLOOKUP(C183,Portions!$A:$A,Portions!$B:$B),FoodItems!$A:$A,FoodItems!$B:$B))</f>
        <v/>
      </c>
      <c r="G183">
        <f>IF(E183="","",E183/100*XLOOKUP(XLOOKUP(C183,Portions!$A:$A,Portions!$B:$B),FoodItems!$A:$A,FoodItems!$C:$C))</f>
        <v/>
      </c>
      <c r="H183">
        <f>IF(E183="","",E183/100*XLOOKUP(XLOOKUP(C183,Portions!$A:$A,Portions!$B:$B),FoodItems!$A:$A,FoodItems!$D:$D))</f>
        <v/>
      </c>
      <c r="I183">
        <f>IF(E183="","",E183/100*XLOOKUP(XLOOKUP(C183,Portions!$A:$A,Portions!$B:$B),FoodItems!$A:$A,FoodItems!$E:$E))</f>
        <v/>
      </c>
    </row>
    <row r="184">
      <c r="E184">
        <f>IF(C184="","",D184*XLOOKUP(C184,Portions!$A:$A,Portions!$D:$D))</f>
        <v/>
      </c>
      <c r="F184">
        <f>IF(E184="","",E184/100*XLOOKUP(XLOOKUP(C184,Portions!$A:$A,Portions!$B:$B),FoodItems!$A:$A,FoodItems!$B:$B))</f>
        <v/>
      </c>
      <c r="G184">
        <f>IF(E184="","",E184/100*XLOOKUP(XLOOKUP(C184,Portions!$A:$A,Portions!$B:$B),FoodItems!$A:$A,FoodItems!$C:$C))</f>
        <v/>
      </c>
      <c r="H184">
        <f>IF(E184="","",E184/100*XLOOKUP(XLOOKUP(C184,Portions!$A:$A,Portions!$B:$B),FoodItems!$A:$A,FoodItems!$D:$D))</f>
        <v/>
      </c>
      <c r="I184">
        <f>IF(E184="","",E184/100*XLOOKUP(XLOOKUP(C184,Portions!$A:$A,Portions!$B:$B),FoodItems!$A:$A,FoodItems!$E:$E))</f>
        <v/>
      </c>
    </row>
    <row r="185">
      <c r="E185">
        <f>IF(C185="","",D185*XLOOKUP(C185,Portions!$A:$A,Portions!$D:$D))</f>
        <v/>
      </c>
      <c r="F185">
        <f>IF(E185="","",E185/100*XLOOKUP(XLOOKUP(C185,Portions!$A:$A,Portions!$B:$B),FoodItems!$A:$A,FoodItems!$B:$B))</f>
        <v/>
      </c>
      <c r="G185">
        <f>IF(E185="","",E185/100*XLOOKUP(XLOOKUP(C185,Portions!$A:$A,Portions!$B:$B),FoodItems!$A:$A,FoodItems!$C:$C))</f>
        <v/>
      </c>
      <c r="H185">
        <f>IF(E185="","",E185/100*XLOOKUP(XLOOKUP(C185,Portions!$A:$A,Portions!$B:$B),FoodItems!$A:$A,FoodItems!$D:$D))</f>
        <v/>
      </c>
      <c r="I185">
        <f>IF(E185="","",E185/100*XLOOKUP(XLOOKUP(C185,Portions!$A:$A,Portions!$B:$B),FoodItems!$A:$A,FoodItems!$E:$E))</f>
        <v/>
      </c>
    </row>
    <row r="186">
      <c r="E186">
        <f>IF(C186="","",D186*XLOOKUP(C186,Portions!$A:$A,Portions!$D:$D))</f>
        <v/>
      </c>
      <c r="F186">
        <f>IF(E186="","",E186/100*XLOOKUP(XLOOKUP(C186,Portions!$A:$A,Portions!$B:$B),FoodItems!$A:$A,FoodItems!$B:$B))</f>
        <v/>
      </c>
      <c r="G186">
        <f>IF(E186="","",E186/100*XLOOKUP(XLOOKUP(C186,Portions!$A:$A,Portions!$B:$B),FoodItems!$A:$A,FoodItems!$C:$C))</f>
        <v/>
      </c>
      <c r="H186">
        <f>IF(E186="","",E186/100*XLOOKUP(XLOOKUP(C186,Portions!$A:$A,Portions!$B:$B),FoodItems!$A:$A,FoodItems!$D:$D))</f>
        <v/>
      </c>
      <c r="I186">
        <f>IF(E186="","",E186/100*XLOOKUP(XLOOKUP(C186,Portions!$A:$A,Portions!$B:$B),FoodItems!$A:$A,FoodItems!$E:$E))</f>
        <v/>
      </c>
    </row>
    <row r="187">
      <c r="E187">
        <f>IF(C187="","",D187*XLOOKUP(C187,Portions!$A:$A,Portions!$D:$D))</f>
        <v/>
      </c>
      <c r="F187">
        <f>IF(E187="","",E187/100*XLOOKUP(XLOOKUP(C187,Portions!$A:$A,Portions!$B:$B),FoodItems!$A:$A,FoodItems!$B:$B))</f>
        <v/>
      </c>
      <c r="G187">
        <f>IF(E187="","",E187/100*XLOOKUP(XLOOKUP(C187,Portions!$A:$A,Portions!$B:$B),FoodItems!$A:$A,FoodItems!$C:$C))</f>
        <v/>
      </c>
      <c r="H187">
        <f>IF(E187="","",E187/100*XLOOKUP(XLOOKUP(C187,Portions!$A:$A,Portions!$B:$B),FoodItems!$A:$A,FoodItems!$D:$D))</f>
        <v/>
      </c>
      <c r="I187">
        <f>IF(E187="","",E187/100*XLOOKUP(XLOOKUP(C187,Portions!$A:$A,Portions!$B:$B),FoodItems!$A:$A,FoodItems!$E:$E))</f>
        <v/>
      </c>
    </row>
    <row r="188">
      <c r="E188">
        <f>IF(C188="","",D188*XLOOKUP(C188,Portions!$A:$A,Portions!$D:$D))</f>
        <v/>
      </c>
      <c r="F188">
        <f>IF(E188="","",E188/100*XLOOKUP(XLOOKUP(C188,Portions!$A:$A,Portions!$B:$B),FoodItems!$A:$A,FoodItems!$B:$B))</f>
        <v/>
      </c>
      <c r="G188">
        <f>IF(E188="","",E188/100*XLOOKUP(XLOOKUP(C188,Portions!$A:$A,Portions!$B:$B),FoodItems!$A:$A,FoodItems!$C:$C))</f>
        <v/>
      </c>
      <c r="H188">
        <f>IF(E188="","",E188/100*XLOOKUP(XLOOKUP(C188,Portions!$A:$A,Portions!$B:$B),FoodItems!$A:$A,FoodItems!$D:$D))</f>
        <v/>
      </c>
      <c r="I188">
        <f>IF(E188="","",E188/100*XLOOKUP(XLOOKUP(C188,Portions!$A:$A,Portions!$B:$B),FoodItems!$A:$A,FoodItems!$E:$E))</f>
        <v/>
      </c>
    </row>
    <row r="189">
      <c r="E189">
        <f>IF(C189="","",D189*XLOOKUP(C189,Portions!$A:$A,Portions!$D:$D))</f>
        <v/>
      </c>
      <c r="F189">
        <f>IF(E189="","",E189/100*XLOOKUP(XLOOKUP(C189,Portions!$A:$A,Portions!$B:$B),FoodItems!$A:$A,FoodItems!$B:$B))</f>
        <v/>
      </c>
      <c r="G189">
        <f>IF(E189="","",E189/100*XLOOKUP(XLOOKUP(C189,Portions!$A:$A,Portions!$B:$B),FoodItems!$A:$A,FoodItems!$C:$C))</f>
        <v/>
      </c>
      <c r="H189">
        <f>IF(E189="","",E189/100*XLOOKUP(XLOOKUP(C189,Portions!$A:$A,Portions!$B:$B),FoodItems!$A:$A,FoodItems!$D:$D))</f>
        <v/>
      </c>
      <c r="I189">
        <f>IF(E189="","",E189/100*XLOOKUP(XLOOKUP(C189,Portions!$A:$A,Portions!$B:$B),FoodItems!$A:$A,FoodItems!$E:$E))</f>
        <v/>
      </c>
    </row>
    <row r="190">
      <c r="E190">
        <f>IF(C190="","",D190*XLOOKUP(C190,Portions!$A:$A,Portions!$D:$D))</f>
        <v/>
      </c>
      <c r="F190">
        <f>IF(E190="","",E190/100*XLOOKUP(XLOOKUP(C190,Portions!$A:$A,Portions!$B:$B),FoodItems!$A:$A,FoodItems!$B:$B))</f>
        <v/>
      </c>
      <c r="G190">
        <f>IF(E190="","",E190/100*XLOOKUP(XLOOKUP(C190,Portions!$A:$A,Portions!$B:$B),FoodItems!$A:$A,FoodItems!$C:$C))</f>
        <v/>
      </c>
      <c r="H190">
        <f>IF(E190="","",E190/100*XLOOKUP(XLOOKUP(C190,Portions!$A:$A,Portions!$B:$B),FoodItems!$A:$A,FoodItems!$D:$D))</f>
        <v/>
      </c>
      <c r="I190">
        <f>IF(E190="","",E190/100*XLOOKUP(XLOOKUP(C190,Portions!$A:$A,Portions!$B:$B),FoodItems!$A:$A,FoodItems!$E:$E))</f>
        <v/>
      </c>
    </row>
    <row r="191">
      <c r="E191">
        <f>IF(C191="","",D191*XLOOKUP(C191,Portions!$A:$A,Portions!$D:$D))</f>
        <v/>
      </c>
      <c r="F191">
        <f>IF(E191="","",E191/100*XLOOKUP(XLOOKUP(C191,Portions!$A:$A,Portions!$B:$B),FoodItems!$A:$A,FoodItems!$B:$B))</f>
        <v/>
      </c>
      <c r="G191">
        <f>IF(E191="","",E191/100*XLOOKUP(XLOOKUP(C191,Portions!$A:$A,Portions!$B:$B),FoodItems!$A:$A,FoodItems!$C:$C))</f>
        <v/>
      </c>
      <c r="H191">
        <f>IF(E191="","",E191/100*XLOOKUP(XLOOKUP(C191,Portions!$A:$A,Portions!$B:$B),FoodItems!$A:$A,FoodItems!$D:$D))</f>
        <v/>
      </c>
      <c r="I191">
        <f>IF(E191="","",E191/100*XLOOKUP(XLOOKUP(C191,Portions!$A:$A,Portions!$B:$B),FoodItems!$A:$A,FoodItems!$E:$E))</f>
        <v/>
      </c>
    </row>
    <row r="192">
      <c r="E192">
        <f>IF(C192="","",D192*XLOOKUP(C192,Portions!$A:$A,Portions!$D:$D))</f>
        <v/>
      </c>
      <c r="F192">
        <f>IF(E192="","",E192/100*XLOOKUP(XLOOKUP(C192,Portions!$A:$A,Portions!$B:$B),FoodItems!$A:$A,FoodItems!$B:$B))</f>
        <v/>
      </c>
      <c r="G192">
        <f>IF(E192="","",E192/100*XLOOKUP(XLOOKUP(C192,Portions!$A:$A,Portions!$B:$B),FoodItems!$A:$A,FoodItems!$C:$C))</f>
        <v/>
      </c>
      <c r="H192">
        <f>IF(E192="","",E192/100*XLOOKUP(XLOOKUP(C192,Portions!$A:$A,Portions!$B:$B),FoodItems!$A:$A,FoodItems!$D:$D))</f>
        <v/>
      </c>
      <c r="I192">
        <f>IF(E192="","",E192/100*XLOOKUP(XLOOKUP(C192,Portions!$A:$A,Portions!$B:$B),FoodItems!$A:$A,FoodItems!$E:$E))</f>
        <v/>
      </c>
    </row>
    <row r="193">
      <c r="E193">
        <f>IF(C193="","",D193*XLOOKUP(C193,Portions!$A:$A,Portions!$D:$D))</f>
        <v/>
      </c>
      <c r="F193">
        <f>IF(E193="","",E193/100*XLOOKUP(XLOOKUP(C193,Portions!$A:$A,Portions!$B:$B),FoodItems!$A:$A,FoodItems!$B:$B))</f>
        <v/>
      </c>
      <c r="G193">
        <f>IF(E193="","",E193/100*XLOOKUP(XLOOKUP(C193,Portions!$A:$A,Portions!$B:$B),FoodItems!$A:$A,FoodItems!$C:$C))</f>
        <v/>
      </c>
      <c r="H193">
        <f>IF(E193="","",E193/100*XLOOKUP(XLOOKUP(C193,Portions!$A:$A,Portions!$B:$B),FoodItems!$A:$A,FoodItems!$D:$D))</f>
        <v/>
      </c>
      <c r="I193">
        <f>IF(E193="","",E193/100*XLOOKUP(XLOOKUP(C193,Portions!$A:$A,Portions!$B:$B),FoodItems!$A:$A,FoodItems!$E:$E))</f>
        <v/>
      </c>
    </row>
    <row r="194">
      <c r="E194">
        <f>IF(C194="","",D194*XLOOKUP(C194,Portions!$A:$A,Portions!$D:$D))</f>
        <v/>
      </c>
      <c r="F194">
        <f>IF(E194="","",E194/100*XLOOKUP(XLOOKUP(C194,Portions!$A:$A,Portions!$B:$B),FoodItems!$A:$A,FoodItems!$B:$B))</f>
        <v/>
      </c>
      <c r="G194">
        <f>IF(E194="","",E194/100*XLOOKUP(XLOOKUP(C194,Portions!$A:$A,Portions!$B:$B),FoodItems!$A:$A,FoodItems!$C:$C))</f>
        <v/>
      </c>
      <c r="H194">
        <f>IF(E194="","",E194/100*XLOOKUP(XLOOKUP(C194,Portions!$A:$A,Portions!$B:$B),FoodItems!$A:$A,FoodItems!$D:$D))</f>
        <v/>
      </c>
      <c r="I194">
        <f>IF(E194="","",E194/100*XLOOKUP(XLOOKUP(C194,Portions!$A:$A,Portions!$B:$B),FoodItems!$A:$A,FoodItems!$E:$E))</f>
        <v/>
      </c>
    </row>
    <row r="195">
      <c r="E195">
        <f>IF(C195="","",D195*XLOOKUP(C195,Portions!$A:$A,Portions!$D:$D))</f>
        <v/>
      </c>
      <c r="F195">
        <f>IF(E195="","",E195/100*XLOOKUP(XLOOKUP(C195,Portions!$A:$A,Portions!$B:$B),FoodItems!$A:$A,FoodItems!$B:$B))</f>
        <v/>
      </c>
      <c r="G195">
        <f>IF(E195="","",E195/100*XLOOKUP(XLOOKUP(C195,Portions!$A:$A,Portions!$B:$B),FoodItems!$A:$A,FoodItems!$C:$C))</f>
        <v/>
      </c>
      <c r="H195">
        <f>IF(E195="","",E195/100*XLOOKUP(XLOOKUP(C195,Portions!$A:$A,Portions!$B:$B),FoodItems!$A:$A,FoodItems!$D:$D))</f>
        <v/>
      </c>
      <c r="I195">
        <f>IF(E195="","",E195/100*XLOOKUP(XLOOKUP(C195,Portions!$A:$A,Portions!$B:$B),FoodItems!$A:$A,FoodItems!$E:$E))</f>
        <v/>
      </c>
    </row>
    <row r="196">
      <c r="E196">
        <f>IF(C196="","",D196*XLOOKUP(C196,Portions!$A:$A,Portions!$D:$D))</f>
        <v/>
      </c>
      <c r="F196">
        <f>IF(E196="","",E196/100*XLOOKUP(XLOOKUP(C196,Portions!$A:$A,Portions!$B:$B),FoodItems!$A:$A,FoodItems!$B:$B))</f>
        <v/>
      </c>
      <c r="G196">
        <f>IF(E196="","",E196/100*XLOOKUP(XLOOKUP(C196,Portions!$A:$A,Portions!$B:$B),FoodItems!$A:$A,FoodItems!$C:$C))</f>
        <v/>
      </c>
      <c r="H196">
        <f>IF(E196="","",E196/100*XLOOKUP(XLOOKUP(C196,Portions!$A:$A,Portions!$B:$B),FoodItems!$A:$A,FoodItems!$D:$D))</f>
        <v/>
      </c>
      <c r="I196">
        <f>IF(E196="","",E196/100*XLOOKUP(XLOOKUP(C196,Portions!$A:$A,Portions!$B:$B),FoodItems!$A:$A,FoodItems!$E:$E))</f>
        <v/>
      </c>
    </row>
    <row r="197">
      <c r="E197">
        <f>IF(C197="","",D197*XLOOKUP(C197,Portions!$A:$A,Portions!$D:$D))</f>
        <v/>
      </c>
      <c r="F197">
        <f>IF(E197="","",E197/100*XLOOKUP(XLOOKUP(C197,Portions!$A:$A,Portions!$B:$B),FoodItems!$A:$A,FoodItems!$B:$B))</f>
        <v/>
      </c>
      <c r="G197">
        <f>IF(E197="","",E197/100*XLOOKUP(XLOOKUP(C197,Portions!$A:$A,Portions!$B:$B),FoodItems!$A:$A,FoodItems!$C:$C))</f>
        <v/>
      </c>
      <c r="H197">
        <f>IF(E197="","",E197/100*XLOOKUP(XLOOKUP(C197,Portions!$A:$A,Portions!$B:$B),FoodItems!$A:$A,FoodItems!$D:$D))</f>
        <v/>
      </c>
      <c r="I197">
        <f>IF(E197="","",E197/100*XLOOKUP(XLOOKUP(C197,Portions!$A:$A,Portions!$B:$B),FoodItems!$A:$A,FoodItems!$E:$E))</f>
        <v/>
      </c>
    </row>
    <row r="198">
      <c r="E198">
        <f>IF(C198="","",D198*XLOOKUP(C198,Portions!$A:$A,Portions!$D:$D))</f>
        <v/>
      </c>
      <c r="F198">
        <f>IF(E198="","",E198/100*XLOOKUP(XLOOKUP(C198,Portions!$A:$A,Portions!$B:$B),FoodItems!$A:$A,FoodItems!$B:$B))</f>
        <v/>
      </c>
      <c r="G198">
        <f>IF(E198="","",E198/100*XLOOKUP(XLOOKUP(C198,Portions!$A:$A,Portions!$B:$B),FoodItems!$A:$A,FoodItems!$C:$C))</f>
        <v/>
      </c>
      <c r="H198">
        <f>IF(E198="","",E198/100*XLOOKUP(XLOOKUP(C198,Portions!$A:$A,Portions!$B:$B),FoodItems!$A:$A,FoodItems!$D:$D))</f>
        <v/>
      </c>
      <c r="I198">
        <f>IF(E198="","",E198/100*XLOOKUP(XLOOKUP(C198,Portions!$A:$A,Portions!$B:$B),FoodItems!$A:$A,FoodItems!$E:$E))</f>
        <v/>
      </c>
    </row>
    <row r="199">
      <c r="E199">
        <f>IF(C199="","",D199*XLOOKUP(C199,Portions!$A:$A,Portions!$D:$D))</f>
        <v/>
      </c>
      <c r="F199">
        <f>IF(E199="","",E199/100*XLOOKUP(XLOOKUP(C199,Portions!$A:$A,Portions!$B:$B),FoodItems!$A:$A,FoodItems!$B:$B))</f>
        <v/>
      </c>
      <c r="G199">
        <f>IF(E199="","",E199/100*XLOOKUP(XLOOKUP(C199,Portions!$A:$A,Portions!$B:$B),FoodItems!$A:$A,FoodItems!$C:$C))</f>
        <v/>
      </c>
      <c r="H199">
        <f>IF(E199="","",E199/100*XLOOKUP(XLOOKUP(C199,Portions!$A:$A,Portions!$B:$B),FoodItems!$A:$A,FoodItems!$D:$D))</f>
        <v/>
      </c>
      <c r="I199">
        <f>IF(E199="","",E199/100*XLOOKUP(XLOOKUP(C199,Portions!$A:$A,Portions!$B:$B),FoodItems!$A:$A,FoodItems!$E:$E))</f>
        <v/>
      </c>
    </row>
    <row r="200">
      <c r="E200">
        <f>IF(C200="","",D200*XLOOKUP(C200,Portions!$A:$A,Portions!$D:$D))</f>
        <v/>
      </c>
      <c r="F200">
        <f>IF(E200="","",E200/100*XLOOKUP(XLOOKUP(C200,Portions!$A:$A,Portions!$B:$B),FoodItems!$A:$A,FoodItems!$B:$B))</f>
        <v/>
      </c>
      <c r="G200">
        <f>IF(E200="","",E200/100*XLOOKUP(XLOOKUP(C200,Portions!$A:$A,Portions!$B:$B),FoodItems!$A:$A,FoodItems!$C:$C))</f>
        <v/>
      </c>
      <c r="H200">
        <f>IF(E200="","",E200/100*XLOOKUP(XLOOKUP(C200,Portions!$A:$A,Portions!$B:$B),FoodItems!$A:$A,FoodItems!$D:$D))</f>
        <v/>
      </c>
      <c r="I200">
        <f>IF(E200="","",E200/100*XLOOKUP(XLOOKUP(C200,Portions!$A:$A,Portions!$B:$B),FoodItems!$A:$A,FoodItems!$E:$E))</f>
        <v/>
      </c>
    </row>
    <row r="201">
      <c r="E201">
        <f>IF(C201="","",D201*XLOOKUP(C201,Portions!$A:$A,Portions!$D:$D))</f>
        <v/>
      </c>
      <c r="F201">
        <f>IF(E201="","",E201/100*XLOOKUP(XLOOKUP(C201,Portions!$A:$A,Portions!$B:$B),FoodItems!$A:$A,FoodItems!$B:$B))</f>
        <v/>
      </c>
      <c r="G201">
        <f>IF(E201="","",E201/100*XLOOKUP(XLOOKUP(C201,Portions!$A:$A,Portions!$B:$B),FoodItems!$A:$A,FoodItems!$C:$C))</f>
        <v/>
      </c>
      <c r="H201">
        <f>IF(E201="","",E201/100*XLOOKUP(XLOOKUP(C201,Portions!$A:$A,Portions!$B:$B),FoodItems!$A:$A,FoodItems!$D:$D))</f>
        <v/>
      </c>
      <c r="I201">
        <f>IF(E201="","",E201/100*XLOOKUP(XLOOKUP(C201,Portions!$A:$A,Portions!$B:$B),FoodItems!$A:$A,FoodItems!$E:$E))</f>
        <v/>
      </c>
    </row>
    <row r="202">
      <c r="E202">
        <f>IF(C202="","",D202*XLOOKUP(C202,Portions!$A:$A,Portions!$D:$D))</f>
        <v/>
      </c>
      <c r="F202">
        <f>IF(E202="","",E202/100*XLOOKUP(XLOOKUP(C202,Portions!$A:$A,Portions!$B:$B),FoodItems!$A:$A,FoodItems!$B:$B))</f>
        <v/>
      </c>
      <c r="G202">
        <f>IF(E202="","",E202/100*XLOOKUP(XLOOKUP(C202,Portions!$A:$A,Portions!$B:$B),FoodItems!$A:$A,FoodItems!$C:$C))</f>
        <v/>
      </c>
      <c r="H202">
        <f>IF(E202="","",E202/100*XLOOKUP(XLOOKUP(C202,Portions!$A:$A,Portions!$B:$B),FoodItems!$A:$A,FoodItems!$D:$D))</f>
        <v/>
      </c>
      <c r="I202">
        <f>IF(E202="","",E202/100*XLOOKUP(XLOOKUP(C202,Portions!$A:$A,Portions!$B:$B),FoodItems!$A:$A,FoodItems!$E:$E))</f>
        <v/>
      </c>
    </row>
    <row r="203">
      <c r="E203">
        <f>IF(C203="","",D203*XLOOKUP(C203,Portions!$A:$A,Portions!$D:$D))</f>
        <v/>
      </c>
      <c r="F203">
        <f>IF(E203="","",E203/100*XLOOKUP(XLOOKUP(C203,Portions!$A:$A,Portions!$B:$B),FoodItems!$A:$A,FoodItems!$B:$B))</f>
        <v/>
      </c>
      <c r="G203">
        <f>IF(E203="","",E203/100*XLOOKUP(XLOOKUP(C203,Portions!$A:$A,Portions!$B:$B),FoodItems!$A:$A,FoodItems!$C:$C))</f>
        <v/>
      </c>
      <c r="H203">
        <f>IF(E203="","",E203/100*XLOOKUP(XLOOKUP(C203,Portions!$A:$A,Portions!$B:$B),FoodItems!$A:$A,FoodItems!$D:$D))</f>
        <v/>
      </c>
      <c r="I203">
        <f>IF(E203="","",E203/100*XLOOKUP(XLOOKUP(C203,Portions!$A:$A,Portions!$B:$B),FoodItems!$A:$A,FoodItems!$E:$E))</f>
        <v/>
      </c>
    </row>
    <row r="204">
      <c r="E204">
        <f>IF(C204="","",D204*XLOOKUP(C204,Portions!$A:$A,Portions!$D:$D))</f>
        <v/>
      </c>
      <c r="F204">
        <f>IF(E204="","",E204/100*XLOOKUP(XLOOKUP(C204,Portions!$A:$A,Portions!$B:$B),FoodItems!$A:$A,FoodItems!$B:$B))</f>
        <v/>
      </c>
      <c r="G204">
        <f>IF(E204="","",E204/100*XLOOKUP(XLOOKUP(C204,Portions!$A:$A,Portions!$B:$B),FoodItems!$A:$A,FoodItems!$C:$C))</f>
        <v/>
      </c>
      <c r="H204">
        <f>IF(E204="","",E204/100*XLOOKUP(XLOOKUP(C204,Portions!$A:$A,Portions!$B:$B),FoodItems!$A:$A,FoodItems!$D:$D))</f>
        <v/>
      </c>
      <c r="I204">
        <f>IF(E204="","",E204/100*XLOOKUP(XLOOKUP(C204,Portions!$A:$A,Portions!$B:$B),FoodItems!$A:$A,FoodItems!$E:$E))</f>
        <v/>
      </c>
    </row>
    <row r="205">
      <c r="E205">
        <f>IF(C205="","",D205*XLOOKUP(C205,Portions!$A:$A,Portions!$D:$D))</f>
        <v/>
      </c>
      <c r="F205">
        <f>IF(E205="","",E205/100*XLOOKUP(XLOOKUP(C205,Portions!$A:$A,Portions!$B:$B),FoodItems!$A:$A,FoodItems!$B:$B))</f>
        <v/>
      </c>
      <c r="G205">
        <f>IF(E205="","",E205/100*XLOOKUP(XLOOKUP(C205,Portions!$A:$A,Portions!$B:$B),FoodItems!$A:$A,FoodItems!$C:$C))</f>
        <v/>
      </c>
      <c r="H205">
        <f>IF(E205="","",E205/100*XLOOKUP(XLOOKUP(C205,Portions!$A:$A,Portions!$B:$B),FoodItems!$A:$A,FoodItems!$D:$D))</f>
        <v/>
      </c>
      <c r="I205">
        <f>IF(E205="","",E205/100*XLOOKUP(XLOOKUP(C205,Portions!$A:$A,Portions!$B:$B),FoodItems!$A:$A,FoodItems!$E:$E))</f>
        <v/>
      </c>
    </row>
    <row r="206">
      <c r="E206">
        <f>IF(C206="","",D206*XLOOKUP(C206,Portions!$A:$A,Portions!$D:$D))</f>
        <v/>
      </c>
      <c r="F206">
        <f>IF(E206="","",E206/100*XLOOKUP(XLOOKUP(C206,Portions!$A:$A,Portions!$B:$B),FoodItems!$A:$A,FoodItems!$B:$B))</f>
        <v/>
      </c>
      <c r="G206">
        <f>IF(E206="","",E206/100*XLOOKUP(XLOOKUP(C206,Portions!$A:$A,Portions!$B:$B),FoodItems!$A:$A,FoodItems!$C:$C))</f>
        <v/>
      </c>
      <c r="H206">
        <f>IF(E206="","",E206/100*XLOOKUP(XLOOKUP(C206,Portions!$A:$A,Portions!$B:$B),FoodItems!$A:$A,FoodItems!$D:$D))</f>
        <v/>
      </c>
      <c r="I206">
        <f>IF(E206="","",E206/100*XLOOKUP(XLOOKUP(C206,Portions!$A:$A,Portions!$B:$B),FoodItems!$A:$A,FoodItems!$E:$E))</f>
        <v/>
      </c>
    </row>
    <row r="207">
      <c r="E207">
        <f>IF(C207="","",D207*XLOOKUP(C207,Portions!$A:$A,Portions!$D:$D))</f>
        <v/>
      </c>
      <c r="F207">
        <f>IF(E207="","",E207/100*XLOOKUP(XLOOKUP(C207,Portions!$A:$A,Portions!$B:$B),FoodItems!$A:$A,FoodItems!$B:$B))</f>
        <v/>
      </c>
      <c r="G207">
        <f>IF(E207="","",E207/100*XLOOKUP(XLOOKUP(C207,Portions!$A:$A,Portions!$B:$B),FoodItems!$A:$A,FoodItems!$C:$C))</f>
        <v/>
      </c>
      <c r="H207">
        <f>IF(E207="","",E207/100*XLOOKUP(XLOOKUP(C207,Portions!$A:$A,Portions!$B:$B),FoodItems!$A:$A,FoodItems!$D:$D))</f>
        <v/>
      </c>
      <c r="I207">
        <f>IF(E207="","",E207/100*XLOOKUP(XLOOKUP(C207,Portions!$A:$A,Portions!$B:$B),FoodItems!$A:$A,FoodItems!$E:$E))</f>
        <v/>
      </c>
    </row>
    <row r="208">
      <c r="E208">
        <f>IF(C208="","",D208*XLOOKUP(C208,Portions!$A:$A,Portions!$D:$D))</f>
        <v/>
      </c>
      <c r="F208">
        <f>IF(E208="","",E208/100*XLOOKUP(XLOOKUP(C208,Portions!$A:$A,Portions!$B:$B),FoodItems!$A:$A,FoodItems!$B:$B))</f>
        <v/>
      </c>
      <c r="G208">
        <f>IF(E208="","",E208/100*XLOOKUP(XLOOKUP(C208,Portions!$A:$A,Portions!$B:$B),FoodItems!$A:$A,FoodItems!$C:$C))</f>
        <v/>
      </c>
      <c r="H208">
        <f>IF(E208="","",E208/100*XLOOKUP(XLOOKUP(C208,Portions!$A:$A,Portions!$B:$B),FoodItems!$A:$A,FoodItems!$D:$D))</f>
        <v/>
      </c>
      <c r="I208">
        <f>IF(E208="","",E208/100*XLOOKUP(XLOOKUP(C208,Portions!$A:$A,Portions!$B:$B),FoodItems!$A:$A,FoodItems!$E:$E))</f>
        <v/>
      </c>
    </row>
    <row r="209">
      <c r="E209">
        <f>IF(C209="","",D209*XLOOKUP(C209,Portions!$A:$A,Portions!$D:$D))</f>
        <v/>
      </c>
      <c r="F209">
        <f>IF(E209="","",E209/100*XLOOKUP(XLOOKUP(C209,Portions!$A:$A,Portions!$B:$B),FoodItems!$A:$A,FoodItems!$B:$B))</f>
        <v/>
      </c>
      <c r="G209">
        <f>IF(E209="","",E209/100*XLOOKUP(XLOOKUP(C209,Portions!$A:$A,Portions!$B:$B),FoodItems!$A:$A,FoodItems!$C:$C))</f>
        <v/>
      </c>
      <c r="H209">
        <f>IF(E209="","",E209/100*XLOOKUP(XLOOKUP(C209,Portions!$A:$A,Portions!$B:$B),FoodItems!$A:$A,FoodItems!$D:$D))</f>
        <v/>
      </c>
      <c r="I209">
        <f>IF(E209="","",E209/100*XLOOKUP(XLOOKUP(C209,Portions!$A:$A,Portions!$B:$B),FoodItems!$A:$A,FoodItems!$E:$E))</f>
        <v/>
      </c>
    </row>
    <row r="210">
      <c r="E210">
        <f>IF(C210="","",D210*XLOOKUP(C210,Portions!$A:$A,Portions!$D:$D))</f>
        <v/>
      </c>
      <c r="F210">
        <f>IF(E210="","",E210/100*XLOOKUP(XLOOKUP(C210,Portions!$A:$A,Portions!$B:$B),FoodItems!$A:$A,FoodItems!$B:$B))</f>
        <v/>
      </c>
      <c r="G210">
        <f>IF(E210="","",E210/100*XLOOKUP(XLOOKUP(C210,Portions!$A:$A,Portions!$B:$B),FoodItems!$A:$A,FoodItems!$C:$C))</f>
        <v/>
      </c>
      <c r="H210">
        <f>IF(E210="","",E210/100*XLOOKUP(XLOOKUP(C210,Portions!$A:$A,Portions!$B:$B),FoodItems!$A:$A,FoodItems!$D:$D))</f>
        <v/>
      </c>
      <c r="I210">
        <f>IF(E210="","",E210/100*XLOOKUP(XLOOKUP(C210,Portions!$A:$A,Portions!$B:$B),FoodItems!$A:$A,FoodItems!$E:$E))</f>
        <v/>
      </c>
    </row>
    <row r="211">
      <c r="E211">
        <f>IF(C211="","",D211*XLOOKUP(C211,Portions!$A:$A,Portions!$D:$D))</f>
        <v/>
      </c>
      <c r="F211">
        <f>IF(E211="","",E211/100*XLOOKUP(XLOOKUP(C211,Portions!$A:$A,Portions!$B:$B),FoodItems!$A:$A,FoodItems!$B:$B))</f>
        <v/>
      </c>
      <c r="G211">
        <f>IF(E211="","",E211/100*XLOOKUP(XLOOKUP(C211,Portions!$A:$A,Portions!$B:$B),FoodItems!$A:$A,FoodItems!$C:$C))</f>
        <v/>
      </c>
      <c r="H211">
        <f>IF(E211="","",E211/100*XLOOKUP(XLOOKUP(C211,Portions!$A:$A,Portions!$B:$B),FoodItems!$A:$A,FoodItems!$D:$D))</f>
        <v/>
      </c>
      <c r="I211">
        <f>IF(E211="","",E211/100*XLOOKUP(XLOOKUP(C211,Portions!$A:$A,Portions!$B:$B),FoodItems!$A:$A,FoodItems!$E:$E))</f>
        <v/>
      </c>
    </row>
    <row r="212">
      <c r="E212">
        <f>IF(C212="","",D212*XLOOKUP(C212,Portions!$A:$A,Portions!$D:$D))</f>
        <v/>
      </c>
      <c r="F212">
        <f>IF(E212="","",E212/100*XLOOKUP(XLOOKUP(C212,Portions!$A:$A,Portions!$B:$B),FoodItems!$A:$A,FoodItems!$B:$B))</f>
        <v/>
      </c>
      <c r="G212">
        <f>IF(E212="","",E212/100*XLOOKUP(XLOOKUP(C212,Portions!$A:$A,Portions!$B:$B),FoodItems!$A:$A,FoodItems!$C:$C))</f>
        <v/>
      </c>
      <c r="H212">
        <f>IF(E212="","",E212/100*XLOOKUP(XLOOKUP(C212,Portions!$A:$A,Portions!$B:$B),FoodItems!$A:$A,FoodItems!$D:$D))</f>
        <v/>
      </c>
      <c r="I212">
        <f>IF(E212="","",E212/100*XLOOKUP(XLOOKUP(C212,Portions!$A:$A,Portions!$B:$B),FoodItems!$A:$A,FoodItems!$E:$E))</f>
        <v/>
      </c>
    </row>
    <row r="213">
      <c r="E213">
        <f>IF(C213="","",D213*XLOOKUP(C213,Portions!$A:$A,Portions!$D:$D))</f>
        <v/>
      </c>
      <c r="F213">
        <f>IF(E213="","",E213/100*XLOOKUP(XLOOKUP(C213,Portions!$A:$A,Portions!$B:$B),FoodItems!$A:$A,FoodItems!$B:$B))</f>
        <v/>
      </c>
      <c r="G213">
        <f>IF(E213="","",E213/100*XLOOKUP(XLOOKUP(C213,Portions!$A:$A,Portions!$B:$B),FoodItems!$A:$A,FoodItems!$C:$C))</f>
        <v/>
      </c>
      <c r="H213">
        <f>IF(E213="","",E213/100*XLOOKUP(XLOOKUP(C213,Portions!$A:$A,Portions!$B:$B),FoodItems!$A:$A,FoodItems!$D:$D))</f>
        <v/>
      </c>
      <c r="I213">
        <f>IF(E213="","",E213/100*XLOOKUP(XLOOKUP(C213,Portions!$A:$A,Portions!$B:$B),FoodItems!$A:$A,FoodItems!$E:$E))</f>
        <v/>
      </c>
    </row>
    <row r="214">
      <c r="E214">
        <f>IF(C214="","",D214*XLOOKUP(C214,Portions!$A:$A,Portions!$D:$D))</f>
        <v/>
      </c>
      <c r="F214">
        <f>IF(E214="","",E214/100*XLOOKUP(XLOOKUP(C214,Portions!$A:$A,Portions!$B:$B),FoodItems!$A:$A,FoodItems!$B:$B))</f>
        <v/>
      </c>
      <c r="G214">
        <f>IF(E214="","",E214/100*XLOOKUP(XLOOKUP(C214,Portions!$A:$A,Portions!$B:$B),FoodItems!$A:$A,FoodItems!$C:$C))</f>
        <v/>
      </c>
      <c r="H214">
        <f>IF(E214="","",E214/100*XLOOKUP(XLOOKUP(C214,Portions!$A:$A,Portions!$B:$B),FoodItems!$A:$A,FoodItems!$D:$D))</f>
        <v/>
      </c>
      <c r="I214">
        <f>IF(E214="","",E214/100*XLOOKUP(XLOOKUP(C214,Portions!$A:$A,Portions!$B:$B),FoodItems!$A:$A,FoodItems!$E:$E))</f>
        <v/>
      </c>
    </row>
    <row r="215">
      <c r="E215">
        <f>IF(C215="","",D215*XLOOKUP(C215,Portions!$A:$A,Portions!$D:$D))</f>
        <v/>
      </c>
      <c r="F215">
        <f>IF(E215="","",E215/100*XLOOKUP(XLOOKUP(C215,Portions!$A:$A,Portions!$B:$B),FoodItems!$A:$A,FoodItems!$B:$B))</f>
        <v/>
      </c>
      <c r="G215">
        <f>IF(E215="","",E215/100*XLOOKUP(XLOOKUP(C215,Portions!$A:$A,Portions!$B:$B),FoodItems!$A:$A,FoodItems!$C:$C))</f>
        <v/>
      </c>
      <c r="H215">
        <f>IF(E215="","",E215/100*XLOOKUP(XLOOKUP(C215,Portions!$A:$A,Portions!$B:$B),FoodItems!$A:$A,FoodItems!$D:$D))</f>
        <v/>
      </c>
      <c r="I215">
        <f>IF(E215="","",E215/100*XLOOKUP(XLOOKUP(C215,Portions!$A:$A,Portions!$B:$B),FoodItems!$A:$A,FoodItems!$E:$E))</f>
        <v/>
      </c>
    </row>
    <row r="216">
      <c r="E216">
        <f>IF(C216="","",D216*XLOOKUP(C216,Portions!$A:$A,Portions!$D:$D))</f>
        <v/>
      </c>
      <c r="F216">
        <f>IF(E216="","",E216/100*XLOOKUP(XLOOKUP(C216,Portions!$A:$A,Portions!$B:$B),FoodItems!$A:$A,FoodItems!$B:$B))</f>
        <v/>
      </c>
      <c r="G216">
        <f>IF(E216="","",E216/100*XLOOKUP(XLOOKUP(C216,Portions!$A:$A,Portions!$B:$B),FoodItems!$A:$A,FoodItems!$C:$C))</f>
        <v/>
      </c>
      <c r="H216">
        <f>IF(E216="","",E216/100*XLOOKUP(XLOOKUP(C216,Portions!$A:$A,Portions!$B:$B),FoodItems!$A:$A,FoodItems!$D:$D))</f>
        <v/>
      </c>
      <c r="I216">
        <f>IF(E216="","",E216/100*XLOOKUP(XLOOKUP(C216,Portions!$A:$A,Portions!$B:$B),FoodItems!$A:$A,FoodItems!$E:$E))</f>
        <v/>
      </c>
    </row>
    <row r="217">
      <c r="E217">
        <f>IF(C217="","",D217*XLOOKUP(C217,Portions!$A:$A,Portions!$D:$D))</f>
        <v/>
      </c>
      <c r="F217">
        <f>IF(E217="","",E217/100*XLOOKUP(XLOOKUP(C217,Portions!$A:$A,Portions!$B:$B),FoodItems!$A:$A,FoodItems!$B:$B))</f>
        <v/>
      </c>
      <c r="G217">
        <f>IF(E217="","",E217/100*XLOOKUP(XLOOKUP(C217,Portions!$A:$A,Portions!$B:$B),FoodItems!$A:$A,FoodItems!$C:$C))</f>
        <v/>
      </c>
      <c r="H217">
        <f>IF(E217="","",E217/100*XLOOKUP(XLOOKUP(C217,Portions!$A:$A,Portions!$B:$B),FoodItems!$A:$A,FoodItems!$D:$D))</f>
        <v/>
      </c>
      <c r="I217">
        <f>IF(E217="","",E217/100*XLOOKUP(XLOOKUP(C217,Portions!$A:$A,Portions!$B:$B),FoodItems!$A:$A,FoodItems!$E:$E))</f>
        <v/>
      </c>
    </row>
    <row r="218">
      <c r="E218">
        <f>IF(C218="","",D218*XLOOKUP(C218,Portions!$A:$A,Portions!$D:$D))</f>
        <v/>
      </c>
      <c r="F218">
        <f>IF(E218="","",E218/100*XLOOKUP(XLOOKUP(C218,Portions!$A:$A,Portions!$B:$B),FoodItems!$A:$A,FoodItems!$B:$B))</f>
        <v/>
      </c>
      <c r="G218">
        <f>IF(E218="","",E218/100*XLOOKUP(XLOOKUP(C218,Portions!$A:$A,Portions!$B:$B),FoodItems!$A:$A,FoodItems!$C:$C))</f>
        <v/>
      </c>
      <c r="H218">
        <f>IF(E218="","",E218/100*XLOOKUP(XLOOKUP(C218,Portions!$A:$A,Portions!$B:$B),FoodItems!$A:$A,FoodItems!$D:$D))</f>
        <v/>
      </c>
      <c r="I218">
        <f>IF(E218="","",E218/100*XLOOKUP(XLOOKUP(C218,Portions!$A:$A,Portions!$B:$B),FoodItems!$A:$A,FoodItems!$E:$E))</f>
        <v/>
      </c>
    </row>
    <row r="219">
      <c r="E219">
        <f>IF(C219="","",D219*XLOOKUP(C219,Portions!$A:$A,Portions!$D:$D))</f>
        <v/>
      </c>
      <c r="F219">
        <f>IF(E219="","",E219/100*XLOOKUP(XLOOKUP(C219,Portions!$A:$A,Portions!$B:$B),FoodItems!$A:$A,FoodItems!$B:$B))</f>
        <v/>
      </c>
      <c r="G219">
        <f>IF(E219="","",E219/100*XLOOKUP(XLOOKUP(C219,Portions!$A:$A,Portions!$B:$B),FoodItems!$A:$A,FoodItems!$C:$C))</f>
        <v/>
      </c>
      <c r="H219">
        <f>IF(E219="","",E219/100*XLOOKUP(XLOOKUP(C219,Portions!$A:$A,Portions!$B:$B),FoodItems!$A:$A,FoodItems!$D:$D))</f>
        <v/>
      </c>
      <c r="I219">
        <f>IF(E219="","",E219/100*XLOOKUP(XLOOKUP(C219,Portions!$A:$A,Portions!$B:$B),FoodItems!$A:$A,FoodItems!$E:$E))</f>
        <v/>
      </c>
    </row>
    <row r="220">
      <c r="E220">
        <f>IF(C220="","",D220*XLOOKUP(C220,Portions!$A:$A,Portions!$D:$D))</f>
        <v/>
      </c>
      <c r="F220">
        <f>IF(E220="","",E220/100*XLOOKUP(XLOOKUP(C220,Portions!$A:$A,Portions!$B:$B),FoodItems!$A:$A,FoodItems!$B:$B))</f>
        <v/>
      </c>
      <c r="G220">
        <f>IF(E220="","",E220/100*XLOOKUP(XLOOKUP(C220,Portions!$A:$A,Portions!$B:$B),FoodItems!$A:$A,FoodItems!$C:$C))</f>
        <v/>
      </c>
      <c r="H220">
        <f>IF(E220="","",E220/100*XLOOKUP(XLOOKUP(C220,Portions!$A:$A,Portions!$B:$B),FoodItems!$A:$A,FoodItems!$D:$D))</f>
        <v/>
      </c>
      <c r="I220">
        <f>IF(E220="","",E220/100*XLOOKUP(XLOOKUP(C220,Portions!$A:$A,Portions!$B:$B),FoodItems!$A:$A,FoodItems!$E:$E))</f>
        <v/>
      </c>
    </row>
    <row r="221">
      <c r="E221">
        <f>IF(C221="","",D221*XLOOKUP(C221,Portions!$A:$A,Portions!$D:$D))</f>
        <v/>
      </c>
      <c r="F221">
        <f>IF(E221="","",E221/100*XLOOKUP(XLOOKUP(C221,Portions!$A:$A,Portions!$B:$B),FoodItems!$A:$A,FoodItems!$B:$B))</f>
        <v/>
      </c>
      <c r="G221">
        <f>IF(E221="","",E221/100*XLOOKUP(XLOOKUP(C221,Portions!$A:$A,Portions!$B:$B),FoodItems!$A:$A,FoodItems!$C:$C))</f>
        <v/>
      </c>
      <c r="H221">
        <f>IF(E221="","",E221/100*XLOOKUP(XLOOKUP(C221,Portions!$A:$A,Portions!$B:$B),FoodItems!$A:$A,FoodItems!$D:$D))</f>
        <v/>
      </c>
      <c r="I221">
        <f>IF(E221="","",E221/100*XLOOKUP(XLOOKUP(C221,Portions!$A:$A,Portions!$B:$B),FoodItems!$A:$A,FoodItems!$E:$E))</f>
        <v/>
      </c>
    </row>
    <row r="222">
      <c r="E222">
        <f>IF(C222="","",D222*XLOOKUP(C222,Portions!$A:$A,Portions!$D:$D))</f>
        <v/>
      </c>
      <c r="F222">
        <f>IF(E222="","",E222/100*XLOOKUP(XLOOKUP(C222,Portions!$A:$A,Portions!$B:$B),FoodItems!$A:$A,FoodItems!$B:$B))</f>
        <v/>
      </c>
      <c r="G222">
        <f>IF(E222="","",E222/100*XLOOKUP(XLOOKUP(C222,Portions!$A:$A,Portions!$B:$B),FoodItems!$A:$A,FoodItems!$C:$C))</f>
        <v/>
      </c>
      <c r="H222">
        <f>IF(E222="","",E222/100*XLOOKUP(XLOOKUP(C222,Portions!$A:$A,Portions!$B:$B),FoodItems!$A:$A,FoodItems!$D:$D))</f>
        <v/>
      </c>
      <c r="I222">
        <f>IF(E222="","",E222/100*XLOOKUP(XLOOKUP(C222,Portions!$A:$A,Portions!$B:$B),FoodItems!$A:$A,FoodItems!$E:$E))</f>
        <v/>
      </c>
    </row>
    <row r="223">
      <c r="E223">
        <f>IF(C223="","",D223*XLOOKUP(C223,Portions!$A:$A,Portions!$D:$D))</f>
        <v/>
      </c>
      <c r="F223">
        <f>IF(E223="","",E223/100*XLOOKUP(XLOOKUP(C223,Portions!$A:$A,Portions!$B:$B),FoodItems!$A:$A,FoodItems!$B:$B))</f>
        <v/>
      </c>
      <c r="G223">
        <f>IF(E223="","",E223/100*XLOOKUP(XLOOKUP(C223,Portions!$A:$A,Portions!$B:$B),FoodItems!$A:$A,FoodItems!$C:$C))</f>
        <v/>
      </c>
      <c r="H223">
        <f>IF(E223="","",E223/100*XLOOKUP(XLOOKUP(C223,Portions!$A:$A,Portions!$B:$B),FoodItems!$A:$A,FoodItems!$D:$D))</f>
        <v/>
      </c>
      <c r="I223">
        <f>IF(E223="","",E223/100*XLOOKUP(XLOOKUP(C223,Portions!$A:$A,Portions!$B:$B),FoodItems!$A:$A,FoodItems!$E:$E))</f>
        <v/>
      </c>
    </row>
    <row r="224">
      <c r="E224">
        <f>IF(C224="","",D224*XLOOKUP(C224,Portions!$A:$A,Portions!$D:$D))</f>
        <v/>
      </c>
      <c r="F224">
        <f>IF(E224="","",E224/100*XLOOKUP(XLOOKUP(C224,Portions!$A:$A,Portions!$B:$B),FoodItems!$A:$A,FoodItems!$B:$B))</f>
        <v/>
      </c>
      <c r="G224">
        <f>IF(E224="","",E224/100*XLOOKUP(XLOOKUP(C224,Portions!$A:$A,Portions!$B:$B),FoodItems!$A:$A,FoodItems!$C:$C))</f>
        <v/>
      </c>
      <c r="H224">
        <f>IF(E224="","",E224/100*XLOOKUP(XLOOKUP(C224,Portions!$A:$A,Portions!$B:$B),FoodItems!$A:$A,FoodItems!$D:$D))</f>
        <v/>
      </c>
      <c r="I224">
        <f>IF(E224="","",E224/100*XLOOKUP(XLOOKUP(C224,Portions!$A:$A,Portions!$B:$B),FoodItems!$A:$A,FoodItems!$E:$E))</f>
        <v/>
      </c>
    </row>
    <row r="225">
      <c r="E225">
        <f>IF(C225="","",D225*XLOOKUP(C225,Portions!$A:$A,Portions!$D:$D))</f>
        <v/>
      </c>
      <c r="F225">
        <f>IF(E225="","",E225/100*XLOOKUP(XLOOKUP(C225,Portions!$A:$A,Portions!$B:$B),FoodItems!$A:$A,FoodItems!$B:$B))</f>
        <v/>
      </c>
      <c r="G225">
        <f>IF(E225="","",E225/100*XLOOKUP(XLOOKUP(C225,Portions!$A:$A,Portions!$B:$B),FoodItems!$A:$A,FoodItems!$C:$C))</f>
        <v/>
      </c>
      <c r="H225">
        <f>IF(E225="","",E225/100*XLOOKUP(XLOOKUP(C225,Portions!$A:$A,Portions!$B:$B),FoodItems!$A:$A,FoodItems!$D:$D))</f>
        <v/>
      </c>
      <c r="I225">
        <f>IF(E225="","",E225/100*XLOOKUP(XLOOKUP(C225,Portions!$A:$A,Portions!$B:$B),FoodItems!$A:$A,FoodItems!$E:$E))</f>
        <v/>
      </c>
    </row>
    <row r="226">
      <c r="E226">
        <f>IF(C226="","",D226*XLOOKUP(C226,Portions!$A:$A,Portions!$D:$D))</f>
        <v/>
      </c>
      <c r="F226">
        <f>IF(E226="","",E226/100*XLOOKUP(XLOOKUP(C226,Portions!$A:$A,Portions!$B:$B),FoodItems!$A:$A,FoodItems!$B:$B))</f>
        <v/>
      </c>
      <c r="G226">
        <f>IF(E226="","",E226/100*XLOOKUP(XLOOKUP(C226,Portions!$A:$A,Portions!$B:$B),FoodItems!$A:$A,FoodItems!$C:$C))</f>
        <v/>
      </c>
      <c r="H226">
        <f>IF(E226="","",E226/100*XLOOKUP(XLOOKUP(C226,Portions!$A:$A,Portions!$B:$B),FoodItems!$A:$A,FoodItems!$D:$D))</f>
        <v/>
      </c>
      <c r="I226">
        <f>IF(E226="","",E226/100*XLOOKUP(XLOOKUP(C226,Portions!$A:$A,Portions!$B:$B),FoodItems!$A:$A,FoodItems!$E:$E))</f>
        <v/>
      </c>
    </row>
    <row r="227">
      <c r="E227">
        <f>IF(C227="","",D227*XLOOKUP(C227,Portions!$A:$A,Portions!$D:$D))</f>
        <v/>
      </c>
      <c r="F227">
        <f>IF(E227="","",E227/100*XLOOKUP(XLOOKUP(C227,Portions!$A:$A,Portions!$B:$B),FoodItems!$A:$A,FoodItems!$B:$B))</f>
        <v/>
      </c>
      <c r="G227">
        <f>IF(E227="","",E227/100*XLOOKUP(XLOOKUP(C227,Portions!$A:$A,Portions!$B:$B),FoodItems!$A:$A,FoodItems!$C:$C))</f>
        <v/>
      </c>
      <c r="H227">
        <f>IF(E227="","",E227/100*XLOOKUP(XLOOKUP(C227,Portions!$A:$A,Portions!$B:$B),FoodItems!$A:$A,FoodItems!$D:$D))</f>
        <v/>
      </c>
      <c r="I227">
        <f>IF(E227="","",E227/100*XLOOKUP(XLOOKUP(C227,Portions!$A:$A,Portions!$B:$B),FoodItems!$A:$A,FoodItems!$E:$E))</f>
        <v/>
      </c>
    </row>
    <row r="228">
      <c r="E228">
        <f>IF(C228="","",D228*XLOOKUP(C228,Portions!$A:$A,Portions!$D:$D))</f>
        <v/>
      </c>
      <c r="F228">
        <f>IF(E228="","",E228/100*XLOOKUP(XLOOKUP(C228,Portions!$A:$A,Portions!$B:$B),FoodItems!$A:$A,FoodItems!$B:$B))</f>
        <v/>
      </c>
      <c r="G228">
        <f>IF(E228="","",E228/100*XLOOKUP(XLOOKUP(C228,Portions!$A:$A,Portions!$B:$B),FoodItems!$A:$A,FoodItems!$C:$C))</f>
        <v/>
      </c>
      <c r="H228">
        <f>IF(E228="","",E228/100*XLOOKUP(XLOOKUP(C228,Portions!$A:$A,Portions!$B:$B),FoodItems!$A:$A,FoodItems!$D:$D))</f>
        <v/>
      </c>
      <c r="I228">
        <f>IF(E228="","",E228/100*XLOOKUP(XLOOKUP(C228,Portions!$A:$A,Portions!$B:$B),FoodItems!$A:$A,FoodItems!$E:$E))</f>
        <v/>
      </c>
    </row>
    <row r="229">
      <c r="E229">
        <f>IF(C229="","",D229*XLOOKUP(C229,Portions!$A:$A,Portions!$D:$D))</f>
        <v/>
      </c>
      <c r="F229">
        <f>IF(E229="","",E229/100*XLOOKUP(XLOOKUP(C229,Portions!$A:$A,Portions!$B:$B),FoodItems!$A:$A,FoodItems!$B:$B))</f>
        <v/>
      </c>
      <c r="G229">
        <f>IF(E229="","",E229/100*XLOOKUP(XLOOKUP(C229,Portions!$A:$A,Portions!$B:$B),FoodItems!$A:$A,FoodItems!$C:$C))</f>
        <v/>
      </c>
      <c r="H229">
        <f>IF(E229="","",E229/100*XLOOKUP(XLOOKUP(C229,Portions!$A:$A,Portions!$B:$B),FoodItems!$A:$A,FoodItems!$D:$D))</f>
        <v/>
      </c>
      <c r="I229">
        <f>IF(E229="","",E229/100*XLOOKUP(XLOOKUP(C229,Portions!$A:$A,Portions!$B:$B),FoodItems!$A:$A,FoodItems!$E:$E))</f>
        <v/>
      </c>
    </row>
    <row r="230">
      <c r="E230">
        <f>IF(C230="","",D230*XLOOKUP(C230,Portions!$A:$A,Portions!$D:$D))</f>
        <v/>
      </c>
      <c r="F230">
        <f>IF(E230="","",E230/100*XLOOKUP(XLOOKUP(C230,Portions!$A:$A,Portions!$B:$B),FoodItems!$A:$A,FoodItems!$B:$B))</f>
        <v/>
      </c>
      <c r="G230">
        <f>IF(E230="","",E230/100*XLOOKUP(XLOOKUP(C230,Portions!$A:$A,Portions!$B:$B),FoodItems!$A:$A,FoodItems!$C:$C))</f>
        <v/>
      </c>
      <c r="H230">
        <f>IF(E230="","",E230/100*XLOOKUP(XLOOKUP(C230,Portions!$A:$A,Portions!$B:$B),FoodItems!$A:$A,FoodItems!$D:$D))</f>
        <v/>
      </c>
      <c r="I230">
        <f>IF(E230="","",E230/100*XLOOKUP(XLOOKUP(C230,Portions!$A:$A,Portions!$B:$B),FoodItems!$A:$A,FoodItems!$E:$E))</f>
        <v/>
      </c>
    </row>
    <row r="231">
      <c r="E231">
        <f>IF(C231="","",D231*XLOOKUP(C231,Portions!$A:$A,Portions!$D:$D))</f>
        <v/>
      </c>
      <c r="F231">
        <f>IF(E231="","",E231/100*XLOOKUP(XLOOKUP(C231,Portions!$A:$A,Portions!$B:$B),FoodItems!$A:$A,FoodItems!$B:$B))</f>
        <v/>
      </c>
      <c r="G231">
        <f>IF(E231="","",E231/100*XLOOKUP(XLOOKUP(C231,Portions!$A:$A,Portions!$B:$B),FoodItems!$A:$A,FoodItems!$C:$C))</f>
        <v/>
      </c>
      <c r="H231">
        <f>IF(E231="","",E231/100*XLOOKUP(XLOOKUP(C231,Portions!$A:$A,Portions!$B:$B),FoodItems!$A:$A,FoodItems!$D:$D))</f>
        <v/>
      </c>
      <c r="I231">
        <f>IF(E231="","",E231/100*XLOOKUP(XLOOKUP(C231,Portions!$A:$A,Portions!$B:$B),FoodItems!$A:$A,FoodItems!$E:$E))</f>
        <v/>
      </c>
    </row>
    <row r="232">
      <c r="E232">
        <f>IF(C232="","",D232*XLOOKUP(C232,Portions!$A:$A,Portions!$D:$D))</f>
        <v/>
      </c>
      <c r="F232">
        <f>IF(E232="","",E232/100*XLOOKUP(XLOOKUP(C232,Portions!$A:$A,Portions!$B:$B),FoodItems!$A:$A,FoodItems!$B:$B))</f>
        <v/>
      </c>
      <c r="G232">
        <f>IF(E232="","",E232/100*XLOOKUP(XLOOKUP(C232,Portions!$A:$A,Portions!$B:$B),FoodItems!$A:$A,FoodItems!$C:$C))</f>
        <v/>
      </c>
      <c r="H232">
        <f>IF(E232="","",E232/100*XLOOKUP(XLOOKUP(C232,Portions!$A:$A,Portions!$B:$B),FoodItems!$A:$A,FoodItems!$D:$D))</f>
        <v/>
      </c>
      <c r="I232">
        <f>IF(E232="","",E232/100*XLOOKUP(XLOOKUP(C232,Portions!$A:$A,Portions!$B:$B),FoodItems!$A:$A,FoodItems!$E:$E))</f>
        <v/>
      </c>
    </row>
    <row r="233">
      <c r="E233">
        <f>IF(C233="","",D233*XLOOKUP(C233,Portions!$A:$A,Portions!$D:$D))</f>
        <v/>
      </c>
      <c r="F233">
        <f>IF(E233="","",E233/100*XLOOKUP(XLOOKUP(C233,Portions!$A:$A,Portions!$B:$B),FoodItems!$A:$A,FoodItems!$B:$B))</f>
        <v/>
      </c>
      <c r="G233">
        <f>IF(E233="","",E233/100*XLOOKUP(XLOOKUP(C233,Portions!$A:$A,Portions!$B:$B),FoodItems!$A:$A,FoodItems!$C:$C))</f>
        <v/>
      </c>
      <c r="H233">
        <f>IF(E233="","",E233/100*XLOOKUP(XLOOKUP(C233,Portions!$A:$A,Portions!$B:$B),FoodItems!$A:$A,FoodItems!$D:$D))</f>
        <v/>
      </c>
      <c r="I233">
        <f>IF(E233="","",E233/100*XLOOKUP(XLOOKUP(C233,Portions!$A:$A,Portions!$B:$B),FoodItems!$A:$A,FoodItems!$E:$E))</f>
        <v/>
      </c>
    </row>
    <row r="234">
      <c r="E234">
        <f>IF(C234="","",D234*XLOOKUP(C234,Portions!$A:$A,Portions!$D:$D))</f>
        <v/>
      </c>
      <c r="F234">
        <f>IF(E234="","",E234/100*XLOOKUP(XLOOKUP(C234,Portions!$A:$A,Portions!$B:$B),FoodItems!$A:$A,FoodItems!$B:$B))</f>
        <v/>
      </c>
      <c r="G234">
        <f>IF(E234="","",E234/100*XLOOKUP(XLOOKUP(C234,Portions!$A:$A,Portions!$B:$B),FoodItems!$A:$A,FoodItems!$C:$C))</f>
        <v/>
      </c>
      <c r="H234">
        <f>IF(E234="","",E234/100*XLOOKUP(XLOOKUP(C234,Portions!$A:$A,Portions!$B:$B),FoodItems!$A:$A,FoodItems!$D:$D))</f>
        <v/>
      </c>
      <c r="I234">
        <f>IF(E234="","",E234/100*XLOOKUP(XLOOKUP(C234,Portions!$A:$A,Portions!$B:$B),FoodItems!$A:$A,FoodItems!$E:$E))</f>
        <v/>
      </c>
    </row>
    <row r="235">
      <c r="E235">
        <f>IF(C235="","",D235*XLOOKUP(C235,Portions!$A:$A,Portions!$D:$D))</f>
        <v/>
      </c>
      <c r="F235">
        <f>IF(E235="","",E235/100*XLOOKUP(XLOOKUP(C235,Portions!$A:$A,Portions!$B:$B),FoodItems!$A:$A,FoodItems!$B:$B))</f>
        <v/>
      </c>
      <c r="G235">
        <f>IF(E235="","",E235/100*XLOOKUP(XLOOKUP(C235,Portions!$A:$A,Portions!$B:$B),FoodItems!$A:$A,FoodItems!$C:$C))</f>
        <v/>
      </c>
      <c r="H235">
        <f>IF(E235="","",E235/100*XLOOKUP(XLOOKUP(C235,Portions!$A:$A,Portions!$B:$B),FoodItems!$A:$A,FoodItems!$D:$D))</f>
        <v/>
      </c>
      <c r="I235">
        <f>IF(E235="","",E235/100*XLOOKUP(XLOOKUP(C235,Portions!$A:$A,Portions!$B:$B),FoodItems!$A:$A,FoodItems!$E:$E))</f>
        <v/>
      </c>
    </row>
    <row r="236">
      <c r="E236">
        <f>IF(C236="","",D236*XLOOKUP(C236,Portions!$A:$A,Portions!$D:$D))</f>
        <v/>
      </c>
      <c r="F236">
        <f>IF(E236="","",E236/100*XLOOKUP(XLOOKUP(C236,Portions!$A:$A,Portions!$B:$B),FoodItems!$A:$A,FoodItems!$B:$B))</f>
        <v/>
      </c>
      <c r="G236">
        <f>IF(E236="","",E236/100*XLOOKUP(XLOOKUP(C236,Portions!$A:$A,Portions!$B:$B),FoodItems!$A:$A,FoodItems!$C:$C))</f>
        <v/>
      </c>
      <c r="H236">
        <f>IF(E236="","",E236/100*XLOOKUP(XLOOKUP(C236,Portions!$A:$A,Portions!$B:$B),FoodItems!$A:$A,FoodItems!$D:$D))</f>
        <v/>
      </c>
      <c r="I236">
        <f>IF(E236="","",E236/100*XLOOKUP(XLOOKUP(C236,Portions!$A:$A,Portions!$B:$B),FoodItems!$A:$A,FoodItems!$E:$E))</f>
        <v/>
      </c>
    </row>
    <row r="237">
      <c r="E237">
        <f>IF(C237="","",D237*XLOOKUP(C237,Portions!$A:$A,Portions!$D:$D))</f>
        <v/>
      </c>
      <c r="F237">
        <f>IF(E237="","",E237/100*XLOOKUP(XLOOKUP(C237,Portions!$A:$A,Portions!$B:$B),FoodItems!$A:$A,FoodItems!$B:$B))</f>
        <v/>
      </c>
      <c r="G237">
        <f>IF(E237="","",E237/100*XLOOKUP(XLOOKUP(C237,Portions!$A:$A,Portions!$B:$B),FoodItems!$A:$A,FoodItems!$C:$C))</f>
        <v/>
      </c>
      <c r="H237">
        <f>IF(E237="","",E237/100*XLOOKUP(XLOOKUP(C237,Portions!$A:$A,Portions!$B:$B),FoodItems!$A:$A,FoodItems!$D:$D))</f>
        <v/>
      </c>
      <c r="I237">
        <f>IF(E237="","",E237/100*XLOOKUP(XLOOKUP(C237,Portions!$A:$A,Portions!$B:$B),FoodItems!$A:$A,FoodItems!$E:$E))</f>
        <v/>
      </c>
    </row>
    <row r="238">
      <c r="E238">
        <f>IF(C238="","",D238*XLOOKUP(C238,Portions!$A:$A,Portions!$D:$D))</f>
        <v/>
      </c>
      <c r="F238">
        <f>IF(E238="","",E238/100*XLOOKUP(XLOOKUP(C238,Portions!$A:$A,Portions!$B:$B),FoodItems!$A:$A,FoodItems!$B:$B))</f>
        <v/>
      </c>
      <c r="G238">
        <f>IF(E238="","",E238/100*XLOOKUP(XLOOKUP(C238,Portions!$A:$A,Portions!$B:$B),FoodItems!$A:$A,FoodItems!$C:$C))</f>
        <v/>
      </c>
      <c r="H238">
        <f>IF(E238="","",E238/100*XLOOKUP(XLOOKUP(C238,Portions!$A:$A,Portions!$B:$B),FoodItems!$A:$A,FoodItems!$D:$D))</f>
        <v/>
      </c>
      <c r="I238">
        <f>IF(E238="","",E238/100*XLOOKUP(XLOOKUP(C238,Portions!$A:$A,Portions!$B:$B),FoodItems!$A:$A,FoodItems!$E:$E))</f>
        <v/>
      </c>
    </row>
    <row r="239">
      <c r="E239">
        <f>IF(C239="","",D239*XLOOKUP(C239,Portions!$A:$A,Portions!$D:$D))</f>
        <v/>
      </c>
      <c r="F239">
        <f>IF(E239="","",E239/100*XLOOKUP(XLOOKUP(C239,Portions!$A:$A,Portions!$B:$B),FoodItems!$A:$A,FoodItems!$B:$B))</f>
        <v/>
      </c>
      <c r="G239">
        <f>IF(E239="","",E239/100*XLOOKUP(XLOOKUP(C239,Portions!$A:$A,Portions!$B:$B),FoodItems!$A:$A,FoodItems!$C:$C))</f>
        <v/>
      </c>
      <c r="H239">
        <f>IF(E239="","",E239/100*XLOOKUP(XLOOKUP(C239,Portions!$A:$A,Portions!$B:$B),FoodItems!$A:$A,FoodItems!$D:$D))</f>
        <v/>
      </c>
      <c r="I239">
        <f>IF(E239="","",E239/100*XLOOKUP(XLOOKUP(C239,Portions!$A:$A,Portions!$B:$B),FoodItems!$A:$A,FoodItems!$E:$E))</f>
        <v/>
      </c>
    </row>
    <row r="240">
      <c r="E240">
        <f>IF(C240="","",D240*XLOOKUP(C240,Portions!$A:$A,Portions!$D:$D))</f>
        <v/>
      </c>
      <c r="F240">
        <f>IF(E240="","",E240/100*XLOOKUP(XLOOKUP(C240,Portions!$A:$A,Portions!$B:$B),FoodItems!$A:$A,FoodItems!$B:$B))</f>
        <v/>
      </c>
      <c r="G240">
        <f>IF(E240="","",E240/100*XLOOKUP(XLOOKUP(C240,Portions!$A:$A,Portions!$B:$B),FoodItems!$A:$A,FoodItems!$C:$C))</f>
        <v/>
      </c>
      <c r="H240">
        <f>IF(E240="","",E240/100*XLOOKUP(XLOOKUP(C240,Portions!$A:$A,Portions!$B:$B),FoodItems!$A:$A,FoodItems!$D:$D))</f>
        <v/>
      </c>
      <c r="I240">
        <f>IF(E240="","",E240/100*XLOOKUP(XLOOKUP(C240,Portions!$A:$A,Portions!$B:$B),FoodItems!$A:$A,FoodItems!$E:$E))</f>
        <v/>
      </c>
    </row>
    <row r="241">
      <c r="E241">
        <f>IF(C241="","",D241*XLOOKUP(C241,Portions!$A:$A,Portions!$D:$D))</f>
        <v/>
      </c>
      <c r="F241">
        <f>IF(E241="","",E241/100*XLOOKUP(XLOOKUP(C241,Portions!$A:$A,Portions!$B:$B),FoodItems!$A:$A,FoodItems!$B:$B))</f>
        <v/>
      </c>
      <c r="G241">
        <f>IF(E241="","",E241/100*XLOOKUP(XLOOKUP(C241,Portions!$A:$A,Portions!$B:$B),FoodItems!$A:$A,FoodItems!$C:$C))</f>
        <v/>
      </c>
      <c r="H241">
        <f>IF(E241="","",E241/100*XLOOKUP(XLOOKUP(C241,Portions!$A:$A,Portions!$B:$B),FoodItems!$A:$A,FoodItems!$D:$D))</f>
        <v/>
      </c>
      <c r="I241">
        <f>IF(E241="","",E241/100*XLOOKUP(XLOOKUP(C241,Portions!$A:$A,Portions!$B:$B),FoodItems!$A:$A,FoodItems!$E:$E))</f>
        <v/>
      </c>
    </row>
    <row r="242">
      <c r="E242">
        <f>IF(C242="","",D242*XLOOKUP(C242,Portions!$A:$A,Portions!$D:$D))</f>
        <v/>
      </c>
      <c r="F242">
        <f>IF(E242="","",E242/100*XLOOKUP(XLOOKUP(C242,Portions!$A:$A,Portions!$B:$B),FoodItems!$A:$A,FoodItems!$B:$B))</f>
        <v/>
      </c>
      <c r="G242">
        <f>IF(E242="","",E242/100*XLOOKUP(XLOOKUP(C242,Portions!$A:$A,Portions!$B:$B),FoodItems!$A:$A,FoodItems!$C:$C))</f>
        <v/>
      </c>
      <c r="H242">
        <f>IF(E242="","",E242/100*XLOOKUP(XLOOKUP(C242,Portions!$A:$A,Portions!$B:$B),FoodItems!$A:$A,FoodItems!$D:$D))</f>
        <v/>
      </c>
      <c r="I242">
        <f>IF(E242="","",E242/100*XLOOKUP(XLOOKUP(C242,Portions!$A:$A,Portions!$B:$B),FoodItems!$A:$A,FoodItems!$E:$E))</f>
        <v/>
      </c>
    </row>
    <row r="243">
      <c r="E243">
        <f>IF(C243="","",D243*XLOOKUP(C243,Portions!$A:$A,Portions!$D:$D))</f>
        <v/>
      </c>
      <c r="F243">
        <f>IF(E243="","",E243/100*XLOOKUP(XLOOKUP(C243,Portions!$A:$A,Portions!$B:$B),FoodItems!$A:$A,FoodItems!$B:$B))</f>
        <v/>
      </c>
      <c r="G243">
        <f>IF(E243="","",E243/100*XLOOKUP(XLOOKUP(C243,Portions!$A:$A,Portions!$B:$B),FoodItems!$A:$A,FoodItems!$C:$C))</f>
        <v/>
      </c>
      <c r="H243">
        <f>IF(E243="","",E243/100*XLOOKUP(XLOOKUP(C243,Portions!$A:$A,Portions!$B:$B),FoodItems!$A:$A,FoodItems!$D:$D))</f>
        <v/>
      </c>
      <c r="I243">
        <f>IF(E243="","",E243/100*XLOOKUP(XLOOKUP(C243,Portions!$A:$A,Portions!$B:$B),FoodItems!$A:$A,FoodItems!$E:$E))</f>
        <v/>
      </c>
    </row>
    <row r="244">
      <c r="E244">
        <f>IF(C244="","",D244*XLOOKUP(C244,Portions!$A:$A,Portions!$D:$D))</f>
        <v/>
      </c>
      <c r="F244">
        <f>IF(E244="","",E244/100*XLOOKUP(XLOOKUP(C244,Portions!$A:$A,Portions!$B:$B),FoodItems!$A:$A,FoodItems!$B:$B))</f>
        <v/>
      </c>
      <c r="G244">
        <f>IF(E244="","",E244/100*XLOOKUP(XLOOKUP(C244,Portions!$A:$A,Portions!$B:$B),FoodItems!$A:$A,FoodItems!$C:$C))</f>
        <v/>
      </c>
      <c r="H244">
        <f>IF(E244="","",E244/100*XLOOKUP(XLOOKUP(C244,Portions!$A:$A,Portions!$B:$B),FoodItems!$A:$A,FoodItems!$D:$D))</f>
        <v/>
      </c>
      <c r="I244">
        <f>IF(E244="","",E244/100*XLOOKUP(XLOOKUP(C244,Portions!$A:$A,Portions!$B:$B),FoodItems!$A:$A,FoodItems!$E:$E))</f>
        <v/>
      </c>
    </row>
    <row r="245">
      <c r="E245">
        <f>IF(C245="","",D245*XLOOKUP(C245,Portions!$A:$A,Portions!$D:$D))</f>
        <v/>
      </c>
      <c r="F245">
        <f>IF(E245="","",E245/100*XLOOKUP(XLOOKUP(C245,Portions!$A:$A,Portions!$B:$B),FoodItems!$A:$A,FoodItems!$B:$B))</f>
        <v/>
      </c>
      <c r="G245">
        <f>IF(E245="","",E245/100*XLOOKUP(XLOOKUP(C245,Portions!$A:$A,Portions!$B:$B),FoodItems!$A:$A,FoodItems!$C:$C))</f>
        <v/>
      </c>
      <c r="H245">
        <f>IF(E245="","",E245/100*XLOOKUP(XLOOKUP(C245,Portions!$A:$A,Portions!$B:$B),FoodItems!$A:$A,FoodItems!$D:$D))</f>
        <v/>
      </c>
      <c r="I245">
        <f>IF(E245="","",E245/100*XLOOKUP(XLOOKUP(C245,Portions!$A:$A,Portions!$B:$B),FoodItems!$A:$A,FoodItems!$E:$E))</f>
        <v/>
      </c>
    </row>
    <row r="246">
      <c r="E246">
        <f>IF(C246="","",D246*XLOOKUP(C246,Portions!$A:$A,Portions!$D:$D))</f>
        <v/>
      </c>
      <c r="F246">
        <f>IF(E246="","",E246/100*XLOOKUP(XLOOKUP(C246,Portions!$A:$A,Portions!$B:$B),FoodItems!$A:$A,FoodItems!$B:$B))</f>
        <v/>
      </c>
      <c r="G246">
        <f>IF(E246="","",E246/100*XLOOKUP(XLOOKUP(C246,Portions!$A:$A,Portions!$B:$B),FoodItems!$A:$A,FoodItems!$C:$C))</f>
        <v/>
      </c>
      <c r="H246">
        <f>IF(E246="","",E246/100*XLOOKUP(XLOOKUP(C246,Portions!$A:$A,Portions!$B:$B),FoodItems!$A:$A,FoodItems!$D:$D))</f>
        <v/>
      </c>
      <c r="I246">
        <f>IF(E246="","",E246/100*XLOOKUP(XLOOKUP(C246,Portions!$A:$A,Portions!$B:$B),FoodItems!$A:$A,FoodItems!$E:$E))</f>
        <v/>
      </c>
    </row>
    <row r="247">
      <c r="E247">
        <f>IF(C247="","",D247*XLOOKUP(C247,Portions!$A:$A,Portions!$D:$D))</f>
        <v/>
      </c>
      <c r="F247">
        <f>IF(E247="","",E247/100*XLOOKUP(XLOOKUP(C247,Portions!$A:$A,Portions!$B:$B),FoodItems!$A:$A,FoodItems!$B:$B))</f>
        <v/>
      </c>
      <c r="G247">
        <f>IF(E247="","",E247/100*XLOOKUP(XLOOKUP(C247,Portions!$A:$A,Portions!$B:$B),FoodItems!$A:$A,FoodItems!$C:$C))</f>
        <v/>
      </c>
      <c r="H247">
        <f>IF(E247="","",E247/100*XLOOKUP(XLOOKUP(C247,Portions!$A:$A,Portions!$B:$B),FoodItems!$A:$A,FoodItems!$D:$D))</f>
        <v/>
      </c>
      <c r="I247">
        <f>IF(E247="","",E247/100*XLOOKUP(XLOOKUP(C247,Portions!$A:$A,Portions!$B:$B),FoodItems!$A:$A,FoodItems!$E:$E))</f>
        <v/>
      </c>
    </row>
    <row r="248">
      <c r="E248">
        <f>IF(C248="","",D248*XLOOKUP(C248,Portions!$A:$A,Portions!$D:$D))</f>
        <v/>
      </c>
      <c r="F248">
        <f>IF(E248="","",E248/100*XLOOKUP(XLOOKUP(C248,Portions!$A:$A,Portions!$B:$B),FoodItems!$A:$A,FoodItems!$B:$B))</f>
        <v/>
      </c>
      <c r="G248">
        <f>IF(E248="","",E248/100*XLOOKUP(XLOOKUP(C248,Portions!$A:$A,Portions!$B:$B),FoodItems!$A:$A,FoodItems!$C:$C))</f>
        <v/>
      </c>
      <c r="H248">
        <f>IF(E248="","",E248/100*XLOOKUP(XLOOKUP(C248,Portions!$A:$A,Portions!$B:$B),FoodItems!$A:$A,FoodItems!$D:$D))</f>
        <v/>
      </c>
      <c r="I248">
        <f>IF(E248="","",E248/100*XLOOKUP(XLOOKUP(C248,Portions!$A:$A,Portions!$B:$B),FoodItems!$A:$A,FoodItems!$E:$E))</f>
        <v/>
      </c>
    </row>
    <row r="249">
      <c r="E249">
        <f>IF(C249="","",D249*XLOOKUP(C249,Portions!$A:$A,Portions!$D:$D))</f>
        <v/>
      </c>
      <c r="F249">
        <f>IF(E249="","",E249/100*XLOOKUP(XLOOKUP(C249,Portions!$A:$A,Portions!$B:$B),FoodItems!$A:$A,FoodItems!$B:$B))</f>
        <v/>
      </c>
      <c r="G249">
        <f>IF(E249="","",E249/100*XLOOKUP(XLOOKUP(C249,Portions!$A:$A,Portions!$B:$B),FoodItems!$A:$A,FoodItems!$C:$C))</f>
        <v/>
      </c>
      <c r="H249">
        <f>IF(E249="","",E249/100*XLOOKUP(XLOOKUP(C249,Portions!$A:$A,Portions!$B:$B),FoodItems!$A:$A,FoodItems!$D:$D))</f>
        <v/>
      </c>
      <c r="I249">
        <f>IF(E249="","",E249/100*XLOOKUP(XLOOKUP(C249,Portions!$A:$A,Portions!$B:$B),FoodItems!$A:$A,FoodItems!$E:$E))</f>
        <v/>
      </c>
    </row>
    <row r="250">
      <c r="E250">
        <f>IF(C250="","",D250*XLOOKUP(C250,Portions!$A:$A,Portions!$D:$D))</f>
        <v/>
      </c>
      <c r="F250">
        <f>IF(E250="","",E250/100*XLOOKUP(XLOOKUP(C250,Portions!$A:$A,Portions!$B:$B),FoodItems!$A:$A,FoodItems!$B:$B))</f>
        <v/>
      </c>
      <c r="G250">
        <f>IF(E250="","",E250/100*XLOOKUP(XLOOKUP(C250,Portions!$A:$A,Portions!$B:$B),FoodItems!$A:$A,FoodItems!$C:$C))</f>
        <v/>
      </c>
      <c r="H250">
        <f>IF(E250="","",E250/100*XLOOKUP(XLOOKUP(C250,Portions!$A:$A,Portions!$B:$B),FoodItems!$A:$A,FoodItems!$D:$D))</f>
        <v/>
      </c>
      <c r="I250">
        <f>IF(E250="","",E250/100*XLOOKUP(XLOOKUP(C250,Portions!$A:$A,Portions!$B:$B),FoodItems!$A:$A,FoodItems!$E:$E))</f>
        <v/>
      </c>
    </row>
    <row r="251">
      <c r="E251">
        <f>IF(C251="","",D251*XLOOKUP(C251,Portions!$A:$A,Portions!$D:$D))</f>
        <v/>
      </c>
      <c r="F251">
        <f>IF(E251="","",E251/100*XLOOKUP(XLOOKUP(C251,Portions!$A:$A,Portions!$B:$B),FoodItems!$A:$A,FoodItems!$B:$B))</f>
        <v/>
      </c>
      <c r="G251">
        <f>IF(E251="","",E251/100*XLOOKUP(XLOOKUP(C251,Portions!$A:$A,Portions!$B:$B),FoodItems!$A:$A,FoodItems!$C:$C))</f>
        <v/>
      </c>
      <c r="H251">
        <f>IF(E251="","",E251/100*XLOOKUP(XLOOKUP(C251,Portions!$A:$A,Portions!$B:$B),FoodItems!$A:$A,FoodItems!$D:$D))</f>
        <v/>
      </c>
      <c r="I251">
        <f>IF(E251="","",E251/100*XLOOKUP(XLOOKUP(C251,Portions!$A:$A,Portions!$B:$B),FoodItems!$A:$A,FoodItems!$E:$E))</f>
        <v/>
      </c>
    </row>
    <row r="252">
      <c r="E252">
        <f>IF(C252="","",D252*XLOOKUP(C252,Portions!$A:$A,Portions!$D:$D))</f>
        <v/>
      </c>
      <c r="F252">
        <f>IF(E252="","",E252/100*XLOOKUP(XLOOKUP(C252,Portions!$A:$A,Portions!$B:$B),FoodItems!$A:$A,FoodItems!$B:$B))</f>
        <v/>
      </c>
      <c r="G252">
        <f>IF(E252="","",E252/100*XLOOKUP(XLOOKUP(C252,Portions!$A:$A,Portions!$B:$B),FoodItems!$A:$A,FoodItems!$C:$C))</f>
        <v/>
      </c>
      <c r="H252">
        <f>IF(E252="","",E252/100*XLOOKUP(XLOOKUP(C252,Portions!$A:$A,Portions!$B:$B),FoodItems!$A:$A,FoodItems!$D:$D))</f>
        <v/>
      </c>
      <c r="I252">
        <f>IF(E252="","",E252/100*XLOOKUP(XLOOKUP(C252,Portions!$A:$A,Portions!$B:$B),FoodItems!$A:$A,FoodItems!$E:$E))</f>
        <v/>
      </c>
    </row>
    <row r="253">
      <c r="E253">
        <f>IF(C253="","",D253*XLOOKUP(C253,Portions!$A:$A,Portions!$D:$D))</f>
        <v/>
      </c>
      <c r="F253">
        <f>IF(E253="","",E253/100*XLOOKUP(XLOOKUP(C253,Portions!$A:$A,Portions!$B:$B),FoodItems!$A:$A,FoodItems!$B:$B))</f>
        <v/>
      </c>
      <c r="G253">
        <f>IF(E253="","",E253/100*XLOOKUP(XLOOKUP(C253,Portions!$A:$A,Portions!$B:$B),FoodItems!$A:$A,FoodItems!$C:$C))</f>
        <v/>
      </c>
      <c r="H253">
        <f>IF(E253="","",E253/100*XLOOKUP(XLOOKUP(C253,Portions!$A:$A,Portions!$B:$B),FoodItems!$A:$A,FoodItems!$D:$D))</f>
        <v/>
      </c>
      <c r="I253">
        <f>IF(E253="","",E253/100*XLOOKUP(XLOOKUP(C253,Portions!$A:$A,Portions!$B:$B),FoodItems!$A:$A,FoodItems!$E:$E))</f>
        <v/>
      </c>
    </row>
    <row r="254">
      <c r="E254">
        <f>IF(C254="","",D254*XLOOKUP(C254,Portions!$A:$A,Portions!$D:$D))</f>
        <v/>
      </c>
      <c r="F254">
        <f>IF(E254="","",E254/100*XLOOKUP(XLOOKUP(C254,Portions!$A:$A,Portions!$B:$B),FoodItems!$A:$A,FoodItems!$B:$B))</f>
        <v/>
      </c>
      <c r="G254">
        <f>IF(E254="","",E254/100*XLOOKUP(XLOOKUP(C254,Portions!$A:$A,Portions!$B:$B),FoodItems!$A:$A,FoodItems!$C:$C))</f>
        <v/>
      </c>
      <c r="H254">
        <f>IF(E254="","",E254/100*XLOOKUP(XLOOKUP(C254,Portions!$A:$A,Portions!$B:$B),FoodItems!$A:$A,FoodItems!$D:$D))</f>
        <v/>
      </c>
      <c r="I254">
        <f>IF(E254="","",E254/100*XLOOKUP(XLOOKUP(C254,Portions!$A:$A,Portions!$B:$B),FoodItems!$A:$A,FoodItems!$E:$E))</f>
        <v/>
      </c>
    </row>
    <row r="255">
      <c r="E255">
        <f>IF(C255="","",D255*XLOOKUP(C255,Portions!$A:$A,Portions!$D:$D))</f>
        <v/>
      </c>
      <c r="F255">
        <f>IF(E255="","",E255/100*XLOOKUP(XLOOKUP(C255,Portions!$A:$A,Portions!$B:$B),FoodItems!$A:$A,FoodItems!$B:$B))</f>
        <v/>
      </c>
      <c r="G255">
        <f>IF(E255="","",E255/100*XLOOKUP(XLOOKUP(C255,Portions!$A:$A,Portions!$B:$B),FoodItems!$A:$A,FoodItems!$C:$C))</f>
        <v/>
      </c>
      <c r="H255">
        <f>IF(E255="","",E255/100*XLOOKUP(XLOOKUP(C255,Portions!$A:$A,Portions!$B:$B),FoodItems!$A:$A,FoodItems!$D:$D))</f>
        <v/>
      </c>
      <c r="I255">
        <f>IF(E255="","",E255/100*XLOOKUP(XLOOKUP(C255,Portions!$A:$A,Portions!$B:$B),FoodItems!$A:$A,FoodItems!$E:$E))</f>
        <v/>
      </c>
    </row>
    <row r="256">
      <c r="E256">
        <f>IF(C256="","",D256*XLOOKUP(C256,Portions!$A:$A,Portions!$D:$D))</f>
        <v/>
      </c>
      <c r="F256">
        <f>IF(E256="","",E256/100*XLOOKUP(XLOOKUP(C256,Portions!$A:$A,Portions!$B:$B),FoodItems!$A:$A,FoodItems!$B:$B))</f>
        <v/>
      </c>
      <c r="G256">
        <f>IF(E256="","",E256/100*XLOOKUP(XLOOKUP(C256,Portions!$A:$A,Portions!$B:$B),FoodItems!$A:$A,FoodItems!$C:$C))</f>
        <v/>
      </c>
      <c r="H256">
        <f>IF(E256="","",E256/100*XLOOKUP(XLOOKUP(C256,Portions!$A:$A,Portions!$B:$B),FoodItems!$A:$A,FoodItems!$D:$D))</f>
        <v/>
      </c>
      <c r="I256">
        <f>IF(E256="","",E256/100*XLOOKUP(XLOOKUP(C256,Portions!$A:$A,Portions!$B:$B),FoodItems!$A:$A,FoodItems!$E:$E))</f>
        <v/>
      </c>
    </row>
    <row r="257">
      <c r="E257">
        <f>IF(C257="","",D257*XLOOKUP(C257,Portions!$A:$A,Portions!$D:$D))</f>
        <v/>
      </c>
      <c r="F257">
        <f>IF(E257="","",E257/100*XLOOKUP(XLOOKUP(C257,Portions!$A:$A,Portions!$B:$B),FoodItems!$A:$A,FoodItems!$B:$B))</f>
        <v/>
      </c>
      <c r="G257">
        <f>IF(E257="","",E257/100*XLOOKUP(XLOOKUP(C257,Portions!$A:$A,Portions!$B:$B),FoodItems!$A:$A,FoodItems!$C:$C))</f>
        <v/>
      </c>
      <c r="H257">
        <f>IF(E257="","",E257/100*XLOOKUP(XLOOKUP(C257,Portions!$A:$A,Portions!$B:$B),FoodItems!$A:$A,FoodItems!$D:$D))</f>
        <v/>
      </c>
      <c r="I257">
        <f>IF(E257="","",E257/100*XLOOKUP(XLOOKUP(C257,Portions!$A:$A,Portions!$B:$B),FoodItems!$A:$A,FoodItems!$E:$E))</f>
        <v/>
      </c>
    </row>
    <row r="258">
      <c r="E258">
        <f>IF(C258="","",D258*XLOOKUP(C258,Portions!$A:$A,Portions!$D:$D))</f>
        <v/>
      </c>
      <c r="F258">
        <f>IF(E258="","",E258/100*XLOOKUP(XLOOKUP(C258,Portions!$A:$A,Portions!$B:$B),FoodItems!$A:$A,FoodItems!$B:$B))</f>
        <v/>
      </c>
      <c r="G258">
        <f>IF(E258="","",E258/100*XLOOKUP(XLOOKUP(C258,Portions!$A:$A,Portions!$B:$B),FoodItems!$A:$A,FoodItems!$C:$C))</f>
        <v/>
      </c>
      <c r="H258">
        <f>IF(E258="","",E258/100*XLOOKUP(XLOOKUP(C258,Portions!$A:$A,Portions!$B:$B),FoodItems!$A:$A,FoodItems!$D:$D))</f>
        <v/>
      </c>
      <c r="I258">
        <f>IF(E258="","",E258/100*XLOOKUP(XLOOKUP(C258,Portions!$A:$A,Portions!$B:$B),FoodItems!$A:$A,FoodItems!$E:$E))</f>
        <v/>
      </c>
    </row>
    <row r="259">
      <c r="E259">
        <f>IF(C259="","",D259*XLOOKUP(C259,Portions!$A:$A,Portions!$D:$D))</f>
        <v/>
      </c>
      <c r="F259">
        <f>IF(E259="","",E259/100*XLOOKUP(XLOOKUP(C259,Portions!$A:$A,Portions!$B:$B),FoodItems!$A:$A,FoodItems!$B:$B))</f>
        <v/>
      </c>
      <c r="G259">
        <f>IF(E259="","",E259/100*XLOOKUP(XLOOKUP(C259,Portions!$A:$A,Portions!$B:$B),FoodItems!$A:$A,FoodItems!$C:$C))</f>
        <v/>
      </c>
      <c r="H259">
        <f>IF(E259="","",E259/100*XLOOKUP(XLOOKUP(C259,Portions!$A:$A,Portions!$B:$B),FoodItems!$A:$A,FoodItems!$D:$D))</f>
        <v/>
      </c>
      <c r="I259">
        <f>IF(E259="","",E259/100*XLOOKUP(XLOOKUP(C259,Portions!$A:$A,Portions!$B:$B),FoodItems!$A:$A,FoodItems!$E:$E))</f>
        <v/>
      </c>
    </row>
    <row r="260">
      <c r="E260">
        <f>IF(C260="","",D260*XLOOKUP(C260,Portions!$A:$A,Portions!$D:$D))</f>
        <v/>
      </c>
      <c r="F260">
        <f>IF(E260="","",E260/100*XLOOKUP(XLOOKUP(C260,Portions!$A:$A,Portions!$B:$B),FoodItems!$A:$A,FoodItems!$B:$B))</f>
        <v/>
      </c>
      <c r="G260">
        <f>IF(E260="","",E260/100*XLOOKUP(XLOOKUP(C260,Portions!$A:$A,Portions!$B:$B),FoodItems!$A:$A,FoodItems!$C:$C))</f>
        <v/>
      </c>
      <c r="H260">
        <f>IF(E260="","",E260/100*XLOOKUP(XLOOKUP(C260,Portions!$A:$A,Portions!$B:$B),FoodItems!$A:$A,FoodItems!$D:$D))</f>
        <v/>
      </c>
      <c r="I260">
        <f>IF(E260="","",E260/100*XLOOKUP(XLOOKUP(C260,Portions!$A:$A,Portions!$B:$B),FoodItems!$A:$A,FoodItems!$E:$E))</f>
        <v/>
      </c>
    </row>
    <row r="261">
      <c r="E261">
        <f>IF(C261="","",D261*XLOOKUP(C261,Portions!$A:$A,Portions!$D:$D))</f>
        <v/>
      </c>
      <c r="F261">
        <f>IF(E261="","",E261/100*XLOOKUP(XLOOKUP(C261,Portions!$A:$A,Portions!$B:$B),FoodItems!$A:$A,FoodItems!$B:$B))</f>
        <v/>
      </c>
      <c r="G261">
        <f>IF(E261="","",E261/100*XLOOKUP(XLOOKUP(C261,Portions!$A:$A,Portions!$B:$B),FoodItems!$A:$A,FoodItems!$C:$C))</f>
        <v/>
      </c>
      <c r="H261">
        <f>IF(E261="","",E261/100*XLOOKUP(XLOOKUP(C261,Portions!$A:$A,Portions!$B:$B),FoodItems!$A:$A,FoodItems!$D:$D))</f>
        <v/>
      </c>
      <c r="I261">
        <f>IF(E261="","",E261/100*XLOOKUP(XLOOKUP(C261,Portions!$A:$A,Portions!$B:$B),FoodItems!$A:$A,FoodItems!$E:$E))</f>
        <v/>
      </c>
    </row>
    <row r="262">
      <c r="E262">
        <f>IF(C262="","",D262*XLOOKUP(C262,Portions!$A:$A,Portions!$D:$D))</f>
        <v/>
      </c>
      <c r="F262">
        <f>IF(E262="","",E262/100*XLOOKUP(XLOOKUP(C262,Portions!$A:$A,Portions!$B:$B),FoodItems!$A:$A,FoodItems!$B:$B))</f>
        <v/>
      </c>
      <c r="G262">
        <f>IF(E262="","",E262/100*XLOOKUP(XLOOKUP(C262,Portions!$A:$A,Portions!$B:$B),FoodItems!$A:$A,FoodItems!$C:$C))</f>
        <v/>
      </c>
      <c r="H262">
        <f>IF(E262="","",E262/100*XLOOKUP(XLOOKUP(C262,Portions!$A:$A,Portions!$B:$B),FoodItems!$A:$A,FoodItems!$D:$D))</f>
        <v/>
      </c>
      <c r="I262">
        <f>IF(E262="","",E262/100*XLOOKUP(XLOOKUP(C262,Portions!$A:$A,Portions!$B:$B),FoodItems!$A:$A,FoodItems!$E:$E))</f>
        <v/>
      </c>
    </row>
    <row r="263">
      <c r="E263">
        <f>IF(C263="","",D263*XLOOKUP(C263,Portions!$A:$A,Portions!$D:$D))</f>
        <v/>
      </c>
      <c r="F263">
        <f>IF(E263="","",E263/100*XLOOKUP(XLOOKUP(C263,Portions!$A:$A,Portions!$B:$B),FoodItems!$A:$A,FoodItems!$B:$B))</f>
        <v/>
      </c>
      <c r="G263">
        <f>IF(E263="","",E263/100*XLOOKUP(XLOOKUP(C263,Portions!$A:$A,Portions!$B:$B),FoodItems!$A:$A,FoodItems!$C:$C))</f>
        <v/>
      </c>
      <c r="H263">
        <f>IF(E263="","",E263/100*XLOOKUP(XLOOKUP(C263,Portions!$A:$A,Portions!$B:$B),FoodItems!$A:$A,FoodItems!$D:$D))</f>
        <v/>
      </c>
      <c r="I263">
        <f>IF(E263="","",E263/100*XLOOKUP(XLOOKUP(C263,Portions!$A:$A,Portions!$B:$B),FoodItems!$A:$A,FoodItems!$E:$E))</f>
        <v/>
      </c>
    </row>
    <row r="264">
      <c r="E264">
        <f>IF(C264="","",D264*XLOOKUP(C264,Portions!$A:$A,Portions!$D:$D))</f>
        <v/>
      </c>
      <c r="F264">
        <f>IF(E264="","",E264/100*XLOOKUP(XLOOKUP(C264,Portions!$A:$A,Portions!$B:$B),FoodItems!$A:$A,FoodItems!$B:$B))</f>
        <v/>
      </c>
      <c r="G264">
        <f>IF(E264="","",E264/100*XLOOKUP(XLOOKUP(C264,Portions!$A:$A,Portions!$B:$B),FoodItems!$A:$A,FoodItems!$C:$C))</f>
        <v/>
      </c>
      <c r="H264">
        <f>IF(E264="","",E264/100*XLOOKUP(XLOOKUP(C264,Portions!$A:$A,Portions!$B:$B),FoodItems!$A:$A,FoodItems!$D:$D))</f>
        <v/>
      </c>
      <c r="I264">
        <f>IF(E264="","",E264/100*XLOOKUP(XLOOKUP(C264,Portions!$A:$A,Portions!$B:$B),FoodItems!$A:$A,FoodItems!$E:$E))</f>
        <v/>
      </c>
    </row>
    <row r="265">
      <c r="E265">
        <f>IF(C265="","",D265*XLOOKUP(C265,Portions!$A:$A,Portions!$D:$D))</f>
        <v/>
      </c>
      <c r="F265">
        <f>IF(E265="","",E265/100*XLOOKUP(XLOOKUP(C265,Portions!$A:$A,Portions!$B:$B),FoodItems!$A:$A,FoodItems!$B:$B))</f>
        <v/>
      </c>
      <c r="G265">
        <f>IF(E265="","",E265/100*XLOOKUP(XLOOKUP(C265,Portions!$A:$A,Portions!$B:$B),FoodItems!$A:$A,FoodItems!$C:$C))</f>
        <v/>
      </c>
      <c r="H265">
        <f>IF(E265="","",E265/100*XLOOKUP(XLOOKUP(C265,Portions!$A:$A,Portions!$B:$B),FoodItems!$A:$A,FoodItems!$D:$D))</f>
        <v/>
      </c>
      <c r="I265">
        <f>IF(E265="","",E265/100*XLOOKUP(XLOOKUP(C265,Portions!$A:$A,Portions!$B:$B),FoodItems!$A:$A,FoodItems!$E:$E))</f>
        <v/>
      </c>
    </row>
    <row r="266">
      <c r="E266">
        <f>IF(C266="","",D266*XLOOKUP(C266,Portions!$A:$A,Portions!$D:$D))</f>
        <v/>
      </c>
      <c r="F266">
        <f>IF(E266="","",E266/100*XLOOKUP(XLOOKUP(C266,Portions!$A:$A,Portions!$B:$B),FoodItems!$A:$A,FoodItems!$B:$B))</f>
        <v/>
      </c>
      <c r="G266">
        <f>IF(E266="","",E266/100*XLOOKUP(XLOOKUP(C266,Portions!$A:$A,Portions!$B:$B),FoodItems!$A:$A,FoodItems!$C:$C))</f>
        <v/>
      </c>
      <c r="H266">
        <f>IF(E266="","",E266/100*XLOOKUP(XLOOKUP(C266,Portions!$A:$A,Portions!$B:$B),FoodItems!$A:$A,FoodItems!$D:$D))</f>
        <v/>
      </c>
      <c r="I266">
        <f>IF(E266="","",E266/100*XLOOKUP(XLOOKUP(C266,Portions!$A:$A,Portions!$B:$B),FoodItems!$A:$A,FoodItems!$E:$E))</f>
        <v/>
      </c>
    </row>
    <row r="267">
      <c r="E267">
        <f>IF(C267="","",D267*XLOOKUP(C267,Portions!$A:$A,Portions!$D:$D))</f>
        <v/>
      </c>
      <c r="F267">
        <f>IF(E267="","",E267/100*XLOOKUP(XLOOKUP(C267,Portions!$A:$A,Portions!$B:$B),FoodItems!$A:$A,FoodItems!$B:$B))</f>
        <v/>
      </c>
      <c r="G267">
        <f>IF(E267="","",E267/100*XLOOKUP(XLOOKUP(C267,Portions!$A:$A,Portions!$B:$B),FoodItems!$A:$A,FoodItems!$C:$C))</f>
        <v/>
      </c>
      <c r="H267">
        <f>IF(E267="","",E267/100*XLOOKUP(XLOOKUP(C267,Portions!$A:$A,Portions!$B:$B),FoodItems!$A:$A,FoodItems!$D:$D))</f>
        <v/>
      </c>
      <c r="I267">
        <f>IF(E267="","",E267/100*XLOOKUP(XLOOKUP(C267,Portions!$A:$A,Portions!$B:$B),FoodItems!$A:$A,FoodItems!$E:$E))</f>
        <v/>
      </c>
    </row>
    <row r="268">
      <c r="E268">
        <f>IF(C268="","",D268*XLOOKUP(C268,Portions!$A:$A,Portions!$D:$D))</f>
        <v/>
      </c>
      <c r="F268">
        <f>IF(E268="","",E268/100*XLOOKUP(XLOOKUP(C268,Portions!$A:$A,Portions!$B:$B),FoodItems!$A:$A,FoodItems!$B:$B))</f>
        <v/>
      </c>
      <c r="G268">
        <f>IF(E268="","",E268/100*XLOOKUP(XLOOKUP(C268,Portions!$A:$A,Portions!$B:$B),FoodItems!$A:$A,FoodItems!$C:$C))</f>
        <v/>
      </c>
      <c r="H268">
        <f>IF(E268="","",E268/100*XLOOKUP(XLOOKUP(C268,Portions!$A:$A,Portions!$B:$B),FoodItems!$A:$A,FoodItems!$D:$D))</f>
        <v/>
      </c>
      <c r="I268">
        <f>IF(E268="","",E268/100*XLOOKUP(XLOOKUP(C268,Portions!$A:$A,Portions!$B:$B),FoodItems!$A:$A,FoodItems!$E:$E))</f>
        <v/>
      </c>
    </row>
    <row r="269">
      <c r="E269">
        <f>IF(C269="","",D269*XLOOKUP(C269,Portions!$A:$A,Portions!$D:$D))</f>
        <v/>
      </c>
      <c r="F269">
        <f>IF(E269="","",E269/100*XLOOKUP(XLOOKUP(C269,Portions!$A:$A,Portions!$B:$B),FoodItems!$A:$A,FoodItems!$B:$B))</f>
        <v/>
      </c>
      <c r="G269">
        <f>IF(E269="","",E269/100*XLOOKUP(XLOOKUP(C269,Portions!$A:$A,Portions!$B:$B),FoodItems!$A:$A,FoodItems!$C:$C))</f>
        <v/>
      </c>
      <c r="H269">
        <f>IF(E269="","",E269/100*XLOOKUP(XLOOKUP(C269,Portions!$A:$A,Portions!$B:$B),FoodItems!$A:$A,FoodItems!$D:$D))</f>
        <v/>
      </c>
      <c r="I269">
        <f>IF(E269="","",E269/100*XLOOKUP(XLOOKUP(C269,Portions!$A:$A,Portions!$B:$B),FoodItems!$A:$A,FoodItems!$E:$E))</f>
        <v/>
      </c>
    </row>
    <row r="270">
      <c r="E270">
        <f>IF(C270="","",D270*XLOOKUP(C270,Portions!$A:$A,Portions!$D:$D))</f>
        <v/>
      </c>
      <c r="F270">
        <f>IF(E270="","",E270/100*XLOOKUP(XLOOKUP(C270,Portions!$A:$A,Portions!$B:$B),FoodItems!$A:$A,FoodItems!$B:$B))</f>
        <v/>
      </c>
      <c r="G270">
        <f>IF(E270="","",E270/100*XLOOKUP(XLOOKUP(C270,Portions!$A:$A,Portions!$B:$B),FoodItems!$A:$A,FoodItems!$C:$C))</f>
        <v/>
      </c>
      <c r="H270">
        <f>IF(E270="","",E270/100*XLOOKUP(XLOOKUP(C270,Portions!$A:$A,Portions!$B:$B),FoodItems!$A:$A,FoodItems!$D:$D))</f>
        <v/>
      </c>
      <c r="I270">
        <f>IF(E270="","",E270/100*XLOOKUP(XLOOKUP(C270,Portions!$A:$A,Portions!$B:$B),FoodItems!$A:$A,FoodItems!$E:$E))</f>
        <v/>
      </c>
    </row>
    <row r="271">
      <c r="E271">
        <f>IF(C271="","",D271*XLOOKUP(C271,Portions!$A:$A,Portions!$D:$D))</f>
        <v/>
      </c>
      <c r="F271">
        <f>IF(E271="","",E271/100*XLOOKUP(XLOOKUP(C271,Portions!$A:$A,Portions!$B:$B),FoodItems!$A:$A,FoodItems!$B:$B))</f>
        <v/>
      </c>
      <c r="G271">
        <f>IF(E271="","",E271/100*XLOOKUP(XLOOKUP(C271,Portions!$A:$A,Portions!$B:$B),FoodItems!$A:$A,FoodItems!$C:$C))</f>
        <v/>
      </c>
      <c r="H271">
        <f>IF(E271="","",E271/100*XLOOKUP(XLOOKUP(C271,Portions!$A:$A,Portions!$B:$B),FoodItems!$A:$A,FoodItems!$D:$D))</f>
        <v/>
      </c>
      <c r="I271">
        <f>IF(E271="","",E271/100*XLOOKUP(XLOOKUP(C271,Portions!$A:$A,Portions!$B:$B),FoodItems!$A:$A,FoodItems!$E:$E))</f>
        <v/>
      </c>
    </row>
    <row r="272">
      <c r="E272">
        <f>IF(C272="","",D272*XLOOKUP(C272,Portions!$A:$A,Portions!$D:$D))</f>
        <v/>
      </c>
      <c r="F272">
        <f>IF(E272="","",E272/100*XLOOKUP(XLOOKUP(C272,Portions!$A:$A,Portions!$B:$B),FoodItems!$A:$A,FoodItems!$B:$B))</f>
        <v/>
      </c>
      <c r="G272">
        <f>IF(E272="","",E272/100*XLOOKUP(XLOOKUP(C272,Portions!$A:$A,Portions!$B:$B),FoodItems!$A:$A,FoodItems!$C:$C))</f>
        <v/>
      </c>
      <c r="H272">
        <f>IF(E272="","",E272/100*XLOOKUP(XLOOKUP(C272,Portions!$A:$A,Portions!$B:$B),FoodItems!$A:$A,FoodItems!$D:$D))</f>
        <v/>
      </c>
      <c r="I272">
        <f>IF(E272="","",E272/100*XLOOKUP(XLOOKUP(C272,Portions!$A:$A,Portions!$B:$B),FoodItems!$A:$A,FoodItems!$E:$E))</f>
        <v/>
      </c>
    </row>
    <row r="273">
      <c r="E273">
        <f>IF(C273="","",D273*XLOOKUP(C273,Portions!$A:$A,Portions!$D:$D))</f>
        <v/>
      </c>
      <c r="F273">
        <f>IF(E273="","",E273/100*XLOOKUP(XLOOKUP(C273,Portions!$A:$A,Portions!$B:$B),FoodItems!$A:$A,FoodItems!$B:$B))</f>
        <v/>
      </c>
      <c r="G273">
        <f>IF(E273="","",E273/100*XLOOKUP(XLOOKUP(C273,Portions!$A:$A,Portions!$B:$B),FoodItems!$A:$A,FoodItems!$C:$C))</f>
        <v/>
      </c>
      <c r="H273">
        <f>IF(E273="","",E273/100*XLOOKUP(XLOOKUP(C273,Portions!$A:$A,Portions!$B:$B),FoodItems!$A:$A,FoodItems!$D:$D))</f>
        <v/>
      </c>
      <c r="I273">
        <f>IF(E273="","",E273/100*XLOOKUP(XLOOKUP(C273,Portions!$A:$A,Portions!$B:$B),FoodItems!$A:$A,FoodItems!$E:$E))</f>
        <v/>
      </c>
    </row>
    <row r="274">
      <c r="E274">
        <f>IF(C274="","",D274*XLOOKUP(C274,Portions!$A:$A,Portions!$D:$D))</f>
        <v/>
      </c>
      <c r="F274">
        <f>IF(E274="","",E274/100*XLOOKUP(XLOOKUP(C274,Portions!$A:$A,Portions!$B:$B),FoodItems!$A:$A,FoodItems!$B:$B))</f>
        <v/>
      </c>
      <c r="G274">
        <f>IF(E274="","",E274/100*XLOOKUP(XLOOKUP(C274,Portions!$A:$A,Portions!$B:$B),FoodItems!$A:$A,FoodItems!$C:$C))</f>
        <v/>
      </c>
      <c r="H274">
        <f>IF(E274="","",E274/100*XLOOKUP(XLOOKUP(C274,Portions!$A:$A,Portions!$B:$B),FoodItems!$A:$A,FoodItems!$D:$D))</f>
        <v/>
      </c>
      <c r="I274">
        <f>IF(E274="","",E274/100*XLOOKUP(XLOOKUP(C274,Portions!$A:$A,Portions!$B:$B),FoodItems!$A:$A,FoodItems!$E:$E))</f>
        <v/>
      </c>
    </row>
    <row r="275">
      <c r="E275">
        <f>IF(C275="","",D275*XLOOKUP(C275,Portions!$A:$A,Portions!$D:$D))</f>
        <v/>
      </c>
      <c r="F275">
        <f>IF(E275="","",E275/100*XLOOKUP(XLOOKUP(C275,Portions!$A:$A,Portions!$B:$B),FoodItems!$A:$A,FoodItems!$B:$B))</f>
        <v/>
      </c>
      <c r="G275">
        <f>IF(E275="","",E275/100*XLOOKUP(XLOOKUP(C275,Portions!$A:$A,Portions!$B:$B),FoodItems!$A:$A,FoodItems!$C:$C))</f>
        <v/>
      </c>
      <c r="H275">
        <f>IF(E275="","",E275/100*XLOOKUP(XLOOKUP(C275,Portions!$A:$A,Portions!$B:$B),FoodItems!$A:$A,FoodItems!$D:$D))</f>
        <v/>
      </c>
      <c r="I275">
        <f>IF(E275="","",E275/100*XLOOKUP(XLOOKUP(C275,Portions!$A:$A,Portions!$B:$B),FoodItems!$A:$A,FoodItems!$E:$E))</f>
        <v/>
      </c>
    </row>
    <row r="276">
      <c r="E276">
        <f>IF(C276="","",D276*XLOOKUP(C276,Portions!$A:$A,Portions!$D:$D))</f>
        <v/>
      </c>
      <c r="F276">
        <f>IF(E276="","",E276/100*XLOOKUP(XLOOKUP(C276,Portions!$A:$A,Portions!$B:$B),FoodItems!$A:$A,FoodItems!$B:$B))</f>
        <v/>
      </c>
      <c r="G276">
        <f>IF(E276="","",E276/100*XLOOKUP(XLOOKUP(C276,Portions!$A:$A,Portions!$B:$B),FoodItems!$A:$A,FoodItems!$C:$C))</f>
        <v/>
      </c>
      <c r="H276">
        <f>IF(E276="","",E276/100*XLOOKUP(XLOOKUP(C276,Portions!$A:$A,Portions!$B:$B),FoodItems!$A:$A,FoodItems!$D:$D))</f>
        <v/>
      </c>
      <c r="I276">
        <f>IF(E276="","",E276/100*XLOOKUP(XLOOKUP(C276,Portions!$A:$A,Portions!$B:$B),FoodItems!$A:$A,FoodItems!$E:$E))</f>
        <v/>
      </c>
    </row>
    <row r="277">
      <c r="E277">
        <f>IF(C277="","",D277*XLOOKUP(C277,Portions!$A:$A,Portions!$D:$D))</f>
        <v/>
      </c>
      <c r="F277">
        <f>IF(E277="","",E277/100*XLOOKUP(XLOOKUP(C277,Portions!$A:$A,Portions!$B:$B),FoodItems!$A:$A,FoodItems!$B:$B))</f>
        <v/>
      </c>
      <c r="G277">
        <f>IF(E277="","",E277/100*XLOOKUP(XLOOKUP(C277,Portions!$A:$A,Portions!$B:$B),FoodItems!$A:$A,FoodItems!$C:$C))</f>
        <v/>
      </c>
      <c r="H277">
        <f>IF(E277="","",E277/100*XLOOKUP(XLOOKUP(C277,Portions!$A:$A,Portions!$B:$B),FoodItems!$A:$A,FoodItems!$D:$D))</f>
        <v/>
      </c>
      <c r="I277">
        <f>IF(E277="","",E277/100*XLOOKUP(XLOOKUP(C277,Portions!$A:$A,Portions!$B:$B),FoodItems!$A:$A,FoodItems!$E:$E))</f>
        <v/>
      </c>
    </row>
    <row r="278">
      <c r="E278">
        <f>IF(C278="","",D278*XLOOKUP(C278,Portions!$A:$A,Portions!$D:$D))</f>
        <v/>
      </c>
      <c r="F278">
        <f>IF(E278="","",E278/100*XLOOKUP(XLOOKUP(C278,Portions!$A:$A,Portions!$B:$B),FoodItems!$A:$A,FoodItems!$B:$B))</f>
        <v/>
      </c>
      <c r="G278">
        <f>IF(E278="","",E278/100*XLOOKUP(XLOOKUP(C278,Portions!$A:$A,Portions!$B:$B),FoodItems!$A:$A,FoodItems!$C:$C))</f>
        <v/>
      </c>
      <c r="H278">
        <f>IF(E278="","",E278/100*XLOOKUP(XLOOKUP(C278,Portions!$A:$A,Portions!$B:$B),FoodItems!$A:$A,FoodItems!$D:$D))</f>
        <v/>
      </c>
      <c r="I278">
        <f>IF(E278="","",E278/100*XLOOKUP(XLOOKUP(C278,Portions!$A:$A,Portions!$B:$B),FoodItems!$A:$A,FoodItems!$E:$E))</f>
        <v/>
      </c>
    </row>
    <row r="279">
      <c r="E279">
        <f>IF(C279="","",D279*XLOOKUP(C279,Portions!$A:$A,Portions!$D:$D))</f>
        <v/>
      </c>
      <c r="F279">
        <f>IF(E279="","",E279/100*XLOOKUP(XLOOKUP(C279,Portions!$A:$A,Portions!$B:$B),FoodItems!$A:$A,FoodItems!$B:$B))</f>
        <v/>
      </c>
      <c r="G279">
        <f>IF(E279="","",E279/100*XLOOKUP(XLOOKUP(C279,Portions!$A:$A,Portions!$B:$B),FoodItems!$A:$A,FoodItems!$C:$C))</f>
        <v/>
      </c>
      <c r="H279">
        <f>IF(E279="","",E279/100*XLOOKUP(XLOOKUP(C279,Portions!$A:$A,Portions!$B:$B),FoodItems!$A:$A,FoodItems!$D:$D))</f>
        <v/>
      </c>
      <c r="I279">
        <f>IF(E279="","",E279/100*XLOOKUP(XLOOKUP(C279,Portions!$A:$A,Portions!$B:$B),FoodItems!$A:$A,FoodItems!$E:$E))</f>
        <v/>
      </c>
    </row>
    <row r="280">
      <c r="E280">
        <f>IF(C280="","",D280*XLOOKUP(C280,Portions!$A:$A,Portions!$D:$D))</f>
        <v/>
      </c>
      <c r="F280">
        <f>IF(E280="","",E280/100*XLOOKUP(XLOOKUP(C280,Portions!$A:$A,Portions!$B:$B),FoodItems!$A:$A,FoodItems!$B:$B))</f>
        <v/>
      </c>
      <c r="G280">
        <f>IF(E280="","",E280/100*XLOOKUP(XLOOKUP(C280,Portions!$A:$A,Portions!$B:$B),FoodItems!$A:$A,FoodItems!$C:$C))</f>
        <v/>
      </c>
      <c r="H280">
        <f>IF(E280="","",E280/100*XLOOKUP(XLOOKUP(C280,Portions!$A:$A,Portions!$B:$B),FoodItems!$A:$A,FoodItems!$D:$D))</f>
        <v/>
      </c>
      <c r="I280">
        <f>IF(E280="","",E280/100*XLOOKUP(XLOOKUP(C280,Portions!$A:$A,Portions!$B:$B),FoodItems!$A:$A,FoodItems!$E:$E))</f>
        <v/>
      </c>
    </row>
    <row r="281">
      <c r="E281">
        <f>IF(C281="","",D281*XLOOKUP(C281,Portions!$A:$A,Portions!$D:$D))</f>
        <v/>
      </c>
      <c r="F281">
        <f>IF(E281="","",E281/100*XLOOKUP(XLOOKUP(C281,Portions!$A:$A,Portions!$B:$B),FoodItems!$A:$A,FoodItems!$B:$B))</f>
        <v/>
      </c>
      <c r="G281">
        <f>IF(E281="","",E281/100*XLOOKUP(XLOOKUP(C281,Portions!$A:$A,Portions!$B:$B),FoodItems!$A:$A,FoodItems!$C:$C))</f>
        <v/>
      </c>
      <c r="H281">
        <f>IF(E281="","",E281/100*XLOOKUP(XLOOKUP(C281,Portions!$A:$A,Portions!$B:$B),FoodItems!$A:$A,FoodItems!$D:$D))</f>
        <v/>
      </c>
      <c r="I281">
        <f>IF(E281="","",E281/100*XLOOKUP(XLOOKUP(C281,Portions!$A:$A,Portions!$B:$B),FoodItems!$A:$A,FoodItems!$E:$E))</f>
        <v/>
      </c>
    </row>
    <row r="282">
      <c r="E282">
        <f>IF(C282="","",D282*XLOOKUP(C282,Portions!$A:$A,Portions!$D:$D))</f>
        <v/>
      </c>
      <c r="F282">
        <f>IF(E282="","",E282/100*XLOOKUP(XLOOKUP(C282,Portions!$A:$A,Portions!$B:$B),FoodItems!$A:$A,FoodItems!$B:$B))</f>
        <v/>
      </c>
      <c r="G282">
        <f>IF(E282="","",E282/100*XLOOKUP(XLOOKUP(C282,Portions!$A:$A,Portions!$B:$B),FoodItems!$A:$A,FoodItems!$C:$C))</f>
        <v/>
      </c>
      <c r="H282">
        <f>IF(E282="","",E282/100*XLOOKUP(XLOOKUP(C282,Portions!$A:$A,Portions!$B:$B),FoodItems!$A:$A,FoodItems!$D:$D))</f>
        <v/>
      </c>
      <c r="I282">
        <f>IF(E282="","",E282/100*XLOOKUP(XLOOKUP(C282,Portions!$A:$A,Portions!$B:$B),FoodItems!$A:$A,FoodItems!$E:$E))</f>
        <v/>
      </c>
    </row>
    <row r="283">
      <c r="E283">
        <f>IF(C283="","",D283*XLOOKUP(C283,Portions!$A:$A,Portions!$D:$D))</f>
        <v/>
      </c>
      <c r="F283">
        <f>IF(E283="","",E283/100*XLOOKUP(XLOOKUP(C283,Portions!$A:$A,Portions!$B:$B),FoodItems!$A:$A,FoodItems!$B:$B))</f>
        <v/>
      </c>
      <c r="G283">
        <f>IF(E283="","",E283/100*XLOOKUP(XLOOKUP(C283,Portions!$A:$A,Portions!$B:$B),FoodItems!$A:$A,FoodItems!$C:$C))</f>
        <v/>
      </c>
      <c r="H283">
        <f>IF(E283="","",E283/100*XLOOKUP(XLOOKUP(C283,Portions!$A:$A,Portions!$B:$B),FoodItems!$A:$A,FoodItems!$D:$D))</f>
        <v/>
      </c>
      <c r="I283">
        <f>IF(E283="","",E283/100*XLOOKUP(XLOOKUP(C283,Portions!$A:$A,Portions!$B:$B),FoodItems!$A:$A,FoodItems!$E:$E))</f>
        <v/>
      </c>
    </row>
    <row r="284">
      <c r="E284">
        <f>IF(C284="","",D284*XLOOKUP(C284,Portions!$A:$A,Portions!$D:$D))</f>
        <v/>
      </c>
      <c r="F284">
        <f>IF(E284="","",E284/100*XLOOKUP(XLOOKUP(C284,Portions!$A:$A,Portions!$B:$B),FoodItems!$A:$A,FoodItems!$B:$B))</f>
        <v/>
      </c>
      <c r="G284">
        <f>IF(E284="","",E284/100*XLOOKUP(XLOOKUP(C284,Portions!$A:$A,Portions!$B:$B),FoodItems!$A:$A,FoodItems!$C:$C))</f>
        <v/>
      </c>
      <c r="H284">
        <f>IF(E284="","",E284/100*XLOOKUP(XLOOKUP(C284,Portions!$A:$A,Portions!$B:$B),FoodItems!$A:$A,FoodItems!$D:$D))</f>
        <v/>
      </c>
      <c r="I284">
        <f>IF(E284="","",E284/100*XLOOKUP(XLOOKUP(C284,Portions!$A:$A,Portions!$B:$B),FoodItems!$A:$A,FoodItems!$E:$E))</f>
        <v/>
      </c>
    </row>
    <row r="285">
      <c r="E285">
        <f>IF(C285="","",D285*XLOOKUP(C285,Portions!$A:$A,Portions!$D:$D))</f>
        <v/>
      </c>
      <c r="F285">
        <f>IF(E285="","",E285/100*XLOOKUP(XLOOKUP(C285,Portions!$A:$A,Portions!$B:$B),FoodItems!$A:$A,FoodItems!$B:$B))</f>
        <v/>
      </c>
      <c r="G285">
        <f>IF(E285="","",E285/100*XLOOKUP(XLOOKUP(C285,Portions!$A:$A,Portions!$B:$B),FoodItems!$A:$A,FoodItems!$C:$C))</f>
        <v/>
      </c>
      <c r="H285">
        <f>IF(E285="","",E285/100*XLOOKUP(XLOOKUP(C285,Portions!$A:$A,Portions!$B:$B),FoodItems!$A:$A,FoodItems!$D:$D))</f>
        <v/>
      </c>
      <c r="I285">
        <f>IF(E285="","",E285/100*XLOOKUP(XLOOKUP(C285,Portions!$A:$A,Portions!$B:$B),FoodItems!$A:$A,FoodItems!$E:$E))</f>
        <v/>
      </c>
    </row>
    <row r="286">
      <c r="E286">
        <f>IF(C286="","",D286*XLOOKUP(C286,Portions!$A:$A,Portions!$D:$D))</f>
        <v/>
      </c>
      <c r="F286">
        <f>IF(E286="","",E286/100*XLOOKUP(XLOOKUP(C286,Portions!$A:$A,Portions!$B:$B),FoodItems!$A:$A,FoodItems!$B:$B))</f>
        <v/>
      </c>
      <c r="G286">
        <f>IF(E286="","",E286/100*XLOOKUP(XLOOKUP(C286,Portions!$A:$A,Portions!$B:$B),FoodItems!$A:$A,FoodItems!$C:$C))</f>
        <v/>
      </c>
      <c r="H286">
        <f>IF(E286="","",E286/100*XLOOKUP(XLOOKUP(C286,Portions!$A:$A,Portions!$B:$B),FoodItems!$A:$A,FoodItems!$D:$D))</f>
        <v/>
      </c>
      <c r="I286">
        <f>IF(E286="","",E286/100*XLOOKUP(XLOOKUP(C286,Portions!$A:$A,Portions!$B:$B),FoodItems!$A:$A,FoodItems!$E:$E))</f>
        <v/>
      </c>
    </row>
    <row r="287">
      <c r="E287">
        <f>IF(C287="","",D287*XLOOKUP(C287,Portions!$A:$A,Portions!$D:$D))</f>
        <v/>
      </c>
      <c r="F287">
        <f>IF(E287="","",E287/100*XLOOKUP(XLOOKUP(C287,Portions!$A:$A,Portions!$B:$B),FoodItems!$A:$A,FoodItems!$B:$B))</f>
        <v/>
      </c>
      <c r="G287">
        <f>IF(E287="","",E287/100*XLOOKUP(XLOOKUP(C287,Portions!$A:$A,Portions!$B:$B),FoodItems!$A:$A,FoodItems!$C:$C))</f>
        <v/>
      </c>
      <c r="H287">
        <f>IF(E287="","",E287/100*XLOOKUP(XLOOKUP(C287,Portions!$A:$A,Portions!$B:$B),FoodItems!$A:$A,FoodItems!$D:$D))</f>
        <v/>
      </c>
      <c r="I287">
        <f>IF(E287="","",E287/100*XLOOKUP(XLOOKUP(C287,Portions!$A:$A,Portions!$B:$B),FoodItems!$A:$A,FoodItems!$E:$E))</f>
        <v/>
      </c>
    </row>
    <row r="288">
      <c r="E288">
        <f>IF(C288="","",D288*XLOOKUP(C288,Portions!$A:$A,Portions!$D:$D))</f>
        <v/>
      </c>
      <c r="F288">
        <f>IF(E288="","",E288/100*XLOOKUP(XLOOKUP(C288,Portions!$A:$A,Portions!$B:$B),FoodItems!$A:$A,FoodItems!$B:$B))</f>
        <v/>
      </c>
      <c r="G288">
        <f>IF(E288="","",E288/100*XLOOKUP(XLOOKUP(C288,Portions!$A:$A,Portions!$B:$B),FoodItems!$A:$A,FoodItems!$C:$C))</f>
        <v/>
      </c>
      <c r="H288">
        <f>IF(E288="","",E288/100*XLOOKUP(XLOOKUP(C288,Portions!$A:$A,Portions!$B:$B),FoodItems!$A:$A,FoodItems!$D:$D))</f>
        <v/>
      </c>
      <c r="I288">
        <f>IF(E288="","",E288/100*XLOOKUP(XLOOKUP(C288,Portions!$A:$A,Portions!$B:$B),FoodItems!$A:$A,FoodItems!$E:$E))</f>
        <v/>
      </c>
    </row>
    <row r="289">
      <c r="E289">
        <f>IF(C289="","",D289*XLOOKUP(C289,Portions!$A:$A,Portions!$D:$D))</f>
        <v/>
      </c>
      <c r="F289">
        <f>IF(E289="","",E289/100*XLOOKUP(XLOOKUP(C289,Portions!$A:$A,Portions!$B:$B),FoodItems!$A:$A,FoodItems!$B:$B))</f>
        <v/>
      </c>
      <c r="G289">
        <f>IF(E289="","",E289/100*XLOOKUP(XLOOKUP(C289,Portions!$A:$A,Portions!$B:$B),FoodItems!$A:$A,FoodItems!$C:$C))</f>
        <v/>
      </c>
      <c r="H289">
        <f>IF(E289="","",E289/100*XLOOKUP(XLOOKUP(C289,Portions!$A:$A,Portions!$B:$B),FoodItems!$A:$A,FoodItems!$D:$D))</f>
        <v/>
      </c>
      <c r="I289">
        <f>IF(E289="","",E289/100*XLOOKUP(XLOOKUP(C289,Portions!$A:$A,Portions!$B:$B),FoodItems!$A:$A,FoodItems!$E:$E))</f>
        <v/>
      </c>
    </row>
    <row r="290">
      <c r="E290">
        <f>IF(C290="","",D290*XLOOKUP(C290,Portions!$A:$A,Portions!$D:$D))</f>
        <v/>
      </c>
      <c r="F290">
        <f>IF(E290="","",E290/100*XLOOKUP(XLOOKUP(C290,Portions!$A:$A,Portions!$B:$B),FoodItems!$A:$A,FoodItems!$B:$B))</f>
        <v/>
      </c>
      <c r="G290">
        <f>IF(E290="","",E290/100*XLOOKUP(XLOOKUP(C290,Portions!$A:$A,Portions!$B:$B),FoodItems!$A:$A,FoodItems!$C:$C))</f>
        <v/>
      </c>
      <c r="H290">
        <f>IF(E290="","",E290/100*XLOOKUP(XLOOKUP(C290,Portions!$A:$A,Portions!$B:$B),FoodItems!$A:$A,FoodItems!$D:$D))</f>
        <v/>
      </c>
      <c r="I290">
        <f>IF(E290="","",E290/100*XLOOKUP(XLOOKUP(C290,Portions!$A:$A,Portions!$B:$B),FoodItems!$A:$A,FoodItems!$E:$E))</f>
        <v/>
      </c>
    </row>
    <row r="291">
      <c r="E291">
        <f>IF(C291="","",D291*XLOOKUP(C291,Portions!$A:$A,Portions!$D:$D))</f>
        <v/>
      </c>
      <c r="F291">
        <f>IF(E291="","",E291/100*XLOOKUP(XLOOKUP(C291,Portions!$A:$A,Portions!$B:$B),FoodItems!$A:$A,FoodItems!$B:$B))</f>
        <v/>
      </c>
      <c r="G291">
        <f>IF(E291="","",E291/100*XLOOKUP(XLOOKUP(C291,Portions!$A:$A,Portions!$B:$B),FoodItems!$A:$A,FoodItems!$C:$C))</f>
        <v/>
      </c>
      <c r="H291">
        <f>IF(E291="","",E291/100*XLOOKUP(XLOOKUP(C291,Portions!$A:$A,Portions!$B:$B),FoodItems!$A:$A,FoodItems!$D:$D))</f>
        <v/>
      </c>
      <c r="I291">
        <f>IF(E291="","",E291/100*XLOOKUP(XLOOKUP(C291,Portions!$A:$A,Portions!$B:$B),FoodItems!$A:$A,FoodItems!$E:$E))</f>
        <v/>
      </c>
    </row>
    <row r="292">
      <c r="E292">
        <f>IF(C292="","",D292*XLOOKUP(C292,Portions!$A:$A,Portions!$D:$D))</f>
        <v/>
      </c>
      <c r="F292">
        <f>IF(E292="","",E292/100*XLOOKUP(XLOOKUP(C292,Portions!$A:$A,Portions!$B:$B),FoodItems!$A:$A,FoodItems!$B:$B))</f>
        <v/>
      </c>
      <c r="G292">
        <f>IF(E292="","",E292/100*XLOOKUP(XLOOKUP(C292,Portions!$A:$A,Portions!$B:$B),FoodItems!$A:$A,FoodItems!$C:$C))</f>
        <v/>
      </c>
      <c r="H292">
        <f>IF(E292="","",E292/100*XLOOKUP(XLOOKUP(C292,Portions!$A:$A,Portions!$B:$B),FoodItems!$A:$A,FoodItems!$D:$D))</f>
        <v/>
      </c>
      <c r="I292">
        <f>IF(E292="","",E292/100*XLOOKUP(XLOOKUP(C292,Portions!$A:$A,Portions!$B:$B),FoodItems!$A:$A,FoodItems!$E:$E))</f>
        <v/>
      </c>
    </row>
    <row r="293">
      <c r="E293">
        <f>IF(C293="","",D293*XLOOKUP(C293,Portions!$A:$A,Portions!$D:$D))</f>
        <v/>
      </c>
      <c r="F293">
        <f>IF(E293="","",E293/100*XLOOKUP(XLOOKUP(C293,Portions!$A:$A,Portions!$B:$B),FoodItems!$A:$A,FoodItems!$B:$B))</f>
        <v/>
      </c>
      <c r="G293">
        <f>IF(E293="","",E293/100*XLOOKUP(XLOOKUP(C293,Portions!$A:$A,Portions!$B:$B),FoodItems!$A:$A,FoodItems!$C:$C))</f>
        <v/>
      </c>
      <c r="H293">
        <f>IF(E293="","",E293/100*XLOOKUP(XLOOKUP(C293,Portions!$A:$A,Portions!$B:$B),FoodItems!$A:$A,FoodItems!$D:$D))</f>
        <v/>
      </c>
      <c r="I293">
        <f>IF(E293="","",E293/100*XLOOKUP(XLOOKUP(C293,Portions!$A:$A,Portions!$B:$B),FoodItems!$A:$A,FoodItems!$E:$E))</f>
        <v/>
      </c>
    </row>
    <row r="294">
      <c r="E294">
        <f>IF(C294="","",D294*XLOOKUP(C294,Portions!$A:$A,Portions!$D:$D))</f>
        <v/>
      </c>
      <c r="F294">
        <f>IF(E294="","",E294/100*XLOOKUP(XLOOKUP(C294,Portions!$A:$A,Portions!$B:$B),FoodItems!$A:$A,FoodItems!$B:$B))</f>
        <v/>
      </c>
      <c r="G294">
        <f>IF(E294="","",E294/100*XLOOKUP(XLOOKUP(C294,Portions!$A:$A,Portions!$B:$B),FoodItems!$A:$A,FoodItems!$C:$C))</f>
        <v/>
      </c>
      <c r="H294">
        <f>IF(E294="","",E294/100*XLOOKUP(XLOOKUP(C294,Portions!$A:$A,Portions!$B:$B),FoodItems!$A:$A,FoodItems!$D:$D))</f>
        <v/>
      </c>
      <c r="I294">
        <f>IF(E294="","",E294/100*XLOOKUP(XLOOKUP(C294,Portions!$A:$A,Portions!$B:$B),FoodItems!$A:$A,FoodItems!$E:$E))</f>
        <v/>
      </c>
    </row>
    <row r="295">
      <c r="E295">
        <f>IF(C295="","",D295*XLOOKUP(C295,Portions!$A:$A,Portions!$D:$D))</f>
        <v/>
      </c>
      <c r="F295">
        <f>IF(E295="","",E295/100*XLOOKUP(XLOOKUP(C295,Portions!$A:$A,Portions!$B:$B),FoodItems!$A:$A,FoodItems!$B:$B))</f>
        <v/>
      </c>
      <c r="G295">
        <f>IF(E295="","",E295/100*XLOOKUP(XLOOKUP(C295,Portions!$A:$A,Portions!$B:$B),FoodItems!$A:$A,FoodItems!$C:$C))</f>
        <v/>
      </c>
      <c r="H295">
        <f>IF(E295="","",E295/100*XLOOKUP(XLOOKUP(C295,Portions!$A:$A,Portions!$B:$B),FoodItems!$A:$A,FoodItems!$D:$D))</f>
        <v/>
      </c>
      <c r="I295">
        <f>IF(E295="","",E295/100*XLOOKUP(XLOOKUP(C295,Portions!$A:$A,Portions!$B:$B),FoodItems!$A:$A,FoodItems!$E:$E))</f>
        <v/>
      </c>
    </row>
    <row r="296">
      <c r="E296">
        <f>IF(C296="","",D296*XLOOKUP(C296,Portions!$A:$A,Portions!$D:$D))</f>
        <v/>
      </c>
      <c r="F296">
        <f>IF(E296="","",E296/100*XLOOKUP(XLOOKUP(C296,Portions!$A:$A,Portions!$B:$B),FoodItems!$A:$A,FoodItems!$B:$B))</f>
        <v/>
      </c>
      <c r="G296">
        <f>IF(E296="","",E296/100*XLOOKUP(XLOOKUP(C296,Portions!$A:$A,Portions!$B:$B),FoodItems!$A:$A,FoodItems!$C:$C))</f>
        <v/>
      </c>
      <c r="H296">
        <f>IF(E296="","",E296/100*XLOOKUP(XLOOKUP(C296,Portions!$A:$A,Portions!$B:$B),FoodItems!$A:$A,FoodItems!$D:$D))</f>
        <v/>
      </c>
      <c r="I296">
        <f>IF(E296="","",E296/100*XLOOKUP(XLOOKUP(C296,Portions!$A:$A,Portions!$B:$B),FoodItems!$A:$A,FoodItems!$E:$E))</f>
        <v/>
      </c>
    </row>
    <row r="297">
      <c r="E297">
        <f>IF(C297="","",D297*XLOOKUP(C297,Portions!$A:$A,Portions!$D:$D))</f>
        <v/>
      </c>
      <c r="F297">
        <f>IF(E297="","",E297/100*XLOOKUP(XLOOKUP(C297,Portions!$A:$A,Portions!$B:$B),FoodItems!$A:$A,FoodItems!$B:$B))</f>
        <v/>
      </c>
      <c r="G297">
        <f>IF(E297="","",E297/100*XLOOKUP(XLOOKUP(C297,Portions!$A:$A,Portions!$B:$B),FoodItems!$A:$A,FoodItems!$C:$C))</f>
        <v/>
      </c>
      <c r="H297">
        <f>IF(E297="","",E297/100*XLOOKUP(XLOOKUP(C297,Portions!$A:$A,Portions!$B:$B),FoodItems!$A:$A,FoodItems!$D:$D))</f>
        <v/>
      </c>
      <c r="I297">
        <f>IF(E297="","",E297/100*XLOOKUP(XLOOKUP(C297,Portions!$A:$A,Portions!$B:$B),FoodItems!$A:$A,FoodItems!$E:$E))</f>
        <v/>
      </c>
    </row>
    <row r="298">
      <c r="E298">
        <f>IF(C298="","",D298*XLOOKUP(C298,Portions!$A:$A,Portions!$D:$D))</f>
        <v/>
      </c>
      <c r="F298">
        <f>IF(E298="","",E298/100*XLOOKUP(XLOOKUP(C298,Portions!$A:$A,Portions!$B:$B),FoodItems!$A:$A,FoodItems!$B:$B))</f>
        <v/>
      </c>
      <c r="G298">
        <f>IF(E298="","",E298/100*XLOOKUP(XLOOKUP(C298,Portions!$A:$A,Portions!$B:$B),FoodItems!$A:$A,FoodItems!$C:$C))</f>
        <v/>
      </c>
      <c r="H298">
        <f>IF(E298="","",E298/100*XLOOKUP(XLOOKUP(C298,Portions!$A:$A,Portions!$B:$B),FoodItems!$A:$A,FoodItems!$D:$D))</f>
        <v/>
      </c>
      <c r="I298">
        <f>IF(E298="","",E298/100*XLOOKUP(XLOOKUP(C298,Portions!$A:$A,Portions!$B:$B),FoodItems!$A:$A,FoodItems!$E:$E))</f>
        <v/>
      </c>
    </row>
    <row r="299">
      <c r="E299">
        <f>IF(C299="","",D299*XLOOKUP(C299,Portions!$A:$A,Portions!$D:$D))</f>
        <v/>
      </c>
      <c r="F299">
        <f>IF(E299="","",E299/100*XLOOKUP(XLOOKUP(C299,Portions!$A:$A,Portions!$B:$B),FoodItems!$A:$A,FoodItems!$B:$B))</f>
        <v/>
      </c>
      <c r="G299">
        <f>IF(E299="","",E299/100*XLOOKUP(XLOOKUP(C299,Portions!$A:$A,Portions!$B:$B),FoodItems!$A:$A,FoodItems!$C:$C))</f>
        <v/>
      </c>
      <c r="H299">
        <f>IF(E299="","",E299/100*XLOOKUP(XLOOKUP(C299,Portions!$A:$A,Portions!$B:$B),FoodItems!$A:$A,FoodItems!$D:$D))</f>
        <v/>
      </c>
      <c r="I299">
        <f>IF(E299="","",E299/100*XLOOKUP(XLOOKUP(C299,Portions!$A:$A,Portions!$B:$B),FoodItems!$A:$A,FoodItems!$E:$E))</f>
        <v/>
      </c>
    </row>
    <row r="300">
      <c r="E300">
        <f>IF(C300="","",D300*XLOOKUP(C300,Portions!$A:$A,Portions!$D:$D))</f>
        <v/>
      </c>
      <c r="F300">
        <f>IF(E300="","",E300/100*XLOOKUP(XLOOKUP(C300,Portions!$A:$A,Portions!$B:$B),FoodItems!$A:$A,FoodItems!$B:$B))</f>
        <v/>
      </c>
      <c r="G300">
        <f>IF(E300="","",E300/100*XLOOKUP(XLOOKUP(C300,Portions!$A:$A,Portions!$B:$B),FoodItems!$A:$A,FoodItems!$C:$C))</f>
        <v/>
      </c>
      <c r="H300">
        <f>IF(E300="","",E300/100*XLOOKUP(XLOOKUP(C300,Portions!$A:$A,Portions!$B:$B),FoodItems!$A:$A,FoodItems!$D:$D))</f>
        <v/>
      </c>
      <c r="I300">
        <f>IF(E300="","",E300/100*XLOOKUP(XLOOKUP(C300,Portions!$A:$A,Portions!$B:$B),FoodItems!$A:$A,FoodItems!$E:$E))</f>
        <v/>
      </c>
    </row>
    <row r="301">
      <c r="E301">
        <f>IF(C301="","",D301*XLOOKUP(C301,Portions!$A:$A,Portions!$D:$D))</f>
        <v/>
      </c>
      <c r="F301">
        <f>IF(E301="","",E301/100*XLOOKUP(XLOOKUP(C301,Portions!$A:$A,Portions!$B:$B),FoodItems!$A:$A,FoodItems!$B:$B))</f>
        <v/>
      </c>
      <c r="G301">
        <f>IF(E301="","",E301/100*XLOOKUP(XLOOKUP(C301,Portions!$A:$A,Portions!$B:$B),FoodItems!$A:$A,FoodItems!$C:$C))</f>
        <v/>
      </c>
      <c r="H301">
        <f>IF(E301="","",E301/100*XLOOKUP(XLOOKUP(C301,Portions!$A:$A,Portions!$B:$B),FoodItems!$A:$A,FoodItems!$D:$D))</f>
        <v/>
      </c>
      <c r="I301">
        <f>IF(E301="","",E301/100*XLOOKUP(XLOOKUP(C301,Portions!$A:$A,Portions!$B:$B),FoodItems!$A:$A,FoodItems!$E:$E))</f>
        <v/>
      </c>
    </row>
    <row r="302">
      <c r="E302">
        <f>IF(C302="","",D302*XLOOKUP(C302,Portions!$A:$A,Portions!$D:$D))</f>
        <v/>
      </c>
      <c r="F302">
        <f>IF(E302="","",E302/100*XLOOKUP(XLOOKUP(C302,Portions!$A:$A,Portions!$B:$B),FoodItems!$A:$A,FoodItems!$B:$B))</f>
        <v/>
      </c>
      <c r="G302">
        <f>IF(E302="","",E302/100*XLOOKUP(XLOOKUP(C302,Portions!$A:$A,Portions!$B:$B),FoodItems!$A:$A,FoodItems!$C:$C))</f>
        <v/>
      </c>
      <c r="H302">
        <f>IF(E302="","",E302/100*XLOOKUP(XLOOKUP(C302,Portions!$A:$A,Portions!$B:$B),FoodItems!$A:$A,FoodItems!$D:$D))</f>
        <v/>
      </c>
      <c r="I302">
        <f>IF(E302="","",E302/100*XLOOKUP(XLOOKUP(C302,Portions!$A:$A,Portions!$B:$B),FoodItems!$A:$A,FoodItems!$E:$E))</f>
        <v/>
      </c>
    </row>
    <row r="303">
      <c r="E303">
        <f>IF(C303="","",D303*XLOOKUP(C303,Portions!$A:$A,Portions!$D:$D))</f>
        <v/>
      </c>
      <c r="F303">
        <f>IF(E303="","",E303/100*XLOOKUP(XLOOKUP(C303,Portions!$A:$A,Portions!$B:$B),FoodItems!$A:$A,FoodItems!$B:$B))</f>
        <v/>
      </c>
      <c r="G303">
        <f>IF(E303="","",E303/100*XLOOKUP(XLOOKUP(C303,Portions!$A:$A,Portions!$B:$B),FoodItems!$A:$A,FoodItems!$C:$C))</f>
        <v/>
      </c>
      <c r="H303">
        <f>IF(E303="","",E303/100*XLOOKUP(XLOOKUP(C303,Portions!$A:$A,Portions!$B:$B),FoodItems!$A:$A,FoodItems!$D:$D))</f>
        <v/>
      </c>
      <c r="I303">
        <f>IF(E303="","",E303/100*XLOOKUP(XLOOKUP(C303,Portions!$A:$A,Portions!$B:$B),FoodItems!$A:$A,FoodItems!$E:$E))</f>
        <v/>
      </c>
    </row>
    <row r="304">
      <c r="E304">
        <f>IF(C304="","",D304*XLOOKUP(C304,Portions!$A:$A,Portions!$D:$D))</f>
        <v/>
      </c>
      <c r="F304">
        <f>IF(E304="","",E304/100*XLOOKUP(XLOOKUP(C304,Portions!$A:$A,Portions!$B:$B),FoodItems!$A:$A,FoodItems!$B:$B))</f>
        <v/>
      </c>
      <c r="G304">
        <f>IF(E304="","",E304/100*XLOOKUP(XLOOKUP(C304,Portions!$A:$A,Portions!$B:$B),FoodItems!$A:$A,FoodItems!$C:$C))</f>
        <v/>
      </c>
      <c r="H304">
        <f>IF(E304="","",E304/100*XLOOKUP(XLOOKUP(C304,Portions!$A:$A,Portions!$B:$B),FoodItems!$A:$A,FoodItems!$D:$D))</f>
        <v/>
      </c>
      <c r="I304">
        <f>IF(E304="","",E304/100*XLOOKUP(XLOOKUP(C304,Portions!$A:$A,Portions!$B:$B),FoodItems!$A:$A,FoodItems!$E:$E))</f>
        <v/>
      </c>
    </row>
    <row r="305">
      <c r="E305">
        <f>IF(C305="","",D305*XLOOKUP(C305,Portions!$A:$A,Portions!$D:$D))</f>
        <v/>
      </c>
      <c r="F305">
        <f>IF(E305="","",E305/100*XLOOKUP(XLOOKUP(C305,Portions!$A:$A,Portions!$B:$B),FoodItems!$A:$A,FoodItems!$B:$B))</f>
        <v/>
      </c>
      <c r="G305">
        <f>IF(E305="","",E305/100*XLOOKUP(XLOOKUP(C305,Portions!$A:$A,Portions!$B:$B),FoodItems!$A:$A,FoodItems!$C:$C))</f>
        <v/>
      </c>
      <c r="H305">
        <f>IF(E305="","",E305/100*XLOOKUP(XLOOKUP(C305,Portions!$A:$A,Portions!$B:$B),FoodItems!$A:$A,FoodItems!$D:$D))</f>
        <v/>
      </c>
      <c r="I305">
        <f>IF(E305="","",E305/100*XLOOKUP(XLOOKUP(C305,Portions!$A:$A,Portions!$B:$B),FoodItems!$A:$A,FoodItems!$E:$E))</f>
        <v/>
      </c>
    </row>
    <row r="306">
      <c r="E306">
        <f>IF(C306="","",D306*XLOOKUP(C306,Portions!$A:$A,Portions!$D:$D))</f>
        <v/>
      </c>
      <c r="F306">
        <f>IF(E306="","",E306/100*XLOOKUP(XLOOKUP(C306,Portions!$A:$A,Portions!$B:$B),FoodItems!$A:$A,FoodItems!$B:$B))</f>
        <v/>
      </c>
      <c r="G306">
        <f>IF(E306="","",E306/100*XLOOKUP(XLOOKUP(C306,Portions!$A:$A,Portions!$B:$B),FoodItems!$A:$A,FoodItems!$C:$C))</f>
        <v/>
      </c>
      <c r="H306">
        <f>IF(E306="","",E306/100*XLOOKUP(XLOOKUP(C306,Portions!$A:$A,Portions!$B:$B),FoodItems!$A:$A,FoodItems!$D:$D))</f>
        <v/>
      </c>
      <c r="I306">
        <f>IF(E306="","",E306/100*XLOOKUP(XLOOKUP(C306,Portions!$A:$A,Portions!$B:$B),FoodItems!$A:$A,FoodItems!$E:$E))</f>
        <v/>
      </c>
    </row>
    <row r="307">
      <c r="E307">
        <f>IF(C307="","",D307*XLOOKUP(C307,Portions!$A:$A,Portions!$D:$D))</f>
        <v/>
      </c>
      <c r="F307">
        <f>IF(E307="","",E307/100*XLOOKUP(XLOOKUP(C307,Portions!$A:$A,Portions!$B:$B),FoodItems!$A:$A,FoodItems!$B:$B))</f>
        <v/>
      </c>
      <c r="G307">
        <f>IF(E307="","",E307/100*XLOOKUP(XLOOKUP(C307,Portions!$A:$A,Portions!$B:$B),FoodItems!$A:$A,FoodItems!$C:$C))</f>
        <v/>
      </c>
      <c r="H307">
        <f>IF(E307="","",E307/100*XLOOKUP(XLOOKUP(C307,Portions!$A:$A,Portions!$B:$B),FoodItems!$A:$A,FoodItems!$D:$D))</f>
        <v/>
      </c>
      <c r="I307">
        <f>IF(E307="","",E307/100*XLOOKUP(XLOOKUP(C307,Portions!$A:$A,Portions!$B:$B),FoodItems!$A:$A,FoodItems!$E:$E))</f>
        <v/>
      </c>
    </row>
    <row r="308">
      <c r="E308">
        <f>IF(C308="","",D308*XLOOKUP(C308,Portions!$A:$A,Portions!$D:$D))</f>
        <v/>
      </c>
      <c r="F308">
        <f>IF(E308="","",E308/100*XLOOKUP(XLOOKUP(C308,Portions!$A:$A,Portions!$B:$B),FoodItems!$A:$A,FoodItems!$B:$B))</f>
        <v/>
      </c>
      <c r="G308">
        <f>IF(E308="","",E308/100*XLOOKUP(XLOOKUP(C308,Portions!$A:$A,Portions!$B:$B),FoodItems!$A:$A,FoodItems!$C:$C))</f>
        <v/>
      </c>
      <c r="H308">
        <f>IF(E308="","",E308/100*XLOOKUP(XLOOKUP(C308,Portions!$A:$A,Portions!$B:$B),FoodItems!$A:$A,FoodItems!$D:$D))</f>
        <v/>
      </c>
      <c r="I308">
        <f>IF(E308="","",E308/100*XLOOKUP(XLOOKUP(C308,Portions!$A:$A,Portions!$B:$B),FoodItems!$A:$A,FoodItems!$E:$E))</f>
        <v/>
      </c>
    </row>
    <row r="309">
      <c r="E309">
        <f>IF(C309="","",D309*XLOOKUP(C309,Portions!$A:$A,Portions!$D:$D))</f>
        <v/>
      </c>
      <c r="F309">
        <f>IF(E309="","",E309/100*XLOOKUP(XLOOKUP(C309,Portions!$A:$A,Portions!$B:$B),FoodItems!$A:$A,FoodItems!$B:$B))</f>
        <v/>
      </c>
      <c r="G309">
        <f>IF(E309="","",E309/100*XLOOKUP(XLOOKUP(C309,Portions!$A:$A,Portions!$B:$B),FoodItems!$A:$A,FoodItems!$C:$C))</f>
        <v/>
      </c>
      <c r="H309">
        <f>IF(E309="","",E309/100*XLOOKUP(XLOOKUP(C309,Portions!$A:$A,Portions!$B:$B),FoodItems!$A:$A,FoodItems!$D:$D))</f>
        <v/>
      </c>
      <c r="I309">
        <f>IF(E309="","",E309/100*XLOOKUP(XLOOKUP(C309,Portions!$A:$A,Portions!$B:$B),FoodItems!$A:$A,FoodItems!$E:$E))</f>
        <v/>
      </c>
    </row>
    <row r="310">
      <c r="E310">
        <f>IF(C310="","",D310*XLOOKUP(C310,Portions!$A:$A,Portions!$D:$D))</f>
        <v/>
      </c>
      <c r="F310">
        <f>IF(E310="","",E310/100*XLOOKUP(XLOOKUP(C310,Portions!$A:$A,Portions!$B:$B),FoodItems!$A:$A,FoodItems!$B:$B))</f>
        <v/>
      </c>
      <c r="G310">
        <f>IF(E310="","",E310/100*XLOOKUP(XLOOKUP(C310,Portions!$A:$A,Portions!$B:$B),FoodItems!$A:$A,FoodItems!$C:$C))</f>
        <v/>
      </c>
      <c r="H310">
        <f>IF(E310="","",E310/100*XLOOKUP(XLOOKUP(C310,Portions!$A:$A,Portions!$B:$B),FoodItems!$A:$A,FoodItems!$D:$D))</f>
        <v/>
      </c>
      <c r="I310">
        <f>IF(E310="","",E310/100*XLOOKUP(XLOOKUP(C310,Portions!$A:$A,Portions!$B:$B),FoodItems!$A:$A,FoodItems!$E:$E))</f>
        <v/>
      </c>
    </row>
    <row r="311">
      <c r="E311">
        <f>IF(C311="","",D311*XLOOKUP(C311,Portions!$A:$A,Portions!$D:$D))</f>
        <v/>
      </c>
      <c r="F311">
        <f>IF(E311="","",E311/100*XLOOKUP(XLOOKUP(C311,Portions!$A:$A,Portions!$B:$B),FoodItems!$A:$A,FoodItems!$B:$B))</f>
        <v/>
      </c>
      <c r="G311">
        <f>IF(E311="","",E311/100*XLOOKUP(XLOOKUP(C311,Portions!$A:$A,Portions!$B:$B),FoodItems!$A:$A,FoodItems!$C:$C))</f>
        <v/>
      </c>
      <c r="H311">
        <f>IF(E311="","",E311/100*XLOOKUP(XLOOKUP(C311,Portions!$A:$A,Portions!$B:$B),FoodItems!$A:$A,FoodItems!$D:$D))</f>
        <v/>
      </c>
      <c r="I311">
        <f>IF(E311="","",E311/100*XLOOKUP(XLOOKUP(C311,Portions!$A:$A,Portions!$B:$B),FoodItems!$A:$A,FoodItems!$E:$E))</f>
        <v/>
      </c>
    </row>
    <row r="312">
      <c r="E312">
        <f>IF(C312="","",D312*XLOOKUP(C312,Portions!$A:$A,Portions!$D:$D))</f>
        <v/>
      </c>
      <c r="F312">
        <f>IF(E312="","",E312/100*XLOOKUP(XLOOKUP(C312,Portions!$A:$A,Portions!$B:$B),FoodItems!$A:$A,FoodItems!$B:$B))</f>
        <v/>
      </c>
      <c r="G312">
        <f>IF(E312="","",E312/100*XLOOKUP(XLOOKUP(C312,Portions!$A:$A,Portions!$B:$B),FoodItems!$A:$A,FoodItems!$C:$C))</f>
        <v/>
      </c>
      <c r="H312">
        <f>IF(E312="","",E312/100*XLOOKUP(XLOOKUP(C312,Portions!$A:$A,Portions!$B:$B),FoodItems!$A:$A,FoodItems!$D:$D))</f>
        <v/>
      </c>
      <c r="I312">
        <f>IF(E312="","",E312/100*XLOOKUP(XLOOKUP(C312,Portions!$A:$A,Portions!$B:$B),FoodItems!$A:$A,FoodItems!$E:$E))</f>
        <v/>
      </c>
    </row>
    <row r="313">
      <c r="E313">
        <f>IF(C313="","",D313*XLOOKUP(C313,Portions!$A:$A,Portions!$D:$D))</f>
        <v/>
      </c>
      <c r="F313">
        <f>IF(E313="","",E313/100*XLOOKUP(XLOOKUP(C313,Portions!$A:$A,Portions!$B:$B),FoodItems!$A:$A,FoodItems!$B:$B))</f>
        <v/>
      </c>
      <c r="G313">
        <f>IF(E313="","",E313/100*XLOOKUP(XLOOKUP(C313,Portions!$A:$A,Portions!$B:$B),FoodItems!$A:$A,FoodItems!$C:$C))</f>
        <v/>
      </c>
      <c r="H313">
        <f>IF(E313="","",E313/100*XLOOKUP(XLOOKUP(C313,Portions!$A:$A,Portions!$B:$B),FoodItems!$A:$A,FoodItems!$D:$D))</f>
        <v/>
      </c>
      <c r="I313">
        <f>IF(E313="","",E313/100*XLOOKUP(XLOOKUP(C313,Portions!$A:$A,Portions!$B:$B),FoodItems!$A:$A,FoodItems!$E:$E))</f>
        <v/>
      </c>
    </row>
    <row r="314">
      <c r="E314">
        <f>IF(C314="","",D314*XLOOKUP(C314,Portions!$A:$A,Portions!$D:$D))</f>
        <v/>
      </c>
      <c r="F314">
        <f>IF(E314="","",E314/100*XLOOKUP(XLOOKUP(C314,Portions!$A:$A,Portions!$B:$B),FoodItems!$A:$A,FoodItems!$B:$B))</f>
        <v/>
      </c>
      <c r="G314">
        <f>IF(E314="","",E314/100*XLOOKUP(XLOOKUP(C314,Portions!$A:$A,Portions!$B:$B),FoodItems!$A:$A,FoodItems!$C:$C))</f>
        <v/>
      </c>
      <c r="H314">
        <f>IF(E314="","",E314/100*XLOOKUP(XLOOKUP(C314,Portions!$A:$A,Portions!$B:$B),FoodItems!$A:$A,FoodItems!$D:$D))</f>
        <v/>
      </c>
      <c r="I314">
        <f>IF(E314="","",E314/100*XLOOKUP(XLOOKUP(C314,Portions!$A:$A,Portions!$B:$B),FoodItems!$A:$A,FoodItems!$E:$E))</f>
        <v/>
      </c>
    </row>
    <row r="315">
      <c r="E315">
        <f>IF(C315="","",D315*XLOOKUP(C315,Portions!$A:$A,Portions!$D:$D))</f>
        <v/>
      </c>
      <c r="F315">
        <f>IF(E315="","",E315/100*XLOOKUP(XLOOKUP(C315,Portions!$A:$A,Portions!$B:$B),FoodItems!$A:$A,FoodItems!$B:$B))</f>
        <v/>
      </c>
      <c r="G315">
        <f>IF(E315="","",E315/100*XLOOKUP(XLOOKUP(C315,Portions!$A:$A,Portions!$B:$B),FoodItems!$A:$A,FoodItems!$C:$C))</f>
        <v/>
      </c>
      <c r="H315">
        <f>IF(E315="","",E315/100*XLOOKUP(XLOOKUP(C315,Portions!$A:$A,Portions!$B:$B),FoodItems!$A:$A,FoodItems!$D:$D))</f>
        <v/>
      </c>
      <c r="I315">
        <f>IF(E315="","",E315/100*XLOOKUP(XLOOKUP(C315,Portions!$A:$A,Portions!$B:$B),FoodItems!$A:$A,FoodItems!$E:$E))</f>
        <v/>
      </c>
    </row>
    <row r="316">
      <c r="E316">
        <f>IF(C316="","",D316*XLOOKUP(C316,Portions!$A:$A,Portions!$D:$D))</f>
        <v/>
      </c>
      <c r="F316">
        <f>IF(E316="","",E316/100*XLOOKUP(XLOOKUP(C316,Portions!$A:$A,Portions!$B:$B),FoodItems!$A:$A,FoodItems!$B:$B))</f>
        <v/>
      </c>
      <c r="G316">
        <f>IF(E316="","",E316/100*XLOOKUP(XLOOKUP(C316,Portions!$A:$A,Portions!$B:$B),FoodItems!$A:$A,FoodItems!$C:$C))</f>
        <v/>
      </c>
      <c r="H316">
        <f>IF(E316="","",E316/100*XLOOKUP(XLOOKUP(C316,Portions!$A:$A,Portions!$B:$B),FoodItems!$A:$A,FoodItems!$D:$D))</f>
        <v/>
      </c>
      <c r="I316">
        <f>IF(E316="","",E316/100*XLOOKUP(XLOOKUP(C316,Portions!$A:$A,Portions!$B:$B),FoodItems!$A:$A,FoodItems!$E:$E))</f>
        <v/>
      </c>
    </row>
    <row r="317">
      <c r="E317">
        <f>IF(C317="","",D317*XLOOKUP(C317,Portions!$A:$A,Portions!$D:$D))</f>
        <v/>
      </c>
      <c r="F317">
        <f>IF(E317="","",E317/100*XLOOKUP(XLOOKUP(C317,Portions!$A:$A,Portions!$B:$B),FoodItems!$A:$A,FoodItems!$B:$B))</f>
        <v/>
      </c>
      <c r="G317">
        <f>IF(E317="","",E317/100*XLOOKUP(XLOOKUP(C317,Portions!$A:$A,Portions!$B:$B),FoodItems!$A:$A,FoodItems!$C:$C))</f>
        <v/>
      </c>
      <c r="H317">
        <f>IF(E317="","",E317/100*XLOOKUP(XLOOKUP(C317,Portions!$A:$A,Portions!$B:$B),FoodItems!$A:$A,FoodItems!$D:$D))</f>
        <v/>
      </c>
      <c r="I317">
        <f>IF(E317="","",E317/100*XLOOKUP(XLOOKUP(C317,Portions!$A:$A,Portions!$B:$B),FoodItems!$A:$A,FoodItems!$E:$E))</f>
        <v/>
      </c>
    </row>
    <row r="318">
      <c r="E318">
        <f>IF(C318="","",D318*XLOOKUP(C318,Portions!$A:$A,Portions!$D:$D))</f>
        <v/>
      </c>
      <c r="F318">
        <f>IF(E318="","",E318/100*XLOOKUP(XLOOKUP(C318,Portions!$A:$A,Portions!$B:$B),FoodItems!$A:$A,FoodItems!$B:$B))</f>
        <v/>
      </c>
      <c r="G318">
        <f>IF(E318="","",E318/100*XLOOKUP(XLOOKUP(C318,Portions!$A:$A,Portions!$B:$B),FoodItems!$A:$A,FoodItems!$C:$C))</f>
        <v/>
      </c>
      <c r="H318">
        <f>IF(E318="","",E318/100*XLOOKUP(XLOOKUP(C318,Portions!$A:$A,Portions!$B:$B),FoodItems!$A:$A,FoodItems!$D:$D))</f>
        <v/>
      </c>
      <c r="I318">
        <f>IF(E318="","",E318/100*XLOOKUP(XLOOKUP(C318,Portions!$A:$A,Portions!$B:$B),FoodItems!$A:$A,FoodItems!$E:$E))</f>
        <v/>
      </c>
    </row>
    <row r="319">
      <c r="E319">
        <f>IF(C319="","",D319*XLOOKUP(C319,Portions!$A:$A,Portions!$D:$D))</f>
        <v/>
      </c>
      <c r="F319">
        <f>IF(E319="","",E319/100*XLOOKUP(XLOOKUP(C319,Portions!$A:$A,Portions!$B:$B),FoodItems!$A:$A,FoodItems!$B:$B))</f>
        <v/>
      </c>
      <c r="G319">
        <f>IF(E319="","",E319/100*XLOOKUP(XLOOKUP(C319,Portions!$A:$A,Portions!$B:$B),FoodItems!$A:$A,FoodItems!$C:$C))</f>
        <v/>
      </c>
      <c r="H319">
        <f>IF(E319="","",E319/100*XLOOKUP(XLOOKUP(C319,Portions!$A:$A,Portions!$B:$B),FoodItems!$A:$A,FoodItems!$D:$D))</f>
        <v/>
      </c>
      <c r="I319">
        <f>IF(E319="","",E319/100*XLOOKUP(XLOOKUP(C319,Portions!$A:$A,Portions!$B:$B),FoodItems!$A:$A,FoodItems!$E:$E))</f>
        <v/>
      </c>
    </row>
    <row r="320">
      <c r="E320">
        <f>IF(C320="","",D320*XLOOKUP(C320,Portions!$A:$A,Portions!$D:$D))</f>
        <v/>
      </c>
      <c r="F320">
        <f>IF(E320="","",E320/100*XLOOKUP(XLOOKUP(C320,Portions!$A:$A,Portions!$B:$B),FoodItems!$A:$A,FoodItems!$B:$B))</f>
        <v/>
      </c>
      <c r="G320">
        <f>IF(E320="","",E320/100*XLOOKUP(XLOOKUP(C320,Portions!$A:$A,Portions!$B:$B),FoodItems!$A:$A,FoodItems!$C:$C))</f>
        <v/>
      </c>
      <c r="H320">
        <f>IF(E320="","",E320/100*XLOOKUP(XLOOKUP(C320,Portions!$A:$A,Portions!$B:$B),FoodItems!$A:$A,FoodItems!$D:$D))</f>
        <v/>
      </c>
      <c r="I320">
        <f>IF(E320="","",E320/100*XLOOKUP(XLOOKUP(C320,Portions!$A:$A,Portions!$B:$B),FoodItems!$A:$A,FoodItems!$E:$E))</f>
        <v/>
      </c>
    </row>
    <row r="321">
      <c r="E321">
        <f>IF(C321="","",D321*XLOOKUP(C321,Portions!$A:$A,Portions!$D:$D))</f>
        <v/>
      </c>
      <c r="F321">
        <f>IF(E321="","",E321/100*XLOOKUP(XLOOKUP(C321,Portions!$A:$A,Portions!$B:$B),FoodItems!$A:$A,FoodItems!$B:$B))</f>
        <v/>
      </c>
      <c r="G321">
        <f>IF(E321="","",E321/100*XLOOKUP(XLOOKUP(C321,Portions!$A:$A,Portions!$B:$B),FoodItems!$A:$A,FoodItems!$C:$C))</f>
        <v/>
      </c>
      <c r="H321">
        <f>IF(E321="","",E321/100*XLOOKUP(XLOOKUP(C321,Portions!$A:$A,Portions!$B:$B),FoodItems!$A:$A,FoodItems!$D:$D))</f>
        <v/>
      </c>
      <c r="I321">
        <f>IF(E321="","",E321/100*XLOOKUP(XLOOKUP(C321,Portions!$A:$A,Portions!$B:$B),FoodItems!$A:$A,FoodItems!$E:$E))</f>
        <v/>
      </c>
    </row>
    <row r="322">
      <c r="E322">
        <f>IF(C322="","",D322*XLOOKUP(C322,Portions!$A:$A,Portions!$D:$D))</f>
        <v/>
      </c>
      <c r="F322">
        <f>IF(E322="","",E322/100*XLOOKUP(XLOOKUP(C322,Portions!$A:$A,Portions!$B:$B),FoodItems!$A:$A,FoodItems!$B:$B))</f>
        <v/>
      </c>
      <c r="G322">
        <f>IF(E322="","",E322/100*XLOOKUP(XLOOKUP(C322,Portions!$A:$A,Portions!$B:$B),FoodItems!$A:$A,FoodItems!$C:$C))</f>
        <v/>
      </c>
      <c r="H322">
        <f>IF(E322="","",E322/100*XLOOKUP(XLOOKUP(C322,Portions!$A:$A,Portions!$B:$B),FoodItems!$A:$A,FoodItems!$D:$D))</f>
        <v/>
      </c>
      <c r="I322">
        <f>IF(E322="","",E322/100*XLOOKUP(XLOOKUP(C322,Portions!$A:$A,Portions!$B:$B),FoodItems!$A:$A,FoodItems!$E:$E))</f>
        <v/>
      </c>
    </row>
    <row r="323">
      <c r="E323">
        <f>IF(C323="","",D323*XLOOKUP(C323,Portions!$A:$A,Portions!$D:$D))</f>
        <v/>
      </c>
      <c r="F323">
        <f>IF(E323="","",E323/100*XLOOKUP(XLOOKUP(C323,Portions!$A:$A,Portions!$B:$B),FoodItems!$A:$A,FoodItems!$B:$B))</f>
        <v/>
      </c>
      <c r="G323">
        <f>IF(E323="","",E323/100*XLOOKUP(XLOOKUP(C323,Portions!$A:$A,Portions!$B:$B),FoodItems!$A:$A,FoodItems!$C:$C))</f>
        <v/>
      </c>
      <c r="H323">
        <f>IF(E323="","",E323/100*XLOOKUP(XLOOKUP(C323,Portions!$A:$A,Portions!$B:$B),FoodItems!$A:$A,FoodItems!$D:$D))</f>
        <v/>
      </c>
      <c r="I323">
        <f>IF(E323="","",E323/100*XLOOKUP(XLOOKUP(C323,Portions!$A:$A,Portions!$B:$B),FoodItems!$A:$A,FoodItems!$E:$E))</f>
        <v/>
      </c>
    </row>
    <row r="324">
      <c r="E324">
        <f>IF(C324="","",D324*XLOOKUP(C324,Portions!$A:$A,Portions!$D:$D))</f>
        <v/>
      </c>
      <c r="F324">
        <f>IF(E324="","",E324/100*XLOOKUP(XLOOKUP(C324,Portions!$A:$A,Portions!$B:$B),FoodItems!$A:$A,FoodItems!$B:$B))</f>
        <v/>
      </c>
      <c r="G324">
        <f>IF(E324="","",E324/100*XLOOKUP(XLOOKUP(C324,Portions!$A:$A,Portions!$B:$B),FoodItems!$A:$A,FoodItems!$C:$C))</f>
        <v/>
      </c>
      <c r="H324">
        <f>IF(E324="","",E324/100*XLOOKUP(XLOOKUP(C324,Portions!$A:$A,Portions!$B:$B),FoodItems!$A:$A,FoodItems!$D:$D))</f>
        <v/>
      </c>
      <c r="I324">
        <f>IF(E324="","",E324/100*XLOOKUP(XLOOKUP(C324,Portions!$A:$A,Portions!$B:$B),FoodItems!$A:$A,FoodItems!$E:$E))</f>
        <v/>
      </c>
    </row>
    <row r="325">
      <c r="E325">
        <f>IF(C325="","",D325*XLOOKUP(C325,Portions!$A:$A,Portions!$D:$D))</f>
        <v/>
      </c>
      <c r="F325">
        <f>IF(E325="","",E325/100*XLOOKUP(XLOOKUP(C325,Portions!$A:$A,Portions!$B:$B),FoodItems!$A:$A,FoodItems!$B:$B))</f>
        <v/>
      </c>
      <c r="G325">
        <f>IF(E325="","",E325/100*XLOOKUP(XLOOKUP(C325,Portions!$A:$A,Portions!$B:$B),FoodItems!$A:$A,FoodItems!$C:$C))</f>
        <v/>
      </c>
      <c r="H325">
        <f>IF(E325="","",E325/100*XLOOKUP(XLOOKUP(C325,Portions!$A:$A,Portions!$B:$B),FoodItems!$A:$A,FoodItems!$D:$D))</f>
        <v/>
      </c>
      <c r="I325">
        <f>IF(E325="","",E325/100*XLOOKUP(XLOOKUP(C325,Portions!$A:$A,Portions!$B:$B),FoodItems!$A:$A,FoodItems!$E:$E))</f>
        <v/>
      </c>
    </row>
    <row r="326">
      <c r="E326">
        <f>IF(C326="","",D326*XLOOKUP(C326,Portions!$A:$A,Portions!$D:$D))</f>
        <v/>
      </c>
      <c r="F326">
        <f>IF(E326="","",E326/100*XLOOKUP(XLOOKUP(C326,Portions!$A:$A,Portions!$B:$B),FoodItems!$A:$A,FoodItems!$B:$B))</f>
        <v/>
      </c>
      <c r="G326">
        <f>IF(E326="","",E326/100*XLOOKUP(XLOOKUP(C326,Portions!$A:$A,Portions!$B:$B),FoodItems!$A:$A,FoodItems!$C:$C))</f>
        <v/>
      </c>
      <c r="H326">
        <f>IF(E326="","",E326/100*XLOOKUP(XLOOKUP(C326,Portions!$A:$A,Portions!$B:$B),FoodItems!$A:$A,FoodItems!$D:$D))</f>
        <v/>
      </c>
      <c r="I326">
        <f>IF(E326="","",E326/100*XLOOKUP(XLOOKUP(C326,Portions!$A:$A,Portions!$B:$B),FoodItems!$A:$A,FoodItems!$E:$E))</f>
        <v/>
      </c>
    </row>
    <row r="327">
      <c r="E327">
        <f>IF(C327="","",D327*XLOOKUP(C327,Portions!$A:$A,Portions!$D:$D))</f>
        <v/>
      </c>
      <c r="F327">
        <f>IF(E327="","",E327/100*XLOOKUP(XLOOKUP(C327,Portions!$A:$A,Portions!$B:$B),FoodItems!$A:$A,FoodItems!$B:$B))</f>
        <v/>
      </c>
      <c r="G327">
        <f>IF(E327="","",E327/100*XLOOKUP(XLOOKUP(C327,Portions!$A:$A,Portions!$B:$B),FoodItems!$A:$A,FoodItems!$C:$C))</f>
        <v/>
      </c>
      <c r="H327">
        <f>IF(E327="","",E327/100*XLOOKUP(XLOOKUP(C327,Portions!$A:$A,Portions!$B:$B),FoodItems!$A:$A,FoodItems!$D:$D))</f>
        <v/>
      </c>
      <c r="I327">
        <f>IF(E327="","",E327/100*XLOOKUP(XLOOKUP(C327,Portions!$A:$A,Portions!$B:$B),FoodItems!$A:$A,FoodItems!$E:$E))</f>
        <v/>
      </c>
    </row>
    <row r="328">
      <c r="E328">
        <f>IF(C328="","",D328*XLOOKUP(C328,Portions!$A:$A,Portions!$D:$D))</f>
        <v/>
      </c>
      <c r="F328">
        <f>IF(E328="","",E328/100*XLOOKUP(XLOOKUP(C328,Portions!$A:$A,Portions!$B:$B),FoodItems!$A:$A,FoodItems!$B:$B))</f>
        <v/>
      </c>
      <c r="G328">
        <f>IF(E328="","",E328/100*XLOOKUP(XLOOKUP(C328,Portions!$A:$A,Portions!$B:$B),FoodItems!$A:$A,FoodItems!$C:$C))</f>
        <v/>
      </c>
      <c r="H328">
        <f>IF(E328="","",E328/100*XLOOKUP(XLOOKUP(C328,Portions!$A:$A,Portions!$B:$B),FoodItems!$A:$A,FoodItems!$D:$D))</f>
        <v/>
      </c>
      <c r="I328">
        <f>IF(E328="","",E328/100*XLOOKUP(XLOOKUP(C328,Portions!$A:$A,Portions!$B:$B),FoodItems!$A:$A,FoodItems!$E:$E))</f>
        <v/>
      </c>
    </row>
    <row r="329">
      <c r="E329">
        <f>IF(C329="","",D329*XLOOKUP(C329,Portions!$A:$A,Portions!$D:$D))</f>
        <v/>
      </c>
      <c r="F329">
        <f>IF(E329="","",E329/100*XLOOKUP(XLOOKUP(C329,Portions!$A:$A,Portions!$B:$B),FoodItems!$A:$A,FoodItems!$B:$B))</f>
        <v/>
      </c>
      <c r="G329">
        <f>IF(E329="","",E329/100*XLOOKUP(XLOOKUP(C329,Portions!$A:$A,Portions!$B:$B),FoodItems!$A:$A,FoodItems!$C:$C))</f>
        <v/>
      </c>
      <c r="H329">
        <f>IF(E329="","",E329/100*XLOOKUP(XLOOKUP(C329,Portions!$A:$A,Portions!$B:$B),FoodItems!$A:$A,FoodItems!$D:$D))</f>
        <v/>
      </c>
      <c r="I329">
        <f>IF(E329="","",E329/100*XLOOKUP(XLOOKUP(C329,Portions!$A:$A,Portions!$B:$B),FoodItems!$A:$A,FoodItems!$E:$E))</f>
        <v/>
      </c>
    </row>
    <row r="330">
      <c r="E330">
        <f>IF(C330="","",D330*XLOOKUP(C330,Portions!$A:$A,Portions!$D:$D))</f>
        <v/>
      </c>
      <c r="F330">
        <f>IF(E330="","",E330/100*XLOOKUP(XLOOKUP(C330,Portions!$A:$A,Portions!$B:$B),FoodItems!$A:$A,FoodItems!$B:$B))</f>
        <v/>
      </c>
      <c r="G330">
        <f>IF(E330="","",E330/100*XLOOKUP(XLOOKUP(C330,Portions!$A:$A,Portions!$B:$B),FoodItems!$A:$A,FoodItems!$C:$C))</f>
        <v/>
      </c>
      <c r="H330">
        <f>IF(E330="","",E330/100*XLOOKUP(XLOOKUP(C330,Portions!$A:$A,Portions!$B:$B),FoodItems!$A:$A,FoodItems!$D:$D))</f>
        <v/>
      </c>
      <c r="I330">
        <f>IF(E330="","",E330/100*XLOOKUP(XLOOKUP(C330,Portions!$A:$A,Portions!$B:$B),FoodItems!$A:$A,FoodItems!$E:$E))</f>
        <v/>
      </c>
    </row>
    <row r="331">
      <c r="E331">
        <f>IF(C331="","",D331*XLOOKUP(C331,Portions!$A:$A,Portions!$D:$D))</f>
        <v/>
      </c>
      <c r="F331">
        <f>IF(E331="","",E331/100*XLOOKUP(XLOOKUP(C331,Portions!$A:$A,Portions!$B:$B),FoodItems!$A:$A,FoodItems!$B:$B))</f>
        <v/>
      </c>
      <c r="G331">
        <f>IF(E331="","",E331/100*XLOOKUP(XLOOKUP(C331,Portions!$A:$A,Portions!$B:$B),FoodItems!$A:$A,FoodItems!$C:$C))</f>
        <v/>
      </c>
      <c r="H331">
        <f>IF(E331="","",E331/100*XLOOKUP(XLOOKUP(C331,Portions!$A:$A,Portions!$B:$B),FoodItems!$A:$A,FoodItems!$D:$D))</f>
        <v/>
      </c>
      <c r="I331">
        <f>IF(E331="","",E331/100*XLOOKUP(XLOOKUP(C331,Portions!$A:$A,Portions!$B:$B),FoodItems!$A:$A,FoodItems!$E:$E))</f>
        <v/>
      </c>
    </row>
    <row r="332">
      <c r="E332">
        <f>IF(C332="","",D332*XLOOKUP(C332,Portions!$A:$A,Portions!$D:$D))</f>
        <v/>
      </c>
      <c r="F332">
        <f>IF(E332="","",E332/100*XLOOKUP(XLOOKUP(C332,Portions!$A:$A,Portions!$B:$B),FoodItems!$A:$A,FoodItems!$B:$B))</f>
        <v/>
      </c>
      <c r="G332">
        <f>IF(E332="","",E332/100*XLOOKUP(XLOOKUP(C332,Portions!$A:$A,Portions!$B:$B),FoodItems!$A:$A,FoodItems!$C:$C))</f>
        <v/>
      </c>
      <c r="H332">
        <f>IF(E332="","",E332/100*XLOOKUP(XLOOKUP(C332,Portions!$A:$A,Portions!$B:$B),FoodItems!$A:$A,FoodItems!$D:$D))</f>
        <v/>
      </c>
      <c r="I332">
        <f>IF(E332="","",E332/100*XLOOKUP(XLOOKUP(C332,Portions!$A:$A,Portions!$B:$B),FoodItems!$A:$A,FoodItems!$E:$E))</f>
        <v/>
      </c>
    </row>
    <row r="333">
      <c r="E333">
        <f>IF(C333="","",D333*XLOOKUP(C333,Portions!$A:$A,Portions!$D:$D))</f>
        <v/>
      </c>
      <c r="F333">
        <f>IF(E333="","",E333/100*XLOOKUP(XLOOKUP(C333,Portions!$A:$A,Portions!$B:$B),FoodItems!$A:$A,FoodItems!$B:$B))</f>
        <v/>
      </c>
      <c r="G333">
        <f>IF(E333="","",E333/100*XLOOKUP(XLOOKUP(C333,Portions!$A:$A,Portions!$B:$B),FoodItems!$A:$A,FoodItems!$C:$C))</f>
        <v/>
      </c>
      <c r="H333">
        <f>IF(E333="","",E333/100*XLOOKUP(XLOOKUP(C333,Portions!$A:$A,Portions!$B:$B),FoodItems!$A:$A,FoodItems!$D:$D))</f>
        <v/>
      </c>
      <c r="I333">
        <f>IF(E333="","",E333/100*XLOOKUP(XLOOKUP(C333,Portions!$A:$A,Portions!$B:$B),FoodItems!$A:$A,FoodItems!$E:$E))</f>
        <v/>
      </c>
    </row>
    <row r="334">
      <c r="E334">
        <f>IF(C334="","",D334*XLOOKUP(C334,Portions!$A:$A,Portions!$D:$D))</f>
        <v/>
      </c>
      <c r="F334">
        <f>IF(E334="","",E334/100*XLOOKUP(XLOOKUP(C334,Portions!$A:$A,Portions!$B:$B),FoodItems!$A:$A,FoodItems!$B:$B))</f>
        <v/>
      </c>
      <c r="G334">
        <f>IF(E334="","",E334/100*XLOOKUP(XLOOKUP(C334,Portions!$A:$A,Portions!$B:$B),FoodItems!$A:$A,FoodItems!$C:$C))</f>
        <v/>
      </c>
      <c r="H334">
        <f>IF(E334="","",E334/100*XLOOKUP(XLOOKUP(C334,Portions!$A:$A,Portions!$B:$B),FoodItems!$A:$A,FoodItems!$D:$D))</f>
        <v/>
      </c>
      <c r="I334">
        <f>IF(E334="","",E334/100*XLOOKUP(XLOOKUP(C334,Portions!$A:$A,Portions!$B:$B),FoodItems!$A:$A,FoodItems!$E:$E))</f>
        <v/>
      </c>
    </row>
    <row r="335">
      <c r="E335">
        <f>IF(C335="","",D335*XLOOKUP(C335,Portions!$A:$A,Portions!$D:$D))</f>
        <v/>
      </c>
      <c r="F335">
        <f>IF(E335="","",E335/100*XLOOKUP(XLOOKUP(C335,Portions!$A:$A,Portions!$B:$B),FoodItems!$A:$A,FoodItems!$B:$B))</f>
        <v/>
      </c>
      <c r="G335">
        <f>IF(E335="","",E335/100*XLOOKUP(XLOOKUP(C335,Portions!$A:$A,Portions!$B:$B),FoodItems!$A:$A,FoodItems!$C:$C))</f>
        <v/>
      </c>
      <c r="H335">
        <f>IF(E335="","",E335/100*XLOOKUP(XLOOKUP(C335,Portions!$A:$A,Portions!$B:$B),FoodItems!$A:$A,FoodItems!$D:$D))</f>
        <v/>
      </c>
      <c r="I335">
        <f>IF(E335="","",E335/100*XLOOKUP(XLOOKUP(C335,Portions!$A:$A,Portions!$B:$B),FoodItems!$A:$A,FoodItems!$E:$E))</f>
        <v/>
      </c>
    </row>
    <row r="336">
      <c r="E336">
        <f>IF(C336="","",D336*XLOOKUP(C336,Portions!$A:$A,Portions!$D:$D))</f>
        <v/>
      </c>
      <c r="F336">
        <f>IF(E336="","",E336/100*XLOOKUP(XLOOKUP(C336,Portions!$A:$A,Portions!$B:$B),FoodItems!$A:$A,FoodItems!$B:$B))</f>
        <v/>
      </c>
      <c r="G336">
        <f>IF(E336="","",E336/100*XLOOKUP(XLOOKUP(C336,Portions!$A:$A,Portions!$B:$B),FoodItems!$A:$A,FoodItems!$C:$C))</f>
        <v/>
      </c>
      <c r="H336">
        <f>IF(E336="","",E336/100*XLOOKUP(XLOOKUP(C336,Portions!$A:$A,Portions!$B:$B),FoodItems!$A:$A,FoodItems!$D:$D))</f>
        <v/>
      </c>
      <c r="I336">
        <f>IF(E336="","",E336/100*XLOOKUP(XLOOKUP(C336,Portions!$A:$A,Portions!$B:$B),FoodItems!$A:$A,FoodItems!$E:$E))</f>
        <v/>
      </c>
    </row>
    <row r="337">
      <c r="E337">
        <f>IF(C337="","",D337*XLOOKUP(C337,Portions!$A:$A,Portions!$D:$D))</f>
        <v/>
      </c>
      <c r="F337">
        <f>IF(E337="","",E337/100*XLOOKUP(XLOOKUP(C337,Portions!$A:$A,Portions!$B:$B),FoodItems!$A:$A,FoodItems!$B:$B))</f>
        <v/>
      </c>
      <c r="G337">
        <f>IF(E337="","",E337/100*XLOOKUP(XLOOKUP(C337,Portions!$A:$A,Portions!$B:$B),FoodItems!$A:$A,FoodItems!$C:$C))</f>
        <v/>
      </c>
      <c r="H337">
        <f>IF(E337="","",E337/100*XLOOKUP(XLOOKUP(C337,Portions!$A:$A,Portions!$B:$B),FoodItems!$A:$A,FoodItems!$D:$D))</f>
        <v/>
      </c>
      <c r="I337">
        <f>IF(E337="","",E337/100*XLOOKUP(XLOOKUP(C337,Portions!$A:$A,Portions!$B:$B),FoodItems!$A:$A,FoodItems!$E:$E))</f>
        <v/>
      </c>
    </row>
    <row r="338">
      <c r="E338">
        <f>IF(C338="","",D338*XLOOKUP(C338,Portions!$A:$A,Portions!$D:$D))</f>
        <v/>
      </c>
      <c r="F338">
        <f>IF(E338="","",E338/100*XLOOKUP(XLOOKUP(C338,Portions!$A:$A,Portions!$B:$B),FoodItems!$A:$A,FoodItems!$B:$B))</f>
        <v/>
      </c>
      <c r="G338">
        <f>IF(E338="","",E338/100*XLOOKUP(XLOOKUP(C338,Portions!$A:$A,Portions!$B:$B),FoodItems!$A:$A,FoodItems!$C:$C))</f>
        <v/>
      </c>
      <c r="H338">
        <f>IF(E338="","",E338/100*XLOOKUP(XLOOKUP(C338,Portions!$A:$A,Portions!$B:$B),FoodItems!$A:$A,FoodItems!$D:$D))</f>
        <v/>
      </c>
      <c r="I338">
        <f>IF(E338="","",E338/100*XLOOKUP(XLOOKUP(C338,Portions!$A:$A,Portions!$B:$B),FoodItems!$A:$A,FoodItems!$E:$E))</f>
        <v/>
      </c>
    </row>
    <row r="339">
      <c r="E339">
        <f>IF(C339="","",D339*XLOOKUP(C339,Portions!$A:$A,Portions!$D:$D))</f>
        <v/>
      </c>
      <c r="F339">
        <f>IF(E339="","",E339/100*XLOOKUP(XLOOKUP(C339,Portions!$A:$A,Portions!$B:$B),FoodItems!$A:$A,FoodItems!$B:$B))</f>
        <v/>
      </c>
      <c r="G339">
        <f>IF(E339="","",E339/100*XLOOKUP(XLOOKUP(C339,Portions!$A:$A,Portions!$B:$B),FoodItems!$A:$A,FoodItems!$C:$C))</f>
        <v/>
      </c>
      <c r="H339">
        <f>IF(E339="","",E339/100*XLOOKUP(XLOOKUP(C339,Portions!$A:$A,Portions!$B:$B),FoodItems!$A:$A,FoodItems!$D:$D))</f>
        <v/>
      </c>
      <c r="I339">
        <f>IF(E339="","",E339/100*XLOOKUP(XLOOKUP(C339,Portions!$A:$A,Portions!$B:$B),FoodItems!$A:$A,FoodItems!$E:$E))</f>
        <v/>
      </c>
    </row>
    <row r="340">
      <c r="E340">
        <f>IF(C340="","",D340*XLOOKUP(C340,Portions!$A:$A,Portions!$D:$D))</f>
        <v/>
      </c>
      <c r="F340">
        <f>IF(E340="","",E340/100*XLOOKUP(XLOOKUP(C340,Portions!$A:$A,Portions!$B:$B),FoodItems!$A:$A,FoodItems!$B:$B))</f>
        <v/>
      </c>
      <c r="G340">
        <f>IF(E340="","",E340/100*XLOOKUP(XLOOKUP(C340,Portions!$A:$A,Portions!$B:$B),FoodItems!$A:$A,FoodItems!$C:$C))</f>
        <v/>
      </c>
      <c r="H340">
        <f>IF(E340="","",E340/100*XLOOKUP(XLOOKUP(C340,Portions!$A:$A,Portions!$B:$B),FoodItems!$A:$A,FoodItems!$D:$D))</f>
        <v/>
      </c>
      <c r="I340">
        <f>IF(E340="","",E340/100*XLOOKUP(XLOOKUP(C340,Portions!$A:$A,Portions!$B:$B),FoodItems!$A:$A,FoodItems!$E:$E))</f>
        <v/>
      </c>
    </row>
    <row r="341">
      <c r="E341">
        <f>IF(C341="","",D341*XLOOKUP(C341,Portions!$A:$A,Portions!$D:$D))</f>
        <v/>
      </c>
      <c r="F341">
        <f>IF(E341="","",E341/100*XLOOKUP(XLOOKUP(C341,Portions!$A:$A,Portions!$B:$B),FoodItems!$A:$A,FoodItems!$B:$B))</f>
        <v/>
      </c>
      <c r="G341">
        <f>IF(E341="","",E341/100*XLOOKUP(XLOOKUP(C341,Portions!$A:$A,Portions!$B:$B),FoodItems!$A:$A,FoodItems!$C:$C))</f>
        <v/>
      </c>
      <c r="H341">
        <f>IF(E341="","",E341/100*XLOOKUP(XLOOKUP(C341,Portions!$A:$A,Portions!$B:$B),FoodItems!$A:$A,FoodItems!$D:$D))</f>
        <v/>
      </c>
      <c r="I341">
        <f>IF(E341="","",E341/100*XLOOKUP(XLOOKUP(C341,Portions!$A:$A,Portions!$B:$B),FoodItems!$A:$A,FoodItems!$E:$E))</f>
        <v/>
      </c>
    </row>
    <row r="342">
      <c r="E342">
        <f>IF(C342="","",D342*XLOOKUP(C342,Portions!$A:$A,Portions!$D:$D))</f>
        <v/>
      </c>
      <c r="F342">
        <f>IF(E342="","",E342/100*XLOOKUP(XLOOKUP(C342,Portions!$A:$A,Portions!$B:$B),FoodItems!$A:$A,FoodItems!$B:$B))</f>
        <v/>
      </c>
      <c r="G342">
        <f>IF(E342="","",E342/100*XLOOKUP(XLOOKUP(C342,Portions!$A:$A,Portions!$B:$B),FoodItems!$A:$A,FoodItems!$C:$C))</f>
        <v/>
      </c>
      <c r="H342">
        <f>IF(E342="","",E342/100*XLOOKUP(XLOOKUP(C342,Portions!$A:$A,Portions!$B:$B),FoodItems!$A:$A,FoodItems!$D:$D))</f>
        <v/>
      </c>
      <c r="I342">
        <f>IF(E342="","",E342/100*XLOOKUP(XLOOKUP(C342,Portions!$A:$A,Portions!$B:$B),FoodItems!$A:$A,FoodItems!$E:$E))</f>
        <v/>
      </c>
    </row>
    <row r="343">
      <c r="E343">
        <f>IF(C343="","",D343*XLOOKUP(C343,Portions!$A:$A,Portions!$D:$D))</f>
        <v/>
      </c>
      <c r="F343">
        <f>IF(E343="","",E343/100*XLOOKUP(XLOOKUP(C343,Portions!$A:$A,Portions!$B:$B),FoodItems!$A:$A,FoodItems!$B:$B))</f>
        <v/>
      </c>
      <c r="G343">
        <f>IF(E343="","",E343/100*XLOOKUP(XLOOKUP(C343,Portions!$A:$A,Portions!$B:$B),FoodItems!$A:$A,FoodItems!$C:$C))</f>
        <v/>
      </c>
      <c r="H343">
        <f>IF(E343="","",E343/100*XLOOKUP(XLOOKUP(C343,Portions!$A:$A,Portions!$B:$B),FoodItems!$A:$A,FoodItems!$D:$D))</f>
        <v/>
      </c>
      <c r="I343">
        <f>IF(E343="","",E343/100*XLOOKUP(XLOOKUP(C343,Portions!$A:$A,Portions!$B:$B),FoodItems!$A:$A,FoodItems!$E:$E))</f>
        <v/>
      </c>
    </row>
    <row r="344">
      <c r="E344">
        <f>IF(C344="","",D344*XLOOKUP(C344,Portions!$A:$A,Portions!$D:$D))</f>
        <v/>
      </c>
      <c r="F344">
        <f>IF(E344="","",E344/100*XLOOKUP(XLOOKUP(C344,Portions!$A:$A,Portions!$B:$B),FoodItems!$A:$A,FoodItems!$B:$B))</f>
        <v/>
      </c>
      <c r="G344">
        <f>IF(E344="","",E344/100*XLOOKUP(XLOOKUP(C344,Portions!$A:$A,Portions!$B:$B),FoodItems!$A:$A,FoodItems!$C:$C))</f>
        <v/>
      </c>
      <c r="H344">
        <f>IF(E344="","",E344/100*XLOOKUP(XLOOKUP(C344,Portions!$A:$A,Portions!$B:$B),FoodItems!$A:$A,FoodItems!$D:$D))</f>
        <v/>
      </c>
      <c r="I344">
        <f>IF(E344="","",E344/100*XLOOKUP(XLOOKUP(C344,Portions!$A:$A,Portions!$B:$B),FoodItems!$A:$A,FoodItems!$E:$E))</f>
        <v/>
      </c>
    </row>
    <row r="345">
      <c r="E345">
        <f>IF(C345="","",D345*XLOOKUP(C345,Portions!$A:$A,Portions!$D:$D))</f>
        <v/>
      </c>
      <c r="F345">
        <f>IF(E345="","",E345/100*XLOOKUP(XLOOKUP(C345,Portions!$A:$A,Portions!$B:$B),FoodItems!$A:$A,FoodItems!$B:$B))</f>
        <v/>
      </c>
      <c r="G345">
        <f>IF(E345="","",E345/100*XLOOKUP(XLOOKUP(C345,Portions!$A:$A,Portions!$B:$B),FoodItems!$A:$A,FoodItems!$C:$C))</f>
        <v/>
      </c>
      <c r="H345">
        <f>IF(E345="","",E345/100*XLOOKUP(XLOOKUP(C345,Portions!$A:$A,Portions!$B:$B),FoodItems!$A:$A,FoodItems!$D:$D))</f>
        <v/>
      </c>
      <c r="I345">
        <f>IF(E345="","",E345/100*XLOOKUP(XLOOKUP(C345,Portions!$A:$A,Portions!$B:$B),FoodItems!$A:$A,FoodItems!$E:$E))</f>
        <v/>
      </c>
    </row>
    <row r="346">
      <c r="E346">
        <f>IF(C346="","",D346*XLOOKUP(C346,Portions!$A:$A,Portions!$D:$D))</f>
        <v/>
      </c>
      <c r="F346">
        <f>IF(E346="","",E346/100*XLOOKUP(XLOOKUP(C346,Portions!$A:$A,Portions!$B:$B),FoodItems!$A:$A,FoodItems!$B:$B))</f>
        <v/>
      </c>
      <c r="G346">
        <f>IF(E346="","",E346/100*XLOOKUP(XLOOKUP(C346,Portions!$A:$A,Portions!$B:$B),FoodItems!$A:$A,FoodItems!$C:$C))</f>
        <v/>
      </c>
      <c r="H346">
        <f>IF(E346="","",E346/100*XLOOKUP(XLOOKUP(C346,Portions!$A:$A,Portions!$B:$B),FoodItems!$A:$A,FoodItems!$D:$D))</f>
        <v/>
      </c>
      <c r="I346">
        <f>IF(E346="","",E346/100*XLOOKUP(XLOOKUP(C346,Portions!$A:$A,Portions!$B:$B),FoodItems!$A:$A,FoodItems!$E:$E))</f>
        <v/>
      </c>
    </row>
    <row r="347">
      <c r="E347">
        <f>IF(C347="","",D347*XLOOKUP(C347,Portions!$A:$A,Portions!$D:$D))</f>
        <v/>
      </c>
      <c r="F347">
        <f>IF(E347="","",E347/100*XLOOKUP(XLOOKUP(C347,Portions!$A:$A,Portions!$B:$B),FoodItems!$A:$A,FoodItems!$B:$B))</f>
        <v/>
      </c>
      <c r="G347">
        <f>IF(E347="","",E347/100*XLOOKUP(XLOOKUP(C347,Portions!$A:$A,Portions!$B:$B),FoodItems!$A:$A,FoodItems!$C:$C))</f>
        <v/>
      </c>
      <c r="H347">
        <f>IF(E347="","",E347/100*XLOOKUP(XLOOKUP(C347,Portions!$A:$A,Portions!$B:$B),FoodItems!$A:$A,FoodItems!$D:$D))</f>
        <v/>
      </c>
      <c r="I347">
        <f>IF(E347="","",E347/100*XLOOKUP(XLOOKUP(C347,Portions!$A:$A,Portions!$B:$B),FoodItems!$A:$A,FoodItems!$E:$E))</f>
        <v/>
      </c>
    </row>
    <row r="348">
      <c r="E348">
        <f>IF(C348="","",D348*XLOOKUP(C348,Portions!$A:$A,Portions!$D:$D))</f>
        <v/>
      </c>
      <c r="F348">
        <f>IF(E348="","",E348/100*XLOOKUP(XLOOKUP(C348,Portions!$A:$A,Portions!$B:$B),FoodItems!$A:$A,FoodItems!$B:$B))</f>
        <v/>
      </c>
      <c r="G348">
        <f>IF(E348="","",E348/100*XLOOKUP(XLOOKUP(C348,Portions!$A:$A,Portions!$B:$B),FoodItems!$A:$A,FoodItems!$C:$C))</f>
        <v/>
      </c>
      <c r="H348">
        <f>IF(E348="","",E348/100*XLOOKUP(XLOOKUP(C348,Portions!$A:$A,Portions!$B:$B),FoodItems!$A:$A,FoodItems!$D:$D))</f>
        <v/>
      </c>
      <c r="I348">
        <f>IF(E348="","",E348/100*XLOOKUP(XLOOKUP(C348,Portions!$A:$A,Portions!$B:$B),FoodItems!$A:$A,FoodItems!$E:$E))</f>
        <v/>
      </c>
    </row>
    <row r="349">
      <c r="E349">
        <f>IF(C349="","",D349*XLOOKUP(C349,Portions!$A:$A,Portions!$D:$D))</f>
        <v/>
      </c>
      <c r="F349">
        <f>IF(E349="","",E349/100*XLOOKUP(XLOOKUP(C349,Portions!$A:$A,Portions!$B:$B),FoodItems!$A:$A,FoodItems!$B:$B))</f>
        <v/>
      </c>
      <c r="G349">
        <f>IF(E349="","",E349/100*XLOOKUP(XLOOKUP(C349,Portions!$A:$A,Portions!$B:$B),FoodItems!$A:$A,FoodItems!$C:$C))</f>
        <v/>
      </c>
      <c r="H349">
        <f>IF(E349="","",E349/100*XLOOKUP(XLOOKUP(C349,Portions!$A:$A,Portions!$B:$B),FoodItems!$A:$A,FoodItems!$D:$D))</f>
        <v/>
      </c>
      <c r="I349">
        <f>IF(E349="","",E349/100*XLOOKUP(XLOOKUP(C349,Portions!$A:$A,Portions!$B:$B),FoodItems!$A:$A,FoodItems!$E:$E))</f>
        <v/>
      </c>
    </row>
    <row r="350">
      <c r="E350">
        <f>IF(C350="","",D350*XLOOKUP(C350,Portions!$A:$A,Portions!$D:$D))</f>
        <v/>
      </c>
      <c r="F350">
        <f>IF(E350="","",E350/100*XLOOKUP(XLOOKUP(C350,Portions!$A:$A,Portions!$B:$B),FoodItems!$A:$A,FoodItems!$B:$B))</f>
        <v/>
      </c>
      <c r="G350">
        <f>IF(E350="","",E350/100*XLOOKUP(XLOOKUP(C350,Portions!$A:$A,Portions!$B:$B),FoodItems!$A:$A,FoodItems!$C:$C))</f>
        <v/>
      </c>
      <c r="H350">
        <f>IF(E350="","",E350/100*XLOOKUP(XLOOKUP(C350,Portions!$A:$A,Portions!$B:$B),FoodItems!$A:$A,FoodItems!$D:$D))</f>
        <v/>
      </c>
      <c r="I350">
        <f>IF(E350="","",E350/100*XLOOKUP(XLOOKUP(C350,Portions!$A:$A,Portions!$B:$B),FoodItems!$A:$A,FoodItems!$E:$E))</f>
        <v/>
      </c>
    </row>
    <row r="351">
      <c r="E351">
        <f>IF(C351="","",D351*XLOOKUP(C351,Portions!$A:$A,Portions!$D:$D))</f>
        <v/>
      </c>
      <c r="F351">
        <f>IF(E351="","",E351/100*XLOOKUP(XLOOKUP(C351,Portions!$A:$A,Portions!$B:$B),FoodItems!$A:$A,FoodItems!$B:$B))</f>
        <v/>
      </c>
      <c r="G351">
        <f>IF(E351="","",E351/100*XLOOKUP(XLOOKUP(C351,Portions!$A:$A,Portions!$B:$B),FoodItems!$A:$A,FoodItems!$C:$C))</f>
        <v/>
      </c>
      <c r="H351">
        <f>IF(E351="","",E351/100*XLOOKUP(XLOOKUP(C351,Portions!$A:$A,Portions!$B:$B),FoodItems!$A:$A,FoodItems!$D:$D))</f>
        <v/>
      </c>
      <c r="I351">
        <f>IF(E351="","",E351/100*XLOOKUP(XLOOKUP(C351,Portions!$A:$A,Portions!$B:$B),FoodItems!$A:$A,FoodItems!$E:$E))</f>
        <v/>
      </c>
    </row>
    <row r="352">
      <c r="E352">
        <f>IF(C352="","",D352*XLOOKUP(C352,Portions!$A:$A,Portions!$D:$D))</f>
        <v/>
      </c>
      <c r="F352">
        <f>IF(E352="","",E352/100*XLOOKUP(XLOOKUP(C352,Portions!$A:$A,Portions!$B:$B),FoodItems!$A:$A,FoodItems!$B:$B))</f>
        <v/>
      </c>
      <c r="G352">
        <f>IF(E352="","",E352/100*XLOOKUP(XLOOKUP(C352,Portions!$A:$A,Portions!$B:$B),FoodItems!$A:$A,FoodItems!$C:$C))</f>
        <v/>
      </c>
      <c r="H352">
        <f>IF(E352="","",E352/100*XLOOKUP(XLOOKUP(C352,Portions!$A:$A,Portions!$B:$B),FoodItems!$A:$A,FoodItems!$D:$D))</f>
        <v/>
      </c>
      <c r="I352">
        <f>IF(E352="","",E352/100*XLOOKUP(XLOOKUP(C352,Portions!$A:$A,Portions!$B:$B),FoodItems!$A:$A,FoodItems!$E:$E))</f>
        <v/>
      </c>
    </row>
    <row r="353">
      <c r="E353">
        <f>IF(C353="","",D353*XLOOKUP(C353,Portions!$A:$A,Portions!$D:$D))</f>
        <v/>
      </c>
      <c r="F353">
        <f>IF(E353="","",E353/100*XLOOKUP(XLOOKUP(C353,Portions!$A:$A,Portions!$B:$B),FoodItems!$A:$A,FoodItems!$B:$B))</f>
        <v/>
      </c>
      <c r="G353">
        <f>IF(E353="","",E353/100*XLOOKUP(XLOOKUP(C353,Portions!$A:$A,Portions!$B:$B),FoodItems!$A:$A,FoodItems!$C:$C))</f>
        <v/>
      </c>
      <c r="H353">
        <f>IF(E353="","",E353/100*XLOOKUP(XLOOKUP(C353,Portions!$A:$A,Portions!$B:$B),FoodItems!$A:$A,FoodItems!$D:$D))</f>
        <v/>
      </c>
      <c r="I353">
        <f>IF(E353="","",E353/100*XLOOKUP(XLOOKUP(C353,Portions!$A:$A,Portions!$B:$B),FoodItems!$A:$A,FoodItems!$E:$E))</f>
        <v/>
      </c>
    </row>
    <row r="354">
      <c r="E354">
        <f>IF(C354="","",D354*XLOOKUP(C354,Portions!$A:$A,Portions!$D:$D))</f>
        <v/>
      </c>
      <c r="F354">
        <f>IF(E354="","",E354/100*XLOOKUP(XLOOKUP(C354,Portions!$A:$A,Portions!$B:$B),FoodItems!$A:$A,FoodItems!$B:$B))</f>
        <v/>
      </c>
      <c r="G354">
        <f>IF(E354="","",E354/100*XLOOKUP(XLOOKUP(C354,Portions!$A:$A,Portions!$B:$B),FoodItems!$A:$A,FoodItems!$C:$C))</f>
        <v/>
      </c>
      <c r="H354">
        <f>IF(E354="","",E354/100*XLOOKUP(XLOOKUP(C354,Portions!$A:$A,Portions!$B:$B),FoodItems!$A:$A,FoodItems!$D:$D))</f>
        <v/>
      </c>
      <c r="I354">
        <f>IF(E354="","",E354/100*XLOOKUP(XLOOKUP(C354,Portions!$A:$A,Portions!$B:$B),FoodItems!$A:$A,FoodItems!$E:$E))</f>
        <v/>
      </c>
    </row>
    <row r="355">
      <c r="E355">
        <f>IF(C355="","",D355*XLOOKUP(C355,Portions!$A:$A,Portions!$D:$D))</f>
        <v/>
      </c>
      <c r="F355">
        <f>IF(E355="","",E355/100*XLOOKUP(XLOOKUP(C355,Portions!$A:$A,Portions!$B:$B),FoodItems!$A:$A,FoodItems!$B:$B))</f>
        <v/>
      </c>
      <c r="G355">
        <f>IF(E355="","",E355/100*XLOOKUP(XLOOKUP(C355,Portions!$A:$A,Portions!$B:$B),FoodItems!$A:$A,FoodItems!$C:$C))</f>
        <v/>
      </c>
      <c r="H355">
        <f>IF(E355="","",E355/100*XLOOKUP(XLOOKUP(C355,Portions!$A:$A,Portions!$B:$B),FoodItems!$A:$A,FoodItems!$D:$D))</f>
        <v/>
      </c>
      <c r="I355">
        <f>IF(E355="","",E355/100*XLOOKUP(XLOOKUP(C355,Portions!$A:$A,Portions!$B:$B),FoodItems!$A:$A,FoodItems!$E:$E))</f>
        <v/>
      </c>
    </row>
    <row r="356">
      <c r="E356">
        <f>IF(C356="","",D356*XLOOKUP(C356,Portions!$A:$A,Portions!$D:$D))</f>
        <v/>
      </c>
      <c r="F356">
        <f>IF(E356="","",E356/100*XLOOKUP(XLOOKUP(C356,Portions!$A:$A,Portions!$B:$B),FoodItems!$A:$A,FoodItems!$B:$B))</f>
        <v/>
      </c>
      <c r="G356">
        <f>IF(E356="","",E356/100*XLOOKUP(XLOOKUP(C356,Portions!$A:$A,Portions!$B:$B),FoodItems!$A:$A,FoodItems!$C:$C))</f>
        <v/>
      </c>
      <c r="H356">
        <f>IF(E356="","",E356/100*XLOOKUP(XLOOKUP(C356,Portions!$A:$A,Portions!$B:$B),FoodItems!$A:$A,FoodItems!$D:$D))</f>
        <v/>
      </c>
      <c r="I356">
        <f>IF(E356="","",E356/100*XLOOKUP(XLOOKUP(C356,Portions!$A:$A,Portions!$B:$B),FoodItems!$A:$A,FoodItems!$E:$E))</f>
        <v/>
      </c>
    </row>
    <row r="357">
      <c r="E357">
        <f>IF(C357="","",D357*XLOOKUP(C357,Portions!$A:$A,Portions!$D:$D))</f>
        <v/>
      </c>
      <c r="F357">
        <f>IF(E357="","",E357/100*XLOOKUP(XLOOKUP(C357,Portions!$A:$A,Portions!$B:$B),FoodItems!$A:$A,FoodItems!$B:$B))</f>
        <v/>
      </c>
      <c r="G357">
        <f>IF(E357="","",E357/100*XLOOKUP(XLOOKUP(C357,Portions!$A:$A,Portions!$B:$B),FoodItems!$A:$A,FoodItems!$C:$C))</f>
        <v/>
      </c>
      <c r="H357">
        <f>IF(E357="","",E357/100*XLOOKUP(XLOOKUP(C357,Portions!$A:$A,Portions!$B:$B),FoodItems!$A:$A,FoodItems!$D:$D))</f>
        <v/>
      </c>
      <c r="I357">
        <f>IF(E357="","",E357/100*XLOOKUP(XLOOKUP(C357,Portions!$A:$A,Portions!$B:$B),FoodItems!$A:$A,FoodItems!$E:$E))</f>
        <v/>
      </c>
    </row>
    <row r="358">
      <c r="E358">
        <f>IF(C358="","",D358*XLOOKUP(C358,Portions!$A:$A,Portions!$D:$D))</f>
        <v/>
      </c>
      <c r="F358">
        <f>IF(E358="","",E358/100*XLOOKUP(XLOOKUP(C358,Portions!$A:$A,Portions!$B:$B),FoodItems!$A:$A,FoodItems!$B:$B))</f>
        <v/>
      </c>
      <c r="G358">
        <f>IF(E358="","",E358/100*XLOOKUP(XLOOKUP(C358,Portions!$A:$A,Portions!$B:$B),FoodItems!$A:$A,FoodItems!$C:$C))</f>
        <v/>
      </c>
      <c r="H358">
        <f>IF(E358="","",E358/100*XLOOKUP(XLOOKUP(C358,Portions!$A:$A,Portions!$B:$B),FoodItems!$A:$A,FoodItems!$D:$D))</f>
        <v/>
      </c>
      <c r="I358">
        <f>IF(E358="","",E358/100*XLOOKUP(XLOOKUP(C358,Portions!$A:$A,Portions!$B:$B),FoodItems!$A:$A,FoodItems!$E:$E))</f>
        <v/>
      </c>
    </row>
    <row r="359">
      <c r="E359">
        <f>IF(C359="","",D359*XLOOKUP(C359,Portions!$A:$A,Portions!$D:$D))</f>
        <v/>
      </c>
      <c r="F359">
        <f>IF(E359="","",E359/100*XLOOKUP(XLOOKUP(C359,Portions!$A:$A,Portions!$B:$B),FoodItems!$A:$A,FoodItems!$B:$B))</f>
        <v/>
      </c>
      <c r="G359">
        <f>IF(E359="","",E359/100*XLOOKUP(XLOOKUP(C359,Portions!$A:$A,Portions!$B:$B),FoodItems!$A:$A,FoodItems!$C:$C))</f>
        <v/>
      </c>
      <c r="H359">
        <f>IF(E359="","",E359/100*XLOOKUP(XLOOKUP(C359,Portions!$A:$A,Portions!$B:$B),FoodItems!$A:$A,FoodItems!$D:$D))</f>
        <v/>
      </c>
      <c r="I359">
        <f>IF(E359="","",E359/100*XLOOKUP(XLOOKUP(C359,Portions!$A:$A,Portions!$B:$B),FoodItems!$A:$A,FoodItems!$E:$E))</f>
        <v/>
      </c>
    </row>
    <row r="360">
      <c r="E360">
        <f>IF(C360="","",D360*XLOOKUP(C360,Portions!$A:$A,Portions!$D:$D))</f>
        <v/>
      </c>
      <c r="F360">
        <f>IF(E360="","",E360/100*XLOOKUP(XLOOKUP(C360,Portions!$A:$A,Portions!$B:$B),FoodItems!$A:$A,FoodItems!$B:$B))</f>
        <v/>
      </c>
      <c r="G360">
        <f>IF(E360="","",E360/100*XLOOKUP(XLOOKUP(C360,Portions!$A:$A,Portions!$B:$B),FoodItems!$A:$A,FoodItems!$C:$C))</f>
        <v/>
      </c>
      <c r="H360">
        <f>IF(E360="","",E360/100*XLOOKUP(XLOOKUP(C360,Portions!$A:$A,Portions!$B:$B),FoodItems!$A:$A,FoodItems!$D:$D))</f>
        <v/>
      </c>
      <c r="I360">
        <f>IF(E360="","",E360/100*XLOOKUP(XLOOKUP(C360,Portions!$A:$A,Portions!$B:$B),FoodItems!$A:$A,FoodItems!$E:$E))</f>
        <v/>
      </c>
    </row>
    <row r="361">
      <c r="E361">
        <f>IF(C361="","",D361*XLOOKUP(C361,Portions!$A:$A,Portions!$D:$D))</f>
        <v/>
      </c>
      <c r="F361">
        <f>IF(E361="","",E361/100*XLOOKUP(XLOOKUP(C361,Portions!$A:$A,Portions!$B:$B),FoodItems!$A:$A,FoodItems!$B:$B))</f>
        <v/>
      </c>
      <c r="G361">
        <f>IF(E361="","",E361/100*XLOOKUP(XLOOKUP(C361,Portions!$A:$A,Portions!$B:$B),FoodItems!$A:$A,FoodItems!$C:$C))</f>
        <v/>
      </c>
      <c r="H361">
        <f>IF(E361="","",E361/100*XLOOKUP(XLOOKUP(C361,Portions!$A:$A,Portions!$B:$B),FoodItems!$A:$A,FoodItems!$D:$D))</f>
        <v/>
      </c>
      <c r="I361">
        <f>IF(E361="","",E361/100*XLOOKUP(XLOOKUP(C361,Portions!$A:$A,Portions!$B:$B),FoodItems!$A:$A,FoodItems!$E:$E))</f>
        <v/>
      </c>
    </row>
    <row r="362">
      <c r="E362">
        <f>IF(C362="","",D362*XLOOKUP(C362,Portions!$A:$A,Portions!$D:$D))</f>
        <v/>
      </c>
      <c r="F362">
        <f>IF(E362="","",E362/100*XLOOKUP(XLOOKUP(C362,Portions!$A:$A,Portions!$B:$B),FoodItems!$A:$A,FoodItems!$B:$B))</f>
        <v/>
      </c>
      <c r="G362">
        <f>IF(E362="","",E362/100*XLOOKUP(XLOOKUP(C362,Portions!$A:$A,Portions!$B:$B),FoodItems!$A:$A,FoodItems!$C:$C))</f>
        <v/>
      </c>
      <c r="H362">
        <f>IF(E362="","",E362/100*XLOOKUP(XLOOKUP(C362,Portions!$A:$A,Portions!$B:$B),FoodItems!$A:$A,FoodItems!$D:$D))</f>
        <v/>
      </c>
      <c r="I362">
        <f>IF(E362="","",E362/100*XLOOKUP(XLOOKUP(C362,Portions!$A:$A,Portions!$B:$B),FoodItems!$A:$A,FoodItems!$E:$E))</f>
        <v/>
      </c>
    </row>
    <row r="363">
      <c r="E363">
        <f>IF(C363="","",D363*XLOOKUP(C363,Portions!$A:$A,Portions!$D:$D))</f>
        <v/>
      </c>
      <c r="F363">
        <f>IF(E363="","",E363/100*XLOOKUP(XLOOKUP(C363,Portions!$A:$A,Portions!$B:$B),FoodItems!$A:$A,FoodItems!$B:$B))</f>
        <v/>
      </c>
      <c r="G363">
        <f>IF(E363="","",E363/100*XLOOKUP(XLOOKUP(C363,Portions!$A:$A,Portions!$B:$B),FoodItems!$A:$A,FoodItems!$C:$C))</f>
        <v/>
      </c>
      <c r="H363">
        <f>IF(E363="","",E363/100*XLOOKUP(XLOOKUP(C363,Portions!$A:$A,Portions!$B:$B),FoodItems!$A:$A,FoodItems!$D:$D))</f>
        <v/>
      </c>
      <c r="I363">
        <f>IF(E363="","",E363/100*XLOOKUP(XLOOKUP(C363,Portions!$A:$A,Portions!$B:$B),FoodItems!$A:$A,FoodItems!$E:$E))</f>
        <v/>
      </c>
    </row>
    <row r="364">
      <c r="E364">
        <f>IF(C364="","",D364*XLOOKUP(C364,Portions!$A:$A,Portions!$D:$D))</f>
        <v/>
      </c>
      <c r="F364">
        <f>IF(E364="","",E364/100*XLOOKUP(XLOOKUP(C364,Portions!$A:$A,Portions!$B:$B),FoodItems!$A:$A,FoodItems!$B:$B))</f>
        <v/>
      </c>
      <c r="G364">
        <f>IF(E364="","",E364/100*XLOOKUP(XLOOKUP(C364,Portions!$A:$A,Portions!$B:$B),FoodItems!$A:$A,FoodItems!$C:$C))</f>
        <v/>
      </c>
      <c r="H364">
        <f>IF(E364="","",E364/100*XLOOKUP(XLOOKUP(C364,Portions!$A:$A,Portions!$B:$B),FoodItems!$A:$A,FoodItems!$D:$D))</f>
        <v/>
      </c>
      <c r="I364">
        <f>IF(E364="","",E364/100*XLOOKUP(XLOOKUP(C364,Portions!$A:$A,Portions!$B:$B),FoodItems!$A:$A,FoodItems!$E:$E))</f>
        <v/>
      </c>
    </row>
    <row r="365">
      <c r="E365">
        <f>IF(C365="","",D365*XLOOKUP(C365,Portions!$A:$A,Portions!$D:$D))</f>
        <v/>
      </c>
      <c r="F365">
        <f>IF(E365="","",E365/100*XLOOKUP(XLOOKUP(C365,Portions!$A:$A,Portions!$B:$B),FoodItems!$A:$A,FoodItems!$B:$B))</f>
        <v/>
      </c>
      <c r="G365">
        <f>IF(E365="","",E365/100*XLOOKUP(XLOOKUP(C365,Portions!$A:$A,Portions!$B:$B),FoodItems!$A:$A,FoodItems!$C:$C))</f>
        <v/>
      </c>
      <c r="H365">
        <f>IF(E365="","",E365/100*XLOOKUP(XLOOKUP(C365,Portions!$A:$A,Portions!$B:$B),FoodItems!$A:$A,FoodItems!$D:$D))</f>
        <v/>
      </c>
      <c r="I365">
        <f>IF(E365="","",E365/100*XLOOKUP(XLOOKUP(C365,Portions!$A:$A,Portions!$B:$B),FoodItems!$A:$A,FoodItems!$E:$E))</f>
        <v/>
      </c>
    </row>
    <row r="366">
      <c r="E366">
        <f>IF(C366="","",D366*XLOOKUP(C366,Portions!$A:$A,Portions!$D:$D))</f>
        <v/>
      </c>
      <c r="F366">
        <f>IF(E366="","",E366/100*XLOOKUP(XLOOKUP(C366,Portions!$A:$A,Portions!$B:$B),FoodItems!$A:$A,FoodItems!$B:$B))</f>
        <v/>
      </c>
      <c r="G366">
        <f>IF(E366="","",E366/100*XLOOKUP(XLOOKUP(C366,Portions!$A:$A,Portions!$B:$B),FoodItems!$A:$A,FoodItems!$C:$C))</f>
        <v/>
      </c>
      <c r="H366">
        <f>IF(E366="","",E366/100*XLOOKUP(XLOOKUP(C366,Portions!$A:$A,Portions!$B:$B),FoodItems!$A:$A,FoodItems!$D:$D))</f>
        <v/>
      </c>
      <c r="I366">
        <f>IF(E366="","",E366/100*XLOOKUP(XLOOKUP(C366,Portions!$A:$A,Portions!$B:$B),FoodItems!$A:$A,FoodItems!$E:$E))</f>
        <v/>
      </c>
    </row>
    <row r="367">
      <c r="E367">
        <f>IF(C367="","",D367*XLOOKUP(C367,Portions!$A:$A,Portions!$D:$D))</f>
        <v/>
      </c>
      <c r="F367">
        <f>IF(E367="","",E367/100*XLOOKUP(XLOOKUP(C367,Portions!$A:$A,Portions!$B:$B),FoodItems!$A:$A,FoodItems!$B:$B))</f>
        <v/>
      </c>
      <c r="G367">
        <f>IF(E367="","",E367/100*XLOOKUP(XLOOKUP(C367,Portions!$A:$A,Portions!$B:$B),FoodItems!$A:$A,FoodItems!$C:$C))</f>
        <v/>
      </c>
      <c r="H367">
        <f>IF(E367="","",E367/100*XLOOKUP(XLOOKUP(C367,Portions!$A:$A,Portions!$B:$B),FoodItems!$A:$A,FoodItems!$D:$D))</f>
        <v/>
      </c>
      <c r="I367">
        <f>IF(E367="","",E367/100*XLOOKUP(XLOOKUP(C367,Portions!$A:$A,Portions!$B:$B),FoodItems!$A:$A,FoodItems!$E:$E))</f>
        <v/>
      </c>
    </row>
    <row r="368">
      <c r="E368">
        <f>IF(C368="","",D368*XLOOKUP(C368,Portions!$A:$A,Portions!$D:$D))</f>
        <v/>
      </c>
      <c r="F368">
        <f>IF(E368="","",E368/100*XLOOKUP(XLOOKUP(C368,Portions!$A:$A,Portions!$B:$B),FoodItems!$A:$A,FoodItems!$B:$B))</f>
        <v/>
      </c>
      <c r="G368">
        <f>IF(E368="","",E368/100*XLOOKUP(XLOOKUP(C368,Portions!$A:$A,Portions!$B:$B),FoodItems!$A:$A,FoodItems!$C:$C))</f>
        <v/>
      </c>
      <c r="H368">
        <f>IF(E368="","",E368/100*XLOOKUP(XLOOKUP(C368,Portions!$A:$A,Portions!$B:$B),FoodItems!$A:$A,FoodItems!$D:$D))</f>
        <v/>
      </c>
      <c r="I368">
        <f>IF(E368="","",E368/100*XLOOKUP(XLOOKUP(C368,Portions!$A:$A,Portions!$B:$B),FoodItems!$A:$A,FoodItems!$E:$E))</f>
        <v/>
      </c>
    </row>
    <row r="369">
      <c r="E369">
        <f>IF(C369="","",D369*XLOOKUP(C369,Portions!$A:$A,Portions!$D:$D))</f>
        <v/>
      </c>
      <c r="F369">
        <f>IF(E369="","",E369/100*XLOOKUP(XLOOKUP(C369,Portions!$A:$A,Portions!$B:$B),FoodItems!$A:$A,FoodItems!$B:$B))</f>
        <v/>
      </c>
      <c r="G369">
        <f>IF(E369="","",E369/100*XLOOKUP(XLOOKUP(C369,Portions!$A:$A,Portions!$B:$B),FoodItems!$A:$A,FoodItems!$C:$C))</f>
        <v/>
      </c>
      <c r="H369">
        <f>IF(E369="","",E369/100*XLOOKUP(XLOOKUP(C369,Portions!$A:$A,Portions!$B:$B),FoodItems!$A:$A,FoodItems!$D:$D))</f>
        <v/>
      </c>
      <c r="I369">
        <f>IF(E369="","",E369/100*XLOOKUP(XLOOKUP(C369,Portions!$A:$A,Portions!$B:$B),FoodItems!$A:$A,FoodItems!$E:$E))</f>
        <v/>
      </c>
    </row>
    <row r="370">
      <c r="E370">
        <f>IF(C370="","",D370*XLOOKUP(C370,Portions!$A:$A,Portions!$D:$D))</f>
        <v/>
      </c>
      <c r="F370">
        <f>IF(E370="","",E370/100*XLOOKUP(XLOOKUP(C370,Portions!$A:$A,Portions!$B:$B),FoodItems!$A:$A,FoodItems!$B:$B))</f>
        <v/>
      </c>
      <c r="G370">
        <f>IF(E370="","",E370/100*XLOOKUP(XLOOKUP(C370,Portions!$A:$A,Portions!$B:$B),FoodItems!$A:$A,FoodItems!$C:$C))</f>
        <v/>
      </c>
      <c r="H370">
        <f>IF(E370="","",E370/100*XLOOKUP(XLOOKUP(C370,Portions!$A:$A,Portions!$B:$B),FoodItems!$A:$A,FoodItems!$D:$D))</f>
        <v/>
      </c>
      <c r="I370">
        <f>IF(E370="","",E370/100*XLOOKUP(XLOOKUP(C370,Portions!$A:$A,Portions!$B:$B),FoodItems!$A:$A,FoodItems!$E:$E))</f>
        <v/>
      </c>
    </row>
    <row r="371">
      <c r="E371">
        <f>IF(C371="","",D371*XLOOKUP(C371,Portions!$A:$A,Portions!$D:$D))</f>
        <v/>
      </c>
      <c r="F371">
        <f>IF(E371="","",E371/100*XLOOKUP(XLOOKUP(C371,Portions!$A:$A,Portions!$B:$B),FoodItems!$A:$A,FoodItems!$B:$B))</f>
        <v/>
      </c>
      <c r="G371">
        <f>IF(E371="","",E371/100*XLOOKUP(XLOOKUP(C371,Portions!$A:$A,Portions!$B:$B),FoodItems!$A:$A,FoodItems!$C:$C))</f>
        <v/>
      </c>
      <c r="H371">
        <f>IF(E371="","",E371/100*XLOOKUP(XLOOKUP(C371,Portions!$A:$A,Portions!$B:$B),FoodItems!$A:$A,FoodItems!$D:$D))</f>
        <v/>
      </c>
      <c r="I371">
        <f>IF(E371="","",E371/100*XLOOKUP(XLOOKUP(C371,Portions!$A:$A,Portions!$B:$B),FoodItems!$A:$A,FoodItems!$E:$E))</f>
        <v/>
      </c>
    </row>
    <row r="372">
      <c r="E372">
        <f>IF(C372="","",D372*XLOOKUP(C372,Portions!$A:$A,Portions!$D:$D))</f>
        <v/>
      </c>
      <c r="F372">
        <f>IF(E372="","",E372/100*XLOOKUP(XLOOKUP(C372,Portions!$A:$A,Portions!$B:$B),FoodItems!$A:$A,FoodItems!$B:$B))</f>
        <v/>
      </c>
      <c r="G372">
        <f>IF(E372="","",E372/100*XLOOKUP(XLOOKUP(C372,Portions!$A:$A,Portions!$B:$B),FoodItems!$A:$A,FoodItems!$C:$C))</f>
        <v/>
      </c>
      <c r="H372">
        <f>IF(E372="","",E372/100*XLOOKUP(XLOOKUP(C372,Portions!$A:$A,Portions!$B:$B),FoodItems!$A:$A,FoodItems!$D:$D))</f>
        <v/>
      </c>
      <c r="I372">
        <f>IF(E372="","",E372/100*XLOOKUP(XLOOKUP(C372,Portions!$A:$A,Portions!$B:$B),FoodItems!$A:$A,FoodItems!$E:$E))</f>
        <v/>
      </c>
    </row>
    <row r="373">
      <c r="E373">
        <f>IF(C373="","",D373*XLOOKUP(C373,Portions!$A:$A,Portions!$D:$D))</f>
        <v/>
      </c>
      <c r="F373">
        <f>IF(E373="","",E373/100*XLOOKUP(XLOOKUP(C373,Portions!$A:$A,Portions!$B:$B),FoodItems!$A:$A,FoodItems!$B:$B))</f>
        <v/>
      </c>
      <c r="G373">
        <f>IF(E373="","",E373/100*XLOOKUP(XLOOKUP(C373,Portions!$A:$A,Portions!$B:$B),FoodItems!$A:$A,FoodItems!$C:$C))</f>
        <v/>
      </c>
      <c r="H373">
        <f>IF(E373="","",E373/100*XLOOKUP(XLOOKUP(C373,Portions!$A:$A,Portions!$B:$B),FoodItems!$A:$A,FoodItems!$D:$D))</f>
        <v/>
      </c>
      <c r="I373">
        <f>IF(E373="","",E373/100*XLOOKUP(XLOOKUP(C373,Portions!$A:$A,Portions!$B:$B),FoodItems!$A:$A,FoodItems!$E:$E))</f>
        <v/>
      </c>
    </row>
    <row r="374">
      <c r="E374">
        <f>IF(C374="","",D374*XLOOKUP(C374,Portions!$A:$A,Portions!$D:$D))</f>
        <v/>
      </c>
      <c r="F374">
        <f>IF(E374="","",E374/100*XLOOKUP(XLOOKUP(C374,Portions!$A:$A,Portions!$B:$B),FoodItems!$A:$A,FoodItems!$B:$B))</f>
        <v/>
      </c>
      <c r="G374">
        <f>IF(E374="","",E374/100*XLOOKUP(XLOOKUP(C374,Portions!$A:$A,Portions!$B:$B),FoodItems!$A:$A,FoodItems!$C:$C))</f>
        <v/>
      </c>
      <c r="H374">
        <f>IF(E374="","",E374/100*XLOOKUP(XLOOKUP(C374,Portions!$A:$A,Portions!$B:$B),FoodItems!$A:$A,FoodItems!$D:$D))</f>
        <v/>
      </c>
      <c r="I374">
        <f>IF(E374="","",E374/100*XLOOKUP(XLOOKUP(C374,Portions!$A:$A,Portions!$B:$B),FoodItems!$A:$A,FoodItems!$E:$E))</f>
        <v/>
      </c>
    </row>
    <row r="375">
      <c r="E375">
        <f>IF(C375="","",D375*XLOOKUP(C375,Portions!$A:$A,Portions!$D:$D))</f>
        <v/>
      </c>
      <c r="F375">
        <f>IF(E375="","",E375/100*XLOOKUP(XLOOKUP(C375,Portions!$A:$A,Portions!$B:$B),FoodItems!$A:$A,FoodItems!$B:$B))</f>
        <v/>
      </c>
      <c r="G375">
        <f>IF(E375="","",E375/100*XLOOKUP(XLOOKUP(C375,Portions!$A:$A,Portions!$B:$B),FoodItems!$A:$A,FoodItems!$C:$C))</f>
        <v/>
      </c>
      <c r="H375">
        <f>IF(E375="","",E375/100*XLOOKUP(XLOOKUP(C375,Portions!$A:$A,Portions!$B:$B),FoodItems!$A:$A,FoodItems!$D:$D))</f>
        <v/>
      </c>
      <c r="I375">
        <f>IF(E375="","",E375/100*XLOOKUP(XLOOKUP(C375,Portions!$A:$A,Portions!$B:$B),FoodItems!$A:$A,FoodItems!$E:$E))</f>
        <v/>
      </c>
    </row>
    <row r="376">
      <c r="E376">
        <f>IF(C376="","",D376*XLOOKUP(C376,Portions!$A:$A,Portions!$D:$D))</f>
        <v/>
      </c>
      <c r="F376">
        <f>IF(E376="","",E376/100*XLOOKUP(XLOOKUP(C376,Portions!$A:$A,Portions!$B:$B),FoodItems!$A:$A,FoodItems!$B:$B))</f>
        <v/>
      </c>
      <c r="G376">
        <f>IF(E376="","",E376/100*XLOOKUP(XLOOKUP(C376,Portions!$A:$A,Portions!$B:$B),FoodItems!$A:$A,FoodItems!$C:$C))</f>
        <v/>
      </c>
      <c r="H376">
        <f>IF(E376="","",E376/100*XLOOKUP(XLOOKUP(C376,Portions!$A:$A,Portions!$B:$B),FoodItems!$A:$A,FoodItems!$D:$D))</f>
        <v/>
      </c>
      <c r="I376">
        <f>IF(E376="","",E376/100*XLOOKUP(XLOOKUP(C376,Portions!$A:$A,Portions!$B:$B),FoodItems!$A:$A,FoodItems!$E:$E))</f>
        <v/>
      </c>
    </row>
    <row r="377">
      <c r="E377">
        <f>IF(C377="","",D377*XLOOKUP(C377,Portions!$A:$A,Portions!$D:$D))</f>
        <v/>
      </c>
      <c r="F377">
        <f>IF(E377="","",E377/100*XLOOKUP(XLOOKUP(C377,Portions!$A:$A,Portions!$B:$B),FoodItems!$A:$A,FoodItems!$B:$B))</f>
        <v/>
      </c>
      <c r="G377">
        <f>IF(E377="","",E377/100*XLOOKUP(XLOOKUP(C377,Portions!$A:$A,Portions!$B:$B),FoodItems!$A:$A,FoodItems!$C:$C))</f>
        <v/>
      </c>
      <c r="H377">
        <f>IF(E377="","",E377/100*XLOOKUP(XLOOKUP(C377,Portions!$A:$A,Portions!$B:$B),FoodItems!$A:$A,FoodItems!$D:$D))</f>
        <v/>
      </c>
      <c r="I377">
        <f>IF(E377="","",E377/100*XLOOKUP(XLOOKUP(C377,Portions!$A:$A,Portions!$B:$B),FoodItems!$A:$A,FoodItems!$E:$E))</f>
        <v/>
      </c>
    </row>
    <row r="378">
      <c r="E378">
        <f>IF(C378="","",D378*XLOOKUP(C378,Portions!$A:$A,Portions!$D:$D))</f>
        <v/>
      </c>
      <c r="F378">
        <f>IF(E378="","",E378/100*XLOOKUP(XLOOKUP(C378,Portions!$A:$A,Portions!$B:$B),FoodItems!$A:$A,FoodItems!$B:$B))</f>
        <v/>
      </c>
      <c r="G378">
        <f>IF(E378="","",E378/100*XLOOKUP(XLOOKUP(C378,Portions!$A:$A,Portions!$B:$B),FoodItems!$A:$A,FoodItems!$C:$C))</f>
        <v/>
      </c>
      <c r="H378">
        <f>IF(E378="","",E378/100*XLOOKUP(XLOOKUP(C378,Portions!$A:$A,Portions!$B:$B),FoodItems!$A:$A,FoodItems!$D:$D))</f>
        <v/>
      </c>
      <c r="I378">
        <f>IF(E378="","",E378/100*XLOOKUP(XLOOKUP(C378,Portions!$A:$A,Portions!$B:$B),FoodItems!$A:$A,FoodItems!$E:$E))</f>
        <v/>
      </c>
    </row>
    <row r="379">
      <c r="E379">
        <f>IF(C379="","",D379*XLOOKUP(C379,Portions!$A:$A,Portions!$D:$D))</f>
        <v/>
      </c>
      <c r="F379">
        <f>IF(E379="","",E379/100*XLOOKUP(XLOOKUP(C379,Portions!$A:$A,Portions!$B:$B),FoodItems!$A:$A,FoodItems!$B:$B))</f>
        <v/>
      </c>
      <c r="G379">
        <f>IF(E379="","",E379/100*XLOOKUP(XLOOKUP(C379,Portions!$A:$A,Portions!$B:$B),FoodItems!$A:$A,FoodItems!$C:$C))</f>
        <v/>
      </c>
      <c r="H379">
        <f>IF(E379="","",E379/100*XLOOKUP(XLOOKUP(C379,Portions!$A:$A,Portions!$B:$B),FoodItems!$A:$A,FoodItems!$D:$D))</f>
        <v/>
      </c>
      <c r="I379">
        <f>IF(E379="","",E379/100*XLOOKUP(XLOOKUP(C379,Portions!$A:$A,Portions!$B:$B),FoodItems!$A:$A,FoodItems!$E:$E))</f>
        <v/>
      </c>
    </row>
    <row r="380">
      <c r="E380">
        <f>IF(C380="","",D380*XLOOKUP(C380,Portions!$A:$A,Portions!$D:$D))</f>
        <v/>
      </c>
      <c r="F380">
        <f>IF(E380="","",E380/100*XLOOKUP(XLOOKUP(C380,Portions!$A:$A,Portions!$B:$B),FoodItems!$A:$A,FoodItems!$B:$B))</f>
        <v/>
      </c>
      <c r="G380">
        <f>IF(E380="","",E380/100*XLOOKUP(XLOOKUP(C380,Portions!$A:$A,Portions!$B:$B),FoodItems!$A:$A,FoodItems!$C:$C))</f>
        <v/>
      </c>
      <c r="H380">
        <f>IF(E380="","",E380/100*XLOOKUP(XLOOKUP(C380,Portions!$A:$A,Portions!$B:$B),FoodItems!$A:$A,FoodItems!$D:$D))</f>
        <v/>
      </c>
      <c r="I380">
        <f>IF(E380="","",E380/100*XLOOKUP(XLOOKUP(C380,Portions!$A:$A,Portions!$B:$B),FoodItems!$A:$A,FoodItems!$E:$E))</f>
        <v/>
      </c>
    </row>
    <row r="381">
      <c r="E381">
        <f>IF(C381="","",D381*XLOOKUP(C381,Portions!$A:$A,Portions!$D:$D))</f>
        <v/>
      </c>
      <c r="F381">
        <f>IF(E381="","",E381/100*XLOOKUP(XLOOKUP(C381,Portions!$A:$A,Portions!$B:$B),FoodItems!$A:$A,FoodItems!$B:$B))</f>
        <v/>
      </c>
      <c r="G381">
        <f>IF(E381="","",E381/100*XLOOKUP(XLOOKUP(C381,Portions!$A:$A,Portions!$B:$B),FoodItems!$A:$A,FoodItems!$C:$C))</f>
        <v/>
      </c>
      <c r="H381">
        <f>IF(E381="","",E381/100*XLOOKUP(XLOOKUP(C381,Portions!$A:$A,Portions!$B:$B),FoodItems!$A:$A,FoodItems!$D:$D))</f>
        <v/>
      </c>
      <c r="I381">
        <f>IF(E381="","",E381/100*XLOOKUP(XLOOKUP(C381,Portions!$A:$A,Portions!$B:$B),FoodItems!$A:$A,FoodItems!$E:$E))</f>
        <v/>
      </c>
    </row>
    <row r="382">
      <c r="E382">
        <f>IF(C382="","",D382*XLOOKUP(C382,Portions!$A:$A,Portions!$D:$D))</f>
        <v/>
      </c>
      <c r="F382">
        <f>IF(E382="","",E382/100*XLOOKUP(XLOOKUP(C382,Portions!$A:$A,Portions!$B:$B),FoodItems!$A:$A,FoodItems!$B:$B))</f>
        <v/>
      </c>
      <c r="G382">
        <f>IF(E382="","",E382/100*XLOOKUP(XLOOKUP(C382,Portions!$A:$A,Portions!$B:$B),FoodItems!$A:$A,FoodItems!$C:$C))</f>
        <v/>
      </c>
      <c r="H382">
        <f>IF(E382="","",E382/100*XLOOKUP(XLOOKUP(C382,Portions!$A:$A,Portions!$B:$B),FoodItems!$A:$A,FoodItems!$D:$D))</f>
        <v/>
      </c>
      <c r="I382">
        <f>IF(E382="","",E382/100*XLOOKUP(XLOOKUP(C382,Portions!$A:$A,Portions!$B:$B),FoodItems!$A:$A,FoodItems!$E:$E))</f>
        <v/>
      </c>
    </row>
    <row r="383">
      <c r="E383">
        <f>IF(C383="","",D383*XLOOKUP(C383,Portions!$A:$A,Portions!$D:$D))</f>
        <v/>
      </c>
      <c r="F383">
        <f>IF(E383="","",E383/100*XLOOKUP(XLOOKUP(C383,Portions!$A:$A,Portions!$B:$B),FoodItems!$A:$A,FoodItems!$B:$B))</f>
        <v/>
      </c>
      <c r="G383">
        <f>IF(E383="","",E383/100*XLOOKUP(XLOOKUP(C383,Portions!$A:$A,Portions!$B:$B),FoodItems!$A:$A,FoodItems!$C:$C))</f>
        <v/>
      </c>
      <c r="H383">
        <f>IF(E383="","",E383/100*XLOOKUP(XLOOKUP(C383,Portions!$A:$A,Portions!$B:$B),FoodItems!$A:$A,FoodItems!$D:$D))</f>
        <v/>
      </c>
      <c r="I383">
        <f>IF(E383="","",E383/100*XLOOKUP(XLOOKUP(C383,Portions!$A:$A,Portions!$B:$B),FoodItems!$A:$A,FoodItems!$E:$E))</f>
        <v/>
      </c>
    </row>
    <row r="384">
      <c r="E384">
        <f>IF(C384="","",D384*XLOOKUP(C384,Portions!$A:$A,Portions!$D:$D))</f>
        <v/>
      </c>
      <c r="F384">
        <f>IF(E384="","",E384/100*XLOOKUP(XLOOKUP(C384,Portions!$A:$A,Portions!$B:$B),FoodItems!$A:$A,FoodItems!$B:$B))</f>
        <v/>
      </c>
      <c r="G384">
        <f>IF(E384="","",E384/100*XLOOKUP(XLOOKUP(C384,Portions!$A:$A,Portions!$B:$B),FoodItems!$A:$A,FoodItems!$C:$C))</f>
        <v/>
      </c>
      <c r="H384">
        <f>IF(E384="","",E384/100*XLOOKUP(XLOOKUP(C384,Portions!$A:$A,Portions!$B:$B),FoodItems!$A:$A,FoodItems!$D:$D))</f>
        <v/>
      </c>
      <c r="I384">
        <f>IF(E384="","",E384/100*XLOOKUP(XLOOKUP(C384,Portions!$A:$A,Portions!$B:$B),FoodItems!$A:$A,FoodItems!$E:$E))</f>
        <v/>
      </c>
    </row>
    <row r="385">
      <c r="E385">
        <f>IF(C385="","",D385*XLOOKUP(C385,Portions!$A:$A,Portions!$D:$D))</f>
        <v/>
      </c>
      <c r="F385">
        <f>IF(E385="","",E385/100*XLOOKUP(XLOOKUP(C385,Portions!$A:$A,Portions!$B:$B),FoodItems!$A:$A,FoodItems!$B:$B))</f>
        <v/>
      </c>
      <c r="G385">
        <f>IF(E385="","",E385/100*XLOOKUP(XLOOKUP(C385,Portions!$A:$A,Portions!$B:$B),FoodItems!$A:$A,FoodItems!$C:$C))</f>
        <v/>
      </c>
      <c r="H385">
        <f>IF(E385="","",E385/100*XLOOKUP(XLOOKUP(C385,Portions!$A:$A,Portions!$B:$B),FoodItems!$A:$A,FoodItems!$D:$D))</f>
        <v/>
      </c>
      <c r="I385">
        <f>IF(E385="","",E385/100*XLOOKUP(XLOOKUP(C385,Portions!$A:$A,Portions!$B:$B),FoodItems!$A:$A,FoodItems!$E:$E))</f>
        <v/>
      </c>
    </row>
    <row r="386">
      <c r="E386">
        <f>IF(C386="","",D386*XLOOKUP(C386,Portions!$A:$A,Portions!$D:$D))</f>
        <v/>
      </c>
      <c r="F386">
        <f>IF(E386="","",E386/100*XLOOKUP(XLOOKUP(C386,Portions!$A:$A,Portions!$B:$B),FoodItems!$A:$A,FoodItems!$B:$B))</f>
        <v/>
      </c>
      <c r="G386">
        <f>IF(E386="","",E386/100*XLOOKUP(XLOOKUP(C386,Portions!$A:$A,Portions!$B:$B),FoodItems!$A:$A,FoodItems!$C:$C))</f>
        <v/>
      </c>
      <c r="H386">
        <f>IF(E386="","",E386/100*XLOOKUP(XLOOKUP(C386,Portions!$A:$A,Portions!$B:$B),FoodItems!$A:$A,FoodItems!$D:$D))</f>
        <v/>
      </c>
      <c r="I386">
        <f>IF(E386="","",E386/100*XLOOKUP(XLOOKUP(C386,Portions!$A:$A,Portions!$B:$B),FoodItems!$A:$A,FoodItems!$E:$E))</f>
        <v/>
      </c>
    </row>
    <row r="387">
      <c r="E387">
        <f>IF(C387="","",D387*XLOOKUP(C387,Portions!$A:$A,Portions!$D:$D))</f>
        <v/>
      </c>
      <c r="F387">
        <f>IF(E387="","",E387/100*XLOOKUP(XLOOKUP(C387,Portions!$A:$A,Portions!$B:$B),FoodItems!$A:$A,FoodItems!$B:$B))</f>
        <v/>
      </c>
      <c r="G387">
        <f>IF(E387="","",E387/100*XLOOKUP(XLOOKUP(C387,Portions!$A:$A,Portions!$B:$B),FoodItems!$A:$A,FoodItems!$C:$C))</f>
        <v/>
      </c>
      <c r="H387">
        <f>IF(E387="","",E387/100*XLOOKUP(XLOOKUP(C387,Portions!$A:$A,Portions!$B:$B),FoodItems!$A:$A,FoodItems!$D:$D))</f>
        <v/>
      </c>
      <c r="I387">
        <f>IF(E387="","",E387/100*XLOOKUP(XLOOKUP(C387,Portions!$A:$A,Portions!$B:$B),FoodItems!$A:$A,FoodItems!$E:$E))</f>
        <v/>
      </c>
    </row>
    <row r="388">
      <c r="E388">
        <f>IF(C388="","",D388*XLOOKUP(C388,Portions!$A:$A,Portions!$D:$D))</f>
        <v/>
      </c>
      <c r="F388">
        <f>IF(E388="","",E388/100*XLOOKUP(XLOOKUP(C388,Portions!$A:$A,Portions!$B:$B),FoodItems!$A:$A,FoodItems!$B:$B))</f>
        <v/>
      </c>
      <c r="G388">
        <f>IF(E388="","",E388/100*XLOOKUP(XLOOKUP(C388,Portions!$A:$A,Portions!$B:$B),FoodItems!$A:$A,FoodItems!$C:$C))</f>
        <v/>
      </c>
      <c r="H388">
        <f>IF(E388="","",E388/100*XLOOKUP(XLOOKUP(C388,Portions!$A:$A,Portions!$B:$B),FoodItems!$A:$A,FoodItems!$D:$D))</f>
        <v/>
      </c>
      <c r="I388">
        <f>IF(E388="","",E388/100*XLOOKUP(XLOOKUP(C388,Portions!$A:$A,Portions!$B:$B),FoodItems!$A:$A,FoodItems!$E:$E))</f>
        <v/>
      </c>
    </row>
    <row r="389">
      <c r="E389">
        <f>IF(C389="","",D389*XLOOKUP(C389,Portions!$A:$A,Portions!$D:$D))</f>
        <v/>
      </c>
      <c r="F389">
        <f>IF(E389="","",E389/100*XLOOKUP(XLOOKUP(C389,Portions!$A:$A,Portions!$B:$B),FoodItems!$A:$A,FoodItems!$B:$B))</f>
        <v/>
      </c>
      <c r="G389">
        <f>IF(E389="","",E389/100*XLOOKUP(XLOOKUP(C389,Portions!$A:$A,Portions!$B:$B),FoodItems!$A:$A,FoodItems!$C:$C))</f>
        <v/>
      </c>
      <c r="H389">
        <f>IF(E389="","",E389/100*XLOOKUP(XLOOKUP(C389,Portions!$A:$A,Portions!$B:$B),FoodItems!$A:$A,FoodItems!$D:$D))</f>
        <v/>
      </c>
      <c r="I389">
        <f>IF(E389="","",E389/100*XLOOKUP(XLOOKUP(C389,Portions!$A:$A,Portions!$B:$B),FoodItems!$A:$A,FoodItems!$E:$E))</f>
        <v/>
      </c>
    </row>
    <row r="390">
      <c r="E390">
        <f>IF(C390="","",D390*XLOOKUP(C390,Portions!$A:$A,Portions!$D:$D))</f>
        <v/>
      </c>
      <c r="F390">
        <f>IF(E390="","",E390/100*XLOOKUP(XLOOKUP(C390,Portions!$A:$A,Portions!$B:$B),FoodItems!$A:$A,FoodItems!$B:$B))</f>
        <v/>
      </c>
      <c r="G390">
        <f>IF(E390="","",E390/100*XLOOKUP(XLOOKUP(C390,Portions!$A:$A,Portions!$B:$B),FoodItems!$A:$A,FoodItems!$C:$C))</f>
        <v/>
      </c>
      <c r="H390">
        <f>IF(E390="","",E390/100*XLOOKUP(XLOOKUP(C390,Portions!$A:$A,Portions!$B:$B),FoodItems!$A:$A,FoodItems!$D:$D))</f>
        <v/>
      </c>
      <c r="I390">
        <f>IF(E390="","",E390/100*XLOOKUP(XLOOKUP(C390,Portions!$A:$A,Portions!$B:$B),FoodItems!$A:$A,FoodItems!$E:$E))</f>
        <v/>
      </c>
    </row>
    <row r="391">
      <c r="E391">
        <f>IF(C391="","",D391*XLOOKUP(C391,Portions!$A:$A,Portions!$D:$D))</f>
        <v/>
      </c>
      <c r="F391">
        <f>IF(E391="","",E391/100*XLOOKUP(XLOOKUP(C391,Portions!$A:$A,Portions!$B:$B),FoodItems!$A:$A,FoodItems!$B:$B))</f>
        <v/>
      </c>
      <c r="G391">
        <f>IF(E391="","",E391/100*XLOOKUP(XLOOKUP(C391,Portions!$A:$A,Portions!$B:$B),FoodItems!$A:$A,FoodItems!$C:$C))</f>
        <v/>
      </c>
      <c r="H391">
        <f>IF(E391="","",E391/100*XLOOKUP(XLOOKUP(C391,Portions!$A:$A,Portions!$B:$B),FoodItems!$A:$A,FoodItems!$D:$D))</f>
        <v/>
      </c>
      <c r="I391">
        <f>IF(E391="","",E391/100*XLOOKUP(XLOOKUP(C391,Portions!$A:$A,Portions!$B:$B),FoodItems!$A:$A,FoodItems!$E:$E))</f>
        <v/>
      </c>
    </row>
    <row r="392">
      <c r="E392">
        <f>IF(C392="","",D392*XLOOKUP(C392,Portions!$A:$A,Portions!$D:$D))</f>
        <v/>
      </c>
      <c r="F392">
        <f>IF(E392="","",E392/100*XLOOKUP(XLOOKUP(C392,Portions!$A:$A,Portions!$B:$B),FoodItems!$A:$A,FoodItems!$B:$B))</f>
        <v/>
      </c>
      <c r="G392">
        <f>IF(E392="","",E392/100*XLOOKUP(XLOOKUP(C392,Portions!$A:$A,Portions!$B:$B),FoodItems!$A:$A,FoodItems!$C:$C))</f>
        <v/>
      </c>
      <c r="H392">
        <f>IF(E392="","",E392/100*XLOOKUP(XLOOKUP(C392,Portions!$A:$A,Portions!$B:$B),FoodItems!$A:$A,FoodItems!$D:$D))</f>
        <v/>
      </c>
      <c r="I392">
        <f>IF(E392="","",E392/100*XLOOKUP(XLOOKUP(C392,Portions!$A:$A,Portions!$B:$B),FoodItems!$A:$A,FoodItems!$E:$E))</f>
        <v/>
      </c>
    </row>
    <row r="393">
      <c r="E393">
        <f>IF(C393="","",D393*XLOOKUP(C393,Portions!$A:$A,Portions!$D:$D))</f>
        <v/>
      </c>
      <c r="F393">
        <f>IF(E393="","",E393/100*XLOOKUP(XLOOKUP(C393,Portions!$A:$A,Portions!$B:$B),FoodItems!$A:$A,FoodItems!$B:$B))</f>
        <v/>
      </c>
      <c r="G393">
        <f>IF(E393="","",E393/100*XLOOKUP(XLOOKUP(C393,Portions!$A:$A,Portions!$B:$B),FoodItems!$A:$A,FoodItems!$C:$C))</f>
        <v/>
      </c>
      <c r="H393">
        <f>IF(E393="","",E393/100*XLOOKUP(XLOOKUP(C393,Portions!$A:$A,Portions!$B:$B),FoodItems!$A:$A,FoodItems!$D:$D))</f>
        <v/>
      </c>
      <c r="I393">
        <f>IF(E393="","",E393/100*XLOOKUP(XLOOKUP(C393,Portions!$A:$A,Portions!$B:$B),FoodItems!$A:$A,FoodItems!$E:$E))</f>
        <v/>
      </c>
    </row>
    <row r="394">
      <c r="E394">
        <f>IF(C394="","",D394*XLOOKUP(C394,Portions!$A:$A,Portions!$D:$D))</f>
        <v/>
      </c>
      <c r="F394">
        <f>IF(E394="","",E394/100*XLOOKUP(XLOOKUP(C394,Portions!$A:$A,Portions!$B:$B),FoodItems!$A:$A,FoodItems!$B:$B))</f>
        <v/>
      </c>
      <c r="G394">
        <f>IF(E394="","",E394/100*XLOOKUP(XLOOKUP(C394,Portions!$A:$A,Portions!$B:$B),FoodItems!$A:$A,FoodItems!$C:$C))</f>
        <v/>
      </c>
      <c r="H394">
        <f>IF(E394="","",E394/100*XLOOKUP(XLOOKUP(C394,Portions!$A:$A,Portions!$B:$B),FoodItems!$A:$A,FoodItems!$D:$D))</f>
        <v/>
      </c>
      <c r="I394">
        <f>IF(E394="","",E394/100*XLOOKUP(XLOOKUP(C394,Portions!$A:$A,Portions!$B:$B),FoodItems!$A:$A,FoodItems!$E:$E))</f>
        <v/>
      </c>
    </row>
    <row r="395">
      <c r="E395">
        <f>IF(C395="","",D395*XLOOKUP(C395,Portions!$A:$A,Portions!$D:$D))</f>
        <v/>
      </c>
      <c r="F395">
        <f>IF(E395="","",E395/100*XLOOKUP(XLOOKUP(C395,Portions!$A:$A,Portions!$B:$B),FoodItems!$A:$A,FoodItems!$B:$B))</f>
        <v/>
      </c>
      <c r="G395">
        <f>IF(E395="","",E395/100*XLOOKUP(XLOOKUP(C395,Portions!$A:$A,Portions!$B:$B),FoodItems!$A:$A,FoodItems!$C:$C))</f>
        <v/>
      </c>
      <c r="H395">
        <f>IF(E395="","",E395/100*XLOOKUP(XLOOKUP(C395,Portions!$A:$A,Portions!$B:$B),FoodItems!$A:$A,FoodItems!$D:$D))</f>
        <v/>
      </c>
      <c r="I395">
        <f>IF(E395="","",E395/100*XLOOKUP(XLOOKUP(C395,Portions!$A:$A,Portions!$B:$B),FoodItems!$A:$A,FoodItems!$E:$E))</f>
        <v/>
      </c>
    </row>
    <row r="396">
      <c r="E396">
        <f>IF(C396="","",D396*XLOOKUP(C396,Portions!$A:$A,Portions!$D:$D))</f>
        <v/>
      </c>
      <c r="F396">
        <f>IF(E396="","",E396/100*XLOOKUP(XLOOKUP(C396,Portions!$A:$A,Portions!$B:$B),FoodItems!$A:$A,FoodItems!$B:$B))</f>
        <v/>
      </c>
      <c r="G396">
        <f>IF(E396="","",E396/100*XLOOKUP(XLOOKUP(C396,Portions!$A:$A,Portions!$B:$B),FoodItems!$A:$A,FoodItems!$C:$C))</f>
        <v/>
      </c>
      <c r="H396">
        <f>IF(E396="","",E396/100*XLOOKUP(XLOOKUP(C396,Portions!$A:$A,Portions!$B:$B),FoodItems!$A:$A,FoodItems!$D:$D))</f>
        <v/>
      </c>
      <c r="I396">
        <f>IF(E396="","",E396/100*XLOOKUP(XLOOKUP(C396,Portions!$A:$A,Portions!$B:$B),FoodItems!$A:$A,FoodItems!$E:$E))</f>
        <v/>
      </c>
    </row>
    <row r="397">
      <c r="E397">
        <f>IF(C397="","",D397*XLOOKUP(C397,Portions!$A:$A,Portions!$D:$D))</f>
        <v/>
      </c>
      <c r="F397">
        <f>IF(E397="","",E397/100*XLOOKUP(XLOOKUP(C397,Portions!$A:$A,Portions!$B:$B),FoodItems!$A:$A,FoodItems!$B:$B))</f>
        <v/>
      </c>
      <c r="G397">
        <f>IF(E397="","",E397/100*XLOOKUP(XLOOKUP(C397,Portions!$A:$A,Portions!$B:$B),FoodItems!$A:$A,FoodItems!$C:$C))</f>
        <v/>
      </c>
      <c r="H397">
        <f>IF(E397="","",E397/100*XLOOKUP(XLOOKUP(C397,Portions!$A:$A,Portions!$B:$B),FoodItems!$A:$A,FoodItems!$D:$D))</f>
        <v/>
      </c>
      <c r="I397">
        <f>IF(E397="","",E397/100*XLOOKUP(XLOOKUP(C397,Portions!$A:$A,Portions!$B:$B),FoodItems!$A:$A,FoodItems!$E:$E))</f>
        <v/>
      </c>
    </row>
    <row r="398">
      <c r="E398">
        <f>IF(C398="","",D398*XLOOKUP(C398,Portions!$A:$A,Portions!$D:$D))</f>
        <v/>
      </c>
      <c r="F398">
        <f>IF(E398="","",E398/100*XLOOKUP(XLOOKUP(C398,Portions!$A:$A,Portions!$B:$B),FoodItems!$A:$A,FoodItems!$B:$B))</f>
        <v/>
      </c>
      <c r="G398">
        <f>IF(E398="","",E398/100*XLOOKUP(XLOOKUP(C398,Portions!$A:$A,Portions!$B:$B),FoodItems!$A:$A,FoodItems!$C:$C))</f>
        <v/>
      </c>
      <c r="H398">
        <f>IF(E398="","",E398/100*XLOOKUP(XLOOKUP(C398,Portions!$A:$A,Portions!$B:$B),FoodItems!$A:$A,FoodItems!$D:$D))</f>
        <v/>
      </c>
      <c r="I398">
        <f>IF(E398="","",E398/100*XLOOKUP(XLOOKUP(C398,Portions!$A:$A,Portions!$B:$B),FoodItems!$A:$A,FoodItems!$E:$E))</f>
        <v/>
      </c>
    </row>
    <row r="399">
      <c r="E399">
        <f>IF(C399="","",D399*XLOOKUP(C399,Portions!$A:$A,Portions!$D:$D))</f>
        <v/>
      </c>
      <c r="F399">
        <f>IF(E399="","",E399/100*XLOOKUP(XLOOKUP(C399,Portions!$A:$A,Portions!$B:$B),FoodItems!$A:$A,FoodItems!$B:$B))</f>
        <v/>
      </c>
      <c r="G399">
        <f>IF(E399="","",E399/100*XLOOKUP(XLOOKUP(C399,Portions!$A:$A,Portions!$B:$B),FoodItems!$A:$A,FoodItems!$C:$C))</f>
        <v/>
      </c>
      <c r="H399">
        <f>IF(E399="","",E399/100*XLOOKUP(XLOOKUP(C399,Portions!$A:$A,Portions!$B:$B),FoodItems!$A:$A,FoodItems!$D:$D))</f>
        <v/>
      </c>
      <c r="I399">
        <f>IF(E399="","",E399/100*XLOOKUP(XLOOKUP(C399,Portions!$A:$A,Portions!$B:$B),FoodItems!$A:$A,FoodItems!$E:$E))</f>
        <v/>
      </c>
    </row>
    <row r="400">
      <c r="E400">
        <f>IF(C400="","",D400*XLOOKUP(C400,Portions!$A:$A,Portions!$D:$D))</f>
        <v/>
      </c>
      <c r="F400">
        <f>IF(E400="","",E400/100*XLOOKUP(XLOOKUP(C400,Portions!$A:$A,Portions!$B:$B),FoodItems!$A:$A,FoodItems!$B:$B))</f>
        <v/>
      </c>
      <c r="G400">
        <f>IF(E400="","",E400/100*XLOOKUP(XLOOKUP(C400,Portions!$A:$A,Portions!$B:$B),FoodItems!$A:$A,FoodItems!$C:$C))</f>
        <v/>
      </c>
      <c r="H400">
        <f>IF(E400="","",E400/100*XLOOKUP(XLOOKUP(C400,Portions!$A:$A,Portions!$B:$B),FoodItems!$A:$A,FoodItems!$D:$D))</f>
        <v/>
      </c>
      <c r="I400">
        <f>IF(E400="","",E400/100*XLOOKUP(XLOOKUP(C400,Portions!$A:$A,Portions!$B:$B),FoodItems!$A:$A,FoodItems!$E:$E))</f>
        <v/>
      </c>
    </row>
    <row r="401">
      <c r="E401">
        <f>IF(C401="","",D401*XLOOKUP(C401,Portions!$A:$A,Portions!$D:$D))</f>
        <v/>
      </c>
      <c r="F401">
        <f>IF(E401="","",E401/100*XLOOKUP(XLOOKUP(C401,Portions!$A:$A,Portions!$B:$B),FoodItems!$A:$A,FoodItems!$B:$B))</f>
        <v/>
      </c>
      <c r="G401">
        <f>IF(E401="","",E401/100*XLOOKUP(XLOOKUP(C401,Portions!$A:$A,Portions!$B:$B),FoodItems!$A:$A,FoodItems!$C:$C))</f>
        <v/>
      </c>
      <c r="H401">
        <f>IF(E401="","",E401/100*XLOOKUP(XLOOKUP(C401,Portions!$A:$A,Portions!$B:$B),FoodItems!$A:$A,FoodItems!$D:$D))</f>
        <v/>
      </c>
      <c r="I401">
        <f>IF(E401="","",E401/100*XLOOKUP(XLOOKUP(C401,Portions!$A:$A,Portions!$B:$B),FoodItems!$A:$A,FoodItems!$E:$E))</f>
        <v/>
      </c>
    </row>
    <row r="402">
      <c r="E402">
        <f>IF(C402="","",D402*XLOOKUP(C402,Portions!$A:$A,Portions!$D:$D))</f>
        <v/>
      </c>
      <c r="F402">
        <f>IF(E402="","",E402/100*XLOOKUP(XLOOKUP(C402,Portions!$A:$A,Portions!$B:$B),FoodItems!$A:$A,FoodItems!$B:$B))</f>
        <v/>
      </c>
      <c r="G402">
        <f>IF(E402="","",E402/100*XLOOKUP(XLOOKUP(C402,Portions!$A:$A,Portions!$B:$B),FoodItems!$A:$A,FoodItems!$C:$C))</f>
        <v/>
      </c>
      <c r="H402">
        <f>IF(E402="","",E402/100*XLOOKUP(XLOOKUP(C402,Portions!$A:$A,Portions!$B:$B),FoodItems!$A:$A,FoodItems!$D:$D))</f>
        <v/>
      </c>
      <c r="I402">
        <f>IF(E402="","",E402/100*XLOOKUP(XLOOKUP(C402,Portions!$A:$A,Portions!$B:$B),FoodItems!$A:$A,FoodItems!$E:$E))</f>
        <v/>
      </c>
    </row>
    <row r="403">
      <c r="E403">
        <f>IF(C403="","",D403*XLOOKUP(C403,Portions!$A:$A,Portions!$D:$D))</f>
        <v/>
      </c>
      <c r="F403">
        <f>IF(E403="","",E403/100*XLOOKUP(XLOOKUP(C403,Portions!$A:$A,Portions!$B:$B),FoodItems!$A:$A,FoodItems!$B:$B))</f>
        <v/>
      </c>
      <c r="G403">
        <f>IF(E403="","",E403/100*XLOOKUP(XLOOKUP(C403,Portions!$A:$A,Portions!$B:$B),FoodItems!$A:$A,FoodItems!$C:$C))</f>
        <v/>
      </c>
      <c r="H403">
        <f>IF(E403="","",E403/100*XLOOKUP(XLOOKUP(C403,Portions!$A:$A,Portions!$B:$B),FoodItems!$A:$A,FoodItems!$D:$D))</f>
        <v/>
      </c>
      <c r="I403">
        <f>IF(E403="","",E403/100*XLOOKUP(XLOOKUP(C403,Portions!$A:$A,Portions!$B:$B),FoodItems!$A:$A,FoodItems!$E:$E))</f>
        <v/>
      </c>
    </row>
    <row r="404">
      <c r="E404">
        <f>IF(C404="","",D404*XLOOKUP(C404,Portions!$A:$A,Portions!$D:$D))</f>
        <v/>
      </c>
      <c r="F404">
        <f>IF(E404="","",E404/100*XLOOKUP(XLOOKUP(C404,Portions!$A:$A,Portions!$B:$B),FoodItems!$A:$A,FoodItems!$B:$B))</f>
        <v/>
      </c>
      <c r="G404">
        <f>IF(E404="","",E404/100*XLOOKUP(XLOOKUP(C404,Portions!$A:$A,Portions!$B:$B),FoodItems!$A:$A,FoodItems!$C:$C))</f>
        <v/>
      </c>
      <c r="H404">
        <f>IF(E404="","",E404/100*XLOOKUP(XLOOKUP(C404,Portions!$A:$A,Portions!$B:$B),FoodItems!$A:$A,FoodItems!$D:$D))</f>
        <v/>
      </c>
      <c r="I404">
        <f>IF(E404="","",E404/100*XLOOKUP(XLOOKUP(C404,Portions!$A:$A,Portions!$B:$B),FoodItems!$A:$A,FoodItems!$E:$E))</f>
        <v/>
      </c>
    </row>
    <row r="405">
      <c r="E405">
        <f>IF(C405="","",D405*XLOOKUP(C405,Portions!$A:$A,Portions!$D:$D))</f>
        <v/>
      </c>
      <c r="F405">
        <f>IF(E405="","",E405/100*XLOOKUP(XLOOKUP(C405,Portions!$A:$A,Portions!$B:$B),FoodItems!$A:$A,FoodItems!$B:$B))</f>
        <v/>
      </c>
      <c r="G405">
        <f>IF(E405="","",E405/100*XLOOKUP(XLOOKUP(C405,Portions!$A:$A,Portions!$B:$B),FoodItems!$A:$A,FoodItems!$C:$C))</f>
        <v/>
      </c>
      <c r="H405">
        <f>IF(E405="","",E405/100*XLOOKUP(XLOOKUP(C405,Portions!$A:$A,Portions!$B:$B),FoodItems!$A:$A,FoodItems!$D:$D))</f>
        <v/>
      </c>
      <c r="I405">
        <f>IF(E405="","",E405/100*XLOOKUP(XLOOKUP(C405,Portions!$A:$A,Portions!$B:$B),FoodItems!$A:$A,FoodItems!$E:$E))</f>
        <v/>
      </c>
    </row>
    <row r="406">
      <c r="E406">
        <f>IF(C406="","",D406*XLOOKUP(C406,Portions!$A:$A,Portions!$D:$D))</f>
        <v/>
      </c>
      <c r="F406">
        <f>IF(E406="","",E406/100*XLOOKUP(XLOOKUP(C406,Portions!$A:$A,Portions!$B:$B),FoodItems!$A:$A,FoodItems!$B:$B))</f>
        <v/>
      </c>
      <c r="G406">
        <f>IF(E406="","",E406/100*XLOOKUP(XLOOKUP(C406,Portions!$A:$A,Portions!$B:$B),FoodItems!$A:$A,FoodItems!$C:$C))</f>
        <v/>
      </c>
      <c r="H406">
        <f>IF(E406="","",E406/100*XLOOKUP(XLOOKUP(C406,Portions!$A:$A,Portions!$B:$B),FoodItems!$A:$A,FoodItems!$D:$D))</f>
        <v/>
      </c>
      <c r="I406">
        <f>IF(E406="","",E406/100*XLOOKUP(XLOOKUP(C406,Portions!$A:$A,Portions!$B:$B),FoodItems!$A:$A,FoodItems!$E:$E))</f>
        <v/>
      </c>
    </row>
    <row r="407">
      <c r="E407">
        <f>IF(C407="","",D407*XLOOKUP(C407,Portions!$A:$A,Portions!$D:$D))</f>
        <v/>
      </c>
      <c r="F407">
        <f>IF(E407="","",E407/100*XLOOKUP(XLOOKUP(C407,Portions!$A:$A,Portions!$B:$B),FoodItems!$A:$A,FoodItems!$B:$B))</f>
        <v/>
      </c>
      <c r="G407">
        <f>IF(E407="","",E407/100*XLOOKUP(XLOOKUP(C407,Portions!$A:$A,Portions!$B:$B),FoodItems!$A:$A,FoodItems!$C:$C))</f>
        <v/>
      </c>
      <c r="H407">
        <f>IF(E407="","",E407/100*XLOOKUP(XLOOKUP(C407,Portions!$A:$A,Portions!$B:$B),FoodItems!$A:$A,FoodItems!$D:$D))</f>
        <v/>
      </c>
      <c r="I407">
        <f>IF(E407="","",E407/100*XLOOKUP(XLOOKUP(C407,Portions!$A:$A,Portions!$B:$B),FoodItems!$A:$A,FoodItems!$E:$E))</f>
        <v/>
      </c>
    </row>
    <row r="408">
      <c r="E408">
        <f>IF(C408="","",D408*XLOOKUP(C408,Portions!$A:$A,Portions!$D:$D))</f>
        <v/>
      </c>
      <c r="F408">
        <f>IF(E408="","",E408/100*XLOOKUP(XLOOKUP(C408,Portions!$A:$A,Portions!$B:$B),FoodItems!$A:$A,FoodItems!$B:$B))</f>
        <v/>
      </c>
      <c r="G408">
        <f>IF(E408="","",E408/100*XLOOKUP(XLOOKUP(C408,Portions!$A:$A,Portions!$B:$B),FoodItems!$A:$A,FoodItems!$C:$C))</f>
        <v/>
      </c>
      <c r="H408">
        <f>IF(E408="","",E408/100*XLOOKUP(XLOOKUP(C408,Portions!$A:$A,Portions!$B:$B),FoodItems!$A:$A,FoodItems!$D:$D))</f>
        <v/>
      </c>
      <c r="I408">
        <f>IF(E408="","",E408/100*XLOOKUP(XLOOKUP(C408,Portions!$A:$A,Portions!$B:$B),FoodItems!$A:$A,FoodItems!$E:$E))</f>
        <v/>
      </c>
    </row>
    <row r="409">
      <c r="E409">
        <f>IF(C409="","",D409*XLOOKUP(C409,Portions!$A:$A,Portions!$D:$D))</f>
        <v/>
      </c>
      <c r="F409">
        <f>IF(E409="","",E409/100*XLOOKUP(XLOOKUP(C409,Portions!$A:$A,Portions!$B:$B),FoodItems!$A:$A,FoodItems!$B:$B))</f>
        <v/>
      </c>
      <c r="G409">
        <f>IF(E409="","",E409/100*XLOOKUP(XLOOKUP(C409,Portions!$A:$A,Portions!$B:$B),FoodItems!$A:$A,FoodItems!$C:$C))</f>
        <v/>
      </c>
      <c r="H409">
        <f>IF(E409="","",E409/100*XLOOKUP(XLOOKUP(C409,Portions!$A:$A,Portions!$B:$B),FoodItems!$A:$A,FoodItems!$D:$D))</f>
        <v/>
      </c>
      <c r="I409">
        <f>IF(E409="","",E409/100*XLOOKUP(XLOOKUP(C409,Portions!$A:$A,Portions!$B:$B),FoodItems!$A:$A,FoodItems!$E:$E))</f>
        <v/>
      </c>
    </row>
    <row r="410">
      <c r="E410">
        <f>IF(C410="","",D410*XLOOKUP(C410,Portions!$A:$A,Portions!$D:$D))</f>
        <v/>
      </c>
      <c r="F410">
        <f>IF(E410="","",E410/100*XLOOKUP(XLOOKUP(C410,Portions!$A:$A,Portions!$B:$B),FoodItems!$A:$A,FoodItems!$B:$B))</f>
        <v/>
      </c>
      <c r="G410">
        <f>IF(E410="","",E410/100*XLOOKUP(XLOOKUP(C410,Portions!$A:$A,Portions!$B:$B),FoodItems!$A:$A,FoodItems!$C:$C))</f>
        <v/>
      </c>
      <c r="H410">
        <f>IF(E410="","",E410/100*XLOOKUP(XLOOKUP(C410,Portions!$A:$A,Portions!$B:$B),FoodItems!$A:$A,FoodItems!$D:$D))</f>
        <v/>
      </c>
      <c r="I410">
        <f>IF(E410="","",E410/100*XLOOKUP(XLOOKUP(C410,Portions!$A:$A,Portions!$B:$B),FoodItems!$A:$A,FoodItems!$E:$E))</f>
        <v/>
      </c>
    </row>
    <row r="411">
      <c r="E411">
        <f>IF(C411="","",D411*XLOOKUP(C411,Portions!$A:$A,Portions!$D:$D))</f>
        <v/>
      </c>
      <c r="F411">
        <f>IF(E411="","",E411/100*XLOOKUP(XLOOKUP(C411,Portions!$A:$A,Portions!$B:$B),FoodItems!$A:$A,FoodItems!$B:$B))</f>
        <v/>
      </c>
      <c r="G411">
        <f>IF(E411="","",E411/100*XLOOKUP(XLOOKUP(C411,Portions!$A:$A,Portions!$B:$B),FoodItems!$A:$A,FoodItems!$C:$C))</f>
        <v/>
      </c>
      <c r="H411">
        <f>IF(E411="","",E411/100*XLOOKUP(XLOOKUP(C411,Portions!$A:$A,Portions!$B:$B),FoodItems!$A:$A,FoodItems!$D:$D))</f>
        <v/>
      </c>
      <c r="I411">
        <f>IF(E411="","",E411/100*XLOOKUP(XLOOKUP(C411,Portions!$A:$A,Portions!$B:$B),FoodItems!$A:$A,FoodItems!$E:$E))</f>
        <v/>
      </c>
    </row>
    <row r="412">
      <c r="E412">
        <f>IF(C412="","",D412*XLOOKUP(C412,Portions!$A:$A,Portions!$D:$D))</f>
        <v/>
      </c>
      <c r="F412">
        <f>IF(E412="","",E412/100*XLOOKUP(XLOOKUP(C412,Portions!$A:$A,Portions!$B:$B),FoodItems!$A:$A,FoodItems!$B:$B))</f>
        <v/>
      </c>
      <c r="G412">
        <f>IF(E412="","",E412/100*XLOOKUP(XLOOKUP(C412,Portions!$A:$A,Portions!$B:$B),FoodItems!$A:$A,FoodItems!$C:$C))</f>
        <v/>
      </c>
      <c r="H412">
        <f>IF(E412="","",E412/100*XLOOKUP(XLOOKUP(C412,Portions!$A:$A,Portions!$B:$B),FoodItems!$A:$A,FoodItems!$D:$D))</f>
        <v/>
      </c>
      <c r="I412">
        <f>IF(E412="","",E412/100*XLOOKUP(XLOOKUP(C412,Portions!$A:$A,Portions!$B:$B),FoodItems!$A:$A,FoodItems!$E:$E))</f>
        <v/>
      </c>
    </row>
    <row r="413">
      <c r="E413">
        <f>IF(C413="","",D413*XLOOKUP(C413,Portions!$A:$A,Portions!$D:$D))</f>
        <v/>
      </c>
      <c r="F413">
        <f>IF(E413="","",E413/100*XLOOKUP(XLOOKUP(C413,Portions!$A:$A,Portions!$B:$B),FoodItems!$A:$A,FoodItems!$B:$B))</f>
        <v/>
      </c>
      <c r="G413">
        <f>IF(E413="","",E413/100*XLOOKUP(XLOOKUP(C413,Portions!$A:$A,Portions!$B:$B),FoodItems!$A:$A,FoodItems!$C:$C))</f>
        <v/>
      </c>
      <c r="H413">
        <f>IF(E413="","",E413/100*XLOOKUP(XLOOKUP(C413,Portions!$A:$A,Portions!$B:$B),FoodItems!$A:$A,FoodItems!$D:$D))</f>
        <v/>
      </c>
      <c r="I413">
        <f>IF(E413="","",E413/100*XLOOKUP(XLOOKUP(C413,Portions!$A:$A,Portions!$B:$B),FoodItems!$A:$A,FoodItems!$E:$E))</f>
        <v/>
      </c>
    </row>
    <row r="414">
      <c r="E414">
        <f>IF(C414="","",D414*XLOOKUP(C414,Portions!$A:$A,Portions!$D:$D))</f>
        <v/>
      </c>
      <c r="F414">
        <f>IF(E414="","",E414/100*XLOOKUP(XLOOKUP(C414,Portions!$A:$A,Portions!$B:$B),FoodItems!$A:$A,FoodItems!$B:$B))</f>
        <v/>
      </c>
      <c r="G414">
        <f>IF(E414="","",E414/100*XLOOKUP(XLOOKUP(C414,Portions!$A:$A,Portions!$B:$B),FoodItems!$A:$A,FoodItems!$C:$C))</f>
        <v/>
      </c>
      <c r="H414">
        <f>IF(E414="","",E414/100*XLOOKUP(XLOOKUP(C414,Portions!$A:$A,Portions!$B:$B),FoodItems!$A:$A,FoodItems!$D:$D))</f>
        <v/>
      </c>
      <c r="I414">
        <f>IF(E414="","",E414/100*XLOOKUP(XLOOKUP(C414,Portions!$A:$A,Portions!$B:$B),FoodItems!$A:$A,FoodItems!$E:$E))</f>
        <v/>
      </c>
    </row>
    <row r="415">
      <c r="E415">
        <f>IF(C415="","",D415*XLOOKUP(C415,Portions!$A:$A,Portions!$D:$D))</f>
        <v/>
      </c>
      <c r="F415">
        <f>IF(E415="","",E415/100*XLOOKUP(XLOOKUP(C415,Portions!$A:$A,Portions!$B:$B),FoodItems!$A:$A,FoodItems!$B:$B))</f>
        <v/>
      </c>
      <c r="G415">
        <f>IF(E415="","",E415/100*XLOOKUP(XLOOKUP(C415,Portions!$A:$A,Portions!$B:$B),FoodItems!$A:$A,FoodItems!$C:$C))</f>
        <v/>
      </c>
      <c r="H415">
        <f>IF(E415="","",E415/100*XLOOKUP(XLOOKUP(C415,Portions!$A:$A,Portions!$B:$B),FoodItems!$A:$A,FoodItems!$D:$D))</f>
        <v/>
      </c>
      <c r="I415">
        <f>IF(E415="","",E415/100*XLOOKUP(XLOOKUP(C415,Portions!$A:$A,Portions!$B:$B),FoodItems!$A:$A,FoodItems!$E:$E))</f>
        <v/>
      </c>
    </row>
    <row r="416">
      <c r="E416">
        <f>IF(C416="","",D416*XLOOKUP(C416,Portions!$A:$A,Portions!$D:$D))</f>
        <v/>
      </c>
      <c r="F416">
        <f>IF(E416="","",E416/100*XLOOKUP(XLOOKUP(C416,Portions!$A:$A,Portions!$B:$B),FoodItems!$A:$A,FoodItems!$B:$B))</f>
        <v/>
      </c>
      <c r="G416">
        <f>IF(E416="","",E416/100*XLOOKUP(XLOOKUP(C416,Portions!$A:$A,Portions!$B:$B),FoodItems!$A:$A,FoodItems!$C:$C))</f>
        <v/>
      </c>
      <c r="H416">
        <f>IF(E416="","",E416/100*XLOOKUP(XLOOKUP(C416,Portions!$A:$A,Portions!$B:$B),FoodItems!$A:$A,FoodItems!$D:$D))</f>
        <v/>
      </c>
      <c r="I416">
        <f>IF(E416="","",E416/100*XLOOKUP(XLOOKUP(C416,Portions!$A:$A,Portions!$B:$B),FoodItems!$A:$A,FoodItems!$E:$E))</f>
        <v/>
      </c>
    </row>
    <row r="417">
      <c r="E417">
        <f>IF(C417="","",D417*XLOOKUP(C417,Portions!$A:$A,Portions!$D:$D))</f>
        <v/>
      </c>
      <c r="F417">
        <f>IF(E417="","",E417/100*XLOOKUP(XLOOKUP(C417,Portions!$A:$A,Portions!$B:$B),FoodItems!$A:$A,FoodItems!$B:$B))</f>
        <v/>
      </c>
      <c r="G417">
        <f>IF(E417="","",E417/100*XLOOKUP(XLOOKUP(C417,Portions!$A:$A,Portions!$B:$B),FoodItems!$A:$A,FoodItems!$C:$C))</f>
        <v/>
      </c>
      <c r="H417">
        <f>IF(E417="","",E417/100*XLOOKUP(XLOOKUP(C417,Portions!$A:$A,Portions!$B:$B),FoodItems!$A:$A,FoodItems!$D:$D))</f>
        <v/>
      </c>
      <c r="I417">
        <f>IF(E417="","",E417/100*XLOOKUP(XLOOKUP(C417,Portions!$A:$A,Portions!$B:$B),FoodItems!$A:$A,FoodItems!$E:$E))</f>
        <v/>
      </c>
    </row>
    <row r="418">
      <c r="E418">
        <f>IF(C418="","",D418*XLOOKUP(C418,Portions!$A:$A,Portions!$D:$D))</f>
        <v/>
      </c>
      <c r="F418">
        <f>IF(E418="","",E418/100*XLOOKUP(XLOOKUP(C418,Portions!$A:$A,Portions!$B:$B),FoodItems!$A:$A,FoodItems!$B:$B))</f>
        <v/>
      </c>
      <c r="G418">
        <f>IF(E418="","",E418/100*XLOOKUP(XLOOKUP(C418,Portions!$A:$A,Portions!$B:$B),FoodItems!$A:$A,FoodItems!$C:$C))</f>
        <v/>
      </c>
      <c r="H418">
        <f>IF(E418="","",E418/100*XLOOKUP(XLOOKUP(C418,Portions!$A:$A,Portions!$B:$B),FoodItems!$A:$A,FoodItems!$D:$D))</f>
        <v/>
      </c>
      <c r="I418">
        <f>IF(E418="","",E418/100*XLOOKUP(XLOOKUP(C418,Portions!$A:$A,Portions!$B:$B),FoodItems!$A:$A,FoodItems!$E:$E))</f>
        <v/>
      </c>
    </row>
    <row r="419">
      <c r="E419">
        <f>IF(C419="","",D419*XLOOKUP(C419,Portions!$A:$A,Portions!$D:$D))</f>
        <v/>
      </c>
      <c r="F419">
        <f>IF(E419="","",E419/100*XLOOKUP(XLOOKUP(C419,Portions!$A:$A,Portions!$B:$B),FoodItems!$A:$A,FoodItems!$B:$B))</f>
        <v/>
      </c>
      <c r="G419">
        <f>IF(E419="","",E419/100*XLOOKUP(XLOOKUP(C419,Portions!$A:$A,Portions!$B:$B),FoodItems!$A:$A,FoodItems!$C:$C))</f>
        <v/>
      </c>
      <c r="H419">
        <f>IF(E419="","",E419/100*XLOOKUP(XLOOKUP(C419,Portions!$A:$A,Portions!$B:$B),FoodItems!$A:$A,FoodItems!$D:$D))</f>
        <v/>
      </c>
      <c r="I419">
        <f>IF(E419="","",E419/100*XLOOKUP(XLOOKUP(C419,Portions!$A:$A,Portions!$B:$B),FoodItems!$A:$A,FoodItems!$E:$E))</f>
        <v/>
      </c>
    </row>
    <row r="420">
      <c r="E420">
        <f>IF(C420="","",D420*XLOOKUP(C420,Portions!$A:$A,Portions!$D:$D))</f>
        <v/>
      </c>
      <c r="F420">
        <f>IF(E420="","",E420/100*XLOOKUP(XLOOKUP(C420,Portions!$A:$A,Portions!$B:$B),FoodItems!$A:$A,FoodItems!$B:$B))</f>
        <v/>
      </c>
      <c r="G420">
        <f>IF(E420="","",E420/100*XLOOKUP(XLOOKUP(C420,Portions!$A:$A,Portions!$B:$B),FoodItems!$A:$A,FoodItems!$C:$C))</f>
        <v/>
      </c>
      <c r="H420">
        <f>IF(E420="","",E420/100*XLOOKUP(XLOOKUP(C420,Portions!$A:$A,Portions!$B:$B),FoodItems!$A:$A,FoodItems!$D:$D))</f>
        <v/>
      </c>
      <c r="I420">
        <f>IF(E420="","",E420/100*XLOOKUP(XLOOKUP(C420,Portions!$A:$A,Portions!$B:$B),FoodItems!$A:$A,FoodItems!$E:$E))</f>
        <v/>
      </c>
    </row>
    <row r="421">
      <c r="E421">
        <f>IF(C421="","",D421*XLOOKUP(C421,Portions!$A:$A,Portions!$D:$D))</f>
        <v/>
      </c>
      <c r="F421">
        <f>IF(E421="","",E421/100*XLOOKUP(XLOOKUP(C421,Portions!$A:$A,Portions!$B:$B),FoodItems!$A:$A,FoodItems!$B:$B))</f>
        <v/>
      </c>
      <c r="G421">
        <f>IF(E421="","",E421/100*XLOOKUP(XLOOKUP(C421,Portions!$A:$A,Portions!$B:$B),FoodItems!$A:$A,FoodItems!$C:$C))</f>
        <v/>
      </c>
      <c r="H421">
        <f>IF(E421="","",E421/100*XLOOKUP(XLOOKUP(C421,Portions!$A:$A,Portions!$B:$B),FoodItems!$A:$A,FoodItems!$D:$D))</f>
        <v/>
      </c>
      <c r="I421">
        <f>IF(E421="","",E421/100*XLOOKUP(XLOOKUP(C421,Portions!$A:$A,Portions!$B:$B),FoodItems!$A:$A,FoodItems!$E:$E))</f>
        <v/>
      </c>
    </row>
    <row r="422">
      <c r="E422">
        <f>IF(C422="","",D422*XLOOKUP(C422,Portions!$A:$A,Portions!$D:$D))</f>
        <v/>
      </c>
      <c r="F422">
        <f>IF(E422="","",E422/100*XLOOKUP(XLOOKUP(C422,Portions!$A:$A,Portions!$B:$B),FoodItems!$A:$A,FoodItems!$B:$B))</f>
        <v/>
      </c>
      <c r="G422">
        <f>IF(E422="","",E422/100*XLOOKUP(XLOOKUP(C422,Portions!$A:$A,Portions!$B:$B),FoodItems!$A:$A,FoodItems!$C:$C))</f>
        <v/>
      </c>
      <c r="H422">
        <f>IF(E422="","",E422/100*XLOOKUP(XLOOKUP(C422,Portions!$A:$A,Portions!$B:$B),FoodItems!$A:$A,FoodItems!$D:$D))</f>
        <v/>
      </c>
      <c r="I422">
        <f>IF(E422="","",E422/100*XLOOKUP(XLOOKUP(C422,Portions!$A:$A,Portions!$B:$B),FoodItems!$A:$A,FoodItems!$E:$E))</f>
        <v/>
      </c>
    </row>
    <row r="423">
      <c r="E423">
        <f>IF(C423="","",D423*XLOOKUP(C423,Portions!$A:$A,Portions!$D:$D))</f>
        <v/>
      </c>
      <c r="F423">
        <f>IF(E423="","",E423/100*XLOOKUP(XLOOKUP(C423,Portions!$A:$A,Portions!$B:$B),FoodItems!$A:$A,FoodItems!$B:$B))</f>
        <v/>
      </c>
      <c r="G423">
        <f>IF(E423="","",E423/100*XLOOKUP(XLOOKUP(C423,Portions!$A:$A,Portions!$B:$B),FoodItems!$A:$A,FoodItems!$C:$C))</f>
        <v/>
      </c>
      <c r="H423">
        <f>IF(E423="","",E423/100*XLOOKUP(XLOOKUP(C423,Portions!$A:$A,Portions!$B:$B),FoodItems!$A:$A,FoodItems!$D:$D))</f>
        <v/>
      </c>
      <c r="I423">
        <f>IF(E423="","",E423/100*XLOOKUP(XLOOKUP(C423,Portions!$A:$A,Portions!$B:$B),FoodItems!$A:$A,FoodItems!$E:$E))</f>
        <v/>
      </c>
    </row>
    <row r="424">
      <c r="E424">
        <f>IF(C424="","",D424*XLOOKUP(C424,Portions!$A:$A,Portions!$D:$D))</f>
        <v/>
      </c>
      <c r="F424">
        <f>IF(E424="","",E424/100*XLOOKUP(XLOOKUP(C424,Portions!$A:$A,Portions!$B:$B),FoodItems!$A:$A,FoodItems!$B:$B))</f>
        <v/>
      </c>
      <c r="G424">
        <f>IF(E424="","",E424/100*XLOOKUP(XLOOKUP(C424,Portions!$A:$A,Portions!$B:$B),FoodItems!$A:$A,FoodItems!$C:$C))</f>
        <v/>
      </c>
      <c r="H424">
        <f>IF(E424="","",E424/100*XLOOKUP(XLOOKUP(C424,Portions!$A:$A,Portions!$B:$B),FoodItems!$A:$A,FoodItems!$D:$D))</f>
        <v/>
      </c>
      <c r="I424">
        <f>IF(E424="","",E424/100*XLOOKUP(XLOOKUP(C424,Portions!$A:$A,Portions!$B:$B),FoodItems!$A:$A,FoodItems!$E:$E))</f>
        <v/>
      </c>
    </row>
    <row r="425">
      <c r="E425">
        <f>IF(C425="","",D425*XLOOKUP(C425,Portions!$A:$A,Portions!$D:$D))</f>
        <v/>
      </c>
      <c r="F425">
        <f>IF(E425="","",E425/100*XLOOKUP(XLOOKUP(C425,Portions!$A:$A,Portions!$B:$B),FoodItems!$A:$A,FoodItems!$B:$B))</f>
        <v/>
      </c>
      <c r="G425">
        <f>IF(E425="","",E425/100*XLOOKUP(XLOOKUP(C425,Portions!$A:$A,Portions!$B:$B),FoodItems!$A:$A,FoodItems!$C:$C))</f>
        <v/>
      </c>
      <c r="H425">
        <f>IF(E425="","",E425/100*XLOOKUP(XLOOKUP(C425,Portions!$A:$A,Portions!$B:$B),FoodItems!$A:$A,FoodItems!$D:$D))</f>
        <v/>
      </c>
      <c r="I425">
        <f>IF(E425="","",E425/100*XLOOKUP(XLOOKUP(C425,Portions!$A:$A,Portions!$B:$B),FoodItems!$A:$A,FoodItems!$E:$E))</f>
        <v/>
      </c>
    </row>
    <row r="426">
      <c r="E426">
        <f>IF(C426="","",D426*XLOOKUP(C426,Portions!$A:$A,Portions!$D:$D))</f>
        <v/>
      </c>
      <c r="F426">
        <f>IF(E426="","",E426/100*XLOOKUP(XLOOKUP(C426,Portions!$A:$A,Portions!$B:$B),FoodItems!$A:$A,FoodItems!$B:$B))</f>
        <v/>
      </c>
      <c r="G426">
        <f>IF(E426="","",E426/100*XLOOKUP(XLOOKUP(C426,Portions!$A:$A,Portions!$B:$B),FoodItems!$A:$A,FoodItems!$C:$C))</f>
        <v/>
      </c>
      <c r="H426">
        <f>IF(E426="","",E426/100*XLOOKUP(XLOOKUP(C426,Portions!$A:$A,Portions!$B:$B),FoodItems!$A:$A,FoodItems!$D:$D))</f>
        <v/>
      </c>
      <c r="I426">
        <f>IF(E426="","",E426/100*XLOOKUP(XLOOKUP(C426,Portions!$A:$A,Portions!$B:$B),FoodItems!$A:$A,FoodItems!$E:$E))</f>
        <v/>
      </c>
    </row>
    <row r="427">
      <c r="E427">
        <f>IF(C427="","",D427*XLOOKUP(C427,Portions!$A:$A,Portions!$D:$D))</f>
        <v/>
      </c>
      <c r="F427">
        <f>IF(E427="","",E427/100*XLOOKUP(XLOOKUP(C427,Portions!$A:$A,Portions!$B:$B),FoodItems!$A:$A,FoodItems!$B:$B))</f>
        <v/>
      </c>
      <c r="G427">
        <f>IF(E427="","",E427/100*XLOOKUP(XLOOKUP(C427,Portions!$A:$A,Portions!$B:$B),FoodItems!$A:$A,FoodItems!$C:$C))</f>
        <v/>
      </c>
      <c r="H427">
        <f>IF(E427="","",E427/100*XLOOKUP(XLOOKUP(C427,Portions!$A:$A,Portions!$B:$B),FoodItems!$A:$A,FoodItems!$D:$D))</f>
        <v/>
      </c>
      <c r="I427">
        <f>IF(E427="","",E427/100*XLOOKUP(XLOOKUP(C427,Portions!$A:$A,Portions!$B:$B),FoodItems!$A:$A,FoodItems!$E:$E))</f>
        <v/>
      </c>
    </row>
    <row r="428">
      <c r="E428">
        <f>IF(C428="","",D428*XLOOKUP(C428,Portions!$A:$A,Portions!$D:$D))</f>
        <v/>
      </c>
      <c r="F428">
        <f>IF(E428="","",E428/100*XLOOKUP(XLOOKUP(C428,Portions!$A:$A,Portions!$B:$B),FoodItems!$A:$A,FoodItems!$B:$B))</f>
        <v/>
      </c>
      <c r="G428">
        <f>IF(E428="","",E428/100*XLOOKUP(XLOOKUP(C428,Portions!$A:$A,Portions!$B:$B),FoodItems!$A:$A,FoodItems!$C:$C))</f>
        <v/>
      </c>
      <c r="H428">
        <f>IF(E428="","",E428/100*XLOOKUP(XLOOKUP(C428,Portions!$A:$A,Portions!$B:$B),FoodItems!$A:$A,FoodItems!$D:$D))</f>
        <v/>
      </c>
      <c r="I428">
        <f>IF(E428="","",E428/100*XLOOKUP(XLOOKUP(C428,Portions!$A:$A,Portions!$B:$B),FoodItems!$A:$A,FoodItems!$E:$E))</f>
        <v/>
      </c>
    </row>
    <row r="429">
      <c r="E429">
        <f>IF(C429="","",D429*XLOOKUP(C429,Portions!$A:$A,Portions!$D:$D))</f>
        <v/>
      </c>
      <c r="F429">
        <f>IF(E429="","",E429/100*XLOOKUP(XLOOKUP(C429,Portions!$A:$A,Portions!$B:$B),FoodItems!$A:$A,FoodItems!$B:$B))</f>
        <v/>
      </c>
      <c r="G429">
        <f>IF(E429="","",E429/100*XLOOKUP(XLOOKUP(C429,Portions!$A:$A,Portions!$B:$B),FoodItems!$A:$A,FoodItems!$C:$C))</f>
        <v/>
      </c>
      <c r="H429">
        <f>IF(E429="","",E429/100*XLOOKUP(XLOOKUP(C429,Portions!$A:$A,Portions!$B:$B),FoodItems!$A:$A,FoodItems!$D:$D))</f>
        <v/>
      </c>
      <c r="I429">
        <f>IF(E429="","",E429/100*XLOOKUP(XLOOKUP(C429,Portions!$A:$A,Portions!$B:$B),FoodItems!$A:$A,FoodItems!$E:$E))</f>
        <v/>
      </c>
    </row>
    <row r="430">
      <c r="E430">
        <f>IF(C430="","",D430*XLOOKUP(C430,Portions!$A:$A,Portions!$D:$D))</f>
        <v/>
      </c>
      <c r="F430">
        <f>IF(E430="","",E430/100*XLOOKUP(XLOOKUP(C430,Portions!$A:$A,Portions!$B:$B),FoodItems!$A:$A,FoodItems!$B:$B))</f>
        <v/>
      </c>
      <c r="G430">
        <f>IF(E430="","",E430/100*XLOOKUP(XLOOKUP(C430,Portions!$A:$A,Portions!$B:$B),FoodItems!$A:$A,FoodItems!$C:$C))</f>
        <v/>
      </c>
      <c r="H430">
        <f>IF(E430="","",E430/100*XLOOKUP(XLOOKUP(C430,Portions!$A:$A,Portions!$B:$B),FoodItems!$A:$A,FoodItems!$D:$D))</f>
        <v/>
      </c>
      <c r="I430">
        <f>IF(E430="","",E430/100*XLOOKUP(XLOOKUP(C430,Portions!$A:$A,Portions!$B:$B),FoodItems!$A:$A,FoodItems!$E:$E))</f>
        <v/>
      </c>
    </row>
    <row r="431">
      <c r="E431">
        <f>IF(C431="","",D431*XLOOKUP(C431,Portions!$A:$A,Portions!$D:$D))</f>
        <v/>
      </c>
      <c r="F431">
        <f>IF(E431="","",E431/100*XLOOKUP(XLOOKUP(C431,Portions!$A:$A,Portions!$B:$B),FoodItems!$A:$A,FoodItems!$B:$B))</f>
        <v/>
      </c>
      <c r="G431">
        <f>IF(E431="","",E431/100*XLOOKUP(XLOOKUP(C431,Portions!$A:$A,Portions!$B:$B),FoodItems!$A:$A,FoodItems!$C:$C))</f>
        <v/>
      </c>
      <c r="H431">
        <f>IF(E431="","",E431/100*XLOOKUP(XLOOKUP(C431,Portions!$A:$A,Portions!$B:$B),FoodItems!$A:$A,FoodItems!$D:$D))</f>
        <v/>
      </c>
      <c r="I431">
        <f>IF(E431="","",E431/100*XLOOKUP(XLOOKUP(C431,Portions!$A:$A,Portions!$B:$B),FoodItems!$A:$A,FoodItems!$E:$E))</f>
        <v/>
      </c>
    </row>
    <row r="432">
      <c r="E432">
        <f>IF(C432="","",D432*XLOOKUP(C432,Portions!$A:$A,Portions!$D:$D))</f>
        <v/>
      </c>
      <c r="F432">
        <f>IF(E432="","",E432/100*XLOOKUP(XLOOKUP(C432,Portions!$A:$A,Portions!$B:$B),FoodItems!$A:$A,FoodItems!$B:$B))</f>
        <v/>
      </c>
      <c r="G432">
        <f>IF(E432="","",E432/100*XLOOKUP(XLOOKUP(C432,Portions!$A:$A,Portions!$B:$B),FoodItems!$A:$A,FoodItems!$C:$C))</f>
        <v/>
      </c>
      <c r="H432">
        <f>IF(E432="","",E432/100*XLOOKUP(XLOOKUP(C432,Portions!$A:$A,Portions!$B:$B),FoodItems!$A:$A,FoodItems!$D:$D))</f>
        <v/>
      </c>
      <c r="I432">
        <f>IF(E432="","",E432/100*XLOOKUP(XLOOKUP(C432,Portions!$A:$A,Portions!$B:$B),FoodItems!$A:$A,FoodItems!$E:$E))</f>
        <v/>
      </c>
    </row>
    <row r="433">
      <c r="E433">
        <f>IF(C433="","",D433*XLOOKUP(C433,Portions!$A:$A,Portions!$D:$D))</f>
        <v/>
      </c>
      <c r="F433">
        <f>IF(E433="","",E433/100*XLOOKUP(XLOOKUP(C433,Portions!$A:$A,Portions!$B:$B),FoodItems!$A:$A,FoodItems!$B:$B))</f>
        <v/>
      </c>
      <c r="G433">
        <f>IF(E433="","",E433/100*XLOOKUP(XLOOKUP(C433,Portions!$A:$A,Portions!$B:$B),FoodItems!$A:$A,FoodItems!$C:$C))</f>
        <v/>
      </c>
      <c r="H433">
        <f>IF(E433="","",E433/100*XLOOKUP(XLOOKUP(C433,Portions!$A:$A,Portions!$B:$B),FoodItems!$A:$A,FoodItems!$D:$D))</f>
        <v/>
      </c>
      <c r="I433">
        <f>IF(E433="","",E433/100*XLOOKUP(XLOOKUP(C433,Portions!$A:$A,Portions!$B:$B),FoodItems!$A:$A,FoodItems!$E:$E))</f>
        <v/>
      </c>
    </row>
    <row r="434">
      <c r="E434">
        <f>IF(C434="","",D434*XLOOKUP(C434,Portions!$A:$A,Portions!$D:$D))</f>
        <v/>
      </c>
      <c r="F434">
        <f>IF(E434="","",E434/100*XLOOKUP(XLOOKUP(C434,Portions!$A:$A,Portions!$B:$B),FoodItems!$A:$A,FoodItems!$B:$B))</f>
        <v/>
      </c>
      <c r="G434">
        <f>IF(E434="","",E434/100*XLOOKUP(XLOOKUP(C434,Portions!$A:$A,Portions!$B:$B),FoodItems!$A:$A,FoodItems!$C:$C))</f>
        <v/>
      </c>
      <c r="H434">
        <f>IF(E434="","",E434/100*XLOOKUP(XLOOKUP(C434,Portions!$A:$A,Portions!$B:$B),FoodItems!$A:$A,FoodItems!$D:$D))</f>
        <v/>
      </c>
      <c r="I434">
        <f>IF(E434="","",E434/100*XLOOKUP(XLOOKUP(C434,Portions!$A:$A,Portions!$B:$B),FoodItems!$A:$A,FoodItems!$E:$E))</f>
        <v/>
      </c>
    </row>
    <row r="435">
      <c r="E435">
        <f>IF(C435="","",D435*XLOOKUP(C435,Portions!$A:$A,Portions!$D:$D))</f>
        <v/>
      </c>
      <c r="F435">
        <f>IF(E435="","",E435/100*XLOOKUP(XLOOKUP(C435,Portions!$A:$A,Portions!$B:$B),FoodItems!$A:$A,FoodItems!$B:$B))</f>
        <v/>
      </c>
      <c r="G435">
        <f>IF(E435="","",E435/100*XLOOKUP(XLOOKUP(C435,Portions!$A:$A,Portions!$B:$B),FoodItems!$A:$A,FoodItems!$C:$C))</f>
        <v/>
      </c>
      <c r="H435">
        <f>IF(E435="","",E435/100*XLOOKUP(XLOOKUP(C435,Portions!$A:$A,Portions!$B:$B),FoodItems!$A:$A,FoodItems!$D:$D))</f>
        <v/>
      </c>
      <c r="I435">
        <f>IF(E435="","",E435/100*XLOOKUP(XLOOKUP(C435,Portions!$A:$A,Portions!$B:$B),FoodItems!$A:$A,FoodItems!$E:$E))</f>
        <v/>
      </c>
    </row>
    <row r="436">
      <c r="E436">
        <f>IF(C436="","",D436*XLOOKUP(C436,Portions!$A:$A,Portions!$D:$D))</f>
        <v/>
      </c>
      <c r="F436">
        <f>IF(E436="","",E436/100*XLOOKUP(XLOOKUP(C436,Portions!$A:$A,Portions!$B:$B),FoodItems!$A:$A,FoodItems!$B:$B))</f>
        <v/>
      </c>
      <c r="G436">
        <f>IF(E436="","",E436/100*XLOOKUP(XLOOKUP(C436,Portions!$A:$A,Portions!$B:$B),FoodItems!$A:$A,FoodItems!$C:$C))</f>
        <v/>
      </c>
      <c r="H436">
        <f>IF(E436="","",E436/100*XLOOKUP(XLOOKUP(C436,Portions!$A:$A,Portions!$B:$B),FoodItems!$A:$A,FoodItems!$D:$D))</f>
        <v/>
      </c>
      <c r="I436">
        <f>IF(E436="","",E436/100*XLOOKUP(XLOOKUP(C436,Portions!$A:$A,Portions!$B:$B),FoodItems!$A:$A,FoodItems!$E:$E))</f>
        <v/>
      </c>
    </row>
    <row r="437">
      <c r="E437">
        <f>IF(C437="","",D437*XLOOKUP(C437,Portions!$A:$A,Portions!$D:$D))</f>
        <v/>
      </c>
      <c r="F437">
        <f>IF(E437="","",E437/100*XLOOKUP(XLOOKUP(C437,Portions!$A:$A,Portions!$B:$B),FoodItems!$A:$A,FoodItems!$B:$B))</f>
        <v/>
      </c>
      <c r="G437">
        <f>IF(E437="","",E437/100*XLOOKUP(XLOOKUP(C437,Portions!$A:$A,Portions!$B:$B),FoodItems!$A:$A,FoodItems!$C:$C))</f>
        <v/>
      </c>
      <c r="H437">
        <f>IF(E437="","",E437/100*XLOOKUP(XLOOKUP(C437,Portions!$A:$A,Portions!$B:$B),FoodItems!$A:$A,FoodItems!$D:$D))</f>
        <v/>
      </c>
      <c r="I437">
        <f>IF(E437="","",E437/100*XLOOKUP(XLOOKUP(C437,Portions!$A:$A,Portions!$B:$B),FoodItems!$A:$A,FoodItems!$E:$E))</f>
        <v/>
      </c>
    </row>
    <row r="438">
      <c r="E438">
        <f>IF(C438="","",D438*XLOOKUP(C438,Portions!$A:$A,Portions!$D:$D))</f>
        <v/>
      </c>
      <c r="F438">
        <f>IF(E438="","",E438/100*XLOOKUP(XLOOKUP(C438,Portions!$A:$A,Portions!$B:$B),FoodItems!$A:$A,FoodItems!$B:$B))</f>
        <v/>
      </c>
      <c r="G438">
        <f>IF(E438="","",E438/100*XLOOKUP(XLOOKUP(C438,Portions!$A:$A,Portions!$B:$B),FoodItems!$A:$A,FoodItems!$C:$C))</f>
        <v/>
      </c>
      <c r="H438">
        <f>IF(E438="","",E438/100*XLOOKUP(XLOOKUP(C438,Portions!$A:$A,Portions!$B:$B),FoodItems!$A:$A,FoodItems!$D:$D))</f>
        <v/>
      </c>
      <c r="I438">
        <f>IF(E438="","",E438/100*XLOOKUP(XLOOKUP(C438,Portions!$A:$A,Portions!$B:$B),FoodItems!$A:$A,FoodItems!$E:$E))</f>
        <v/>
      </c>
    </row>
    <row r="439">
      <c r="E439">
        <f>IF(C439="","",D439*XLOOKUP(C439,Portions!$A:$A,Portions!$D:$D))</f>
        <v/>
      </c>
      <c r="F439">
        <f>IF(E439="","",E439/100*XLOOKUP(XLOOKUP(C439,Portions!$A:$A,Portions!$B:$B),FoodItems!$A:$A,FoodItems!$B:$B))</f>
        <v/>
      </c>
      <c r="G439">
        <f>IF(E439="","",E439/100*XLOOKUP(XLOOKUP(C439,Portions!$A:$A,Portions!$B:$B),FoodItems!$A:$A,FoodItems!$C:$C))</f>
        <v/>
      </c>
      <c r="H439">
        <f>IF(E439="","",E439/100*XLOOKUP(XLOOKUP(C439,Portions!$A:$A,Portions!$B:$B),FoodItems!$A:$A,FoodItems!$D:$D))</f>
        <v/>
      </c>
      <c r="I439">
        <f>IF(E439="","",E439/100*XLOOKUP(XLOOKUP(C439,Portions!$A:$A,Portions!$B:$B),FoodItems!$A:$A,FoodItems!$E:$E))</f>
        <v/>
      </c>
    </row>
    <row r="440">
      <c r="E440">
        <f>IF(C440="","",D440*XLOOKUP(C440,Portions!$A:$A,Portions!$D:$D))</f>
        <v/>
      </c>
      <c r="F440">
        <f>IF(E440="","",E440/100*XLOOKUP(XLOOKUP(C440,Portions!$A:$A,Portions!$B:$B),FoodItems!$A:$A,FoodItems!$B:$B))</f>
        <v/>
      </c>
      <c r="G440">
        <f>IF(E440="","",E440/100*XLOOKUP(XLOOKUP(C440,Portions!$A:$A,Portions!$B:$B),FoodItems!$A:$A,FoodItems!$C:$C))</f>
        <v/>
      </c>
      <c r="H440">
        <f>IF(E440="","",E440/100*XLOOKUP(XLOOKUP(C440,Portions!$A:$A,Portions!$B:$B),FoodItems!$A:$A,FoodItems!$D:$D))</f>
        <v/>
      </c>
      <c r="I440">
        <f>IF(E440="","",E440/100*XLOOKUP(XLOOKUP(C440,Portions!$A:$A,Portions!$B:$B),FoodItems!$A:$A,FoodItems!$E:$E))</f>
        <v/>
      </c>
    </row>
    <row r="441">
      <c r="E441">
        <f>IF(C441="","",D441*XLOOKUP(C441,Portions!$A:$A,Portions!$D:$D))</f>
        <v/>
      </c>
      <c r="F441">
        <f>IF(E441="","",E441/100*XLOOKUP(XLOOKUP(C441,Portions!$A:$A,Portions!$B:$B),FoodItems!$A:$A,FoodItems!$B:$B))</f>
        <v/>
      </c>
      <c r="G441">
        <f>IF(E441="","",E441/100*XLOOKUP(XLOOKUP(C441,Portions!$A:$A,Portions!$B:$B),FoodItems!$A:$A,FoodItems!$C:$C))</f>
        <v/>
      </c>
      <c r="H441">
        <f>IF(E441="","",E441/100*XLOOKUP(XLOOKUP(C441,Portions!$A:$A,Portions!$B:$B),FoodItems!$A:$A,FoodItems!$D:$D))</f>
        <v/>
      </c>
      <c r="I441">
        <f>IF(E441="","",E441/100*XLOOKUP(XLOOKUP(C441,Portions!$A:$A,Portions!$B:$B),FoodItems!$A:$A,FoodItems!$E:$E))</f>
        <v/>
      </c>
    </row>
    <row r="442">
      <c r="E442">
        <f>IF(C442="","",D442*XLOOKUP(C442,Portions!$A:$A,Portions!$D:$D))</f>
        <v/>
      </c>
      <c r="F442">
        <f>IF(E442="","",E442/100*XLOOKUP(XLOOKUP(C442,Portions!$A:$A,Portions!$B:$B),FoodItems!$A:$A,FoodItems!$B:$B))</f>
        <v/>
      </c>
      <c r="G442">
        <f>IF(E442="","",E442/100*XLOOKUP(XLOOKUP(C442,Portions!$A:$A,Portions!$B:$B),FoodItems!$A:$A,FoodItems!$C:$C))</f>
        <v/>
      </c>
      <c r="H442">
        <f>IF(E442="","",E442/100*XLOOKUP(XLOOKUP(C442,Portions!$A:$A,Portions!$B:$B),FoodItems!$A:$A,FoodItems!$D:$D))</f>
        <v/>
      </c>
      <c r="I442">
        <f>IF(E442="","",E442/100*XLOOKUP(XLOOKUP(C442,Portions!$A:$A,Portions!$B:$B),FoodItems!$A:$A,FoodItems!$E:$E))</f>
        <v/>
      </c>
    </row>
    <row r="443">
      <c r="E443">
        <f>IF(C443="","",D443*XLOOKUP(C443,Portions!$A:$A,Portions!$D:$D))</f>
        <v/>
      </c>
      <c r="F443">
        <f>IF(E443="","",E443/100*XLOOKUP(XLOOKUP(C443,Portions!$A:$A,Portions!$B:$B),FoodItems!$A:$A,FoodItems!$B:$B))</f>
        <v/>
      </c>
      <c r="G443">
        <f>IF(E443="","",E443/100*XLOOKUP(XLOOKUP(C443,Portions!$A:$A,Portions!$B:$B),FoodItems!$A:$A,FoodItems!$C:$C))</f>
        <v/>
      </c>
      <c r="H443">
        <f>IF(E443="","",E443/100*XLOOKUP(XLOOKUP(C443,Portions!$A:$A,Portions!$B:$B),FoodItems!$A:$A,FoodItems!$D:$D))</f>
        <v/>
      </c>
      <c r="I443">
        <f>IF(E443="","",E443/100*XLOOKUP(XLOOKUP(C443,Portions!$A:$A,Portions!$B:$B),FoodItems!$A:$A,FoodItems!$E:$E))</f>
        <v/>
      </c>
    </row>
    <row r="444">
      <c r="E444">
        <f>IF(C444="","",D444*XLOOKUP(C444,Portions!$A:$A,Portions!$D:$D))</f>
        <v/>
      </c>
      <c r="F444">
        <f>IF(E444="","",E444/100*XLOOKUP(XLOOKUP(C444,Portions!$A:$A,Portions!$B:$B),FoodItems!$A:$A,FoodItems!$B:$B))</f>
        <v/>
      </c>
      <c r="G444">
        <f>IF(E444="","",E444/100*XLOOKUP(XLOOKUP(C444,Portions!$A:$A,Portions!$B:$B),FoodItems!$A:$A,FoodItems!$C:$C))</f>
        <v/>
      </c>
      <c r="H444">
        <f>IF(E444="","",E444/100*XLOOKUP(XLOOKUP(C444,Portions!$A:$A,Portions!$B:$B),FoodItems!$A:$A,FoodItems!$D:$D))</f>
        <v/>
      </c>
      <c r="I444">
        <f>IF(E444="","",E444/100*XLOOKUP(XLOOKUP(C444,Portions!$A:$A,Portions!$B:$B),FoodItems!$A:$A,FoodItems!$E:$E))</f>
        <v/>
      </c>
    </row>
    <row r="445">
      <c r="E445">
        <f>IF(C445="","",D445*XLOOKUP(C445,Portions!$A:$A,Portions!$D:$D))</f>
        <v/>
      </c>
      <c r="F445">
        <f>IF(E445="","",E445/100*XLOOKUP(XLOOKUP(C445,Portions!$A:$A,Portions!$B:$B),FoodItems!$A:$A,FoodItems!$B:$B))</f>
        <v/>
      </c>
      <c r="G445">
        <f>IF(E445="","",E445/100*XLOOKUP(XLOOKUP(C445,Portions!$A:$A,Portions!$B:$B),FoodItems!$A:$A,FoodItems!$C:$C))</f>
        <v/>
      </c>
      <c r="H445">
        <f>IF(E445="","",E445/100*XLOOKUP(XLOOKUP(C445,Portions!$A:$A,Portions!$B:$B),FoodItems!$A:$A,FoodItems!$D:$D))</f>
        <v/>
      </c>
      <c r="I445">
        <f>IF(E445="","",E445/100*XLOOKUP(XLOOKUP(C445,Portions!$A:$A,Portions!$B:$B),FoodItems!$A:$A,FoodItems!$E:$E))</f>
        <v/>
      </c>
    </row>
    <row r="446">
      <c r="E446">
        <f>IF(C446="","",D446*XLOOKUP(C446,Portions!$A:$A,Portions!$D:$D))</f>
        <v/>
      </c>
      <c r="F446">
        <f>IF(E446="","",E446/100*XLOOKUP(XLOOKUP(C446,Portions!$A:$A,Portions!$B:$B),FoodItems!$A:$A,FoodItems!$B:$B))</f>
        <v/>
      </c>
      <c r="G446">
        <f>IF(E446="","",E446/100*XLOOKUP(XLOOKUP(C446,Portions!$A:$A,Portions!$B:$B),FoodItems!$A:$A,FoodItems!$C:$C))</f>
        <v/>
      </c>
      <c r="H446">
        <f>IF(E446="","",E446/100*XLOOKUP(XLOOKUP(C446,Portions!$A:$A,Portions!$B:$B),FoodItems!$A:$A,FoodItems!$D:$D))</f>
        <v/>
      </c>
      <c r="I446">
        <f>IF(E446="","",E446/100*XLOOKUP(XLOOKUP(C446,Portions!$A:$A,Portions!$B:$B),FoodItems!$A:$A,FoodItems!$E:$E))</f>
        <v/>
      </c>
    </row>
    <row r="447">
      <c r="E447">
        <f>IF(C447="","",D447*XLOOKUP(C447,Portions!$A:$A,Portions!$D:$D))</f>
        <v/>
      </c>
      <c r="F447">
        <f>IF(E447="","",E447/100*XLOOKUP(XLOOKUP(C447,Portions!$A:$A,Portions!$B:$B),FoodItems!$A:$A,FoodItems!$B:$B))</f>
        <v/>
      </c>
      <c r="G447">
        <f>IF(E447="","",E447/100*XLOOKUP(XLOOKUP(C447,Portions!$A:$A,Portions!$B:$B),FoodItems!$A:$A,FoodItems!$C:$C))</f>
        <v/>
      </c>
      <c r="H447">
        <f>IF(E447="","",E447/100*XLOOKUP(XLOOKUP(C447,Portions!$A:$A,Portions!$B:$B),FoodItems!$A:$A,FoodItems!$D:$D))</f>
        <v/>
      </c>
      <c r="I447">
        <f>IF(E447="","",E447/100*XLOOKUP(XLOOKUP(C447,Portions!$A:$A,Portions!$B:$B),FoodItems!$A:$A,FoodItems!$E:$E))</f>
        <v/>
      </c>
    </row>
    <row r="448">
      <c r="E448">
        <f>IF(C448="","",D448*XLOOKUP(C448,Portions!$A:$A,Portions!$D:$D))</f>
        <v/>
      </c>
      <c r="F448">
        <f>IF(E448="","",E448/100*XLOOKUP(XLOOKUP(C448,Portions!$A:$A,Portions!$B:$B),FoodItems!$A:$A,FoodItems!$B:$B))</f>
        <v/>
      </c>
      <c r="G448">
        <f>IF(E448="","",E448/100*XLOOKUP(XLOOKUP(C448,Portions!$A:$A,Portions!$B:$B),FoodItems!$A:$A,FoodItems!$C:$C))</f>
        <v/>
      </c>
      <c r="H448">
        <f>IF(E448="","",E448/100*XLOOKUP(XLOOKUP(C448,Portions!$A:$A,Portions!$B:$B),FoodItems!$A:$A,FoodItems!$D:$D))</f>
        <v/>
      </c>
      <c r="I448">
        <f>IF(E448="","",E448/100*XLOOKUP(XLOOKUP(C448,Portions!$A:$A,Portions!$B:$B),FoodItems!$A:$A,FoodItems!$E:$E))</f>
        <v/>
      </c>
    </row>
    <row r="449">
      <c r="E449">
        <f>IF(C449="","",D449*XLOOKUP(C449,Portions!$A:$A,Portions!$D:$D))</f>
        <v/>
      </c>
      <c r="F449">
        <f>IF(E449="","",E449/100*XLOOKUP(XLOOKUP(C449,Portions!$A:$A,Portions!$B:$B),FoodItems!$A:$A,FoodItems!$B:$B))</f>
        <v/>
      </c>
      <c r="G449">
        <f>IF(E449="","",E449/100*XLOOKUP(XLOOKUP(C449,Portions!$A:$A,Portions!$B:$B),FoodItems!$A:$A,FoodItems!$C:$C))</f>
        <v/>
      </c>
      <c r="H449">
        <f>IF(E449="","",E449/100*XLOOKUP(XLOOKUP(C449,Portions!$A:$A,Portions!$B:$B),FoodItems!$A:$A,FoodItems!$D:$D))</f>
        <v/>
      </c>
      <c r="I449">
        <f>IF(E449="","",E449/100*XLOOKUP(XLOOKUP(C449,Portions!$A:$A,Portions!$B:$B),FoodItems!$A:$A,FoodItems!$E:$E))</f>
        <v/>
      </c>
    </row>
    <row r="450">
      <c r="E450">
        <f>IF(C450="","",D450*XLOOKUP(C450,Portions!$A:$A,Portions!$D:$D))</f>
        <v/>
      </c>
      <c r="F450">
        <f>IF(E450="","",E450/100*XLOOKUP(XLOOKUP(C450,Portions!$A:$A,Portions!$B:$B),FoodItems!$A:$A,FoodItems!$B:$B))</f>
        <v/>
      </c>
      <c r="G450">
        <f>IF(E450="","",E450/100*XLOOKUP(XLOOKUP(C450,Portions!$A:$A,Portions!$B:$B),FoodItems!$A:$A,FoodItems!$C:$C))</f>
        <v/>
      </c>
      <c r="H450">
        <f>IF(E450="","",E450/100*XLOOKUP(XLOOKUP(C450,Portions!$A:$A,Portions!$B:$B),FoodItems!$A:$A,FoodItems!$D:$D))</f>
        <v/>
      </c>
      <c r="I450">
        <f>IF(E450="","",E450/100*XLOOKUP(XLOOKUP(C450,Portions!$A:$A,Portions!$B:$B),FoodItems!$A:$A,FoodItems!$E:$E))</f>
        <v/>
      </c>
    </row>
    <row r="451">
      <c r="E451">
        <f>IF(C451="","",D451*XLOOKUP(C451,Portions!$A:$A,Portions!$D:$D))</f>
        <v/>
      </c>
      <c r="F451">
        <f>IF(E451="","",E451/100*XLOOKUP(XLOOKUP(C451,Portions!$A:$A,Portions!$B:$B),FoodItems!$A:$A,FoodItems!$B:$B))</f>
        <v/>
      </c>
      <c r="G451">
        <f>IF(E451="","",E451/100*XLOOKUP(XLOOKUP(C451,Portions!$A:$A,Portions!$B:$B),FoodItems!$A:$A,FoodItems!$C:$C))</f>
        <v/>
      </c>
      <c r="H451">
        <f>IF(E451="","",E451/100*XLOOKUP(XLOOKUP(C451,Portions!$A:$A,Portions!$B:$B),FoodItems!$A:$A,FoodItems!$D:$D))</f>
        <v/>
      </c>
      <c r="I451">
        <f>IF(E451="","",E451/100*XLOOKUP(XLOOKUP(C451,Portions!$A:$A,Portions!$B:$B),FoodItems!$A:$A,FoodItems!$E:$E))</f>
        <v/>
      </c>
    </row>
    <row r="452">
      <c r="E452">
        <f>IF(C452="","",D452*XLOOKUP(C452,Portions!$A:$A,Portions!$D:$D))</f>
        <v/>
      </c>
      <c r="F452">
        <f>IF(E452="","",E452/100*XLOOKUP(XLOOKUP(C452,Portions!$A:$A,Portions!$B:$B),FoodItems!$A:$A,FoodItems!$B:$B))</f>
        <v/>
      </c>
      <c r="G452">
        <f>IF(E452="","",E452/100*XLOOKUP(XLOOKUP(C452,Portions!$A:$A,Portions!$B:$B),FoodItems!$A:$A,FoodItems!$C:$C))</f>
        <v/>
      </c>
      <c r="H452">
        <f>IF(E452="","",E452/100*XLOOKUP(XLOOKUP(C452,Portions!$A:$A,Portions!$B:$B),FoodItems!$A:$A,FoodItems!$D:$D))</f>
        <v/>
      </c>
      <c r="I452">
        <f>IF(E452="","",E452/100*XLOOKUP(XLOOKUP(C452,Portions!$A:$A,Portions!$B:$B),FoodItems!$A:$A,FoodItems!$E:$E))</f>
        <v/>
      </c>
    </row>
    <row r="453">
      <c r="E453">
        <f>IF(C453="","",D453*XLOOKUP(C453,Portions!$A:$A,Portions!$D:$D))</f>
        <v/>
      </c>
      <c r="F453">
        <f>IF(E453="","",E453/100*XLOOKUP(XLOOKUP(C453,Portions!$A:$A,Portions!$B:$B),FoodItems!$A:$A,FoodItems!$B:$B))</f>
        <v/>
      </c>
      <c r="G453">
        <f>IF(E453="","",E453/100*XLOOKUP(XLOOKUP(C453,Portions!$A:$A,Portions!$B:$B),FoodItems!$A:$A,FoodItems!$C:$C))</f>
        <v/>
      </c>
      <c r="H453">
        <f>IF(E453="","",E453/100*XLOOKUP(XLOOKUP(C453,Portions!$A:$A,Portions!$B:$B),FoodItems!$A:$A,FoodItems!$D:$D))</f>
        <v/>
      </c>
      <c r="I453">
        <f>IF(E453="","",E453/100*XLOOKUP(XLOOKUP(C453,Portions!$A:$A,Portions!$B:$B),FoodItems!$A:$A,FoodItems!$E:$E))</f>
        <v/>
      </c>
    </row>
    <row r="454">
      <c r="E454">
        <f>IF(C454="","",D454*XLOOKUP(C454,Portions!$A:$A,Portions!$D:$D))</f>
        <v/>
      </c>
      <c r="F454">
        <f>IF(E454="","",E454/100*XLOOKUP(XLOOKUP(C454,Portions!$A:$A,Portions!$B:$B),FoodItems!$A:$A,FoodItems!$B:$B))</f>
        <v/>
      </c>
      <c r="G454">
        <f>IF(E454="","",E454/100*XLOOKUP(XLOOKUP(C454,Portions!$A:$A,Portions!$B:$B),FoodItems!$A:$A,FoodItems!$C:$C))</f>
        <v/>
      </c>
      <c r="H454">
        <f>IF(E454="","",E454/100*XLOOKUP(XLOOKUP(C454,Portions!$A:$A,Portions!$B:$B),FoodItems!$A:$A,FoodItems!$D:$D))</f>
        <v/>
      </c>
      <c r="I454">
        <f>IF(E454="","",E454/100*XLOOKUP(XLOOKUP(C454,Portions!$A:$A,Portions!$B:$B),FoodItems!$A:$A,FoodItems!$E:$E))</f>
        <v/>
      </c>
    </row>
    <row r="455">
      <c r="E455">
        <f>IF(C455="","",D455*XLOOKUP(C455,Portions!$A:$A,Portions!$D:$D))</f>
        <v/>
      </c>
      <c r="F455">
        <f>IF(E455="","",E455/100*XLOOKUP(XLOOKUP(C455,Portions!$A:$A,Portions!$B:$B),FoodItems!$A:$A,FoodItems!$B:$B))</f>
        <v/>
      </c>
      <c r="G455">
        <f>IF(E455="","",E455/100*XLOOKUP(XLOOKUP(C455,Portions!$A:$A,Portions!$B:$B),FoodItems!$A:$A,FoodItems!$C:$C))</f>
        <v/>
      </c>
      <c r="H455">
        <f>IF(E455="","",E455/100*XLOOKUP(XLOOKUP(C455,Portions!$A:$A,Portions!$B:$B),FoodItems!$A:$A,FoodItems!$D:$D))</f>
        <v/>
      </c>
      <c r="I455">
        <f>IF(E455="","",E455/100*XLOOKUP(XLOOKUP(C455,Portions!$A:$A,Portions!$B:$B),FoodItems!$A:$A,FoodItems!$E:$E))</f>
        <v/>
      </c>
    </row>
    <row r="456">
      <c r="E456">
        <f>IF(C456="","",D456*XLOOKUP(C456,Portions!$A:$A,Portions!$D:$D))</f>
        <v/>
      </c>
      <c r="F456">
        <f>IF(E456="","",E456/100*XLOOKUP(XLOOKUP(C456,Portions!$A:$A,Portions!$B:$B),FoodItems!$A:$A,FoodItems!$B:$B))</f>
        <v/>
      </c>
      <c r="G456">
        <f>IF(E456="","",E456/100*XLOOKUP(XLOOKUP(C456,Portions!$A:$A,Portions!$B:$B),FoodItems!$A:$A,FoodItems!$C:$C))</f>
        <v/>
      </c>
      <c r="H456">
        <f>IF(E456="","",E456/100*XLOOKUP(XLOOKUP(C456,Portions!$A:$A,Portions!$B:$B),FoodItems!$A:$A,FoodItems!$D:$D))</f>
        <v/>
      </c>
      <c r="I456">
        <f>IF(E456="","",E456/100*XLOOKUP(XLOOKUP(C456,Portions!$A:$A,Portions!$B:$B),FoodItems!$A:$A,FoodItems!$E:$E))</f>
        <v/>
      </c>
    </row>
    <row r="457">
      <c r="E457">
        <f>IF(C457="","",D457*XLOOKUP(C457,Portions!$A:$A,Portions!$D:$D))</f>
        <v/>
      </c>
      <c r="F457">
        <f>IF(E457="","",E457/100*XLOOKUP(XLOOKUP(C457,Portions!$A:$A,Portions!$B:$B),FoodItems!$A:$A,FoodItems!$B:$B))</f>
        <v/>
      </c>
      <c r="G457">
        <f>IF(E457="","",E457/100*XLOOKUP(XLOOKUP(C457,Portions!$A:$A,Portions!$B:$B),FoodItems!$A:$A,FoodItems!$C:$C))</f>
        <v/>
      </c>
      <c r="H457">
        <f>IF(E457="","",E457/100*XLOOKUP(XLOOKUP(C457,Portions!$A:$A,Portions!$B:$B),FoodItems!$A:$A,FoodItems!$D:$D))</f>
        <v/>
      </c>
      <c r="I457">
        <f>IF(E457="","",E457/100*XLOOKUP(XLOOKUP(C457,Portions!$A:$A,Portions!$B:$B),FoodItems!$A:$A,FoodItems!$E:$E))</f>
        <v/>
      </c>
    </row>
    <row r="458">
      <c r="E458">
        <f>IF(C458="","",D458*XLOOKUP(C458,Portions!$A:$A,Portions!$D:$D))</f>
        <v/>
      </c>
      <c r="F458">
        <f>IF(E458="","",E458/100*XLOOKUP(XLOOKUP(C458,Portions!$A:$A,Portions!$B:$B),FoodItems!$A:$A,FoodItems!$B:$B))</f>
        <v/>
      </c>
      <c r="G458">
        <f>IF(E458="","",E458/100*XLOOKUP(XLOOKUP(C458,Portions!$A:$A,Portions!$B:$B),FoodItems!$A:$A,FoodItems!$C:$C))</f>
        <v/>
      </c>
      <c r="H458">
        <f>IF(E458="","",E458/100*XLOOKUP(XLOOKUP(C458,Portions!$A:$A,Portions!$B:$B),FoodItems!$A:$A,FoodItems!$D:$D))</f>
        <v/>
      </c>
      <c r="I458">
        <f>IF(E458="","",E458/100*XLOOKUP(XLOOKUP(C458,Portions!$A:$A,Portions!$B:$B),FoodItems!$A:$A,FoodItems!$E:$E))</f>
        <v/>
      </c>
    </row>
    <row r="459">
      <c r="E459">
        <f>IF(C459="","",D459*XLOOKUP(C459,Portions!$A:$A,Portions!$D:$D))</f>
        <v/>
      </c>
      <c r="F459">
        <f>IF(E459="","",E459/100*XLOOKUP(XLOOKUP(C459,Portions!$A:$A,Portions!$B:$B),FoodItems!$A:$A,FoodItems!$B:$B))</f>
        <v/>
      </c>
      <c r="G459">
        <f>IF(E459="","",E459/100*XLOOKUP(XLOOKUP(C459,Portions!$A:$A,Portions!$B:$B),FoodItems!$A:$A,FoodItems!$C:$C))</f>
        <v/>
      </c>
      <c r="H459">
        <f>IF(E459="","",E459/100*XLOOKUP(XLOOKUP(C459,Portions!$A:$A,Portions!$B:$B),FoodItems!$A:$A,FoodItems!$D:$D))</f>
        <v/>
      </c>
      <c r="I459">
        <f>IF(E459="","",E459/100*XLOOKUP(XLOOKUP(C459,Portions!$A:$A,Portions!$B:$B),FoodItems!$A:$A,FoodItems!$E:$E))</f>
        <v/>
      </c>
    </row>
    <row r="460">
      <c r="E460">
        <f>IF(C460="","",D460*XLOOKUP(C460,Portions!$A:$A,Portions!$D:$D))</f>
        <v/>
      </c>
      <c r="F460">
        <f>IF(E460="","",E460/100*XLOOKUP(XLOOKUP(C460,Portions!$A:$A,Portions!$B:$B),FoodItems!$A:$A,FoodItems!$B:$B))</f>
        <v/>
      </c>
      <c r="G460">
        <f>IF(E460="","",E460/100*XLOOKUP(XLOOKUP(C460,Portions!$A:$A,Portions!$B:$B),FoodItems!$A:$A,FoodItems!$C:$C))</f>
        <v/>
      </c>
      <c r="H460">
        <f>IF(E460="","",E460/100*XLOOKUP(XLOOKUP(C460,Portions!$A:$A,Portions!$B:$B),FoodItems!$A:$A,FoodItems!$D:$D))</f>
        <v/>
      </c>
      <c r="I460">
        <f>IF(E460="","",E460/100*XLOOKUP(XLOOKUP(C460,Portions!$A:$A,Portions!$B:$B),FoodItems!$A:$A,FoodItems!$E:$E))</f>
        <v/>
      </c>
    </row>
    <row r="461">
      <c r="E461">
        <f>IF(C461="","",D461*XLOOKUP(C461,Portions!$A:$A,Portions!$D:$D))</f>
        <v/>
      </c>
      <c r="F461">
        <f>IF(E461="","",E461/100*XLOOKUP(XLOOKUP(C461,Portions!$A:$A,Portions!$B:$B),FoodItems!$A:$A,FoodItems!$B:$B))</f>
        <v/>
      </c>
      <c r="G461">
        <f>IF(E461="","",E461/100*XLOOKUP(XLOOKUP(C461,Portions!$A:$A,Portions!$B:$B),FoodItems!$A:$A,FoodItems!$C:$C))</f>
        <v/>
      </c>
      <c r="H461">
        <f>IF(E461="","",E461/100*XLOOKUP(XLOOKUP(C461,Portions!$A:$A,Portions!$B:$B),FoodItems!$A:$A,FoodItems!$D:$D))</f>
        <v/>
      </c>
      <c r="I461">
        <f>IF(E461="","",E461/100*XLOOKUP(XLOOKUP(C461,Portions!$A:$A,Portions!$B:$B),FoodItems!$A:$A,FoodItems!$E:$E))</f>
        <v/>
      </c>
    </row>
    <row r="462">
      <c r="E462">
        <f>IF(C462="","",D462*XLOOKUP(C462,Portions!$A:$A,Portions!$D:$D))</f>
        <v/>
      </c>
      <c r="F462">
        <f>IF(E462="","",E462/100*XLOOKUP(XLOOKUP(C462,Portions!$A:$A,Portions!$B:$B),FoodItems!$A:$A,FoodItems!$B:$B))</f>
        <v/>
      </c>
      <c r="G462">
        <f>IF(E462="","",E462/100*XLOOKUP(XLOOKUP(C462,Portions!$A:$A,Portions!$B:$B),FoodItems!$A:$A,FoodItems!$C:$C))</f>
        <v/>
      </c>
      <c r="H462">
        <f>IF(E462="","",E462/100*XLOOKUP(XLOOKUP(C462,Portions!$A:$A,Portions!$B:$B),FoodItems!$A:$A,FoodItems!$D:$D))</f>
        <v/>
      </c>
      <c r="I462">
        <f>IF(E462="","",E462/100*XLOOKUP(XLOOKUP(C462,Portions!$A:$A,Portions!$B:$B),FoodItems!$A:$A,FoodItems!$E:$E))</f>
        <v/>
      </c>
    </row>
    <row r="463">
      <c r="E463">
        <f>IF(C463="","",D463*XLOOKUP(C463,Portions!$A:$A,Portions!$D:$D))</f>
        <v/>
      </c>
      <c r="F463">
        <f>IF(E463="","",E463/100*XLOOKUP(XLOOKUP(C463,Portions!$A:$A,Portions!$B:$B),FoodItems!$A:$A,FoodItems!$B:$B))</f>
        <v/>
      </c>
      <c r="G463">
        <f>IF(E463="","",E463/100*XLOOKUP(XLOOKUP(C463,Portions!$A:$A,Portions!$B:$B),FoodItems!$A:$A,FoodItems!$C:$C))</f>
        <v/>
      </c>
      <c r="H463">
        <f>IF(E463="","",E463/100*XLOOKUP(XLOOKUP(C463,Portions!$A:$A,Portions!$B:$B),FoodItems!$A:$A,FoodItems!$D:$D))</f>
        <v/>
      </c>
      <c r="I463">
        <f>IF(E463="","",E463/100*XLOOKUP(XLOOKUP(C463,Portions!$A:$A,Portions!$B:$B),FoodItems!$A:$A,FoodItems!$E:$E))</f>
        <v/>
      </c>
    </row>
    <row r="464">
      <c r="E464">
        <f>IF(C464="","",D464*XLOOKUP(C464,Portions!$A:$A,Portions!$D:$D))</f>
        <v/>
      </c>
      <c r="F464">
        <f>IF(E464="","",E464/100*XLOOKUP(XLOOKUP(C464,Portions!$A:$A,Portions!$B:$B),FoodItems!$A:$A,FoodItems!$B:$B))</f>
        <v/>
      </c>
      <c r="G464">
        <f>IF(E464="","",E464/100*XLOOKUP(XLOOKUP(C464,Portions!$A:$A,Portions!$B:$B),FoodItems!$A:$A,FoodItems!$C:$C))</f>
        <v/>
      </c>
      <c r="H464">
        <f>IF(E464="","",E464/100*XLOOKUP(XLOOKUP(C464,Portions!$A:$A,Portions!$B:$B),FoodItems!$A:$A,FoodItems!$D:$D))</f>
        <v/>
      </c>
      <c r="I464">
        <f>IF(E464="","",E464/100*XLOOKUP(XLOOKUP(C464,Portions!$A:$A,Portions!$B:$B),FoodItems!$A:$A,FoodItems!$E:$E))</f>
        <v/>
      </c>
    </row>
    <row r="465">
      <c r="E465">
        <f>IF(C465="","",D465*XLOOKUP(C465,Portions!$A:$A,Portions!$D:$D))</f>
        <v/>
      </c>
      <c r="F465">
        <f>IF(E465="","",E465/100*XLOOKUP(XLOOKUP(C465,Portions!$A:$A,Portions!$B:$B),FoodItems!$A:$A,FoodItems!$B:$B))</f>
        <v/>
      </c>
      <c r="G465">
        <f>IF(E465="","",E465/100*XLOOKUP(XLOOKUP(C465,Portions!$A:$A,Portions!$B:$B),FoodItems!$A:$A,FoodItems!$C:$C))</f>
        <v/>
      </c>
      <c r="H465">
        <f>IF(E465="","",E465/100*XLOOKUP(XLOOKUP(C465,Portions!$A:$A,Portions!$B:$B),FoodItems!$A:$A,FoodItems!$D:$D))</f>
        <v/>
      </c>
      <c r="I465">
        <f>IF(E465="","",E465/100*XLOOKUP(XLOOKUP(C465,Portions!$A:$A,Portions!$B:$B),FoodItems!$A:$A,FoodItems!$E:$E))</f>
        <v/>
      </c>
    </row>
    <row r="466">
      <c r="E466">
        <f>IF(C466="","",D466*XLOOKUP(C466,Portions!$A:$A,Portions!$D:$D))</f>
        <v/>
      </c>
      <c r="F466">
        <f>IF(E466="","",E466/100*XLOOKUP(XLOOKUP(C466,Portions!$A:$A,Portions!$B:$B),FoodItems!$A:$A,FoodItems!$B:$B))</f>
        <v/>
      </c>
      <c r="G466">
        <f>IF(E466="","",E466/100*XLOOKUP(XLOOKUP(C466,Portions!$A:$A,Portions!$B:$B),FoodItems!$A:$A,FoodItems!$C:$C))</f>
        <v/>
      </c>
      <c r="H466">
        <f>IF(E466="","",E466/100*XLOOKUP(XLOOKUP(C466,Portions!$A:$A,Portions!$B:$B),FoodItems!$A:$A,FoodItems!$D:$D))</f>
        <v/>
      </c>
      <c r="I466">
        <f>IF(E466="","",E466/100*XLOOKUP(XLOOKUP(C466,Portions!$A:$A,Portions!$B:$B),FoodItems!$A:$A,FoodItems!$E:$E))</f>
        <v/>
      </c>
    </row>
    <row r="467">
      <c r="E467">
        <f>IF(C467="","",D467*XLOOKUP(C467,Portions!$A:$A,Portions!$D:$D))</f>
        <v/>
      </c>
      <c r="F467">
        <f>IF(E467="","",E467/100*XLOOKUP(XLOOKUP(C467,Portions!$A:$A,Portions!$B:$B),FoodItems!$A:$A,FoodItems!$B:$B))</f>
        <v/>
      </c>
      <c r="G467">
        <f>IF(E467="","",E467/100*XLOOKUP(XLOOKUP(C467,Portions!$A:$A,Portions!$B:$B),FoodItems!$A:$A,FoodItems!$C:$C))</f>
        <v/>
      </c>
      <c r="H467">
        <f>IF(E467="","",E467/100*XLOOKUP(XLOOKUP(C467,Portions!$A:$A,Portions!$B:$B),FoodItems!$A:$A,FoodItems!$D:$D))</f>
        <v/>
      </c>
      <c r="I467">
        <f>IF(E467="","",E467/100*XLOOKUP(XLOOKUP(C467,Portions!$A:$A,Portions!$B:$B),FoodItems!$A:$A,FoodItems!$E:$E))</f>
        <v/>
      </c>
    </row>
    <row r="468">
      <c r="E468">
        <f>IF(C468="","",D468*XLOOKUP(C468,Portions!$A:$A,Portions!$D:$D))</f>
        <v/>
      </c>
      <c r="F468">
        <f>IF(E468="","",E468/100*XLOOKUP(XLOOKUP(C468,Portions!$A:$A,Portions!$B:$B),FoodItems!$A:$A,FoodItems!$B:$B))</f>
        <v/>
      </c>
      <c r="G468">
        <f>IF(E468="","",E468/100*XLOOKUP(XLOOKUP(C468,Portions!$A:$A,Portions!$B:$B),FoodItems!$A:$A,FoodItems!$C:$C))</f>
        <v/>
      </c>
      <c r="H468">
        <f>IF(E468="","",E468/100*XLOOKUP(XLOOKUP(C468,Portions!$A:$A,Portions!$B:$B),FoodItems!$A:$A,FoodItems!$D:$D))</f>
        <v/>
      </c>
      <c r="I468">
        <f>IF(E468="","",E468/100*XLOOKUP(XLOOKUP(C468,Portions!$A:$A,Portions!$B:$B),FoodItems!$A:$A,FoodItems!$E:$E))</f>
        <v/>
      </c>
    </row>
    <row r="469">
      <c r="E469">
        <f>IF(C469="","",D469*XLOOKUP(C469,Portions!$A:$A,Portions!$D:$D))</f>
        <v/>
      </c>
      <c r="F469">
        <f>IF(E469="","",E469/100*XLOOKUP(XLOOKUP(C469,Portions!$A:$A,Portions!$B:$B),FoodItems!$A:$A,FoodItems!$B:$B))</f>
        <v/>
      </c>
      <c r="G469">
        <f>IF(E469="","",E469/100*XLOOKUP(XLOOKUP(C469,Portions!$A:$A,Portions!$B:$B),FoodItems!$A:$A,FoodItems!$C:$C))</f>
        <v/>
      </c>
      <c r="H469">
        <f>IF(E469="","",E469/100*XLOOKUP(XLOOKUP(C469,Portions!$A:$A,Portions!$B:$B),FoodItems!$A:$A,FoodItems!$D:$D))</f>
        <v/>
      </c>
      <c r="I469">
        <f>IF(E469="","",E469/100*XLOOKUP(XLOOKUP(C469,Portions!$A:$A,Portions!$B:$B),FoodItems!$A:$A,FoodItems!$E:$E))</f>
        <v/>
      </c>
    </row>
    <row r="470">
      <c r="E470">
        <f>IF(C470="","",D470*XLOOKUP(C470,Portions!$A:$A,Portions!$D:$D))</f>
        <v/>
      </c>
      <c r="F470">
        <f>IF(E470="","",E470/100*XLOOKUP(XLOOKUP(C470,Portions!$A:$A,Portions!$B:$B),FoodItems!$A:$A,FoodItems!$B:$B))</f>
        <v/>
      </c>
      <c r="G470">
        <f>IF(E470="","",E470/100*XLOOKUP(XLOOKUP(C470,Portions!$A:$A,Portions!$B:$B),FoodItems!$A:$A,FoodItems!$C:$C))</f>
        <v/>
      </c>
      <c r="H470">
        <f>IF(E470="","",E470/100*XLOOKUP(XLOOKUP(C470,Portions!$A:$A,Portions!$B:$B),FoodItems!$A:$A,FoodItems!$D:$D))</f>
        <v/>
      </c>
      <c r="I470">
        <f>IF(E470="","",E470/100*XLOOKUP(XLOOKUP(C470,Portions!$A:$A,Portions!$B:$B),FoodItems!$A:$A,FoodItems!$E:$E))</f>
        <v/>
      </c>
    </row>
    <row r="471">
      <c r="E471">
        <f>IF(C471="","",D471*XLOOKUP(C471,Portions!$A:$A,Portions!$D:$D))</f>
        <v/>
      </c>
      <c r="F471">
        <f>IF(E471="","",E471/100*XLOOKUP(XLOOKUP(C471,Portions!$A:$A,Portions!$B:$B),FoodItems!$A:$A,FoodItems!$B:$B))</f>
        <v/>
      </c>
      <c r="G471">
        <f>IF(E471="","",E471/100*XLOOKUP(XLOOKUP(C471,Portions!$A:$A,Portions!$B:$B),FoodItems!$A:$A,FoodItems!$C:$C))</f>
        <v/>
      </c>
      <c r="H471">
        <f>IF(E471="","",E471/100*XLOOKUP(XLOOKUP(C471,Portions!$A:$A,Portions!$B:$B),FoodItems!$A:$A,FoodItems!$D:$D))</f>
        <v/>
      </c>
      <c r="I471">
        <f>IF(E471="","",E471/100*XLOOKUP(XLOOKUP(C471,Portions!$A:$A,Portions!$B:$B),FoodItems!$A:$A,FoodItems!$E:$E))</f>
        <v/>
      </c>
    </row>
    <row r="472">
      <c r="E472">
        <f>IF(C472="","",D472*XLOOKUP(C472,Portions!$A:$A,Portions!$D:$D))</f>
        <v/>
      </c>
      <c r="F472">
        <f>IF(E472="","",E472/100*XLOOKUP(XLOOKUP(C472,Portions!$A:$A,Portions!$B:$B),FoodItems!$A:$A,FoodItems!$B:$B))</f>
        <v/>
      </c>
      <c r="G472">
        <f>IF(E472="","",E472/100*XLOOKUP(XLOOKUP(C472,Portions!$A:$A,Portions!$B:$B),FoodItems!$A:$A,FoodItems!$C:$C))</f>
        <v/>
      </c>
      <c r="H472">
        <f>IF(E472="","",E472/100*XLOOKUP(XLOOKUP(C472,Portions!$A:$A,Portions!$B:$B),FoodItems!$A:$A,FoodItems!$D:$D))</f>
        <v/>
      </c>
      <c r="I472">
        <f>IF(E472="","",E472/100*XLOOKUP(XLOOKUP(C472,Portions!$A:$A,Portions!$B:$B),FoodItems!$A:$A,FoodItems!$E:$E))</f>
        <v/>
      </c>
    </row>
    <row r="473">
      <c r="E473">
        <f>IF(C473="","",D473*XLOOKUP(C473,Portions!$A:$A,Portions!$D:$D))</f>
        <v/>
      </c>
      <c r="F473">
        <f>IF(E473="","",E473/100*XLOOKUP(XLOOKUP(C473,Portions!$A:$A,Portions!$B:$B),FoodItems!$A:$A,FoodItems!$B:$B))</f>
        <v/>
      </c>
      <c r="G473">
        <f>IF(E473="","",E473/100*XLOOKUP(XLOOKUP(C473,Portions!$A:$A,Portions!$B:$B),FoodItems!$A:$A,FoodItems!$C:$C))</f>
        <v/>
      </c>
      <c r="H473">
        <f>IF(E473="","",E473/100*XLOOKUP(XLOOKUP(C473,Portions!$A:$A,Portions!$B:$B),FoodItems!$A:$A,FoodItems!$D:$D))</f>
        <v/>
      </c>
      <c r="I473">
        <f>IF(E473="","",E473/100*XLOOKUP(XLOOKUP(C473,Portions!$A:$A,Portions!$B:$B),FoodItems!$A:$A,FoodItems!$E:$E))</f>
        <v/>
      </c>
    </row>
    <row r="474">
      <c r="E474">
        <f>IF(C474="","",D474*XLOOKUP(C474,Portions!$A:$A,Portions!$D:$D))</f>
        <v/>
      </c>
      <c r="F474">
        <f>IF(E474="","",E474/100*XLOOKUP(XLOOKUP(C474,Portions!$A:$A,Portions!$B:$B),FoodItems!$A:$A,FoodItems!$B:$B))</f>
        <v/>
      </c>
      <c r="G474">
        <f>IF(E474="","",E474/100*XLOOKUP(XLOOKUP(C474,Portions!$A:$A,Portions!$B:$B),FoodItems!$A:$A,FoodItems!$C:$C))</f>
        <v/>
      </c>
      <c r="H474">
        <f>IF(E474="","",E474/100*XLOOKUP(XLOOKUP(C474,Portions!$A:$A,Portions!$B:$B),FoodItems!$A:$A,FoodItems!$D:$D))</f>
        <v/>
      </c>
      <c r="I474">
        <f>IF(E474="","",E474/100*XLOOKUP(XLOOKUP(C474,Portions!$A:$A,Portions!$B:$B),FoodItems!$A:$A,FoodItems!$E:$E))</f>
        <v/>
      </c>
    </row>
    <row r="475">
      <c r="E475">
        <f>IF(C475="","",D475*XLOOKUP(C475,Portions!$A:$A,Portions!$D:$D))</f>
        <v/>
      </c>
      <c r="F475">
        <f>IF(E475="","",E475/100*XLOOKUP(XLOOKUP(C475,Portions!$A:$A,Portions!$B:$B),FoodItems!$A:$A,FoodItems!$B:$B))</f>
        <v/>
      </c>
      <c r="G475">
        <f>IF(E475="","",E475/100*XLOOKUP(XLOOKUP(C475,Portions!$A:$A,Portions!$B:$B),FoodItems!$A:$A,FoodItems!$C:$C))</f>
        <v/>
      </c>
      <c r="H475">
        <f>IF(E475="","",E475/100*XLOOKUP(XLOOKUP(C475,Portions!$A:$A,Portions!$B:$B),FoodItems!$A:$A,FoodItems!$D:$D))</f>
        <v/>
      </c>
      <c r="I475">
        <f>IF(E475="","",E475/100*XLOOKUP(XLOOKUP(C475,Portions!$A:$A,Portions!$B:$B),FoodItems!$A:$A,FoodItems!$E:$E))</f>
        <v/>
      </c>
    </row>
    <row r="476">
      <c r="E476">
        <f>IF(C476="","",D476*XLOOKUP(C476,Portions!$A:$A,Portions!$D:$D))</f>
        <v/>
      </c>
      <c r="F476">
        <f>IF(E476="","",E476/100*XLOOKUP(XLOOKUP(C476,Portions!$A:$A,Portions!$B:$B),FoodItems!$A:$A,FoodItems!$B:$B))</f>
        <v/>
      </c>
      <c r="G476">
        <f>IF(E476="","",E476/100*XLOOKUP(XLOOKUP(C476,Portions!$A:$A,Portions!$B:$B),FoodItems!$A:$A,FoodItems!$C:$C))</f>
        <v/>
      </c>
      <c r="H476">
        <f>IF(E476="","",E476/100*XLOOKUP(XLOOKUP(C476,Portions!$A:$A,Portions!$B:$B),FoodItems!$A:$A,FoodItems!$D:$D))</f>
        <v/>
      </c>
      <c r="I476">
        <f>IF(E476="","",E476/100*XLOOKUP(XLOOKUP(C476,Portions!$A:$A,Portions!$B:$B),FoodItems!$A:$A,FoodItems!$E:$E))</f>
        <v/>
      </c>
    </row>
    <row r="477">
      <c r="E477">
        <f>IF(C477="","",D477*XLOOKUP(C477,Portions!$A:$A,Portions!$D:$D))</f>
        <v/>
      </c>
      <c r="F477">
        <f>IF(E477="","",E477/100*XLOOKUP(XLOOKUP(C477,Portions!$A:$A,Portions!$B:$B),FoodItems!$A:$A,FoodItems!$B:$B))</f>
        <v/>
      </c>
      <c r="G477">
        <f>IF(E477="","",E477/100*XLOOKUP(XLOOKUP(C477,Portions!$A:$A,Portions!$B:$B),FoodItems!$A:$A,FoodItems!$C:$C))</f>
        <v/>
      </c>
      <c r="H477">
        <f>IF(E477="","",E477/100*XLOOKUP(XLOOKUP(C477,Portions!$A:$A,Portions!$B:$B),FoodItems!$A:$A,FoodItems!$D:$D))</f>
        <v/>
      </c>
      <c r="I477">
        <f>IF(E477="","",E477/100*XLOOKUP(XLOOKUP(C477,Portions!$A:$A,Portions!$B:$B),FoodItems!$A:$A,FoodItems!$E:$E))</f>
        <v/>
      </c>
    </row>
    <row r="478">
      <c r="E478">
        <f>IF(C478="","",D478*XLOOKUP(C478,Portions!$A:$A,Portions!$D:$D))</f>
        <v/>
      </c>
      <c r="F478">
        <f>IF(E478="","",E478/100*XLOOKUP(XLOOKUP(C478,Portions!$A:$A,Portions!$B:$B),FoodItems!$A:$A,FoodItems!$B:$B))</f>
        <v/>
      </c>
      <c r="G478">
        <f>IF(E478="","",E478/100*XLOOKUP(XLOOKUP(C478,Portions!$A:$A,Portions!$B:$B),FoodItems!$A:$A,FoodItems!$C:$C))</f>
        <v/>
      </c>
      <c r="H478">
        <f>IF(E478="","",E478/100*XLOOKUP(XLOOKUP(C478,Portions!$A:$A,Portions!$B:$B),FoodItems!$A:$A,FoodItems!$D:$D))</f>
        <v/>
      </c>
      <c r="I478">
        <f>IF(E478="","",E478/100*XLOOKUP(XLOOKUP(C478,Portions!$A:$A,Portions!$B:$B),FoodItems!$A:$A,FoodItems!$E:$E))</f>
        <v/>
      </c>
    </row>
    <row r="479">
      <c r="E479">
        <f>IF(C479="","",D479*XLOOKUP(C479,Portions!$A:$A,Portions!$D:$D))</f>
        <v/>
      </c>
      <c r="F479">
        <f>IF(E479="","",E479/100*XLOOKUP(XLOOKUP(C479,Portions!$A:$A,Portions!$B:$B),FoodItems!$A:$A,FoodItems!$B:$B))</f>
        <v/>
      </c>
      <c r="G479">
        <f>IF(E479="","",E479/100*XLOOKUP(XLOOKUP(C479,Portions!$A:$A,Portions!$B:$B),FoodItems!$A:$A,FoodItems!$C:$C))</f>
        <v/>
      </c>
      <c r="H479">
        <f>IF(E479="","",E479/100*XLOOKUP(XLOOKUP(C479,Portions!$A:$A,Portions!$B:$B),FoodItems!$A:$A,FoodItems!$D:$D))</f>
        <v/>
      </c>
      <c r="I479">
        <f>IF(E479="","",E479/100*XLOOKUP(XLOOKUP(C479,Portions!$A:$A,Portions!$B:$B),FoodItems!$A:$A,FoodItems!$E:$E))</f>
        <v/>
      </c>
    </row>
    <row r="480">
      <c r="E480">
        <f>IF(C480="","",D480*XLOOKUP(C480,Portions!$A:$A,Portions!$D:$D))</f>
        <v/>
      </c>
      <c r="F480">
        <f>IF(E480="","",E480/100*XLOOKUP(XLOOKUP(C480,Portions!$A:$A,Portions!$B:$B),FoodItems!$A:$A,FoodItems!$B:$B))</f>
        <v/>
      </c>
      <c r="G480">
        <f>IF(E480="","",E480/100*XLOOKUP(XLOOKUP(C480,Portions!$A:$A,Portions!$B:$B),FoodItems!$A:$A,FoodItems!$C:$C))</f>
        <v/>
      </c>
      <c r="H480">
        <f>IF(E480="","",E480/100*XLOOKUP(XLOOKUP(C480,Portions!$A:$A,Portions!$B:$B),FoodItems!$A:$A,FoodItems!$D:$D))</f>
        <v/>
      </c>
      <c r="I480">
        <f>IF(E480="","",E480/100*XLOOKUP(XLOOKUP(C480,Portions!$A:$A,Portions!$B:$B),FoodItems!$A:$A,FoodItems!$E:$E))</f>
        <v/>
      </c>
    </row>
    <row r="481">
      <c r="E481">
        <f>IF(C481="","",D481*XLOOKUP(C481,Portions!$A:$A,Portions!$D:$D))</f>
        <v/>
      </c>
      <c r="F481">
        <f>IF(E481="","",E481/100*XLOOKUP(XLOOKUP(C481,Portions!$A:$A,Portions!$B:$B),FoodItems!$A:$A,FoodItems!$B:$B))</f>
        <v/>
      </c>
      <c r="G481">
        <f>IF(E481="","",E481/100*XLOOKUP(XLOOKUP(C481,Portions!$A:$A,Portions!$B:$B),FoodItems!$A:$A,FoodItems!$C:$C))</f>
        <v/>
      </c>
      <c r="H481">
        <f>IF(E481="","",E481/100*XLOOKUP(XLOOKUP(C481,Portions!$A:$A,Portions!$B:$B),FoodItems!$A:$A,FoodItems!$D:$D))</f>
        <v/>
      </c>
      <c r="I481">
        <f>IF(E481="","",E481/100*XLOOKUP(XLOOKUP(C481,Portions!$A:$A,Portions!$B:$B),FoodItems!$A:$A,FoodItems!$E:$E))</f>
        <v/>
      </c>
    </row>
    <row r="482">
      <c r="E482">
        <f>IF(C482="","",D482*XLOOKUP(C482,Portions!$A:$A,Portions!$D:$D))</f>
        <v/>
      </c>
      <c r="F482">
        <f>IF(E482="","",E482/100*XLOOKUP(XLOOKUP(C482,Portions!$A:$A,Portions!$B:$B),FoodItems!$A:$A,FoodItems!$B:$B))</f>
        <v/>
      </c>
      <c r="G482">
        <f>IF(E482="","",E482/100*XLOOKUP(XLOOKUP(C482,Portions!$A:$A,Portions!$B:$B),FoodItems!$A:$A,FoodItems!$C:$C))</f>
        <v/>
      </c>
      <c r="H482">
        <f>IF(E482="","",E482/100*XLOOKUP(XLOOKUP(C482,Portions!$A:$A,Portions!$B:$B),FoodItems!$A:$A,FoodItems!$D:$D))</f>
        <v/>
      </c>
      <c r="I482">
        <f>IF(E482="","",E482/100*XLOOKUP(XLOOKUP(C482,Portions!$A:$A,Portions!$B:$B),FoodItems!$A:$A,FoodItems!$E:$E))</f>
        <v/>
      </c>
    </row>
    <row r="483">
      <c r="E483">
        <f>IF(C483="","",D483*XLOOKUP(C483,Portions!$A:$A,Portions!$D:$D))</f>
        <v/>
      </c>
      <c r="F483">
        <f>IF(E483="","",E483/100*XLOOKUP(XLOOKUP(C483,Portions!$A:$A,Portions!$B:$B),FoodItems!$A:$A,FoodItems!$B:$B))</f>
        <v/>
      </c>
      <c r="G483">
        <f>IF(E483="","",E483/100*XLOOKUP(XLOOKUP(C483,Portions!$A:$A,Portions!$B:$B),FoodItems!$A:$A,FoodItems!$C:$C))</f>
        <v/>
      </c>
      <c r="H483">
        <f>IF(E483="","",E483/100*XLOOKUP(XLOOKUP(C483,Portions!$A:$A,Portions!$B:$B),FoodItems!$A:$A,FoodItems!$D:$D))</f>
        <v/>
      </c>
      <c r="I483">
        <f>IF(E483="","",E483/100*XLOOKUP(XLOOKUP(C483,Portions!$A:$A,Portions!$B:$B),FoodItems!$A:$A,FoodItems!$E:$E))</f>
        <v/>
      </c>
    </row>
    <row r="484">
      <c r="E484">
        <f>IF(C484="","",D484*XLOOKUP(C484,Portions!$A:$A,Portions!$D:$D))</f>
        <v/>
      </c>
      <c r="F484">
        <f>IF(E484="","",E484/100*XLOOKUP(XLOOKUP(C484,Portions!$A:$A,Portions!$B:$B),FoodItems!$A:$A,FoodItems!$B:$B))</f>
        <v/>
      </c>
      <c r="G484">
        <f>IF(E484="","",E484/100*XLOOKUP(XLOOKUP(C484,Portions!$A:$A,Portions!$B:$B),FoodItems!$A:$A,FoodItems!$C:$C))</f>
        <v/>
      </c>
      <c r="H484">
        <f>IF(E484="","",E484/100*XLOOKUP(XLOOKUP(C484,Portions!$A:$A,Portions!$B:$B),FoodItems!$A:$A,FoodItems!$D:$D))</f>
        <v/>
      </c>
      <c r="I484">
        <f>IF(E484="","",E484/100*XLOOKUP(XLOOKUP(C484,Portions!$A:$A,Portions!$B:$B),FoodItems!$A:$A,FoodItems!$E:$E))</f>
        <v/>
      </c>
    </row>
    <row r="485">
      <c r="E485">
        <f>IF(C485="","",D485*XLOOKUP(C485,Portions!$A:$A,Portions!$D:$D))</f>
        <v/>
      </c>
      <c r="F485">
        <f>IF(E485="","",E485/100*XLOOKUP(XLOOKUP(C485,Portions!$A:$A,Portions!$B:$B),FoodItems!$A:$A,FoodItems!$B:$B))</f>
        <v/>
      </c>
      <c r="G485">
        <f>IF(E485="","",E485/100*XLOOKUP(XLOOKUP(C485,Portions!$A:$A,Portions!$B:$B),FoodItems!$A:$A,FoodItems!$C:$C))</f>
        <v/>
      </c>
      <c r="H485">
        <f>IF(E485="","",E485/100*XLOOKUP(XLOOKUP(C485,Portions!$A:$A,Portions!$B:$B),FoodItems!$A:$A,FoodItems!$D:$D))</f>
        <v/>
      </c>
      <c r="I485">
        <f>IF(E485="","",E485/100*XLOOKUP(XLOOKUP(C485,Portions!$A:$A,Portions!$B:$B),FoodItems!$A:$A,FoodItems!$E:$E))</f>
        <v/>
      </c>
    </row>
    <row r="486">
      <c r="E486">
        <f>IF(C486="","",D486*XLOOKUP(C486,Portions!$A:$A,Portions!$D:$D))</f>
        <v/>
      </c>
      <c r="F486">
        <f>IF(E486="","",E486/100*XLOOKUP(XLOOKUP(C486,Portions!$A:$A,Portions!$B:$B),FoodItems!$A:$A,FoodItems!$B:$B))</f>
        <v/>
      </c>
      <c r="G486">
        <f>IF(E486="","",E486/100*XLOOKUP(XLOOKUP(C486,Portions!$A:$A,Portions!$B:$B),FoodItems!$A:$A,FoodItems!$C:$C))</f>
        <v/>
      </c>
      <c r="H486">
        <f>IF(E486="","",E486/100*XLOOKUP(XLOOKUP(C486,Portions!$A:$A,Portions!$B:$B),FoodItems!$A:$A,FoodItems!$D:$D))</f>
        <v/>
      </c>
      <c r="I486">
        <f>IF(E486="","",E486/100*XLOOKUP(XLOOKUP(C486,Portions!$A:$A,Portions!$B:$B),FoodItems!$A:$A,FoodItems!$E:$E))</f>
        <v/>
      </c>
    </row>
    <row r="487">
      <c r="E487">
        <f>IF(C487="","",D487*XLOOKUP(C487,Portions!$A:$A,Portions!$D:$D))</f>
        <v/>
      </c>
      <c r="F487">
        <f>IF(E487="","",E487/100*XLOOKUP(XLOOKUP(C487,Portions!$A:$A,Portions!$B:$B),FoodItems!$A:$A,FoodItems!$B:$B))</f>
        <v/>
      </c>
      <c r="G487">
        <f>IF(E487="","",E487/100*XLOOKUP(XLOOKUP(C487,Portions!$A:$A,Portions!$B:$B),FoodItems!$A:$A,FoodItems!$C:$C))</f>
        <v/>
      </c>
      <c r="H487">
        <f>IF(E487="","",E487/100*XLOOKUP(XLOOKUP(C487,Portions!$A:$A,Portions!$B:$B),FoodItems!$A:$A,FoodItems!$D:$D))</f>
        <v/>
      </c>
      <c r="I487">
        <f>IF(E487="","",E487/100*XLOOKUP(XLOOKUP(C487,Portions!$A:$A,Portions!$B:$B),FoodItems!$A:$A,FoodItems!$E:$E))</f>
        <v/>
      </c>
    </row>
    <row r="488">
      <c r="E488">
        <f>IF(C488="","",D488*XLOOKUP(C488,Portions!$A:$A,Portions!$D:$D))</f>
        <v/>
      </c>
      <c r="F488">
        <f>IF(E488="","",E488/100*XLOOKUP(XLOOKUP(C488,Portions!$A:$A,Portions!$B:$B),FoodItems!$A:$A,FoodItems!$B:$B))</f>
        <v/>
      </c>
      <c r="G488">
        <f>IF(E488="","",E488/100*XLOOKUP(XLOOKUP(C488,Portions!$A:$A,Portions!$B:$B),FoodItems!$A:$A,FoodItems!$C:$C))</f>
        <v/>
      </c>
      <c r="H488">
        <f>IF(E488="","",E488/100*XLOOKUP(XLOOKUP(C488,Portions!$A:$A,Portions!$B:$B),FoodItems!$A:$A,FoodItems!$D:$D))</f>
        <v/>
      </c>
      <c r="I488">
        <f>IF(E488="","",E488/100*XLOOKUP(XLOOKUP(C488,Portions!$A:$A,Portions!$B:$B),FoodItems!$A:$A,FoodItems!$E:$E))</f>
        <v/>
      </c>
    </row>
    <row r="489">
      <c r="E489">
        <f>IF(C489="","",D489*XLOOKUP(C489,Portions!$A:$A,Portions!$D:$D))</f>
        <v/>
      </c>
      <c r="F489">
        <f>IF(E489="","",E489/100*XLOOKUP(XLOOKUP(C489,Portions!$A:$A,Portions!$B:$B),FoodItems!$A:$A,FoodItems!$B:$B))</f>
        <v/>
      </c>
      <c r="G489">
        <f>IF(E489="","",E489/100*XLOOKUP(XLOOKUP(C489,Portions!$A:$A,Portions!$B:$B),FoodItems!$A:$A,FoodItems!$C:$C))</f>
        <v/>
      </c>
      <c r="H489">
        <f>IF(E489="","",E489/100*XLOOKUP(XLOOKUP(C489,Portions!$A:$A,Portions!$B:$B),FoodItems!$A:$A,FoodItems!$D:$D))</f>
        <v/>
      </c>
      <c r="I489">
        <f>IF(E489="","",E489/100*XLOOKUP(XLOOKUP(C489,Portions!$A:$A,Portions!$B:$B),FoodItems!$A:$A,FoodItems!$E:$E))</f>
        <v/>
      </c>
    </row>
    <row r="490">
      <c r="E490">
        <f>IF(C490="","",D490*XLOOKUP(C490,Portions!$A:$A,Portions!$D:$D))</f>
        <v/>
      </c>
      <c r="F490">
        <f>IF(E490="","",E490/100*XLOOKUP(XLOOKUP(C490,Portions!$A:$A,Portions!$B:$B),FoodItems!$A:$A,FoodItems!$B:$B))</f>
        <v/>
      </c>
      <c r="G490">
        <f>IF(E490="","",E490/100*XLOOKUP(XLOOKUP(C490,Portions!$A:$A,Portions!$B:$B),FoodItems!$A:$A,FoodItems!$C:$C))</f>
        <v/>
      </c>
      <c r="H490">
        <f>IF(E490="","",E490/100*XLOOKUP(XLOOKUP(C490,Portions!$A:$A,Portions!$B:$B),FoodItems!$A:$A,FoodItems!$D:$D))</f>
        <v/>
      </c>
      <c r="I490">
        <f>IF(E490="","",E490/100*XLOOKUP(XLOOKUP(C490,Portions!$A:$A,Portions!$B:$B),FoodItems!$A:$A,FoodItems!$E:$E))</f>
        <v/>
      </c>
    </row>
    <row r="491">
      <c r="E491">
        <f>IF(C491="","",D491*XLOOKUP(C491,Portions!$A:$A,Portions!$D:$D))</f>
        <v/>
      </c>
      <c r="F491">
        <f>IF(E491="","",E491/100*XLOOKUP(XLOOKUP(C491,Portions!$A:$A,Portions!$B:$B),FoodItems!$A:$A,FoodItems!$B:$B))</f>
        <v/>
      </c>
      <c r="G491">
        <f>IF(E491="","",E491/100*XLOOKUP(XLOOKUP(C491,Portions!$A:$A,Portions!$B:$B),FoodItems!$A:$A,FoodItems!$C:$C))</f>
        <v/>
      </c>
      <c r="H491">
        <f>IF(E491="","",E491/100*XLOOKUP(XLOOKUP(C491,Portions!$A:$A,Portions!$B:$B),FoodItems!$A:$A,FoodItems!$D:$D))</f>
        <v/>
      </c>
      <c r="I491">
        <f>IF(E491="","",E491/100*XLOOKUP(XLOOKUP(C491,Portions!$A:$A,Portions!$B:$B),FoodItems!$A:$A,FoodItems!$E:$E))</f>
        <v/>
      </c>
    </row>
    <row r="492">
      <c r="E492">
        <f>IF(C492="","",D492*XLOOKUP(C492,Portions!$A:$A,Portions!$D:$D))</f>
        <v/>
      </c>
      <c r="F492">
        <f>IF(E492="","",E492/100*XLOOKUP(XLOOKUP(C492,Portions!$A:$A,Portions!$B:$B),FoodItems!$A:$A,FoodItems!$B:$B))</f>
        <v/>
      </c>
      <c r="G492">
        <f>IF(E492="","",E492/100*XLOOKUP(XLOOKUP(C492,Portions!$A:$A,Portions!$B:$B),FoodItems!$A:$A,FoodItems!$C:$C))</f>
        <v/>
      </c>
      <c r="H492">
        <f>IF(E492="","",E492/100*XLOOKUP(XLOOKUP(C492,Portions!$A:$A,Portions!$B:$B),FoodItems!$A:$A,FoodItems!$D:$D))</f>
        <v/>
      </c>
      <c r="I492">
        <f>IF(E492="","",E492/100*XLOOKUP(XLOOKUP(C492,Portions!$A:$A,Portions!$B:$B),FoodItems!$A:$A,FoodItems!$E:$E))</f>
        <v/>
      </c>
    </row>
    <row r="493">
      <c r="E493">
        <f>IF(C493="","",D493*XLOOKUP(C493,Portions!$A:$A,Portions!$D:$D))</f>
        <v/>
      </c>
      <c r="F493">
        <f>IF(E493="","",E493/100*XLOOKUP(XLOOKUP(C493,Portions!$A:$A,Portions!$B:$B),FoodItems!$A:$A,FoodItems!$B:$B))</f>
        <v/>
      </c>
      <c r="G493">
        <f>IF(E493="","",E493/100*XLOOKUP(XLOOKUP(C493,Portions!$A:$A,Portions!$B:$B),FoodItems!$A:$A,FoodItems!$C:$C))</f>
        <v/>
      </c>
      <c r="H493">
        <f>IF(E493="","",E493/100*XLOOKUP(XLOOKUP(C493,Portions!$A:$A,Portions!$B:$B),FoodItems!$A:$A,FoodItems!$D:$D))</f>
        <v/>
      </c>
      <c r="I493">
        <f>IF(E493="","",E493/100*XLOOKUP(XLOOKUP(C493,Portions!$A:$A,Portions!$B:$B),FoodItems!$A:$A,FoodItems!$E:$E))</f>
        <v/>
      </c>
    </row>
    <row r="494">
      <c r="E494">
        <f>IF(C494="","",D494*XLOOKUP(C494,Portions!$A:$A,Portions!$D:$D))</f>
        <v/>
      </c>
      <c r="F494">
        <f>IF(E494="","",E494/100*XLOOKUP(XLOOKUP(C494,Portions!$A:$A,Portions!$B:$B),FoodItems!$A:$A,FoodItems!$B:$B))</f>
        <v/>
      </c>
      <c r="G494">
        <f>IF(E494="","",E494/100*XLOOKUP(XLOOKUP(C494,Portions!$A:$A,Portions!$B:$B),FoodItems!$A:$A,FoodItems!$C:$C))</f>
        <v/>
      </c>
      <c r="H494">
        <f>IF(E494="","",E494/100*XLOOKUP(XLOOKUP(C494,Portions!$A:$A,Portions!$B:$B),FoodItems!$A:$A,FoodItems!$D:$D))</f>
        <v/>
      </c>
      <c r="I494">
        <f>IF(E494="","",E494/100*XLOOKUP(XLOOKUP(C494,Portions!$A:$A,Portions!$B:$B),FoodItems!$A:$A,FoodItems!$E:$E))</f>
        <v/>
      </c>
    </row>
    <row r="495">
      <c r="E495">
        <f>IF(C495="","",D495*XLOOKUP(C495,Portions!$A:$A,Portions!$D:$D))</f>
        <v/>
      </c>
      <c r="F495">
        <f>IF(E495="","",E495/100*XLOOKUP(XLOOKUP(C495,Portions!$A:$A,Portions!$B:$B),FoodItems!$A:$A,FoodItems!$B:$B))</f>
        <v/>
      </c>
      <c r="G495">
        <f>IF(E495="","",E495/100*XLOOKUP(XLOOKUP(C495,Portions!$A:$A,Portions!$B:$B),FoodItems!$A:$A,FoodItems!$C:$C))</f>
        <v/>
      </c>
      <c r="H495">
        <f>IF(E495="","",E495/100*XLOOKUP(XLOOKUP(C495,Portions!$A:$A,Portions!$B:$B),FoodItems!$A:$A,FoodItems!$D:$D))</f>
        <v/>
      </c>
      <c r="I495">
        <f>IF(E495="","",E495/100*XLOOKUP(XLOOKUP(C495,Portions!$A:$A,Portions!$B:$B),FoodItems!$A:$A,FoodItems!$E:$E))</f>
        <v/>
      </c>
    </row>
    <row r="496">
      <c r="E496">
        <f>IF(C496="","",D496*XLOOKUP(C496,Portions!$A:$A,Portions!$D:$D))</f>
        <v/>
      </c>
      <c r="F496">
        <f>IF(E496="","",E496/100*XLOOKUP(XLOOKUP(C496,Portions!$A:$A,Portions!$B:$B),FoodItems!$A:$A,FoodItems!$B:$B))</f>
        <v/>
      </c>
      <c r="G496">
        <f>IF(E496="","",E496/100*XLOOKUP(XLOOKUP(C496,Portions!$A:$A,Portions!$B:$B),FoodItems!$A:$A,FoodItems!$C:$C))</f>
        <v/>
      </c>
      <c r="H496">
        <f>IF(E496="","",E496/100*XLOOKUP(XLOOKUP(C496,Portions!$A:$A,Portions!$B:$B),FoodItems!$A:$A,FoodItems!$D:$D))</f>
        <v/>
      </c>
      <c r="I496">
        <f>IF(E496="","",E496/100*XLOOKUP(XLOOKUP(C496,Portions!$A:$A,Portions!$B:$B),FoodItems!$A:$A,FoodItems!$E:$E))</f>
        <v/>
      </c>
    </row>
    <row r="497">
      <c r="E497">
        <f>IF(C497="","",D497*XLOOKUP(C497,Portions!$A:$A,Portions!$D:$D))</f>
        <v/>
      </c>
      <c r="F497">
        <f>IF(E497="","",E497/100*XLOOKUP(XLOOKUP(C497,Portions!$A:$A,Portions!$B:$B),FoodItems!$A:$A,FoodItems!$B:$B))</f>
        <v/>
      </c>
      <c r="G497">
        <f>IF(E497="","",E497/100*XLOOKUP(XLOOKUP(C497,Portions!$A:$A,Portions!$B:$B),FoodItems!$A:$A,FoodItems!$C:$C))</f>
        <v/>
      </c>
      <c r="H497">
        <f>IF(E497="","",E497/100*XLOOKUP(XLOOKUP(C497,Portions!$A:$A,Portions!$B:$B),FoodItems!$A:$A,FoodItems!$D:$D))</f>
        <v/>
      </c>
      <c r="I497">
        <f>IF(E497="","",E497/100*XLOOKUP(XLOOKUP(C497,Portions!$A:$A,Portions!$B:$B),FoodItems!$A:$A,FoodItems!$E:$E))</f>
        <v/>
      </c>
    </row>
    <row r="498">
      <c r="E498">
        <f>IF(C498="","",D498*XLOOKUP(C498,Portions!$A:$A,Portions!$D:$D))</f>
        <v/>
      </c>
      <c r="F498">
        <f>IF(E498="","",E498/100*XLOOKUP(XLOOKUP(C498,Portions!$A:$A,Portions!$B:$B),FoodItems!$A:$A,FoodItems!$B:$B))</f>
        <v/>
      </c>
      <c r="G498">
        <f>IF(E498="","",E498/100*XLOOKUP(XLOOKUP(C498,Portions!$A:$A,Portions!$B:$B),FoodItems!$A:$A,FoodItems!$C:$C))</f>
        <v/>
      </c>
      <c r="H498">
        <f>IF(E498="","",E498/100*XLOOKUP(XLOOKUP(C498,Portions!$A:$A,Portions!$B:$B),FoodItems!$A:$A,FoodItems!$D:$D))</f>
        <v/>
      </c>
      <c r="I498">
        <f>IF(E498="","",E498/100*XLOOKUP(XLOOKUP(C498,Portions!$A:$A,Portions!$B:$B),FoodItems!$A:$A,FoodItems!$E:$E))</f>
        <v/>
      </c>
    </row>
    <row r="499">
      <c r="E499">
        <f>IF(C499="","",D499*XLOOKUP(C499,Portions!$A:$A,Portions!$D:$D))</f>
        <v/>
      </c>
      <c r="F499">
        <f>IF(E499="","",E499/100*XLOOKUP(XLOOKUP(C499,Portions!$A:$A,Portions!$B:$B),FoodItems!$A:$A,FoodItems!$B:$B))</f>
        <v/>
      </c>
      <c r="G499">
        <f>IF(E499="","",E499/100*XLOOKUP(XLOOKUP(C499,Portions!$A:$A,Portions!$B:$B),FoodItems!$A:$A,FoodItems!$C:$C))</f>
        <v/>
      </c>
      <c r="H499">
        <f>IF(E499="","",E499/100*XLOOKUP(XLOOKUP(C499,Portions!$A:$A,Portions!$B:$B),FoodItems!$A:$A,FoodItems!$D:$D))</f>
        <v/>
      </c>
      <c r="I499">
        <f>IF(E499="","",E499/100*XLOOKUP(XLOOKUP(C499,Portions!$A:$A,Portions!$B:$B),FoodItems!$A:$A,FoodItems!$E:$E))</f>
        <v/>
      </c>
    </row>
    <row r="500">
      <c r="E500">
        <f>IF(C500="","",D500*XLOOKUP(C500,Portions!$A:$A,Portions!$D:$D))</f>
        <v/>
      </c>
      <c r="F500">
        <f>IF(E500="","",E500/100*XLOOKUP(XLOOKUP(C500,Portions!$A:$A,Portions!$B:$B),FoodItems!$A:$A,FoodItems!$B:$B))</f>
        <v/>
      </c>
      <c r="G500">
        <f>IF(E500="","",E500/100*XLOOKUP(XLOOKUP(C500,Portions!$A:$A,Portions!$B:$B),FoodItems!$A:$A,FoodItems!$C:$C))</f>
        <v/>
      </c>
      <c r="H500">
        <f>IF(E500="","",E500/100*XLOOKUP(XLOOKUP(C500,Portions!$A:$A,Portions!$B:$B),FoodItems!$A:$A,FoodItems!$D:$D))</f>
        <v/>
      </c>
      <c r="I500">
        <f>IF(E500="","",E500/100*XLOOKUP(XLOOKUP(C500,Portions!$A:$A,Portions!$B:$B),FoodItems!$A:$A,FoodItems!$E:$E))</f>
        <v/>
      </c>
    </row>
    <row r="501">
      <c r="E501">
        <f>IF(C501="","",D501*XLOOKUP(C501,Portions!$A:$A,Portions!$D:$D))</f>
        <v/>
      </c>
      <c r="F501">
        <f>IF(E501="","",E501/100*XLOOKUP(XLOOKUP(C501,Portions!$A:$A,Portions!$B:$B),FoodItems!$A:$A,FoodItems!$B:$B))</f>
        <v/>
      </c>
      <c r="G501">
        <f>IF(E501="","",E501/100*XLOOKUP(XLOOKUP(C501,Portions!$A:$A,Portions!$B:$B),FoodItems!$A:$A,FoodItems!$C:$C))</f>
        <v/>
      </c>
      <c r="H501">
        <f>IF(E501="","",E501/100*XLOOKUP(XLOOKUP(C501,Portions!$A:$A,Portions!$B:$B),FoodItems!$A:$A,FoodItems!$D:$D))</f>
        <v/>
      </c>
      <c r="I501">
        <f>IF(E501="","",E501/100*XLOOKUP(XLOOKUP(C501,Portions!$A:$A,Portions!$B:$B),FoodItems!$A:$A,FoodItems!$E:$E))</f>
        <v/>
      </c>
    </row>
  </sheetData>
  <dataValidations count="1">
    <dataValidation sqref="C2:C500" showDropDown="0" showInputMessage="0" showErrorMessage="0" allowBlank="1" type="list">
      <formula1>=Portions!$A$2:$A$200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2" customHeight="1">
      <c r="A1" s="1" t="inlineStr">
        <is>
          <t>Дата</t>
        </is>
      </c>
      <c r="B1" s="1" t="inlineStr">
        <is>
          <t>Время</t>
        </is>
      </c>
      <c r="C1" s="1" t="inlineStr">
        <is>
          <t>Категория</t>
        </is>
      </c>
      <c r="D1" s="1" t="inlineStr">
        <is>
          <t>Подкатегория</t>
        </is>
      </c>
      <c r="E1" s="1" t="inlineStr">
        <is>
          <t>Минут</t>
        </is>
      </c>
      <c r="F1" s="1" t="inlineStr">
        <is>
          <t>Комментарий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2" customHeight="1">
      <c r="A1" s="1" t="inlineStr">
        <is>
          <t>Продукт</t>
        </is>
      </c>
      <c r="B1" s="1" t="inlineStr">
        <is>
          <t>Белки_на_100г</t>
        </is>
      </c>
      <c r="C1" s="1" t="inlineStr">
        <is>
          <t>Жиры_на_100г</t>
        </is>
      </c>
      <c r="D1" s="1" t="inlineStr">
        <is>
          <t>Угли_на_100г</t>
        </is>
      </c>
      <c r="E1" s="1" t="inlineStr">
        <is>
          <t>Ккал_на_100г</t>
        </is>
      </c>
    </row>
    <row r="2">
      <c r="A2" t="inlineStr">
        <is>
          <t>Творог</t>
        </is>
      </c>
      <c r="B2" t="n">
        <v>18</v>
      </c>
      <c r="C2" t="n">
        <v>1.8</v>
      </c>
      <c r="D2" t="n">
        <v>3.3</v>
      </c>
      <c r="E2" t="n">
        <v>102</v>
      </c>
    </row>
    <row r="3">
      <c r="A3" t="inlineStr">
        <is>
          <t>Яйца</t>
        </is>
      </c>
      <c r="B3" t="n">
        <v>12.5</v>
      </c>
      <c r="C3" t="n">
        <v>10</v>
      </c>
      <c r="D3" t="n">
        <v>0.7</v>
      </c>
      <c r="E3" t="n">
        <v>150</v>
      </c>
    </row>
    <row r="4">
      <c r="A4" t="inlineStr">
        <is>
          <t>Грудка</t>
        </is>
      </c>
      <c r="B4" t="n">
        <v>22</v>
      </c>
      <c r="C4" t="n">
        <v>1</v>
      </c>
      <c r="D4" t="n">
        <v>0</v>
      </c>
      <c r="E4" t="n">
        <v>104</v>
      </c>
    </row>
    <row r="5">
      <c r="A5" t="inlineStr">
        <is>
          <t>Рис</t>
        </is>
      </c>
      <c r="B5" t="n">
        <v>7</v>
      </c>
      <c r="C5" t="n">
        <v>0.4</v>
      </c>
      <c r="D5" t="n">
        <v>77</v>
      </c>
      <c r="E5" t="n">
        <v>340</v>
      </c>
    </row>
    <row r="6">
      <c r="A6" t="inlineStr">
        <is>
          <t>Овсянка</t>
        </is>
      </c>
      <c r="B6" t="n">
        <v>13</v>
      </c>
      <c r="C6" t="n">
        <v>6</v>
      </c>
      <c r="D6" t="n">
        <v>66</v>
      </c>
      <c r="E6" t="n">
        <v>370</v>
      </c>
    </row>
    <row r="7">
      <c r="A7" t="inlineStr">
        <is>
          <t>Картоха</t>
        </is>
      </c>
      <c r="B7" t="n">
        <v>2</v>
      </c>
      <c r="C7" t="n">
        <v>0.4</v>
      </c>
      <c r="D7" t="n">
        <v>16</v>
      </c>
      <c r="E7" t="n">
        <v>80</v>
      </c>
    </row>
    <row r="8">
      <c r="A8" t="inlineStr">
        <is>
          <t>Гречка</t>
        </is>
      </c>
      <c r="B8" t="n">
        <v>14</v>
      </c>
      <c r="C8" t="n">
        <v>3</v>
      </c>
      <c r="D8" t="n">
        <v>58</v>
      </c>
      <c r="E8" t="n">
        <v>320</v>
      </c>
    </row>
    <row r="9">
      <c r="A9" t="inlineStr">
        <is>
          <t>Банан</t>
        </is>
      </c>
      <c r="B9" t="n">
        <v>1.5</v>
      </c>
      <c r="C9" t="n">
        <v>0.35</v>
      </c>
      <c r="D9" t="n">
        <v>21</v>
      </c>
      <c r="E9" t="n">
        <v>93</v>
      </c>
    </row>
    <row r="10">
      <c r="A10" t="inlineStr">
        <is>
          <t>Зефир</t>
        </is>
      </c>
      <c r="B10" t="n">
        <v>0.7</v>
      </c>
      <c r="C10" t="n">
        <v>0.1</v>
      </c>
      <c r="D10" t="n">
        <v>80</v>
      </c>
      <c r="E10" t="n">
        <v>315</v>
      </c>
    </row>
    <row r="11">
      <c r="A11" t="inlineStr">
        <is>
          <t>Греческий йогурт</t>
        </is>
      </c>
      <c r="B11" t="n">
        <v>7.5</v>
      </c>
      <c r="C11" t="n">
        <v>2</v>
      </c>
      <c r="D11" t="n">
        <v>4.4</v>
      </c>
      <c r="E11" t="n">
        <v>66</v>
      </c>
    </row>
    <row r="12">
      <c r="A12" t="inlineStr">
        <is>
          <t>Обезжир. йогурт</t>
        </is>
      </c>
      <c r="B12" t="n">
        <v>3</v>
      </c>
      <c r="C12" t="n">
        <v>1.5</v>
      </c>
      <c r="D12" t="n">
        <v>7.8</v>
      </c>
      <c r="E12" t="n">
        <v>57</v>
      </c>
    </row>
    <row r="13">
      <c r="A13" t="inlineStr">
        <is>
          <t>Йогурт типа чудо</t>
        </is>
      </c>
      <c r="B13" t="n">
        <v>3</v>
      </c>
      <c r="C13" t="n">
        <v>4</v>
      </c>
      <c r="D13" t="n">
        <v>10.5</v>
      </c>
      <c r="E13" t="n">
        <v>85.3</v>
      </c>
    </row>
    <row r="14">
      <c r="A14" t="inlineStr">
        <is>
          <t>Булочка венская</t>
        </is>
      </c>
      <c r="B14" t="n">
        <v>5.25</v>
      </c>
      <c r="C14" t="n">
        <v>1.5</v>
      </c>
      <c r="D14" t="n">
        <v>42.75</v>
      </c>
      <c r="E14" t="n">
        <v>285</v>
      </c>
    </row>
    <row r="15">
      <c r="A15" t="inlineStr">
        <is>
          <t>Печенье американское</t>
        </is>
      </c>
      <c r="B15" t="n">
        <v>11.2</v>
      </c>
      <c r="C15" t="n">
        <v>48</v>
      </c>
      <c r="D15" t="n">
        <v>126</v>
      </c>
      <c r="E15" t="n">
        <v>960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2" customHeight="1">
      <c r="A1" t="inlineStr">
        <is>
          <t>Код_порции</t>
        </is>
      </c>
      <c r="B1" t="inlineStr">
        <is>
          <t>Продукт</t>
        </is>
      </c>
      <c r="C1" t="inlineStr">
        <is>
          <t>Описание</t>
        </is>
      </c>
      <c r="D1" t="inlineStr">
        <is>
          <t>Грамм_в_порции</t>
        </is>
      </c>
    </row>
    <row r="2">
      <c r="A2" t="inlineStr">
        <is>
          <t>EGG_C2_1</t>
        </is>
      </c>
      <c r="B2" t="inlineStr">
        <is>
          <t>Яйца</t>
        </is>
      </c>
      <c r="C2" t="inlineStr">
        <is>
          <t>C2 (1 шт) — укажи граммы</t>
        </is>
      </c>
      <c r="D2" t="n">
        <v>45</v>
      </c>
    </row>
    <row r="3">
      <c r="A3" t="inlineStr">
        <is>
          <t>EGG_C1_1</t>
        </is>
      </c>
      <c r="B3" t="inlineStr">
        <is>
          <t>Яйца</t>
        </is>
      </c>
      <c r="C3" t="inlineStr">
        <is>
          <t>C1 (1 шт) — укажи граммы</t>
        </is>
      </c>
      <c r="D3" t="n">
        <v>52</v>
      </c>
    </row>
    <row r="4">
      <c r="A4" t="inlineStr">
        <is>
          <t>EGG_C0_1</t>
        </is>
      </c>
      <c r="B4" t="inlineStr">
        <is>
          <t>Яйца</t>
        </is>
      </c>
      <c r="C4" t="inlineStr">
        <is>
          <t>C0 (1 шт) — укажи граммы</t>
        </is>
      </c>
      <c r="D4" t="n">
        <v>60</v>
      </c>
    </row>
    <row r="5">
      <c r="A5" t="inlineStr">
        <is>
          <t>CURD_180</t>
        </is>
      </c>
      <c r="B5" t="inlineStr">
        <is>
          <t>Творог</t>
        </is>
      </c>
      <c r="C5" t="inlineStr">
        <is>
          <t>Пачка 180 г</t>
        </is>
      </c>
      <c r="D5" t="n">
        <v>180</v>
      </c>
    </row>
    <row r="6">
      <c r="A6" t="inlineStr">
        <is>
          <t>CURD_300</t>
        </is>
      </c>
      <c r="B6" t="inlineStr">
        <is>
          <t>Творог</t>
        </is>
      </c>
      <c r="C6" t="inlineStr">
        <is>
          <t>Пачка 300 г</t>
        </is>
      </c>
      <c r="D6" t="n">
        <v>300</v>
      </c>
    </row>
    <row r="7">
      <c r="A7" t="inlineStr">
        <is>
          <t>CHICK_100</t>
        </is>
      </c>
      <c r="B7" t="inlineStr">
        <is>
          <t>Грудка</t>
        </is>
      </c>
      <c r="C7" t="inlineStr">
        <is>
          <t>100 г</t>
        </is>
      </c>
      <c r="D7" t="n">
        <v>100</v>
      </c>
    </row>
    <row r="8">
      <c r="A8" t="inlineStr">
        <is>
          <t>CHICK_150</t>
        </is>
      </c>
      <c r="B8" t="inlineStr">
        <is>
          <t>Грудка</t>
        </is>
      </c>
      <c r="C8" t="inlineStr">
        <is>
          <t>150 г</t>
        </is>
      </c>
      <c r="D8" t="n">
        <v>150</v>
      </c>
    </row>
    <row r="9">
      <c r="A9" t="inlineStr">
        <is>
          <t>CHICK_200</t>
        </is>
      </c>
      <c r="B9" t="inlineStr">
        <is>
          <t>Грудка</t>
        </is>
      </c>
      <c r="C9" t="inlineStr">
        <is>
          <t>200 г</t>
        </is>
      </c>
      <c r="D9" t="n">
        <v>200</v>
      </c>
    </row>
    <row r="10">
      <c r="A10" t="inlineStr">
        <is>
          <t>CHICK_250</t>
        </is>
      </c>
      <c r="B10" t="inlineStr">
        <is>
          <t>Грудка</t>
        </is>
      </c>
      <c r="C10" t="inlineStr">
        <is>
          <t>250 г</t>
        </is>
      </c>
      <c r="D10" t="n">
        <v>250</v>
      </c>
    </row>
    <row r="11">
      <c r="A11" t="inlineStr">
        <is>
          <t>CHICK_300</t>
        </is>
      </c>
      <c r="B11" t="inlineStr">
        <is>
          <t>Грудка</t>
        </is>
      </c>
      <c r="C11" t="inlineStr">
        <is>
          <t>300 г</t>
        </is>
      </c>
      <c r="D11" t="n">
        <v>300</v>
      </c>
    </row>
    <row r="12">
      <c r="A12" t="inlineStr">
        <is>
          <t>CHICK_350</t>
        </is>
      </c>
      <c r="B12" t="inlineStr">
        <is>
          <t>Грудка</t>
        </is>
      </c>
      <c r="C12" t="inlineStr">
        <is>
          <t>350 г</t>
        </is>
      </c>
      <c r="D12" t="n">
        <v>350</v>
      </c>
    </row>
    <row r="13">
      <c r="A13" t="inlineStr">
        <is>
          <t>RICE_100</t>
        </is>
      </c>
      <c r="B13" t="inlineStr">
        <is>
          <t>Рис</t>
        </is>
      </c>
      <c r="C13" t="inlineStr">
        <is>
          <t>100 г (сух.)</t>
        </is>
      </c>
      <c r="D13" t="n">
        <v>100</v>
      </c>
    </row>
    <row r="14">
      <c r="A14" t="inlineStr">
        <is>
          <t>OAT_100</t>
        </is>
      </c>
      <c r="B14" t="inlineStr">
        <is>
          <t>Овсянка</t>
        </is>
      </c>
      <c r="C14" t="inlineStr">
        <is>
          <t>100 г</t>
        </is>
      </c>
      <c r="D14" t="n">
        <v>100</v>
      </c>
    </row>
    <row r="15">
      <c r="A15" t="inlineStr">
        <is>
          <t>POT_100</t>
        </is>
      </c>
      <c r="B15" t="inlineStr">
        <is>
          <t>Картоха</t>
        </is>
      </c>
      <c r="C15" t="inlineStr">
        <is>
          <t>100 г</t>
        </is>
      </c>
      <c r="D15" t="n">
        <v>100</v>
      </c>
    </row>
    <row r="16">
      <c r="A16" t="inlineStr">
        <is>
          <t>BCKW_100</t>
        </is>
      </c>
      <c r="B16" t="inlineStr">
        <is>
          <t>Гречка</t>
        </is>
      </c>
      <c r="C16" t="inlineStr">
        <is>
          <t>100 г</t>
        </is>
      </c>
      <c r="D16" t="n">
        <v>100</v>
      </c>
    </row>
    <row r="17">
      <c r="A17" t="inlineStr">
        <is>
          <t>BANANA_1</t>
        </is>
      </c>
      <c r="B17" t="inlineStr">
        <is>
          <t>Банан</t>
        </is>
      </c>
      <c r="C17" t="inlineStr">
        <is>
          <t>1 шт — укажи граммы</t>
        </is>
      </c>
      <c r="D17" t="n">
        <v>120</v>
      </c>
    </row>
    <row r="18">
      <c r="A18" t="inlineStr">
        <is>
          <t>MARSH_1</t>
        </is>
      </c>
      <c r="B18" t="inlineStr">
        <is>
          <t>Зефир</t>
        </is>
      </c>
      <c r="C18" t="inlineStr">
        <is>
          <t>1 зефирка ~30 г</t>
        </is>
      </c>
      <c r="D18" t="n">
        <v>30</v>
      </c>
    </row>
    <row r="19">
      <c r="A19" t="inlineStr">
        <is>
          <t>GREEK_140</t>
        </is>
      </c>
      <c r="B19" t="inlineStr">
        <is>
          <t>Греческий йогурт</t>
        </is>
      </c>
      <c r="C19" t="inlineStr">
        <is>
          <t>140 г</t>
        </is>
      </c>
      <c r="D19" t="n">
        <v>140</v>
      </c>
    </row>
    <row r="20">
      <c r="A20" t="inlineStr">
        <is>
          <t>GREEK_250</t>
        </is>
      </c>
      <c r="B20" t="inlineStr">
        <is>
          <t>Греческий йогурт</t>
        </is>
      </c>
      <c r="C20" t="inlineStr">
        <is>
          <t>250 г</t>
        </is>
      </c>
      <c r="D20" t="n">
        <v>250</v>
      </c>
    </row>
    <row r="21">
      <c r="A21" t="inlineStr">
        <is>
          <t>FATFREE_260</t>
        </is>
      </c>
      <c r="B21" t="inlineStr">
        <is>
          <t>Обезжир. йогурт</t>
        </is>
      </c>
      <c r="C21" t="inlineStr">
        <is>
          <t>260 г</t>
        </is>
      </c>
      <c r="D21" t="n">
        <v>260</v>
      </c>
    </row>
    <row r="22">
      <c r="A22" t="inlineStr">
        <is>
          <t>CHUDO_100</t>
        </is>
      </c>
      <c r="B22" t="inlineStr">
        <is>
          <t>Йогурт типа чудо</t>
        </is>
      </c>
      <c r="C22" t="inlineStr">
        <is>
          <t>100 г</t>
        </is>
      </c>
      <c r="D22" t="n">
        <v>100</v>
      </c>
    </row>
    <row r="23">
      <c r="A23" t="inlineStr">
        <is>
          <t>CHUDO_140</t>
        </is>
      </c>
      <c r="B23" t="inlineStr">
        <is>
          <t>Йогурт типа чудо</t>
        </is>
      </c>
      <c r="C23" t="inlineStr">
        <is>
          <t>140 г</t>
        </is>
      </c>
      <c r="D23" t="n">
        <v>140</v>
      </c>
    </row>
    <row r="24">
      <c r="A24" t="inlineStr">
        <is>
          <t>CHUDO_260</t>
        </is>
      </c>
      <c r="B24" t="inlineStr">
        <is>
          <t>Йогурт типа чудо</t>
        </is>
      </c>
      <c r="C24" t="inlineStr">
        <is>
          <t>260 г</t>
        </is>
      </c>
      <c r="D24" t="n">
        <v>260</v>
      </c>
    </row>
    <row r="25">
      <c r="A25" t="inlineStr">
        <is>
          <t>CHUDO_300</t>
        </is>
      </c>
      <c r="B25" t="inlineStr">
        <is>
          <t>Йогурт типа чудо</t>
        </is>
      </c>
      <c r="C25" t="inlineStr">
        <is>
          <t>300 г</t>
        </is>
      </c>
      <c r="D25" t="n">
        <v>300</v>
      </c>
    </row>
    <row r="26">
      <c r="A26" t="inlineStr">
        <is>
          <t>BUN_1</t>
        </is>
      </c>
      <c r="B26" t="inlineStr">
        <is>
          <t>Булочка венская</t>
        </is>
      </c>
      <c r="C26" t="inlineStr">
        <is>
          <t>1 шт — укажи граммы</t>
        </is>
      </c>
      <c r="D26" t="n">
        <v>95</v>
      </c>
    </row>
    <row r="27">
      <c r="A27" t="inlineStr">
        <is>
          <t>COOKIE_1</t>
        </is>
      </c>
      <c r="B27" t="inlineStr">
        <is>
          <t>Печенье американское</t>
        </is>
      </c>
      <c r="C27" t="inlineStr">
        <is>
          <t>1 шт ~55 г</t>
        </is>
      </c>
      <c r="D27" t="n">
        <v>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22" customHeight="1">
      <c r="A1" t="inlineStr">
        <is>
          <t>Категория</t>
        </is>
      </c>
      <c r="B1" t="inlineStr">
        <is>
          <t>Значение</t>
        </is>
      </c>
      <c r="C1" t="inlineStr">
        <is>
          <t>Score</t>
        </is>
      </c>
    </row>
    <row r="2">
      <c r="A2" t="inlineStr">
        <is>
          <t>Тренировка</t>
        </is>
      </c>
      <c r="B2" t="inlineStr">
        <is>
          <t>Пропустил</t>
        </is>
      </c>
      <c r="C2" t="n">
        <v>0</v>
      </c>
    </row>
    <row r="3">
      <c r="A3" t="inlineStr">
        <is>
          <t>Тренировка</t>
        </is>
      </c>
      <c r="B3" t="inlineStr">
        <is>
          <t>Отдых</t>
        </is>
      </c>
      <c r="C3" t="n">
        <v>0.6</v>
      </c>
    </row>
    <row r="4">
      <c r="A4" t="inlineStr">
        <is>
          <t>Тренировка</t>
        </is>
      </c>
      <c r="B4" t="inlineStr">
        <is>
          <t>Ноги</t>
        </is>
      </c>
      <c r="C4" t="n">
        <v>1</v>
      </c>
    </row>
    <row r="5">
      <c r="A5" t="inlineStr">
        <is>
          <t>Тренировка</t>
        </is>
      </c>
      <c r="B5" t="inlineStr">
        <is>
          <t>Верх</t>
        </is>
      </c>
      <c r="C5" t="n">
        <v>1</v>
      </c>
    </row>
    <row r="6">
      <c r="A6" t="inlineStr">
        <is>
          <t>Кардио</t>
        </is>
      </c>
      <c r="B6" t="inlineStr">
        <is>
          <t>0</t>
        </is>
      </c>
      <c r="C6" t="n">
        <v>0</v>
      </c>
    </row>
    <row r="7">
      <c r="A7" t="inlineStr">
        <is>
          <t>Кардио</t>
        </is>
      </c>
      <c r="B7" t="inlineStr">
        <is>
          <t>10</t>
        </is>
      </c>
      <c r="C7" t="n">
        <v>0.25</v>
      </c>
    </row>
    <row r="8">
      <c r="A8" t="inlineStr">
        <is>
          <t>Кардио</t>
        </is>
      </c>
      <c r="B8" t="inlineStr">
        <is>
          <t>20</t>
        </is>
      </c>
      <c r="C8" t="n">
        <v>0.5</v>
      </c>
    </row>
    <row r="9">
      <c r="A9" t="inlineStr">
        <is>
          <t>Кардио</t>
        </is>
      </c>
      <c r="B9" t="inlineStr">
        <is>
          <t>30</t>
        </is>
      </c>
      <c r="C9" t="n">
        <v>0.75</v>
      </c>
    </row>
    <row r="10">
      <c r="A10" t="inlineStr">
        <is>
          <t>Кардио</t>
        </is>
      </c>
      <c r="B10" t="inlineStr">
        <is>
          <t>40</t>
        </is>
      </c>
      <c r="C10" t="n">
        <v>1</v>
      </c>
    </row>
    <row r="11">
      <c r="A11" t="inlineStr">
        <is>
          <t>Шаги</t>
        </is>
      </c>
      <c r="B11" t="inlineStr">
        <is>
          <t>&lt;5k</t>
        </is>
      </c>
      <c r="C11" t="n">
        <v>0</v>
      </c>
    </row>
    <row r="12">
      <c r="A12" t="inlineStr">
        <is>
          <t>Шаги</t>
        </is>
      </c>
      <c r="B12" t="inlineStr">
        <is>
          <t>5-7k</t>
        </is>
      </c>
      <c r="C12" t="n">
        <v>0.25</v>
      </c>
    </row>
    <row r="13">
      <c r="A13" t="inlineStr">
        <is>
          <t>Шаги</t>
        </is>
      </c>
      <c r="B13" t="inlineStr">
        <is>
          <t>7-10k</t>
        </is>
      </c>
      <c r="C13" t="n">
        <v>0.5</v>
      </c>
    </row>
    <row r="14">
      <c r="A14" t="inlineStr">
        <is>
          <t>Шаги</t>
        </is>
      </c>
      <c r="B14" t="inlineStr">
        <is>
          <t>10-12k</t>
        </is>
      </c>
      <c r="C14" t="n">
        <v>0.75</v>
      </c>
    </row>
    <row r="15">
      <c r="A15" t="inlineStr">
        <is>
          <t>Шаги</t>
        </is>
      </c>
      <c r="B15" t="inlineStr">
        <is>
          <t>12-15k</t>
        </is>
      </c>
      <c r="C15" t="n">
        <v>0.9</v>
      </c>
    </row>
    <row r="16">
      <c r="A16" t="inlineStr">
        <is>
          <t>Шаги</t>
        </is>
      </c>
      <c r="B16" t="inlineStr">
        <is>
          <t>15k+</t>
        </is>
      </c>
      <c r="C16" t="n">
        <v>1</v>
      </c>
    </row>
    <row r="17">
      <c r="A17" t="inlineStr">
        <is>
          <t>Английский_мин</t>
        </is>
      </c>
      <c r="B17" t="inlineStr">
        <is>
          <t>15</t>
        </is>
      </c>
      <c r="C17" t="n">
        <v>0.25</v>
      </c>
    </row>
    <row r="18">
      <c r="A18" t="inlineStr">
        <is>
          <t>Английский_мин</t>
        </is>
      </c>
      <c r="B18" t="inlineStr">
        <is>
          <t>30</t>
        </is>
      </c>
      <c r="C18" t="n">
        <v>0.5</v>
      </c>
    </row>
    <row r="19">
      <c r="A19" t="inlineStr">
        <is>
          <t>Английский_мин</t>
        </is>
      </c>
      <c r="B19" t="inlineStr">
        <is>
          <t>45</t>
        </is>
      </c>
      <c r="C19" t="n">
        <v>0.6</v>
      </c>
    </row>
    <row r="20">
      <c r="A20" t="inlineStr">
        <is>
          <t>Английский_мин</t>
        </is>
      </c>
      <c r="B20" t="inlineStr">
        <is>
          <t>60</t>
        </is>
      </c>
      <c r="C20" t="n">
        <v>0.7</v>
      </c>
    </row>
    <row r="21">
      <c r="A21" t="inlineStr">
        <is>
          <t>Английский_мин</t>
        </is>
      </c>
      <c r="B21" t="inlineStr">
        <is>
          <t>90</t>
        </is>
      </c>
      <c r="C21" t="n">
        <v>0.85</v>
      </c>
    </row>
    <row r="22">
      <c r="A22" t="inlineStr">
        <is>
          <t>Английский_мин</t>
        </is>
      </c>
      <c r="B22" t="inlineStr">
        <is>
          <t>120</t>
        </is>
      </c>
      <c r="C22" t="n">
        <v>1</v>
      </c>
    </row>
    <row r="23">
      <c r="A23" t="inlineStr">
        <is>
          <t>Код_режим</t>
        </is>
      </c>
      <c r="B23" t="inlineStr">
        <is>
          <t>Сам</t>
        </is>
      </c>
      <c r="C23" t="n">
        <v>1</v>
      </c>
    </row>
    <row r="24">
      <c r="A24" t="inlineStr">
        <is>
          <t>Код_режим</t>
        </is>
      </c>
      <c r="B24" t="inlineStr">
        <is>
          <t>С помощью</t>
        </is>
      </c>
      <c r="C24" t="n">
        <v>1</v>
      </c>
    </row>
    <row r="25">
      <c r="A25" t="inlineStr">
        <is>
          <t>Код_режим</t>
        </is>
      </c>
      <c r="B25" t="inlineStr">
        <is>
          <t>Вайб код</t>
        </is>
      </c>
      <c r="C25" t="n">
        <v>1</v>
      </c>
    </row>
    <row r="26">
      <c r="A26" t="inlineStr">
        <is>
          <t>Код_тема</t>
        </is>
      </c>
      <c r="B26" t="inlineStr">
        <is>
          <t>МЛ</t>
        </is>
      </c>
      <c r="C26" t="n">
        <v>1</v>
      </c>
    </row>
    <row r="27">
      <c r="A27" t="inlineStr">
        <is>
          <t>Код_тема</t>
        </is>
      </c>
      <c r="B27" t="inlineStr">
        <is>
          <t>Алгосы</t>
        </is>
      </c>
      <c r="C27" t="n">
        <v>1</v>
      </c>
    </row>
    <row r="28">
      <c r="A28" t="inlineStr">
        <is>
          <t>Код_тема</t>
        </is>
      </c>
      <c r="B28" t="inlineStr">
        <is>
          <t>ВУЗ</t>
        </is>
      </c>
      <c r="C28" t="n">
        <v>1</v>
      </c>
    </row>
    <row r="29">
      <c r="A29" t="inlineStr">
        <is>
          <t>Код_тема</t>
        </is>
      </c>
      <c r="B29" t="inlineStr">
        <is>
          <t>Веб</t>
        </is>
      </c>
      <c r="C29" t="n">
        <v>1</v>
      </c>
    </row>
    <row r="30">
      <c r="A30" t="inlineStr">
        <is>
          <t>Чтение_стр</t>
        </is>
      </c>
      <c r="B30" t="inlineStr">
        <is>
          <t>10</t>
        </is>
      </c>
      <c r="C30" t="n">
        <v>0.1</v>
      </c>
    </row>
    <row r="31">
      <c r="A31" t="inlineStr">
        <is>
          <t>Чтение_стр</t>
        </is>
      </c>
      <c r="B31" t="inlineStr">
        <is>
          <t>20</t>
        </is>
      </c>
      <c r="C31" t="n">
        <v>0.2</v>
      </c>
    </row>
    <row r="32">
      <c r="A32" t="inlineStr">
        <is>
          <t>Чтение_стр</t>
        </is>
      </c>
      <c r="B32" t="inlineStr">
        <is>
          <t>30</t>
        </is>
      </c>
      <c r="C32" t="n">
        <v>0.3</v>
      </c>
    </row>
    <row r="33">
      <c r="A33" t="inlineStr">
        <is>
          <t>Чтение_стр</t>
        </is>
      </c>
      <c r="B33" t="inlineStr">
        <is>
          <t>40</t>
        </is>
      </c>
      <c r="C33" t="n">
        <v>0.4</v>
      </c>
    </row>
    <row r="34">
      <c r="A34" t="inlineStr">
        <is>
          <t>Чтение_стр</t>
        </is>
      </c>
      <c r="B34" t="inlineStr">
        <is>
          <t>50</t>
        </is>
      </c>
      <c r="C34" t="n">
        <v>0.5</v>
      </c>
    </row>
    <row r="35">
      <c r="A35" t="inlineStr">
        <is>
          <t>Чтение_стр</t>
        </is>
      </c>
      <c r="B35" t="inlineStr">
        <is>
          <t>60</t>
        </is>
      </c>
      <c r="C35" t="n">
        <v>0.6</v>
      </c>
    </row>
    <row r="36">
      <c r="A36" t="inlineStr">
        <is>
          <t>Чтение_стр</t>
        </is>
      </c>
      <c r="B36" t="inlineStr">
        <is>
          <t>70</t>
        </is>
      </c>
      <c r="C36" t="n">
        <v>0.7</v>
      </c>
    </row>
    <row r="37">
      <c r="A37" t="inlineStr">
        <is>
          <t>Чтение_стр</t>
        </is>
      </c>
      <c r="B37" t="inlineStr">
        <is>
          <t>80</t>
        </is>
      </c>
      <c r="C37" t="n">
        <v>0.8</v>
      </c>
    </row>
    <row r="38">
      <c r="A38" t="inlineStr">
        <is>
          <t>Чтение_стр</t>
        </is>
      </c>
      <c r="B38" t="inlineStr">
        <is>
          <t>90</t>
        </is>
      </c>
      <c r="C38" t="n">
        <v>0.9</v>
      </c>
    </row>
    <row r="39">
      <c r="A39" t="inlineStr">
        <is>
          <t>Чтение_стр</t>
        </is>
      </c>
      <c r="B39" t="inlineStr">
        <is>
          <t>100</t>
        </is>
      </c>
      <c r="C39" t="n">
        <v>1</v>
      </c>
    </row>
    <row r="40">
      <c r="A40" t="inlineStr">
        <is>
          <t>Отдых_время</t>
        </is>
      </c>
      <c r="B40" t="inlineStr">
        <is>
          <t>0ч</t>
        </is>
      </c>
      <c r="C40" t="n">
        <v>0</v>
      </c>
    </row>
    <row r="41">
      <c r="A41" t="inlineStr">
        <is>
          <t>Отдых_время</t>
        </is>
      </c>
      <c r="B41" t="inlineStr">
        <is>
          <t>1-3ч</t>
        </is>
      </c>
      <c r="C41" t="n">
        <v>0.5</v>
      </c>
    </row>
    <row r="42">
      <c r="A42" t="inlineStr">
        <is>
          <t>Отдых_время</t>
        </is>
      </c>
      <c r="B42" t="inlineStr">
        <is>
          <t>3-6ч</t>
        </is>
      </c>
      <c r="C42" t="n">
        <v>0.7</v>
      </c>
    </row>
    <row r="43">
      <c r="A43" t="inlineStr">
        <is>
          <t>Отдых_время</t>
        </is>
      </c>
      <c r="B43" t="inlineStr">
        <is>
          <t>пол дня</t>
        </is>
      </c>
      <c r="C43" t="n">
        <v>0.8</v>
      </c>
    </row>
    <row r="44">
      <c r="A44" t="inlineStr">
        <is>
          <t>Отдых_время</t>
        </is>
      </c>
      <c r="B44" t="inlineStr">
        <is>
          <t>весь день</t>
        </is>
      </c>
      <c r="C44" t="n">
        <v>0.6</v>
      </c>
    </row>
    <row r="45">
      <c r="A45" t="inlineStr">
        <is>
          <t>Отдых_тип</t>
        </is>
      </c>
      <c r="B45" t="inlineStr">
        <is>
          <t>гулял</t>
        </is>
      </c>
      <c r="C45" t="n">
        <v>0</v>
      </c>
    </row>
    <row r="46">
      <c r="A46" t="inlineStr">
        <is>
          <t>Отдых_тип</t>
        </is>
      </c>
      <c r="B46" t="inlineStr">
        <is>
          <t>кафовал</t>
        </is>
      </c>
      <c r="C46" t="n">
        <v>0</v>
      </c>
    </row>
    <row r="47">
      <c r="A47" t="inlineStr">
        <is>
          <t>Отдых_тип</t>
        </is>
      </c>
      <c r="B47" t="inlineStr">
        <is>
          <t>с кентами</t>
        </is>
      </c>
      <c r="C47" t="n">
        <v>0</v>
      </c>
    </row>
    <row r="48">
      <c r="A48" t="inlineStr">
        <is>
          <t>Отдых_тип</t>
        </is>
      </c>
      <c r="B48" t="inlineStr">
        <is>
          <t>в егорлыке</t>
        </is>
      </c>
      <c r="C48" t="n">
        <v>0</v>
      </c>
    </row>
    <row r="49">
      <c r="A49" t="inlineStr">
        <is>
          <t>Сон_отбой</t>
        </is>
      </c>
      <c r="B49" t="inlineStr">
        <is>
          <t>10</t>
        </is>
      </c>
      <c r="C49" t="n">
        <v>0</v>
      </c>
    </row>
    <row r="50">
      <c r="A50" t="inlineStr">
        <is>
          <t>Сон_отбой</t>
        </is>
      </c>
      <c r="B50" t="inlineStr">
        <is>
          <t>11</t>
        </is>
      </c>
      <c r="C50" t="n">
        <v>0</v>
      </c>
    </row>
    <row r="51">
      <c r="A51" t="inlineStr">
        <is>
          <t>Сон_отбой</t>
        </is>
      </c>
      <c r="B51" t="inlineStr">
        <is>
          <t>12</t>
        </is>
      </c>
      <c r="C51" t="n">
        <v>0</v>
      </c>
    </row>
    <row r="52">
      <c r="A52" t="inlineStr">
        <is>
          <t>Сон_отбой</t>
        </is>
      </c>
      <c r="B52" t="inlineStr">
        <is>
          <t>1</t>
        </is>
      </c>
      <c r="C52" t="n">
        <v>0</v>
      </c>
    </row>
    <row r="53">
      <c r="A53" t="inlineStr">
        <is>
          <t>Сон_отбой</t>
        </is>
      </c>
      <c r="B53" t="inlineStr">
        <is>
          <t>2</t>
        </is>
      </c>
      <c r="C53" t="n">
        <v>0</v>
      </c>
    </row>
    <row r="54">
      <c r="A54" t="inlineStr">
        <is>
          <t>Сон_отбой</t>
        </is>
      </c>
      <c r="B54" t="inlineStr">
        <is>
          <t>3</t>
        </is>
      </c>
      <c r="C54" t="n">
        <v>0</v>
      </c>
    </row>
    <row r="55">
      <c r="A55" t="inlineStr">
        <is>
          <t>Сон_отбой</t>
        </is>
      </c>
      <c r="B55" t="inlineStr">
        <is>
          <t>4</t>
        </is>
      </c>
      <c r="C55" t="n">
        <v>0</v>
      </c>
    </row>
    <row r="56">
      <c r="A56" t="inlineStr">
        <is>
          <t>Сон_отбой</t>
        </is>
      </c>
      <c r="B56" t="inlineStr">
        <is>
          <t>5</t>
        </is>
      </c>
      <c r="C56" t="n">
        <v>0</v>
      </c>
    </row>
    <row r="57">
      <c r="A57" t="inlineStr">
        <is>
          <t>Сон_отбой</t>
        </is>
      </c>
      <c r="B57" t="inlineStr">
        <is>
          <t>6</t>
        </is>
      </c>
      <c r="C57" t="n">
        <v>0</v>
      </c>
    </row>
    <row r="58">
      <c r="A58" t="inlineStr">
        <is>
          <t>Сон_часы</t>
        </is>
      </c>
      <c r="B58" t="inlineStr">
        <is>
          <t>&lt;6</t>
        </is>
      </c>
      <c r="C58" t="n">
        <v>0</v>
      </c>
    </row>
    <row r="59">
      <c r="A59" t="inlineStr">
        <is>
          <t>Сон_часы</t>
        </is>
      </c>
      <c r="B59" t="inlineStr">
        <is>
          <t>6-8</t>
        </is>
      </c>
      <c r="C59" t="n">
        <v>1</v>
      </c>
    </row>
    <row r="60">
      <c r="A60" t="inlineStr">
        <is>
          <t>Сон_часы</t>
        </is>
      </c>
      <c r="B60" t="inlineStr">
        <is>
          <t>&gt;8</t>
        </is>
      </c>
      <c r="C60" t="n">
        <v>0.8</v>
      </c>
    </row>
    <row r="61">
      <c r="A61" t="inlineStr">
        <is>
          <t>Режим</t>
        </is>
      </c>
      <c r="B61" t="inlineStr">
        <is>
          <t>сбит</t>
        </is>
      </c>
      <c r="C61" t="n">
        <v>0.3</v>
      </c>
    </row>
    <row r="62">
      <c r="A62" t="inlineStr">
        <is>
          <t>Режим</t>
        </is>
      </c>
      <c r="B62" t="inlineStr">
        <is>
          <t>не сбит</t>
        </is>
      </c>
      <c r="C62" t="n">
        <v>1</v>
      </c>
    </row>
    <row r="63">
      <c r="A63" t="inlineStr">
        <is>
          <t>Продуктивность</t>
        </is>
      </c>
      <c r="B63" t="inlineStr">
        <is>
          <t>0</t>
        </is>
      </c>
      <c r="C63" t="n">
        <v>0</v>
      </c>
    </row>
    <row r="64">
      <c r="A64" t="inlineStr">
        <is>
          <t>Продуктивность</t>
        </is>
      </c>
      <c r="B64" t="inlineStr">
        <is>
          <t>25</t>
        </is>
      </c>
      <c r="C64" t="n">
        <v>0.25</v>
      </c>
    </row>
    <row r="65">
      <c r="A65" t="inlineStr">
        <is>
          <t>Продуктивность</t>
        </is>
      </c>
      <c r="B65" t="inlineStr">
        <is>
          <t>50</t>
        </is>
      </c>
      <c r="C65" t="n">
        <v>0.5</v>
      </c>
    </row>
    <row r="66">
      <c r="A66" t="inlineStr">
        <is>
          <t>Продуктивность</t>
        </is>
      </c>
      <c r="B66" t="inlineStr">
        <is>
          <t>75</t>
        </is>
      </c>
      <c r="C66" t="n">
        <v>0.75</v>
      </c>
    </row>
    <row r="67">
      <c r="A67" t="inlineStr">
        <is>
          <t>Продуктивность</t>
        </is>
      </c>
      <c r="B67" t="inlineStr">
        <is>
          <t>100</t>
        </is>
      </c>
      <c r="C67" t="n">
        <v>1</v>
      </c>
    </row>
    <row r="68">
      <c r="A68" t="inlineStr">
        <is>
          <t>Настроение</t>
        </is>
      </c>
      <c r="B68" t="inlineStr">
        <is>
          <t>Отличное</t>
        </is>
      </c>
      <c r="C68" t="n">
        <v>1</v>
      </c>
    </row>
    <row r="69">
      <c r="A69" t="inlineStr">
        <is>
          <t>Настроение</t>
        </is>
      </c>
      <c r="B69" t="inlineStr">
        <is>
          <t>Веселый</t>
        </is>
      </c>
      <c r="C69" t="n">
        <v>0.85</v>
      </c>
    </row>
    <row r="70">
      <c r="A70" t="inlineStr">
        <is>
          <t>Настроение</t>
        </is>
      </c>
      <c r="B70" t="inlineStr">
        <is>
          <t>Обычное</t>
        </is>
      </c>
      <c r="C70" t="n">
        <v>0.7</v>
      </c>
    </row>
    <row r="71">
      <c r="A71" t="inlineStr">
        <is>
          <t>Настроение</t>
        </is>
      </c>
      <c r="B71" t="inlineStr">
        <is>
          <t>Серьезный</t>
        </is>
      </c>
      <c r="C71" t="n">
        <v>0.6</v>
      </c>
    </row>
    <row r="72">
      <c r="A72" t="inlineStr">
        <is>
          <t>Настроение</t>
        </is>
      </c>
      <c r="B72" t="inlineStr">
        <is>
          <t>Раздраженный</t>
        </is>
      </c>
      <c r="C72" t="n">
        <v>0.4</v>
      </c>
    </row>
    <row r="73">
      <c r="A73" t="inlineStr">
        <is>
          <t>Настроение</t>
        </is>
      </c>
      <c r="B73" t="inlineStr">
        <is>
          <t>Беспокойный</t>
        </is>
      </c>
      <c r="C73" t="n">
        <v>0.3</v>
      </c>
    </row>
    <row r="74">
      <c r="A74" t="inlineStr">
        <is>
          <t>Настроение</t>
        </is>
      </c>
      <c r="B74" t="inlineStr">
        <is>
          <t>Злой</t>
        </is>
      </c>
      <c r="C74" t="n">
        <v>0.2</v>
      </c>
    </row>
    <row r="75">
      <c r="A75" t="inlineStr">
        <is>
          <t>Энергия</t>
        </is>
      </c>
      <c r="B75" t="inlineStr">
        <is>
          <t>нет</t>
        </is>
      </c>
      <c r="C75" t="n">
        <v>0</v>
      </c>
    </row>
    <row r="76">
      <c r="A76" t="inlineStr">
        <is>
          <t>Энергия</t>
        </is>
      </c>
      <c r="B76" t="inlineStr">
        <is>
          <t>мало</t>
        </is>
      </c>
      <c r="C76" t="n">
        <v>0.33</v>
      </c>
    </row>
    <row r="77">
      <c r="A77" t="inlineStr">
        <is>
          <t>Энергия</t>
        </is>
      </c>
      <c r="B77" t="inlineStr">
        <is>
          <t>есть</t>
        </is>
      </c>
      <c r="C77" t="n">
        <v>0.66</v>
      </c>
    </row>
    <row r="78">
      <c r="A78" t="inlineStr">
        <is>
          <t>Энергия</t>
        </is>
      </c>
      <c r="B78" t="inlineStr">
        <is>
          <t>я живчик</t>
        </is>
      </c>
      <c r="C78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t="inlineStr">
        <is>
          <t>Dashboard</t>
        </is>
      </c>
    </row>
    <row r="2">
      <c r="A2" t="inlineStr">
        <is>
          <t>Дата:</t>
        </is>
      </c>
      <c r="B2">
        <f>TODAY()</f>
        <v/>
      </c>
    </row>
    <row r="3">
      <c r="A3" t="inlineStr">
        <is>
          <t>Качество дня:</t>
        </is>
      </c>
      <c r="B3">
        <f>IFERROR(XLOOKUP($B$2,Daily!$A:$A,Daily!$Y:$Y),"")</f>
        <v/>
      </c>
    </row>
    <row r="4">
      <c r="A4" t="inlineStr">
        <is>
          <t>Не заполнено:</t>
        </is>
      </c>
      <c r="B4">
        <f>IFERROR(XLOOKUP($B$2,Daily!$A:$A,Daily!$Z:$Z),"")</f>
        <v/>
      </c>
    </row>
    <row r="5">
      <c r="A5" t="inlineStr">
        <is>
          <t>Ккал:</t>
        </is>
      </c>
      <c r="B5">
        <f>IFERROR(XLOOKUP($B$2,Daily!$A:$A,Daily!$U:$U),"")</f>
        <v/>
      </c>
    </row>
    <row r="6">
      <c r="A6" t="inlineStr">
        <is>
          <t>Белки:</t>
        </is>
      </c>
      <c r="B6">
        <f>IFERROR(XLOOKUP($B$2,Daily!$A:$A,Daily!$V:$V),"")</f>
        <v/>
      </c>
    </row>
    <row r="7">
      <c r="A7" t="inlineStr">
        <is>
          <t>Жиры:</t>
        </is>
      </c>
      <c r="B7">
        <f>IFERROR(XLOOKUP($B$2,Daily!$A:$A,Daily!$W:$W),"")</f>
        <v/>
      </c>
    </row>
    <row r="8">
      <c r="A8" t="inlineStr">
        <is>
          <t>Угли:</t>
        </is>
      </c>
      <c r="B8">
        <f>IFERROR(XLOOKUP($B$2,Daily!$A:$A,Daily!$X:$X),"")</f>
        <v/>
      </c>
    </row>
    <row r="10">
      <c r="A10" t="inlineStr">
        <is>
          <t>Среднее качество за 7 дней:</t>
        </is>
      </c>
      <c r="B10">
        <f>IFERROR(AVERAGE(OFFSET(Daily!$Y$2,COUNTA(Daily!$A:$A)-8,0,7,1)),"")</f>
        <v/>
      </c>
    </row>
    <row r="11">
      <c r="A11" t="inlineStr">
        <is>
          <t>Средние калории за 7 дней:</t>
        </is>
      </c>
      <c r="B11">
        <f>IFERROR(AVERAGE(OFFSET(Daily!$U$2,COUNTA(Daily!$A:$A)-8,0,7,1)),"")</f>
        <v/>
      </c>
    </row>
    <row r="12">
      <c r="A12" t="inlineStr">
        <is>
          <t>Средний белок за 7 дней:</t>
        </is>
      </c>
      <c r="B12">
        <f>IFERROR(AVERAGE(OFFSET(Daily!$V$2,COUNTA(Daily!$A:$A)-8,0,7,1)),"")</f>
        <v/>
      </c>
    </row>
    <row r="13">
      <c r="A13" t="inlineStr">
        <is>
          <t>Средние жиры за 7 дней:</t>
        </is>
      </c>
      <c r="B13">
        <f>IFERROR(AVERAGE(OFFSET(Daily!$W$2,COUNTA(Daily!$A:$A)-8,0,7,1)),"")</f>
        <v/>
      </c>
    </row>
    <row r="14">
      <c r="A14" t="inlineStr">
        <is>
          <t>Средние угли за 7 дней:</t>
        </is>
      </c>
      <c r="B14">
        <f>IFERROR(AVERAGE(OFFSET(Daily!$X$2,COUNTA(Daily!$A:$A)-8,0,7,1)),"")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2026-01-30T10:35:42Z</dcterms:created>
  <dcterms:modified xsi:type="dcterms:W3CDTF">2026-01-30T12:01:35Z</dcterms:modified>
</cp:coreProperties>
</file>
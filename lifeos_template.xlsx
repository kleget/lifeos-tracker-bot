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FoodLog" sheetId="2" state="visible" r:id="rId2"/>
    <sheet name="SessionLog" sheetId="3" state="visible" r:id="rId3"/>
    <sheet name="FoodItems" sheetId="4" state="visible" r:id="rId4"/>
    <sheet name="Portions" sheetId="5" state="visible" r:id="rId5"/>
    <sheet name="Dictionaries" sheetId="6" state="visible" r:id="rId6"/>
    <sheet name="Dashboard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00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</cols>
  <sheetData>
    <row r="1" ht="22" customHeight="1">
      <c r="A1" s="1" t="inlineStr">
        <is>
          <t>????</t>
        </is>
      </c>
      <c r="B1" s="1" t="inlineStr">
        <is>
          <t>??????????</t>
        </is>
      </c>
      <c r="C1" s="1" t="inlineStr">
        <is>
          <t>??????_???</t>
        </is>
      </c>
      <c r="D1" s="1" t="inlineStr">
        <is>
          <t>????_?????????</t>
        </is>
      </c>
      <c r="E1" s="1" t="inlineStr">
        <is>
          <t>??????????_???</t>
        </is>
      </c>
      <c r="F1" s="1" t="inlineStr">
        <is>
          <t>???_?????</t>
        </is>
      </c>
      <c r="G1" s="1" t="inlineStr">
        <is>
          <t>???_????</t>
        </is>
      </c>
      <c r="H1" s="1" t="inlineStr">
        <is>
          <t>??????_???</t>
        </is>
      </c>
      <c r="I1" s="1" t="inlineStr">
        <is>
          <t>?????_?????</t>
        </is>
      </c>
      <c r="J1" s="1" t="inlineStr">
        <is>
          <t>?????_???</t>
        </is>
      </c>
      <c r="K1" s="1" t="inlineStr">
        <is>
          <t>???_?????</t>
        </is>
      </c>
      <c r="L1" s="1" t="inlineStr">
        <is>
          <t>???_????</t>
        </is>
      </c>
      <c r="M1" s="1" t="inlineStr">
        <is>
          <t>?????</t>
        </is>
      </c>
      <c r="N1" s="1" t="inlineStr">
        <is>
          <t>??????????????</t>
        </is>
      </c>
      <c r="O1" s="1" t="inlineStr">
        <is>
          <t>??????????</t>
        </is>
      </c>
      <c r="P1" t="inlineStr">
        <is>
          <t>???????</t>
        </is>
      </c>
      <c r="Q1" t="inlineStr">
        <is>
          <t>???</t>
        </is>
      </c>
      <c r="R1" t="inlineStr">
        <is>
          <t>?_???_?????</t>
        </is>
      </c>
      <c r="S1" t="inlineStr">
        <is>
          <t>?????_?_???</t>
        </is>
      </c>
      <c r="T1" t="inlineStr">
        <is>
          <t>????????</t>
        </is>
      </c>
      <c r="U1" t="inlineStr">
        <is>
          <t>????</t>
        </is>
      </c>
      <c r="V1" t="inlineStr">
        <is>
          <t>?????</t>
        </is>
      </c>
      <c r="W1" t="inlineStr">
        <is>
          <t>????</t>
        </is>
      </c>
      <c r="X1" t="inlineStr">
        <is>
          <t>????</t>
        </is>
      </c>
      <c r="Y1" t="inlineStr">
        <is>
          <t>????????_???</t>
        </is>
      </c>
      <c r="Z1" t="inlineStr">
        <is>
          <t>??_?????????</t>
        </is>
      </c>
    </row>
    <row r="2">
      <c r="A2" s="2" t="n">
        <v>739648</v>
      </c>
      <c r="J2">
        <f>IF(A2="","",SUMIF(FoodLog!$A:$A,A2,FoodLog!$I:$I))</f>
        <v/>
      </c>
      <c r="K2">
        <f>IF(A2="","",SUMIF(FoodLog!$A:$A,A2,FoodLog!$F:$F))</f>
        <v/>
      </c>
      <c r="L2">
        <f>IF(A2="","",SUMIF(FoodLog!$A:$A,A2,FoodLog!$G:$G))</f>
        <v/>
      </c>
      <c r="M2">
        <f>IF(A2="","",SUMIF(FoodLog!$A:$A,A2,FoodLog!$H:$H))</f>
        <v/>
      </c>
      <c r="N2">
        <f>LET(train,B2,cardio,C2,steps,D2,sleep,E2,reg,F2,prod,I2,kcal,J2,p,K2,w_train,0.22,w_steps,0.18,w_sleep,0.20,w_reg,0.10,w_food,0.18,w_prod,0.12,s_train,IF(train="Верх",1,IF(train="Ноги",1,IF(train="Отдых",0.6,IF(train="Пропустил",0.2,0)))),s_steps,IF(steps="15k+",1,IF(steps="12-15k",0.9,IF(steps="10-12k",0.8,IF(steps="7-10k",0.6,IF(steps="5-7k",0.4,IF(steps="&lt;5k",0.2,0)))))),s_sleep,IF(sleep="&gt;8",0.9,IF(sleep="6-8",1,IF(sleep="&lt;6",0.2,0))),s_reg,IF(reg="Не сбит",1,IF(reg="Сбит",0.3,0)),s_food,IF(AND(kcal&gt;0,p&gt;0),MIN(1, (p/120))*0.6 + MIN(1, MAX(0,1-ABS(kcal-2200)/600))*0.4,0),s_prod,IF(prod="100%",1,IF(prod="75%",0.8,IF(prod="50%",0.6,IF(prod="25%",0.35,IF(prod="0%",0.1,0)))),ROUND(100*(w_train*s_train + w_steps*s_steps + w_sleep*s_sleep + w_reg*s_reg + w_food*s_food + w_prod*s_prod),0))</f>
        <v/>
      </c>
      <c r="O2">
        <f>TEXTJOIN(", ",TRUE,IF(B2="","тренировка",""),IF(D2="","шаги",""),IF(E2="","сон",""),IF(F2="","режим",""),IF(G2="","настроение",""),IF(H2="","энергия",""),IF(I2="","продуктивность",""),IF(J2="","еда (ккал)",""))</f>
        <v/>
      </c>
      <c r="U2">
        <f>IF($A2="","",IF(SUMIF(FoodLog!$A:$A,$A2,FoodLog!$I:$I)=0,"",SUMIF(FoodLog!$A:$A,$A2,FoodLog!$I:$I)))</f>
        <v/>
      </c>
      <c r="V2">
        <f>IF($A2="","",IF(SUMIF(FoodLog!$A:$A,$A2,FoodLog!$F:$F)=0,"",SUMIF(FoodLog!$A:$A,$A2,FoodLog!$F:$F)))</f>
        <v/>
      </c>
      <c r="W2">
        <f>IF($A2="","",IF(SUMIF(FoodLog!$A:$A,$A2,FoodLog!$G:$G)=0,"",SUMIF(FoodLog!$A:$A,$A2,FoodLog!$G:$G)))</f>
        <v/>
      </c>
      <c r="X2">
        <f>IF($A2="","",IF(SUMIF(FoodLog!$A:$A,$A2,FoodLog!$H:$H)=0,"",SUMIF(FoodLog!$A:$A,$A2,FoodLog!$H:$H)))</f>
        <v/>
      </c>
      <c r="Y2">
        <f>IF($A2="","",IFERROR(ROUND(100*AVERAGE(IF($B2="","",XLOOKUP($B2,FILTER(Dictionaries!$B:$B,Dictionaries!$A:$A="??????????"),FILTER(Dictionaries!$C:$C,Dictionaries!$A:$A="??????????"))),IF($C2="","",MIN($C2/40,1)),IF($D2="","",XLOOKUP($D2,FILTER(Dictionaries!$B:$B,Dictionaries!$A:$A="????"),FILTER(Dictionaries!$C:$C,Dictionaries!$A:$A="????"))),IF($E2="","",MIN($E2/120,1)),IF(OR($F2&lt;&gt;"",$G2&lt;&gt;""),1,""),IF($H2="","",MIN($H2/100,1)),IF($L2="","",XLOOKUP($L2,FILTER(Dictionaries!$B:$B,Dictionaries!$A:$A="???_????"),FILTER(Dictionaries!$C:$C,Dictionaries!$A:$A="???_????"))),IF($M2="","",XLOOKUP($M2,FILTER(Dictionaries!$B:$B,Dictionaries!$A:$A="?????"),FILTER(Dictionaries!$C:$C,Dictionaries!$A:$A="?????"))),IF($N2="","",MIN($N2/100,1)),IF($O2="","",XLOOKUP($O2,FILTER(Dictionaries!$B:$B,Dictionaries!$A:$A="??????????"),FILTER(Dictionaries!$C:$C,Dictionaries!$A:$A="??????????"))),IF($P2="","",XLOOKUP($P2,FILTER(Dictionaries!$B:$B,Dictionaries!$A:$A="???????"),FILTER(Dictionaries!$C:$C,Dictionaries!$A:$A="???????"))),IF($U2="","",LET(t,IF(OR($B2="????",$B2="????"),"train","rest"),k,$U2,p,$V2,f,$W2,c,$X2,k_s,IF(t="train",IF(k="","",IFS(AND(k&gt;=1900,k&lt;=2050),1,AND(k&gt;=1850,k&lt;1900),0.7,AND(k&gt;2050,k&lt;=2100),0.7,TRUE,0.2)),IF(k="","",IFS(AND(k&gt;=1700,k&lt;=1850),1,AND(k&gt;=1650,k&lt;1700),0.7,AND(k&gt;1850,k&lt;=1900),0.7,TRUE,0.2))),p_s,IF(t="train",IF(p="","",IFS(AND(p&gt;=125,p&lt;=135),1,AND(p&gt;=115,p&lt;125),0.7,AND(p&gt;135,p&lt;=145),0.7,AND(p&gt;=105,p&lt;115),0.4,AND(p&gt;145,p&lt;=155),0.4,TRUE,0.2)),IF(p="","",IFS(AND(p&gt;=120,p&lt;=130),1,AND(p&gt;=110,p&lt;120),0.7,AND(p&gt;130,p&lt;=140),0.7,AND(p&gt;=100,p&lt;110),0.4,AND(p&gt;140,p&lt;=150),0.4,TRUE,0.2))),f_s,IF(f="","",IFS(AND(f&gt;=55,f&lt;=65),1,AND(f&gt;=50,f&lt;55),0.7,AND(f&gt;65,f&lt;=70),0.7,AND(f&gt;=45,f&lt;50),0.4,AND(f&gt;70,f&lt;=75),0.4,TRUE,0.2)),c_s,IF(t="train",IF(c="","",IFS(AND(c&gt;=180,c&lt;=210),1,AND(c&gt;=160,c&lt;180),0.7,AND(c&gt;210,c&lt;=230),0.7,AND(c&gt;=140,c&lt;160),0.4,AND(c&gt;230,c&lt;=250),0.4,TRUE,0.2)),IF(c="","",IFS(AND(c&gt;=140,c&lt;=170),1,AND(c&gt;=120,c&lt;140),0.7,AND(c&gt;170,c&lt;=190),0.7,AND(c&gt;=100,c&lt;120),0.4,AND(c&gt;190,c&lt;=210),0.4,TRUE,0.2))),AVERAGE(k_s,p_s,f_s,c_s)))),1),""))</f>
        <v/>
      </c>
      <c r="Z2">
        <f>IF($A2="","",TEXTJOIN(", ",TRUE,IF($B2="","??????????",""),IF($C2="","??????",""),IF($D2="","????",""),IF($E2="","??????????",""),IF($F2="","???-?????",""),IF($G2="","???-????",""),IF($H2="","??????",""),IF($L2="","???",""),IF($M2="","?????",""),IF($N2="","??????????????",""),IF($O2="","??????????",""),IF($P2="","???????",""),IF($U2="","???","")))</f>
        <v/>
      </c>
    </row>
    <row r="3">
      <c r="A3" s="2" t="n">
        <v>739649</v>
      </c>
      <c r="J3">
        <f>IF(A3="","",SUMIF(FoodLog!$A:$A,A3,FoodLog!$I:$I))</f>
        <v/>
      </c>
      <c r="K3">
        <f>IF(A3="","",SUMIF(FoodLog!$A:$A,A3,FoodLog!$F:$F))</f>
        <v/>
      </c>
      <c r="L3">
        <f>IF(A3="","",SUMIF(FoodLog!$A:$A,A3,FoodLog!$G:$G))</f>
        <v/>
      </c>
      <c r="M3">
        <f>IF(A3="","",SUMIF(FoodLog!$A:$A,A3,FoodLog!$H:$H))</f>
        <v/>
      </c>
      <c r="N3">
        <f>LET(train,B3,cardio,C3,steps,D3,sleep,E3,reg,F3,prod,I3,kcal,J3,p,K3,w_train,0.22,w_steps,0.18,w_sleep,0.20,w_reg,0.10,w_food,0.18,w_prod,0.12,s_train,IF(train="Верх",1,IF(train="Ноги",1,IF(train="Отдых",0.6,IF(train="Пропустил",0.2,0)))),s_steps,IF(steps="15k+",1,IF(steps="12-15k",0.9,IF(steps="10-12k",0.8,IF(steps="7-10k",0.6,IF(steps="5-7k",0.4,IF(steps="&lt;5k",0.2,0)))))),s_sleep,IF(sleep="&gt;8",0.9,IF(sleep="6-8",1,IF(sleep="&lt;6",0.2,0))),s_reg,IF(reg="Не сбит",1,IF(reg="Сбит",0.3,0)),s_food,IF(AND(kcal&gt;0,p&gt;0),MIN(1, (p/120))*0.6 + MIN(1, MAX(0,1-ABS(kcal-2200)/600))*0.4,0),s_prod,IF(prod="100%",1,IF(prod="75%",0.8,IF(prod="50%",0.6,IF(prod="25%",0.35,IF(prod="0%",0.1,0)))),ROUND(100*(w_train*s_train + w_steps*s_steps + w_sleep*s_sleep + w_reg*s_reg + w_food*s_food + w_prod*s_prod),0))</f>
        <v/>
      </c>
      <c r="O3">
        <f>TEXTJOIN(", ",TRUE,IF(B3="","тренировка",""),IF(D3="","шаги",""),IF(E3="","сон",""),IF(F3="","режим",""),IF(G3="","настроение",""),IF(H3="","энергия",""),IF(I3="","продуктивность",""),IF(J3="","еда (ккал)",""))</f>
        <v/>
      </c>
      <c r="U3">
        <f>IF($A3="","",IF(SUMIF(FoodLog!$A:$A,$A3,FoodLog!$I:$I)=0,"",SUMIF(FoodLog!$A:$A,$A3,FoodLog!$I:$I)))</f>
        <v/>
      </c>
      <c r="V3">
        <f>IF($A3="","",IF(SUMIF(FoodLog!$A:$A,$A3,FoodLog!$F:$F)=0,"",SUMIF(FoodLog!$A:$A,$A3,FoodLog!$F:$F)))</f>
        <v/>
      </c>
      <c r="W3">
        <f>IF($A3="","",IF(SUMIF(FoodLog!$A:$A,$A3,FoodLog!$G:$G)=0,"",SUMIF(FoodLog!$A:$A,$A3,FoodLog!$G:$G)))</f>
        <v/>
      </c>
      <c r="X3">
        <f>IF($A3="","",IF(SUMIF(FoodLog!$A:$A,$A3,FoodLog!$H:$H)=0,"",SUMIF(FoodLog!$A:$A,$A3,FoodLog!$H:$H)))</f>
        <v/>
      </c>
      <c r="Y3">
        <f>IF($A3="","",IFERROR(ROUND(100*AVERAGE(IF($B3="","",XLOOKUP($B3,FILTER(Dictionaries!$B:$B,Dictionaries!$A:$A="??????????"),FILTER(Dictionaries!$C:$C,Dictionaries!$A:$A="??????????"))),IF($C3="","",MIN($C3/40,1)),IF($D3="","",XLOOKUP($D3,FILTER(Dictionaries!$B:$B,Dictionaries!$A:$A="????"),FILTER(Dictionaries!$C:$C,Dictionaries!$A:$A="????"))),IF($E3="","",MIN($E3/120,1)),IF(OR($F3&lt;&gt;"",$G3&lt;&gt;""),1,""),IF($H3="","",MIN($H3/100,1)),IF($L3="","",XLOOKUP($L3,FILTER(Dictionaries!$B:$B,Dictionaries!$A:$A="???_????"),FILTER(Dictionaries!$C:$C,Dictionaries!$A:$A="???_????"))),IF($M3="","",XLOOKUP($M3,FILTER(Dictionaries!$B:$B,Dictionaries!$A:$A="?????"),FILTER(Dictionaries!$C:$C,Dictionaries!$A:$A="?????"))),IF($N3="","",MIN($N3/100,1)),IF($O3="","",XLOOKUP($O3,FILTER(Dictionaries!$B:$B,Dictionaries!$A:$A="??????????"),FILTER(Dictionaries!$C:$C,Dictionaries!$A:$A="??????????"))),IF($P3="","",XLOOKUP($P3,FILTER(Dictionaries!$B:$B,Dictionaries!$A:$A="???????"),FILTER(Dictionaries!$C:$C,Dictionaries!$A:$A="???????"))),IF($U3="","",LET(t,IF(OR($B3="????",$B3="????"),"train","rest"),k,$U3,p,$V3,f,$W3,c,$X3,k_s,IF(t="train",IF(k="","",IFS(AND(k&gt;=1900,k&lt;=2050),1,AND(k&gt;=1850,k&lt;1900),0.7,AND(k&gt;2050,k&lt;=2100),0.7,TRUE,0.2)),IF(k="","",IFS(AND(k&gt;=1700,k&lt;=1850),1,AND(k&gt;=1650,k&lt;1700),0.7,AND(k&gt;1850,k&lt;=1900),0.7,TRUE,0.2))),p_s,IF(t="train",IF(p="","",IFS(AND(p&gt;=125,p&lt;=135),1,AND(p&gt;=115,p&lt;125),0.7,AND(p&gt;135,p&lt;=145),0.7,AND(p&gt;=105,p&lt;115),0.4,AND(p&gt;145,p&lt;=155),0.4,TRUE,0.2)),IF(p="","",IFS(AND(p&gt;=120,p&lt;=130),1,AND(p&gt;=110,p&lt;120),0.7,AND(p&gt;130,p&lt;=140),0.7,AND(p&gt;=100,p&lt;110),0.4,AND(p&gt;140,p&lt;=150),0.4,TRUE,0.2))),f_s,IF(f="","",IFS(AND(f&gt;=55,f&lt;=65),1,AND(f&gt;=50,f&lt;55),0.7,AND(f&gt;65,f&lt;=70),0.7,AND(f&gt;=45,f&lt;50),0.4,AND(f&gt;70,f&lt;=75),0.4,TRUE,0.2)),c_s,IF(t="train",IF(c="","",IFS(AND(c&gt;=180,c&lt;=210),1,AND(c&gt;=160,c&lt;180),0.7,AND(c&gt;210,c&lt;=230),0.7,AND(c&gt;=140,c&lt;160),0.4,AND(c&gt;230,c&lt;=250),0.4,TRUE,0.2)),IF(c="","",IFS(AND(c&gt;=140,c&lt;=170),1,AND(c&gt;=120,c&lt;140),0.7,AND(c&gt;170,c&lt;=190),0.7,AND(c&gt;=100,c&lt;120),0.4,AND(c&gt;190,c&lt;=210),0.4,TRUE,0.2))),AVERAGE(k_s,p_s,f_s,c_s)))),1),""))</f>
        <v/>
      </c>
      <c r="Z3">
        <f>IF($A3="","",TEXTJOIN(", ",TRUE,IF($B3="","??????????",""),IF($C3="","??????",""),IF($D3="","????",""),IF($E3="","??????????",""),IF($F3="","???-?????",""),IF($G3="","???-????",""),IF($H3="","??????",""),IF($L3="","???",""),IF($M3="","?????",""),IF($N3="","??????????????",""),IF($O3="","??????????",""),IF($P3="","???????",""),IF($U3="","???","")))</f>
        <v/>
      </c>
    </row>
    <row r="4">
      <c r="A4" s="2" t="n">
        <v>739650</v>
      </c>
      <c r="J4">
        <f>IF(A4="","",SUMIF(FoodLog!$A:$A,A4,FoodLog!$I:$I))</f>
        <v/>
      </c>
      <c r="K4">
        <f>IF(A4="","",SUMIF(FoodLog!$A:$A,A4,FoodLog!$F:$F))</f>
        <v/>
      </c>
      <c r="L4">
        <f>IF(A4="","",SUMIF(FoodLog!$A:$A,A4,FoodLog!$G:$G))</f>
        <v/>
      </c>
      <c r="M4">
        <f>IF(A4="","",SUMIF(FoodLog!$A:$A,A4,FoodLog!$H:$H))</f>
        <v/>
      </c>
      <c r="N4">
        <f>LET(train,B4,cardio,C4,steps,D4,sleep,E4,reg,F4,prod,I4,kcal,J4,p,K4,w_train,0.22,w_steps,0.18,w_sleep,0.20,w_reg,0.10,w_food,0.18,w_prod,0.12,s_train,IF(train="Верх",1,IF(train="Ноги",1,IF(train="Отдых",0.6,IF(train="Пропустил",0.2,0)))),s_steps,IF(steps="15k+",1,IF(steps="12-15k",0.9,IF(steps="10-12k",0.8,IF(steps="7-10k",0.6,IF(steps="5-7k",0.4,IF(steps="&lt;5k",0.2,0)))))),s_sleep,IF(sleep="&gt;8",0.9,IF(sleep="6-8",1,IF(sleep="&lt;6",0.2,0))),s_reg,IF(reg="Не сбит",1,IF(reg="Сбит",0.3,0)),s_food,IF(AND(kcal&gt;0,p&gt;0),MIN(1, (p/120))*0.6 + MIN(1, MAX(0,1-ABS(kcal-2200)/600))*0.4,0),s_prod,IF(prod="100%",1,IF(prod="75%",0.8,IF(prod="50%",0.6,IF(prod="25%",0.35,IF(prod="0%",0.1,0)))),ROUND(100*(w_train*s_train + w_steps*s_steps + w_sleep*s_sleep + w_reg*s_reg + w_food*s_food + w_prod*s_prod),0))</f>
        <v/>
      </c>
      <c r="O4">
        <f>TEXTJOIN(", ",TRUE,IF(B4="","тренировка",""),IF(D4="","шаги",""),IF(E4="","сон",""),IF(F4="","режим",""),IF(G4="","настроение",""),IF(H4="","энергия",""),IF(I4="","продуктивность",""),IF(J4="","еда (ккал)",""))</f>
        <v/>
      </c>
      <c r="U4">
        <f>IF($A4="","",IF(SUMIF(FoodLog!$A:$A,$A4,FoodLog!$I:$I)=0,"",SUMIF(FoodLog!$A:$A,$A4,FoodLog!$I:$I)))</f>
        <v/>
      </c>
      <c r="V4">
        <f>IF($A4="","",IF(SUMIF(FoodLog!$A:$A,$A4,FoodLog!$F:$F)=0,"",SUMIF(FoodLog!$A:$A,$A4,FoodLog!$F:$F)))</f>
        <v/>
      </c>
      <c r="W4">
        <f>IF($A4="","",IF(SUMIF(FoodLog!$A:$A,$A4,FoodLog!$G:$G)=0,"",SUMIF(FoodLog!$A:$A,$A4,FoodLog!$G:$G)))</f>
        <v/>
      </c>
      <c r="X4">
        <f>IF($A4="","",IF(SUMIF(FoodLog!$A:$A,$A4,FoodLog!$H:$H)=0,"",SUMIF(FoodLog!$A:$A,$A4,FoodLog!$H:$H)))</f>
        <v/>
      </c>
      <c r="Y4">
        <f>IF($A4="","",IFERROR(ROUND(100*AVERAGE(IF($B4="","",XLOOKUP($B4,FILTER(Dictionaries!$B:$B,Dictionaries!$A:$A="??????????"),FILTER(Dictionaries!$C:$C,Dictionaries!$A:$A="??????????"))),IF($C4="","",MIN($C4/40,1)),IF($D4="","",XLOOKUP($D4,FILTER(Dictionaries!$B:$B,Dictionaries!$A:$A="????"),FILTER(Dictionaries!$C:$C,Dictionaries!$A:$A="????"))),IF($E4="","",MIN($E4/120,1)),IF(OR($F4&lt;&gt;"",$G4&lt;&gt;""),1,""),IF($H4="","",MIN($H4/100,1)),IF($L4="","",XLOOKUP($L4,FILTER(Dictionaries!$B:$B,Dictionaries!$A:$A="???_????"),FILTER(Dictionaries!$C:$C,Dictionaries!$A:$A="???_????"))),IF($M4="","",XLOOKUP($M4,FILTER(Dictionaries!$B:$B,Dictionaries!$A:$A="?????"),FILTER(Dictionaries!$C:$C,Dictionaries!$A:$A="?????"))),IF($N4="","",MIN($N4/100,1)),IF($O4="","",XLOOKUP($O4,FILTER(Dictionaries!$B:$B,Dictionaries!$A:$A="??????????"),FILTER(Dictionaries!$C:$C,Dictionaries!$A:$A="??????????"))),IF($P4="","",XLOOKUP($P4,FILTER(Dictionaries!$B:$B,Dictionaries!$A:$A="???????"),FILTER(Dictionaries!$C:$C,Dictionaries!$A:$A="???????"))),IF($U4="","",LET(t,IF(OR($B4="????",$B4="????"),"train","rest"),k,$U4,p,$V4,f,$W4,c,$X4,k_s,IF(t="train",IF(k="","",IFS(AND(k&gt;=1900,k&lt;=2050),1,AND(k&gt;=1850,k&lt;1900),0.7,AND(k&gt;2050,k&lt;=2100),0.7,TRUE,0.2)),IF(k="","",IFS(AND(k&gt;=1700,k&lt;=1850),1,AND(k&gt;=1650,k&lt;1700),0.7,AND(k&gt;1850,k&lt;=1900),0.7,TRUE,0.2))),p_s,IF(t="train",IF(p="","",IFS(AND(p&gt;=125,p&lt;=135),1,AND(p&gt;=115,p&lt;125),0.7,AND(p&gt;135,p&lt;=145),0.7,AND(p&gt;=105,p&lt;115),0.4,AND(p&gt;145,p&lt;=155),0.4,TRUE,0.2)),IF(p="","",IFS(AND(p&gt;=120,p&lt;=130),1,AND(p&gt;=110,p&lt;120),0.7,AND(p&gt;130,p&lt;=140),0.7,AND(p&gt;=100,p&lt;110),0.4,AND(p&gt;140,p&lt;=150),0.4,TRUE,0.2))),f_s,IF(f="","",IFS(AND(f&gt;=55,f&lt;=65),1,AND(f&gt;=50,f&lt;55),0.7,AND(f&gt;65,f&lt;=70),0.7,AND(f&gt;=45,f&lt;50),0.4,AND(f&gt;70,f&lt;=75),0.4,TRUE,0.2)),c_s,IF(t="train",IF(c="","",IFS(AND(c&gt;=180,c&lt;=210),1,AND(c&gt;=160,c&lt;180),0.7,AND(c&gt;210,c&lt;=230),0.7,AND(c&gt;=140,c&lt;160),0.4,AND(c&gt;230,c&lt;=250),0.4,TRUE,0.2)),IF(c="","",IFS(AND(c&gt;=140,c&lt;=170),1,AND(c&gt;=120,c&lt;140),0.7,AND(c&gt;170,c&lt;=190),0.7,AND(c&gt;=100,c&lt;120),0.4,AND(c&gt;190,c&lt;=210),0.4,TRUE,0.2))),AVERAGE(k_s,p_s,f_s,c_s)))),1),""))</f>
        <v/>
      </c>
      <c r="Z4">
        <f>IF($A4="","",TEXTJOIN(", ",TRUE,IF($B4="","??????????",""),IF($C4="","??????",""),IF($D4="","????",""),IF($E4="","??????????",""),IF($F4="","???-?????",""),IF($G4="","???-????",""),IF($H4="","??????",""),IF($L4="","???",""),IF($M4="","?????",""),IF($N4="","??????????????",""),IF($O4="","??????????",""),IF($P4="","???????",""),IF($U4="","???","")))</f>
        <v/>
      </c>
    </row>
    <row r="5">
      <c r="A5" s="2" t="n">
        <v>739651</v>
      </c>
      <c r="J5">
        <f>IF(A5="","",SUMIF(FoodLog!$A:$A,A5,FoodLog!$I:$I))</f>
        <v/>
      </c>
      <c r="K5">
        <f>IF(A5="","",SUMIF(FoodLog!$A:$A,A5,FoodLog!$F:$F))</f>
        <v/>
      </c>
      <c r="L5">
        <f>IF(A5="","",SUMIF(FoodLog!$A:$A,A5,FoodLog!$G:$G))</f>
        <v/>
      </c>
      <c r="M5">
        <f>IF(A5="","",SUMIF(FoodLog!$A:$A,A5,FoodLog!$H:$H))</f>
        <v/>
      </c>
      <c r="N5">
        <f>LET(train,B5,cardio,C5,steps,D5,sleep,E5,reg,F5,prod,I5,kcal,J5,p,K5,w_train,0.22,w_steps,0.18,w_sleep,0.20,w_reg,0.10,w_food,0.18,w_prod,0.12,s_train,IF(train="Верх",1,IF(train="Ноги",1,IF(train="Отдых",0.6,IF(train="Пропустил",0.2,0)))),s_steps,IF(steps="15k+",1,IF(steps="12-15k",0.9,IF(steps="10-12k",0.8,IF(steps="7-10k",0.6,IF(steps="5-7k",0.4,IF(steps="&lt;5k",0.2,0)))))),s_sleep,IF(sleep="&gt;8",0.9,IF(sleep="6-8",1,IF(sleep="&lt;6",0.2,0))),s_reg,IF(reg="Не сбит",1,IF(reg="Сбит",0.3,0)),s_food,IF(AND(kcal&gt;0,p&gt;0),MIN(1, (p/120))*0.6 + MIN(1, MAX(0,1-ABS(kcal-2200)/600))*0.4,0),s_prod,IF(prod="100%",1,IF(prod="75%",0.8,IF(prod="50%",0.6,IF(prod="25%",0.35,IF(prod="0%",0.1,0)))),ROUND(100*(w_train*s_train + w_steps*s_steps + w_sleep*s_sleep + w_reg*s_reg + w_food*s_food + w_prod*s_prod),0))</f>
        <v/>
      </c>
      <c r="O5">
        <f>TEXTJOIN(", ",TRUE,IF(B5="","тренировка",""),IF(D5="","шаги",""),IF(E5="","сон",""),IF(F5="","режим",""),IF(G5="","настроение",""),IF(H5="","энергия",""),IF(I5="","продуктивность",""),IF(J5="","еда (ккал)",""))</f>
        <v/>
      </c>
      <c r="U5">
        <f>IF($A5="","",IF(SUMIF(FoodLog!$A:$A,$A5,FoodLog!$I:$I)=0,"",SUMIF(FoodLog!$A:$A,$A5,FoodLog!$I:$I)))</f>
        <v/>
      </c>
      <c r="V5">
        <f>IF($A5="","",IF(SUMIF(FoodLog!$A:$A,$A5,FoodLog!$F:$F)=0,"",SUMIF(FoodLog!$A:$A,$A5,FoodLog!$F:$F)))</f>
        <v/>
      </c>
      <c r="W5">
        <f>IF($A5="","",IF(SUMIF(FoodLog!$A:$A,$A5,FoodLog!$G:$G)=0,"",SUMIF(FoodLog!$A:$A,$A5,FoodLog!$G:$G)))</f>
        <v/>
      </c>
      <c r="X5">
        <f>IF($A5="","",IF(SUMIF(FoodLog!$A:$A,$A5,FoodLog!$H:$H)=0,"",SUMIF(FoodLog!$A:$A,$A5,FoodLog!$H:$H)))</f>
        <v/>
      </c>
      <c r="Y5">
        <f>IF($A5="","",IFERROR(ROUND(100*AVERAGE(IF($B5="","",XLOOKUP($B5,FILTER(Dictionaries!$B:$B,Dictionaries!$A:$A="??????????"),FILTER(Dictionaries!$C:$C,Dictionaries!$A:$A="??????????"))),IF($C5="","",MIN($C5/40,1)),IF($D5="","",XLOOKUP($D5,FILTER(Dictionaries!$B:$B,Dictionaries!$A:$A="????"),FILTER(Dictionaries!$C:$C,Dictionaries!$A:$A="????"))),IF($E5="","",MIN($E5/120,1)),IF(OR($F5&lt;&gt;"",$G5&lt;&gt;""),1,""),IF($H5="","",MIN($H5/100,1)),IF($L5="","",XLOOKUP($L5,FILTER(Dictionaries!$B:$B,Dictionaries!$A:$A="???_????"),FILTER(Dictionaries!$C:$C,Dictionaries!$A:$A="???_????"))),IF($M5="","",XLOOKUP($M5,FILTER(Dictionaries!$B:$B,Dictionaries!$A:$A="?????"),FILTER(Dictionaries!$C:$C,Dictionaries!$A:$A="?????"))),IF($N5="","",MIN($N5/100,1)),IF($O5="","",XLOOKUP($O5,FILTER(Dictionaries!$B:$B,Dictionaries!$A:$A="??????????"),FILTER(Dictionaries!$C:$C,Dictionaries!$A:$A="??????????"))),IF($P5="","",XLOOKUP($P5,FILTER(Dictionaries!$B:$B,Dictionaries!$A:$A="???????"),FILTER(Dictionaries!$C:$C,Dictionaries!$A:$A="???????"))),IF($U5="","",LET(t,IF(OR($B5="????",$B5="????"),"train","rest"),k,$U5,p,$V5,f,$W5,c,$X5,k_s,IF(t="train",IF(k="","",IFS(AND(k&gt;=1900,k&lt;=2050),1,AND(k&gt;=1850,k&lt;1900),0.7,AND(k&gt;2050,k&lt;=2100),0.7,TRUE,0.2)),IF(k="","",IFS(AND(k&gt;=1700,k&lt;=1850),1,AND(k&gt;=1650,k&lt;1700),0.7,AND(k&gt;1850,k&lt;=1900),0.7,TRUE,0.2))),p_s,IF(t="train",IF(p="","",IFS(AND(p&gt;=125,p&lt;=135),1,AND(p&gt;=115,p&lt;125),0.7,AND(p&gt;135,p&lt;=145),0.7,AND(p&gt;=105,p&lt;115),0.4,AND(p&gt;145,p&lt;=155),0.4,TRUE,0.2)),IF(p="","",IFS(AND(p&gt;=120,p&lt;=130),1,AND(p&gt;=110,p&lt;120),0.7,AND(p&gt;130,p&lt;=140),0.7,AND(p&gt;=100,p&lt;110),0.4,AND(p&gt;140,p&lt;=150),0.4,TRUE,0.2))),f_s,IF(f="","",IFS(AND(f&gt;=55,f&lt;=65),1,AND(f&gt;=50,f&lt;55),0.7,AND(f&gt;65,f&lt;=70),0.7,AND(f&gt;=45,f&lt;50),0.4,AND(f&gt;70,f&lt;=75),0.4,TRUE,0.2)),c_s,IF(t="train",IF(c="","",IFS(AND(c&gt;=180,c&lt;=210),1,AND(c&gt;=160,c&lt;180),0.7,AND(c&gt;210,c&lt;=230),0.7,AND(c&gt;=140,c&lt;160),0.4,AND(c&gt;230,c&lt;=250),0.4,TRUE,0.2)),IF(c="","",IFS(AND(c&gt;=140,c&lt;=170),1,AND(c&gt;=120,c&lt;140),0.7,AND(c&gt;170,c&lt;=190),0.7,AND(c&gt;=100,c&lt;120),0.4,AND(c&gt;190,c&lt;=210),0.4,TRUE,0.2))),AVERAGE(k_s,p_s,f_s,c_s)))),1),""))</f>
        <v/>
      </c>
      <c r="Z5">
        <f>IF($A5="","",TEXTJOIN(", ",TRUE,IF($B5="","??????????",""),IF($C5="","??????",""),IF($D5="","????",""),IF($E5="","??????????",""),IF($F5="","???-?????",""),IF($G5="","???-????",""),IF($H5="","??????",""),IF($L5="","???",""),IF($M5="","?????",""),IF($N5="","??????????????",""),IF($O5="","??????????",""),IF($P5="","???????",""),IF($U5="","???","")))</f>
        <v/>
      </c>
    </row>
    <row r="6">
      <c r="A6" s="2" t="n">
        <v>739652</v>
      </c>
      <c r="J6">
        <f>IF(A6="","",SUMIF(FoodLog!$A:$A,A6,FoodLog!$I:$I))</f>
        <v/>
      </c>
      <c r="K6">
        <f>IF(A6="","",SUMIF(FoodLog!$A:$A,A6,FoodLog!$F:$F))</f>
        <v/>
      </c>
      <c r="L6">
        <f>IF(A6="","",SUMIF(FoodLog!$A:$A,A6,FoodLog!$G:$G))</f>
        <v/>
      </c>
      <c r="M6">
        <f>IF(A6="","",SUMIF(FoodLog!$A:$A,A6,FoodLog!$H:$H))</f>
        <v/>
      </c>
      <c r="N6">
        <f>LET(train,B6,cardio,C6,steps,D6,sleep,E6,reg,F6,prod,I6,kcal,J6,p,K6,w_train,0.22,w_steps,0.18,w_sleep,0.20,w_reg,0.10,w_food,0.18,w_prod,0.12,s_train,IF(train="Верх",1,IF(train="Ноги",1,IF(train="Отдых",0.6,IF(train="Пропустил",0.2,0)))),s_steps,IF(steps="15k+",1,IF(steps="12-15k",0.9,IF(steps="10-12k",0.8,IF(steps="7-10k",0.6,IF(steps="5-7k",0.4,IF(steps="&lt;5k",0.2,0)))))),s_sleep,IF(sleep="&gt;8",0.9,IF(sleep="6-8",1,IF(sleep="&lt;6",0.2,0))),s_reg,IF(reg="Не сбит",1,IF(reg="Сбит",0.3,0)),s_food,IF(AND(kcal&gt;0,p&gt;0),MIN(1, (p/120))*0.6 + MIN(1, MAX(0,1-ABS(kcal-2200)/600))*0.4,0),s_prod,IF(prod="100%",1,IF(prod="75%",0.8,IF(prod="50%",0.6,IF(prod="25%",0.35,IF(prod="0%",0.1,0)))),ROUND(100*(w_train*s_train + w_steps*s_steps + w_sleep*s_sleep + w_reg*s_reg + w_food*s_food + w_prod*s_prod),0))</f>
        <v/>
      </c>
      <c r="O6">
        <f>TEXTJOIN(", ",TRUE,IF(B6="","тренировка",""),IF(D6="","шаги",""),IF(E6="","сон",""),IF(F6="","режим",""),IF(G6="","настроение",""),IF(H6="","энергия",""),IF(I6="","продуктивность",""),IF(J6="","еда (ккал)",""))</f>
        <v/>
      </c>
      <c r="U6">
        <f>IF($A6="","",IF(SUMIF(FoodLog!$A:$A,$A6,FoodLog!$I:$I)=0,"",SUMIF(FoodLog!$A:$A,$A6,FoodLog!$I:$I)))</f>
        <v/>
      </c>
      <c r="V6">
        <f>IF($A6="","",IF(SUMIF(FoodLog!$A:$A,$A6,FoodLog!$F:$F)=0,"",SUMIF(FoodLog!$A:$A,$A6,FoodLog!$F:$F)))</f>
        <v/>
      </c>
      <c r="W6">
        <f>IF($A6="","",IF(SUMIF(FoodLog!$A:$A,$A6,FoodLog!$G:$G)=0,"",SUMIF(FoodLog!$A:$A,$A6,FoodLog!$G:$G)))</f>
        <v/>
      </c>
      <c r="X6">
        <f>IF($A6="","",IF(SUMIF(FoodLog!$A:$A,$A6,FoodLog!$H:$H)=0,"",SUMIF(FoodLog!$A:$A,$A6,FoodLog!$H:$H)))</f>
        <v/>
      </c>
      <c r="Y6">
        <f>IF($A6="","",IFERROR(ROUND(100*AVERAGE(IF($B6="","",XLOOKUP($B6,FILTER(Dictionaries!$B:$B,Dictionaries!$A:$A="??????????"),FILTER(Dictionaries!$C:$C,Dictionaries!$A:$A="??????????"))),IF($C6="","",MIN($C6/40,1)),IF($D6="","",XLOOKUP($D6,FILTER(Dictionaries!$B:$B,Dictionaries!$A:$A="????"),FILTER(Dictionaries!$C:$C,Dictionaries!$A:$A="????"))),IF($E6="","",MIN($E6/120,1)),IF(OR($F6&lt;&gt;"",$G6&lt;&gt;""),1,""),IF($H6="","",MIN($H6/100,1)),IF($L6="","",XLOOKUP($L6,FILTER(Dictionaries!$B:$B,Dictionaries!$A:$A="???_????"),FILTER(Dictionaries!$C:$C,Dictionaries!$A:$A="???_????"))),IF($M6="","",XLOOKUP($M6,FILTER(Dictionaries!$B:$B,Dictionaries!$A:$A="?????"),FILTER(Dictionaries!$C:$C,Dictionaries!$A:$A="?????"))),IF($N6="","",MIN($N6/100,1)),IF($O6="","",XLOOKUP($O6,FILTER(Dictionaries!$B:$B,Dictionaries!$A:$A="??????????"),FILTER(Dictionaries!$C:$C,Dictionaries!$A:$A="??????????"))),IF($P6="","",XLOOKUP($P6,FILTER(Dictionaries!$B:$B,Dictionaries!$A:$A="???????"),FILTER(Dictionaries!$C:$C,Dictionaries!$A:$A="???????"))),IF($U6="","",LET(t,IF(OR($B6="????",$B6="????"),"train","rest"),k,$U6,p,$V6,f,$W6,c,$X6,k_s,IF(t="train",IF(k="","",IFS(AND(k&gt;=1900,k&lt;=2050),1,AND(k&gt;=1850,k&lt;1900),0.7,AND(k&gt;2050,k&lt;=2100),0.7,TRUE,0.2)),IF(k="","",IFS(AND(k&gt;=1700,k&lt;=1850),1,AND(k&gt;=1650,k&lt;1700),0.7,AND(k&gt;1850,k&lt;=1900),0.7,TRUE,0.2))),p_s,IF(t="train",IF(p="","",IFS(AND(p&gt;=125,p&lt;=135),1,AND(p&gt;=115,p&lt;125),0.7,AND(p&gt;135,p&lt;=145),0.7,AND(p&gt;=105,p&lt;115),0.4,AND(p&gt;145,p&lt;=155),0.4,TRUE,0.2)),IF(p="","",IFS(AND(p&gt;=120,p&lt;=130),1,AND(p&gt;=110,p&lt;120),0.7,AND(p&gt;130,p&lt;=140),0.7,AND(p&gt;=100,p&lt;110),0.4,AND(p&gt;140,p&lt;=150),0.4,TRUE,0.2))),f_s,IF(f="","",IFS(AND(f&gt;=55,f&lt;=65),1,AND(f&gt;=50,f&lt;55),0.7,AND(f&gt;65,f&lt;=70),0.7,AND(f&gt;=45,f&lt;50),0.4,AND(f&gt;70,f&lt;=75),0.4,TRUE,0.2)),c_s,IF(t="train",IF(c="","",IFS(AND(c&gt;=180,c&lt;=210),1,AND(c&gt;=160,c&lt;180),0.7,AND(c&gt;210,c&lt;=230),0.7,AND(c&gt;=140,c&lt;160),0.4,AND(c&gt;230,c&lt;=250),0.4,TRUE,0.2)),IF(c="","",IFS(AND(c&gt;=140,c&lt;=170),1,AND(c&gt;=120,c&lt;140),0.7,AND(c&gt;170,c&lt;=190),0.7,AND(c&gt;=100,c&lt;120),0.4,AND(c&gt;190,c&lt;=210),0.4,TRUE,0.2))),AVERAGE(k_s,p_s,f_s,c_s)))),1),""))</f>
        <v/>
      </c>
      <c r="Z6">
        <f>IF($A6="","",TEXTJOIN(", ",TRUE,IF($B6="","??????????",""),IF($C6="","??????",""),IF($D6="","????",""),IF($E6="","??????????",""),IF($F6="","???-?????",""),IF($G6="","???-????",""),IF($H6="","??????",""),IF($L6="","???",""),IF($M6="","?????",""),IF($N6="","??????????????",""),IF($O6="","??????????",""),IF($P6="","???????",""),IF($U6="","???","")))</f>
        <v/>
      </c>
    </row>
    <row r="7">
      <c r="A7" s="2" t="n">
        <v>739653</v>
      </c>
      <c r="J7">
        <f>IF(A7="","",SUMIF(FoodLog!$A:$A,A7,FoodLog!$I:$I))</f>
        <v/>
      </c>
      <c r="K7">
        <f>IF(A7="","",SUMIF(FoodLog!$A:$A,A7,FoodLog!$F:$F))</f>
        <v/>
      </c>
      <c r="L7">
        <f>IF(A7="","",SUMIF(FoodLog!$A:$A,A7,FoodLog!$G:$G))</f>
        <v/>
      </c>
      <c r="M7">
        <f>IF(A7="","",SUMIF(FoodLog!$A:$A,A7,FoodLog!$H:$H))</f>
        <v/>
      </c>
      <c r="N7">
        <f>LET(train,B7,cardio,C7,steps,D7,sleep,E7,reg,F7,prod,I7,kcal,J7,p,K7,w_train,0.22,w_steps,0.18,w_sleep,0.20,w_reg,0.10,w_food,0.18,w_prod,0.12,s_train,IF(train="Верх",1,IF(train="Ноги",1,IF(train="Отдых",0.6,IF(train="Пропустил",0.2,0)))),s_steps,IF(steps="15k+",1,IF(steps="12-15k",0.9,IF(steps="10-12k",0.8,IF(steps="7-10k",0.6,IF(steps="5-7k",0.4,IF(steps="&lt;5k",0.2,0)))))),s_sleep,IF(sleep="&gt;8",0.9,IF(sleep="6-8",1,IF(sleep="&lt;6",0.2,0))),s_reg,IF(reg="Не сбит",1,IF(reg="Сбит",0.3,0)),s_food,IF(AND(kcal&gt;0,p&gt;0),MIN(1, (p/120))*0.6 + MIN(1, MAX(0,1-ABS(kcal-2200)/600))*0.4,0),s_prod,IF(prod="100%",1,IF(prod="75%",0.8,IF(prod="50%",0.6,IF(prod="25%",0.35,IF(prod="0%",0.1,0)))),ROUND(100*(w_train*s_train + w_steps*s_steps + w_sleep*s_sleep + w_reg*s_reg + w_food*s_food + w_prod*s_prod),0))</f>
        <v/>
      </c>
      <c r="O7">
        <f>TEXTJOIN(", ",TRUE,IF(B7="","тренировка",""),IF(D7="","шаги",""),IF(E7="","сон",""),IF(F7="","режим",""),IF(G7="","настроение",""),IF(H7="","энергия",""),IF(I7="","продуктивность",""),IF(J7="","еда (ккал)",""))</f>
        <v/>
      </c>
      <c r="U7">
        <f>IF($A7="","",IF(SUMIF(FoodLog!$A:$A,$A7,FoodLog!$I:$I)=0,"",SUMIF(FoodLog!$A:$A,$A7,FoodLog!$I:$I)))</f>
        <v/>
      </c>
      <c r="V7">
        <f>IF($A7="","",IF(SUMIF(FoodLog!$A:$A,$A7,FoodLog!$F:$F)=0,"",SUMIF(FoodLog!$A:$A,$A7,FoodLog!$F:$F)))</f>
        <v/>
      </c>
      <c r="W7">
        <f>IF($A7="","",IF(SUMIF(FoodLog!$A:$A,$A7,FoodLog!$G:$G)=0,"",SUMIF(FoodLog!$A:$A,$A7,FoodLog!$G:$G)))</f>
        <v/>
      </c>
      <c r="X7">
        <f>IF($A7="","",IF(SUMIF(FoodLog!$A:$A,$A7,FoodLog!$H:$H)=0,"",SUMIF(FoodLog!$A:$A,$A7,FoodLog!$H:$H)))</f>
        <v/>
      </c>
      <c r="Y7">
        <f>IF($A7="","",IFERROR(ROUND(100*AVERAGE(IF($B7="","",XLOOKUP($B7,FILTER(Dictionaries!$B:$B,Dictionaries!$A:$A="??????????"),FILTER(Dictionaries!$C:$C,Dictionaries!$A:$A="??????????"))),IF($C7="","",MIN($C7/40,1)),IF($D7="","",XLOOKUP($D7,FILTER(Dictionaries!$B:$B,Dictionaries!$A:$A="????"),FILTER(Dictionaries!$C:$C,Dictionaries!$A:$A="????"))),IF($E7="","",MIN($E7/120,1)),IF(OR($F7&lt;&gt;"",$G7&lt;&gt;""),1,""),IF($H7="","",MIN($H7/100,1)),IF($L7="","",XLOOKUP($L7,FILTER(Dictionaries!$B:$B,Dictionaries!$A:$A="???_????"),FILTER(Dictionaries!$C:$C,Dictionaries!$A:$A="???_????"))),IF($M7="","",XLOOKUP($M7,FILTER(Dictionaries!$B:$B,Dictionaries!$A:$A="?????"),FILTER(Dictionaries!$C:$C,Dictionaries!$A:$A="?????"))),IF($N7="","",MIN($N7/100,1)),IF($O7="","",XLOOKUP($O7,FILTER(Dictionaries!$B:$B,Dictionaries!$A:$A="??????????"),FILTER(Dictionaries!$C:$C,Dictionaries!$A:$A="??????????"))),IF($P7="","",XLOOKUP($P7,FILTER(Dictionaries!$B:$B,Dictionaries!$A:$A="???????"),FILTER(Dictionaries!$C:$C,Dictionaries!$A:$A="???????"))),IF($U7="","",LET(t,IF(OR($B7="????",$B7="????"),"train","rest"),k,$U7,p,$V7,f,$W7,c,$X7,k_s,IF(t="train",IF(k="","",IFS(AND(k&gt;=1900,k&lt;=2050),1,AND(k&gt;=1850,k&lt;1900),0.7,AND(k&gt;2050,k&lt;=2100),0.7,TRUE,0.2)),IF(k="","",IFS(AND(k&gt;=1700,k&lt;=1850),1,AND(k&gt;=1650,k&lt;1700),0.7,AND(k&gt;1850,k&lt;=1900),0.7,TRUE,0.2))),p_s,IF(t="train",IF(p="","",IFS(AND(p&gt;=125,p&lt;=135),1,AND(p&gt;=115,p&lt;125),0.7,AND(p&gt;135,p&lt;=145),0.7,AND(p&gt;=105,p&lt;115),0.4,AND(p&gt;145,p&lt;=155),0.4,TRUE,0.2)),IF(p="","",IFS(AND(p&gt;=120,p&lt;=130),1,AND(p&gt;=110,p&lt;120),0.7,AND(p&gt;130,p&lt;=140),0.7,AND(p&gt;=100,p&lt;110),0.4,AND(p&gt;140,p&lt;=150),0.4,TRUE,0.2))),f_s,IF(f="","",IFS(AND(f&gt;=55,f&lt;=65),1,AND(f&gt;=50,f&lt;55),0.7,AND(f&gt;65,f&lt;=70),0.7,AND(f&gt;=45,f&lt;50),0.4,AND(f&gt;70,f&lt;=75),0.4,TRUE,0.2)),c_s,IF(t="train",IF(c="","",IFS(AND(c&gt;=180,c&lt;=210),1,AND(c&gt;=160,c&lt;180),0.7,AND(c&gt;210,c&lt;=230),0.7,AND(c&gt;=140,c&lt;160),0.4,AND(c&gt;230,c&lt;=250),0.4,TRUE,0.2)),IF(c="","",IFS(AND(c&gt;=140,c&lt;=170),1,AND(c&gt;=120,c&lt;140),0.7,AND(c&gt;170,c&lt;=190),0.7,AND(c&gt;=100,c&lt;120),0.4,AND(c&gt;190,c&lt;=210),0.4,TRUE,0.2))),AVERAGE(k_s,p_s,f_s,c_s)))),1),""))</f>
        <v/>
      </c>
      <c r="Z7">
        <f>IF($A7="","",TEXTJOIN(", ",TRUE,IF($B7="","??????????",""),IF($C7="","??????",""),IF($D7="","????",""),IF($E7="","??????????",""),IF($F7="","???-?????",""),IF($G7="","???-????",""),IF($H7="","??????",""),IF($L7="","???",""),IF($M7="","?????",""),IF($N7="","??????????????",""),IF($O7="","??????????",""),IF($P7="","???????",""),IF($U7="","???","")))</f>
        <v/>
      </c>
    </row>
    <row r="8">
      <c r="A8" s="2" t="n">
        <v>739654</v>
      </c>
      <c r="J8">
        <f>IF(A8="","",SUMIF(FoodLog!$A:$A,A8,FoodLog!$I:$I))</f>
        <v/>
      </c>
      <c r="K8">
        <f>IF(A8="","",SUMIF(FoodLog!$A:$A,A8,FoodLog!$F:$F))</f>
        <v/>
      </c>
      <c r="L8">
        <f>IF(A8="","",SUMIF(FoodLog!$A:$A,A8,FoodLog!$G:$G))</f>
        <v/>
      </c>
      <c r="M8">
        <f>IF(A8="","",SUMIF(FoodLog!$A:$A,A8,FoodLog!$H:$H))</f>
        <v/>
      </c>
      <c r="N8">
        <f>LET(train,B8,cardio,C8,steps,D8,sleep,E8,reg,F8,prod,I8,kcal,J8,p,K8,w_train,0.22,w_steps,0.18,w_sleep,0.20,w_reg,0.10,w_food,0.18,w_prod,0.12,s_train,IF(train="Верх",1,IF(train="Ноги",1,IF(train="Отдых",0.6,IF(train="Пропустил",0.2,0)))),s_steps,IF(steps="15k+",1,IF(steps="12-15k",0.9,IF(steps="10-12k",0.8,IF(steps="7-10k",0.6,IF(steps="5-7k",0.4,IF(steps="&lt;5k",0.2,0)))))),s_sleep,IF(sleep="&gt;8",0.9,IF(sleep="6-8",1,IF(sleep="&lt;6",0.2,0))),s_reg,IF(reg="Не сбит",1,IF(reg="Сбит",0.3,0)),s_food,IF(AND(kcal&gt;0,p&gt;0),MIN(1, (p/120))*0.6 + MIN(1, MAX(0,1-ABS(kcal-2200)/600))*0.4,0),s_prod,IF(prod="100%",1,IF(prod="75%",0.8,IF(prod="50%",0.6,IF(prod="25%",0.35,IF(prod="0%",0.1,0)))),ROUND(100*(w_train*s_train + w_steps*s_steps + w_sleep*s_sleep + w_reg*s_reg + w_food*s_food + w_prod*s_prod),0))</f>
        <v/>
      </c>
      <c r="O8">
        <f>TEXTJOIN(", ",TRUE,IF(B8="","тренировка",""),IF(D8="","шаги",""),IF(E8="","сон",""),IF(F8="","режим",""),IF(G8="","настроение",""),IF(H8="","энергия",""),IF(I8="","продуктивность",""),IF(J8="","еда (ккал)",""))</f>
        <v/>
      </c>
      <c r="U8">
        <f>IF($A8="","",IF(SUMIF(FoodLog!$A:$A,$A8,FoodLog!$I:$I)=0,"",SUMIF(FoodLog!$A:$A,$A8,FoodLog!$I:$I)))</f>
        <v/>
      </c>
      <c r="V8">
        <f>IF($A8="","",IF(SUMIF(FoodLog!$A:$A,$A8,FoodLog!$F:$F)=0,"",SUMIF(FoodLog!$A:$A,$A8,FoodLog!$F:$F)))</f>
        <v/>
      </c>
      <c r="W8">
        <f>IF($A8="","",IF(SUMIF(FoodLog!$A:$A,$A8,FoodLog!$G:$G)=0,"",SUMIF(FoodLog!$A:$A,$A8,FoodLog!$G:$G)))</f>
        <v/>
      </c>
      <c r="X8">
        <f>IF($A8="","",IF(SUMIF(FoodLog!$A:$A,$A8,FoodLog!$H:$H)=0,"",SUMIF(FoodLog!$A:$A,$A8,FoodLog!$H:$H)))</f>
        <v/>
      </c>
      <c r="Y8">
        <f>IF($A8="","",IFERROR(ROUND(100*AVERAGE(IF($B8="","",XLOOKUP($B8,FILTER(Dictionaries!$B:$B,Dictionaries!$A:$A="??????????"),FILTER(Dictionaries!$C:$C,Dictionaries!$A:$A="??????????"))),IF($C8="","",MIN($C8/40,1)),IF($D8="","",XLOOKUP($D8,FILTER(Dictionaries!$B:$B,Dictionaries!$A:$A="????"),FILTER(Dictionaries!$C:$C,Dictionaries!$A:$A="????"))),IF($E8="","",MIN($E8/120,1)),IF(OR($F8&lt;&gt;"",$G8&lt;&gt;""),1,""),IF($H8="","",MIN($H8/100,1)),IF($L8="","",XLOOKUP($L8,FILTER(Dictionaries!$B:$B,Dictionaries!$A:$A="???_????"),FILTER(Dictionaries!$C:$C,Dictionaries!$A:$A="???_????"))),IF($M8="","",XLOOKUP($M8,FILTER(Dictionaries!$B:$B,Dictionaries!$A:$A="?????"),FILTER(Dictionaries!$C:$C,Dictionaries!$A:$A="?????"))),IF($N8="","",MIN($N8/100,1)),IF($O8="","",XLOOKUP($O8,FILTER(Dictionaries!$B:$B,Dictionaries!$A:$A="??????????"),FILTER(Dictionaries!$C:$C,Dictionaries!$A:$A="??????????"))),IF($P8="","",XLOOKUP($P8,FILTER(Dictionaries!$B:$B,Dictionaries!$A:$A="???????"),FILTER(Dictionaries!$C:$C,Dictionaries!$A:$A="???????"))),IF($U8="","",LET(t,IF(OR($B8="????",$B8="????"),"train","rest"),k,$U8,p,$V8,f,$W8,c,$X8,k_s,IF(t="train",IF(k="","",IFS(AND(k&gt;=1900,k&lt;=2050),1,AND(k&gt;=1850,k&lt;1900),0.7,AND(k&gt;2050,k&lt;=2100),0.7,TRUE,0.2)),IF(k="","",IFS(AND(k&gt;=1700,k&lt;=1850),1,AND(k&gt;=1650,k&lt;1700),0.7,AND(k&gt;1850,k&lt;=1900),0.7,TRUE,0.2))),p_s,IF(t="train",IF(p="","",IFS(AND(p&gt;=125,p&lt;=135),1,AND(p&gt;=115,p&lt;125),0.7,AND(p&gt;135,p&lt;=145),0.7,AND(p&gt;=105,p&lt;115),0.4,AND(p&gt;145,p&lt;=155),0.4,TRUE,0.2)),IF(p="","",IFS(AND(p&gt;=120,p&lt;=130),1,AND(p&gt;=110,p&lt;120),0.7,AND(p&gt;130,p&lt;=140),0.7,AND(p&gt;=100,p&lt;110),0.4,AND(p&gt;140,p&lt;=150),0.4,TRUE,0.2))),f_s,IF(f="","",IFS(AND(f&gt;=55,f&lt;=65),1,AND(f&gt;=50,f&lt;55),0.7,AND(f&gt;65,f&lt;=70),0.7,AND(f&gt;=45,f&lt;50),0.4,AND(f&gt;70,f&lt;=75),0.4,TRUE,0.2)),c_s,IF(t="train",IF(c="","",IFS(AND(c&gt;=180,c&lt;=210),1,AND(c&gt;=160,c&lt;180),0.7,AND(c&gt;210,c&lt;=230),0.7,AND(c&gt;=140,c&lt;160),0.4,AND(c&gt;230,c&lt;=250),0.4,TRUE,0.2)),IF(c="","",IFS(AND(c&gt;=140,c&lt;=170),1,AND(c&gt;=120,c&lt;140),0.7,AND(c&gt;170,c&lt;=190),0.7,AND(c&gt;=100,c&lt;120),0.4,AND(c&gt;190,c&lt;=210),0.4,TRUE,0.2))),AVERAGE(k_s,p_s,f_s,c_s)))),1),""))</f>
        <v/>
      </c>
      <c r="Z8">
        <f>IF($A8="","",TEXTJOIN(", ",TRUE,IF($B8="","??????????",""),IF($C8="","??????",""),IF($D8="","????",""),IF($E8="","??????????",""),IF($F8="","???-?????",""),IF($G8="","???-????",""),IF($H8="","??????",""),IF($L8="","???",""),IF($M8="","?????",""),IF($N8="","??????????????",""),IF($O8="","??????????",""),IF($P8="","???????",""),IF($U8="","???","")))</f>
        <v/>
      </c>
    </row>
    <row r="9">
      <c r="A9" s="2" t="n">
        <v>739655</v>
      </c>
      <c r="J9">
        <f>IF(A9="","",SUMIF(FoodLog!$A:$A,A9,FoodLog!$I:$I))</f>
        <v/>
      </c>
      <c r="K9">
        <f>IF(A9="","",SUMIF(FoodLog!$A:$A,A9,FoodLog!$F:$F))</f>
        <v/>
      </c>
      <c r="L9">
        <f>IF(A9="","",SUMIF(FoodLog!$A:$A,A9,FoodLog!$G:$G))</f>
        <v/>
      </c>
      <c r="M9">
        <f>IF(A9="","",SUMIF(FoodLog!$A:$A,A9,FoodLog!$H:$H))</f>
        <v/>
      </c>
      <c r="N9">
        <f>LET(train,B9,cardio,C9,steps,D9,sleep,E9,reg,F9,prod,I9,kcal,J9,p,K9,w_train,0.22,w_steps,0.18,w_sleep,0.20,w_reg,0.10,w_food,0.18,w_prod,0.12,s_train,IF(train="Верх",1,IF(train="Ноги",1,IF(train="Отдых",0.6,IF(train="Пропустил",0.2,0)))),s_steps,IF(steps="15k+",1,IF(steps="12-15k",0.9,IF(steps="10-12k",0.8,IF(steps="7-10k",0.6,IF(steps="5-7k",0.4,IF(steps="&lt;5k",0.2,0)))))),s_sleep,IF(sleep="&gt;8",0.9,IF(sleep="6-8",1,IF(sleep="&lt;6",0.2,0))),s_reg,IF(reg="Не сбит",1,IF(reg="Сбит",0.3,0)),s_food,IF(AND(kcal&gt;0,p&gt;0),MIN(1, (p/120))*0.6 + MIN(1, MAX(0,1-ABS(kcal-2200)/600))*0.4,0),s_prod,IF(prod="100%",1,IF(prod="75%",0.8,IF(prod="50%",0.6,IF(prod="25%",0.35,IF(prod="0%",0.1,0)))),ROUND(100*(w_train*s_train + w_steps*s_steps + w_sleep*s_sleep + w_reg*s_reg + w_food*s_food + w_prod*s_prod),0))</f>
        <v/>
      </c>
      <c r="O9">
        <f>TEXTJOIN(", ",TRUE,IF(B9="","тренировка",""),IF(D9="","шаги",""),IF(E9="","сон",""),IF(F9="","режим",""),IF(G9="","настроение",""),IF(H9="","энергия",""),IF(I9="","продуктивность",""),IF(J9="","еда (ккал)",""))</f>
        <v/>
      </c>
      <c r="U9">
        <f>IF($A9="","",IF(SUMIF(FoodLog!$A:$A,$A9,FoodLog!$I:$I)=0,"",SUMIF(FoodLog!$A:$A,$A9,FoodLog!$I:$I)))</f>
        <v/>
      </c>
      <c r="V9">
        <f>IF($A9="","",IF(SUMIF(FoodLog!$A:$A,$A9,FoodLog!$F:$F)=0,"",SUMIF(FoodLog!$A:$A,$A9,FoodLog!$F:$F)))</f>
        <v/>
      </c>
      <c r="W9">
        <f>IF($A9="","",IF(SUMIF(FoodLog!$A:$A,$A9,FoodLog!$G:$G)=0,"",SUMIF(FoodLog!$A:$A,$A9,FoodLog!$G:$G)))</f>
        <v/>
      </c>
      <c r="X9">
        <f>IF($A9="","",IF(SUMIF(FoodLog!$A:$A,$A9,FoodLog!$H:$H)=0,"",SUMIF(FoodLog!$A:$A,$A9,FoodLog!$H:$H)))</f>
        <v/>
      </c>
      <c r="Y9">
        <f>IF($A9="","",IFERROR(ROUND(100*AVERAGE(IF($B9="","",XLOOKUP($B9,FILTER(Dictionaries!$B:$B,Dictionaries!$A:$A="??????????"),FILTER(Dictionaries!$C:$C,Dictionaries!$A:$A="??????????"))),IF($C9="","",MIN($C9/40,1)),IF($D9="","",XLOOKUP($D9,FILTER(Dictionaries!$B:$B,Dictionaries!$A:$A="????"),FILTER(Dictionaries!$C:$C,Dictionaries!$A:$A="????"))),IF($E9="","",MIN($E9/120,1)),IF(OR($F9&lt;&gt;"",$G9&lt;&gt;""),1,""),IF($H9="","",MIN($H9/100,1)),IF($L9="","",XLOOKUP($L9,FILTER(Dictionaries!$B:$B,Dictionaries!$A:$A="???_????"),FILTER(Dictionaries!$C:$C,Dictionaries!$A:$A="???_????"))),IF($M9="","",XLOOKUP($M9,FILTER(Dictionaries!$B:$B,Dictionaries!$A:$A="?????"),FILTER(Dictionaries!$C:$C,Dictionaries!$A:$A="?????"))),IF($N9="","",MIN($N9/100,1)),IF($O9="","",XLOOKUP($O9,FILTER(Dictionaries!$B:$B,Dictionaries!$A:$A="??????????"),FILTER(Dictionaries!$C:$C,Dictionaries!$A:$A="??????????"))),IF($P9="","",XLOOKUP($P9,FILTER(Dictionaries!$B:$B,Dictionaries!$A:$A="???????"),FILTER(Dictionaries!$C:$C,Dictionaries!$A:$A="???????"))),IF($U9="","",LET(t,IF(OR($B9="????",$B9="????"),"train","rest"),k,$U9,p,$V9,f,$W9,c,$X9,k_s,IF(t="train",IF(k="","",IFS(AND(k&gt;=1900,k&lt;=2050),1,AND(k&gt;=1850,k&lt;1900),0.7,AND(k&gt;2050,k&lt;=2100),0.7,TRUE,0.2)),IF(k="","",IFS(AND(k&gt;=1700,k&lt;=1850),1,AND(k&gt;=1650,k&lt;1700),0.7,AND(k&gt;1850,k&lt;=1900),0.7,TRUE,0.2))),p_s,IF(t="train",IF(p="","",IFS(AND(p&gt;=125,p&lt;=135),1,AND(p&gt;=115,p&lt;125),0.7,AND(p&gt;135,p&lt;=145),0.7,AND(p&gt;=105,p&lt;115),0.4,AND(p&gt;145,p&lt;=155),0.4,TRUE,0.2)),IF(p="","",IFS(AND(p&gt;=120,p&lt;=130),1,AND(p&gt;=110,p&lt;120),0.7,AND(p&gt;130,p&lt;=140),0.7,AND(p&gt;=100,p&lt;110),0.4,AND(p&gt;140,p&lt;=150),0.4,TRUE,0.2))),f_s,IF(f="","",IFS(AND(f&gt;=55,f&lt;=65),1,AND(f&gt;=50,f&lt;55),0.7,AND(f&gt;65,f&lt;=70),0.7,AND(f&gt;=45,f&lt;50),0.4,AND(f&gt;70,f&lt;=75),0.4,TRUE,0.2)),c_s,IF(t="train",IF(c="","",IFS(AND(c&gt;=180,c&lt;=210),1,AND(c&gt;=160,c&lt;180),0.7,AND(c&gt;210,c&lt;=230),0.7,AND(c&gt;=140,c&lt;160),0.4,AND(c&gt;230,c&lt;=250),0.4,TRUE,0.2)),IF(c="","",IFS(AND(c&gt;=140,c&lt;=170),1,AND(c&gt;=120,c&lt;140),0.7,AND(c&gt;170,c&lt;=190),0.7,AND(c&gt;=100,c&lt;120),0.4,AND(c&gt;190,c&lt;=210),0.4,TRUE,0.2))),AVERAGE(k_s,p_s,f_s,c_s)))),1),""))</f>
        <v/>
      </c>
      <c r="Z9">
        <f>IF($A9="","",TEXTJOIN(", ",TRUE,IF($B9="","??????????",""),IF($C9="","??????",""),IF($D9="","????",""),IF($E9="","??????????",""),IF($F9="","???-?????",""),IF($G9="","???-????",""),IF($H9="","??????",""),IF($L9="","???",""),IF($M9="","?????",""),IF($N9="","??????????????",""),IF($O9="","??????????",""),IF($P9="","???????",""),IF($U9="","???","")))</f>
        <v/>
      </c>
    </row>
    <row r="10">
      <c r="A10" s="2" t="n">
        <v>739656</v>
      </c>
      <c r="J10">
        <f>IF(A10="","",SUMIF(FoodLog!$A:$A,A10,FoodLog!$I:$I))</f>
        <v/>
      </c>
      <c r="K10">
        <f>IF(A10="","",SUMIF(FoodLog!$A:$A,A10,FoodLog!$F:$F))</f>
        <v/>
      </c>
      <c r="L10">
        <f>IF(A10="","",SUMIF(FoodLog!$A:$A,A10,FoodLog!$G:$G))</f>
        <v/>
      </c>
      <c r="M10">
        <f>IF(A10="","",SUMIF(FoodLog!$A:$A,A10,FoodLog!$H:$H))</f>
        <v/>
      </c>
      <c r="N10">
        <f>LET(train,B10,cardio,C10,steps,D10,sleep,E10,reg,F10,prod,I10,kcal,J10,p,K10,w_train,0.22,w_steps,0.18,w_sleep,0.20,w_reg,0.10,w_food,0.18,w_prod,0.12,s_train,IF(train="Верх",1,IF(train="Ноги",1,IF(train="Отдых",0.6,IF(train="Пропустил",0.2,0)))),s_steps,IF(steps="15k+",1,IF(steps="12-15k",0.9,IF(steps="10-12k",0.8,IF(steps="7-10k",0.6,IF(steps="5-7k",0.4,IF(steps="&lt;5k",0.2,0)))))),s_sleep,IF(sleep="&gt;8",0.9,IF(sleep="6-8",1,IF(sleep="&lt;6",0.2,0))),s_reg,IF(reg="Не сбит",1,IF(reg="Сбит",0.3,0)),s_food,IF(AND(kcal&gt;0,p&gt;0),MIN(1, (p/120))*0.6 + MIN(1, MAX(0,1-ABS(kcal-2200)/600))*0.4,0),s_prod,IF(prod="100%",1,IF(prod="75%",0.8,IF(prod="50%",0.6,IF(prod="25%",0.35,IF(prod="0%",0.1,0)))),ROUND(100*(w_train*s_train + w_steps*s_steps + w_sleep*s_sleep + w_reg*s_reg + w_food*s_food + w_prod*s_prod),0))</f>
        <v/>
      </c>
      <c r="O10">
        <f>TEXTJOIN(", ",TRUE,IF(B10="","тренировка",""),IF(D10="","шаги",""),IF(E10="","сон",""),IF(F10="","режим",""),IF(G10="","настроение",""),IF(H10="","энергия",""),IF(I10="","продуктивность",""),IF(J10="","еда (ккал)",""))</f>
        <v/>
      </c>
      <c r="U10">
        <f>IF($A10="","",IF(SUMIF(FoodLog!$A:$A,$A10,FoodLog!$I:$I)=0,"",SUMIF(FoodLog!$A:$A,$A10,FoodLog!$I:$I)))</f>
        <v/>
      </c>
      <c r="V10">
        <f>IF($A10="","",IF(SUMIF(FoodLog!$A:$A,$A10,FoodLog!$F:$F)=0,"",SUMIF(FoodLog!$A:$A,$A10,FoodLog!$F:$F)))</f>
        <v/>
      </c>
      <c r="W10">
        <f>IF($A10="","",IF(SUMIF(FoodLog!$A:$A,$A10,FoodLog!$G:$G)=0,"",SUMIF(FoodLog!$A:$A,$A10,FoodLog!$G:$G)))</f>
        <v/>
      </c>
      <c r="X10">
        <f>IF($A10="","",IF(SUMIF(FoodLog!$A:$A,$A10,FoodLog!$H:$H)=0,"",SUMIF(FoodLog!$A:$A,$A10,FoodLog!$H:$H)))</f>
        <v/>
      </c>
      <c r="Y10">
        <f>IF($A10="","",IFERROR(ROUND(100*AVERAGE(IF($B10="","",XLOOKUP($B10,FILTER(Dictionaries!$B:$B,Dictionaries!$A:$A="??????????"),FILTER(Dictionaries!$C:$C,Dictionaries!$A:$A="??????????"))),IF($C10="","",MIN($C10/40,1)),IF($D10="","",XLOOKUP($D10,FILTER(Dictionaries!$B:$B,Dictionaries!$A:$A="????"),FILTER(Dictionaries!$C:$C,Dictionaries!$A:$A="????"))),IF($E10="","",MIN($E10/120,1)),IF(OR($F10&lt;&gt;"",$G10&lt;&gt;""),1,""),IF($H10="","",MIN($H10/100,1)),IF($L10="","",XLOOKUP($L10,FILTER(Dictionaries!$B:$B,Dictionaries!$A:$A="???_????"),FILTER(Dictionaries!$C:$C,Dictionaries!$A:$A="???_????"))),IF($M10="","",XLOOKUP($M10,FILTER(Dictionaries!$B:$B,Dictionaries!$A:$A="?????"),FILTER(Dictionaries!$C:$C,Dictionaries!$A:$A="?????"))),IF($N10="","",MIN($N10/100,1)),IF($O10="","",XLOOKUP($O10,FILTER(Dictionaries!$B:$B,Dictionaries!$A:$A="??????????"),FILTER(Dictionaries!$C:$C,Dictionaries!$A:$A="??????????"))),IF($P10="","",XLOOKUP($P10,FILTER(Dictionaries!$B:$B,Dictionaries!$A:$A="???????"),FILTER(Dictionaries!$C:$C,Dictionaries!$A:$A="???????"))),IF($U10="","",LET(t,IF(OR($B10="????",$B10="????"),"train","rest"),k,$U10,p,$V10,f,$W10,c,$X10,k_s,IF(t="train",IF(k="","",IFS(AND(k&gt;=1900,k&lt;=2050),1,AND(k&gt;=1850,k&lt;1900),0.7,AND(k&gt;2050,k&lt;=2100),0.7,TRUE,0.2)),IF(k="","",IFS(AND(k&gt;=1700,k&lt;=1850),1,AND(k&gt;=1650,k&lt;1700),0.7,AND(k&gt;1850,k&lt;=1900),0.7,TRUE,0.2))),p_s,IF(t="train",IF(p="","",IFS(AND(p&gt;=125,p&lt;=135),1,AND(p&gt;=115,p&lt;125),0.7,AND(p&gt;135,p&lt;=145),0.7,AND(p&gt;=105,p&lt;115),0.4,AND(p&gt;145,p&lt;=155),0.4,TRUE,0.2)),IF(p="","",IFS(AND(p&gt;=120,p&lt;=130),1,AND(p&gt;=110,p&lt;120),0.7,AND(p&gt;130,p&lt;=140),0.7,AND(p&gt;=100,p&lt;110),0.4,AND(p&gt;140,p&lt;=150),0.4,TRUE,0.2))),f_s,IF(f="","",IFS(AND(f&gt;=55,f&lt;=65),1,AND(f&gt;=50,f&lt;55),0.7,AND(f&gt;65,f&lt;=70),0.7,AND(f&gt;=45,f&lt;50),0.4,AND(f&gt;70,f&lt;=75),0.4,TRUE,0.2)),c_s,IF(t="train",IF(c="","",IFS(AND(c&gt;=180,c&lt;=210),1,AND(c&gt;=160,c&lt;180),0.7,AND(c&gt;210,c&lt;=230),0.7,AND(c&gt;=140,c&lt;160),0.4,AND(c&gt;230,c&lt;=250),0.4,TRUE,0.2)),IF(c="","",IFS(AND(c&gt;=140,c&lt;=170),1,AND(c&gt;=120,c&lt;140),0.7,AND(c&gt;170,c&lt;=190),0.7,AND(c&gt;=100,c&lt;120),0.4,AND(c&gt;190,c&lt;=210),0.4,TRUE,0.2))),AVERAGE(k_s,p_s,f_s,c_s)))),1),""))</f>
        <v/>
      </c>
      <c r="Z10">
        <f>IF($A10="","",TEXTJOIN(", ",TRUE,IF($B10="","??????????",""),IF($C10="","??????",""),IF($D10="","????",""),IF($E10="","??????????",""),IF($F10="","???-?????",""),IF($G10="","???-????",""),IF($H10="","??????",""),IF($L10="","???",""),IF($M10="","?????",""),IF($N10="","??????????????",""),IF($O10="","??????????",""),IF($P10="","???????",""),IF($U10="","???","")))</f>
        <v/>
      </c>
    </row>
    <row r="11">
      <c r="A11" s="2" t="n">
        <v>739657</v>
      </c>
      <c r="J11">
        <f>IF(A11="","",SUMIF(FoodLog!$A:$A,A11,FoodLog!$I:$I))</f>
        <v/>
      </c>
      <c r="K11">
        <f>IF(A11="","",SUMIF(FoodLog!$A:$A,A11,FoodLog!$F:$F))</f>
        <v/>
      </c>
      <c r="L11">
        <f>IF(A11="","",SUMIF(FoodLog!$A:$A,A11,FoodLog!$G:$G))</f>
        <v/>
      </c>
      <c r="M11">
        <f>IF(A11="","",SUMIF(FoodLog!$A:$A,A11,FoodLog!$H:$H))</f>
        <v/>
      </c>
      <c r="N11">
        <f>LET(train,B11,cardio,C11,steps,D11,sleep,E11,reg,F11,prod,I11,kcal,J11,p,K11,w_train,0.22,w_steps,0.18,w_sleep,0.20,w_reg,0.10,w_food,0.18,w_prod,0.12,s_train,IF(train="Верх",1,IF(train="Ноги",1,IF(train="Отдых",0.6,IF(train="Пропустил",0.2,0)))),s_steps,IF(steps="15k+",1,IF(steps="12-15k",0.9,IF(steps="10-12k",0.8,IF(steps="7-10k",0.6,IF(steps="5-7k",0.4,IF(steps="&lt;5k",0.2,0)))))),s_sleep,IF(sleep="&gt;8",0.9,IF(sleep="6-8",1,IF(sleep="&lt;6",0.2,0))),s_reg,IF(reg="Не сбит",1,IF(reg="Сбит",0.3,0)),s_food,IF(AND(kcal&gt;0,p&gt;0),MIN(1, (p/120))*0.6 + MIN(1, MAX(0,1-ABS(kcal-2200)/600))*0.4,0),s_prod,IF(prod="100%",1,IF(prod="75%",0.8,IF(prod="50%",0.6,IF(prod="25%",0.35,IF(prod="0%",0.1,0)))),ROUND(100*(w_train*s_train + w_steps*s_steps + w_sleep*s_sleep + w_reg*s_reg + w_food*s_food + w_prod*s_prod),0))</f>
        <v/>
      </c>
      <c r="O11">
        <f>TEXTJOIN(", ",TRUE,IF(B11="","тренировка",""),IF(D11="","шаги",""),IF(E11="","сон",""),IF(F11="","режим",""),IF(G11="","настроение",""),IF(H11="","энергия",""),IF(I11="","продуктивность",""),IF(J11="","еда (ккал)",""))</f>
        <v/>
      </c>
      <c r="U11">
        <f>IF($A11="","",IF(SUMIF(FoodLog!$A:$A,$A11,FoodLog!$I:$I)=0,"",SUMIF(FoodLog!$A:$A,$A11,FoodLog!$I:$I)))</f>
        <v/>
      </c>
      <c r="V11">
        <f>IF($A11="","",IF(SUMIF(FoodLog!$A:$A,$A11,FoodLog!$F:$F)=0,"",SUMIF(FoodLog!$A:$A,$A11,FoodLog!$F:$F)))</f>
        <v/>
      </c>
      <c r="W11">
        <f>IF($A11="","",IF(SUMIF(FoodLog!$A:$A,$A11,FoodLog!$G:$G)=0,"",SUMIF(FoodLog!$A:$A,$A11,FoodLog!$G:$G)))</f>
        <v/>
      </c>
      <c r="X11">
        <f>IF($A11="","",IF(SUMIF(FoodLog!$A:$A,$A11,FoodLog!$H:$H)=0,"",SUMIF(FoodLog!$A:$A,$A11,FoodLog!$H:$H)))</f>
        <v/>
      </c>
      <c r="Y11">
        <f>IF($A11="","",IFERROR(ROUND(100*AVERAGE(IF($B11="","",XLOOKUP($B11,FILTER(Dictionaries!$B:$B,Dictionaries!$A:$A="??????????"),FILTER(Dictionaries!$C:$C,Dictionaries!$A:$A="??????????"))),IF($C11="","",MIN($C11/40,1)),IF($D11="","",XLOOKUP($D11,FILTER(Dictionaries!$B:$B,Dictionaries!$A:$A="????"),FILTER(Dictionaries!$C:$C,Dictionaries!$A:$A="????"))),IF($E11="","",MIN($E11/120,1)),IF(OR($F11&lt;&gt;"",$G11&lt;&gt;""),1,""),IF($H11="","",MIN($H11/100,1)),IF($L11="","",XLOOKUP($L11,FILTER(Dictionaries!$B:$B,Dictionaries!$A:$A="???_????"),FILTER(Dictionaries!$C:$C,Dictionaries!$A:$A="???_????"))),IF($M11="","",XLOOKUP($M11,FILTER(Dictionaries!$B:$B,Dictionaries!$A:$A="?????"),FILTER(Dictionaries!$C:$C,Dictionaries!$A:$A="?????"))),IF($N11="","",MIN($N11/100,1)),IF($O11="","",XLOOKUP($O11,FILTER(Dictionaries!$B:$B,Dictionaries!$A:$A="??????????"),FILTER(Dictionaries!$C:$C,Dictionaries!$A:$A="??????????"))),IF($P11="","",XLOOKUP($P11,FILTER(Dictionaries!$B:$B,Dictionaries!$A:$A="???????"),FILTER(Dictionaries!$C:$C,Dictionaries!$A:$A="???????"))),IF($U11="","",LET(t,IF(OR($B11="????",$B11="????"),"train","rest"),k,$U11,p,$V11,f,$W11,c,$X11,k_s,IF(t="train",IF(k="","",IFS(AND(k&gt;=1900,k&lt;=2050),1,AND(k&gt;=1850,k&lt;1900),0.7,AND(k&gt;2050,k&lt;=2100),0.7,TRUE,0.2)),IF(k="","",IFS(AND(k&gt;=1700,k&lt;=1850),1,AND(k&gt;=1650,k&lt;1700),0.7,AND(k&gt;1850,k&lt;=1900),0.7,TRUE,0.2))),p_s,IF(t="train",IF(p="","",IFS(AND(p&gt;=125,p&lt;=135),1,AND(p&gt;=115,p&lt;125),0.7,AND(p&gt;135,p&lt;=145),0.7,AND(p&gt;=105,p&lt;115),0.4,AND(p&gt;145,p&lt;=155),0.4,TRUE,0.2)),IF(p="","",IFS(AND(p&gt;=120,p&lt;=130),1,AND(p&gt;=110,p&lt;120),0.7,AND(p&gt;130,p&lt;=140),0.7,AND(p&gt;=100,p&lt;110),0.4,AND(p&gt;140,p&lt;=150),0.4,TRUE,0.2))),f_s,IF(f="","",IFS(AND(f&gt;=55,f&lt;=65),1,AND(f&gt;=50,f&lt;55),0.7,AND(f&gt;65,f&lt;=70),0.7,AND(f&gt;=45,f&lt;50),0.4,AND(f&gt;70,f&lt;=75),0.4,TRUE,0.2)),c_s,IF(t="train",IF(c="","",IFS(AND(c&gt;=180,c&lt;=210),1,AND(c&gt;=160,c&lt;180),0.7,AND(c&gt;210,c&lt;=230),0.7,AND(c&gt;=140,c&lt;160),0.4,AND(c&gt;230,c&lt;=250),0.4,TRUE,0.2)),IF(c="","",IFS(AND(c&gt;=140,c&lt;=170),1,AND(c&gt;=120,c&lt;140),0.7,AND(c&gt;170,c&lt;=190),0.7,AND(c&gt;=100,c&lt;120),0.4,AND(c&gt;190,c&lt;=210),0.4,TRUE,0.2))),AVERAGE(k_s,p_s,f_s,c_s)))),1),""))</f>
        <v/>
      </c>
      <c r="Z11">
        <f>IF($A11="","",TEXTJOIN(", ",TRUE,IF($B11="","??????????",""),IF($C11="","??????",""),IF($D11="","????",""),IF($E11="","??????????",""),IF($F11="","???-?????",""),IF($G11="","???-????",""),IF($H11="","??????",""),IF($L11="","???",""),IF($M11="","?????",""),IF($N11="","??????????????",""),IF($O11="","??????????",""),IF($P11="","???????",""),IF($U11="","???","")))</f>
        <v/>
      </c>
    </row>
    <row r="12">
      <c r="A12" s="2" t="n">
        <v>739658</v>
      </c>
      <c r="J12">
        <f>IF(A12="","",SUMIF(FoodLog!$A:$A,A12,FoodLog!$I:$I))</f>
        <v/>
      </c>
      <c r="K12">
        <f>IF(A12="","",SUMIF(FoodLog!$A:$A,A12,FoodLog!$F:$F))</f>
        <v/>
      </c>
      <c r="L12">
        <f>IF(A12="","",SUMIF(FoodLog!$A:$A,A12,FoodLog!$G:$G))</f>
        <v/>
      </c>
      <c r="M12">
        <f>IF(A12="","",SUMIF(FoodLog!$A:$A,A12,FoodLog!$H:$H))</f>
        <v/>
      </c>
      <c r="N12">
        <f>LET(train,B12,cardio,C12,steps,D12,sleep,E12,reg,F12,prod,I12,kcal,J12,p,K12,w_train,0.22,w_steps,0.18,w_sleep,0.20,w_reg,0.10,w_food,0.18,w_prod,0.12,s_train,IF(train="Верх",1,IF(train="Ноги",1,IF(train="Отдых",0.6,IF(train="Пропустил",0.2,0)))),s_steps,IF(steps="15k+",1,IF(steps="12-15k",0.9,IF(steps="10-12k",0.8,IF(steps="7-10k",0.6,IF(steps="5-7k",0.4,IF(steps="&lt;5k",0.2,0)))))),s_sleep,IF(sleep="&gt;8",0.9,IF(sleep="6-8",1,IF(sleep="&lt;6",0.2,0))),s_reg,IF(reg="Не сбит",1,IF(reg="Сбит",0.3,0)),s_food,IF(AND(kcal&gt;0,p&gt;0),MIN(1, (p/120))*0.6 + MIN(1, MAX(0,1-ABS(kcal-2200)/600))*0.4,0),s_prod,IF(prod="100%",1,IF(prod="75%",0.8,IF(prod="50%",0.6,IF(prod="25%",0.35,IF(prod="0%",0.1,0)))),ROUND(100*(w_train*s_train + w_steps*s_steps + w_sleep*s_sleep + w_reg*s_reg + w_food*s_food + w_prod*s_prod),0))</f>
        <v/>
      </c>
      <c r="O12">
        <f>TEXTJOIN(", ",TRUE,IF(B12="","тренировка",""),IF(D12="","шаги",""),IF(E12="","сон",""),IF(F12="","режим",""),IF(G12="","настроение",""),IF(H12="","энергия",""),IF(I12="","продуктивность",""),IF(J12="","еда (ккал)",""))</f>
        <v/>
      </c>
      <c r="U12">
        <f>IF($A12="","",IF(SUMIF(FoodLog!$A:$A,$A12,FoodLog!$I:$I)=0,"",SUMIF(FoodLog!$A:$A,$A12,FoodLog!$I:$I)))</f>
        <v/>
      </c>
      <c r="V12">
        <f>IF($A12="","",IF(SUMIF(FoodLog!$A:$A,$A12,FoodLog!$F:$F)=0,"",SUMIF(FoodLog!$A:$A,$A12,FoodLog!$F:$F)))</f>
        <v/>
      </c>
      <c r="W12">
        <f>IF($A12="","",IF(SUMIF(FoodLog!$A:$A,$A12,FoodLog!$G:$G)=0,"",SUMIF(FoodLog!$A:$A,$A12,FoodLog!$G:$G)))</f>
        <v/>
      </c>
      <c r="X12">
        <f>IF($A12="","",IF(SUMIF(FoodLog!$A:$A,$A12,FoodLog!$H:$H)=0,"",SUMIF(FoodLog!$A:$A,$A12,FoodLog!$H:$H)))</f>
        <v/>
      </c>
      <c r="Y12">
        <f>IF($A12="","",IFERROR(ROUND(100*AVERAGE(IF($B12="","",XLOOKUP($B12,FILTER(Dictionaries!$B:$B,Dictionaries!$A:$A="??????????"),FILTER(Dictionaries!$C:$C,Dictionaries!$A:$A="??????????"))),IF($C12="","",MIN($C12/40,1)),IF($D12="","",XLOOKUP($D12,FILTER(Dictionaries!$B:$B,Dictionaries!$A:$A="????"),FILTER(Dictionaries!$C:$C,Dictionaries!$A:$A="????"))),IF($E12="","",MIN($E12/120,1)),IF(OR($F12&lt;&gt;"",$G12&lt;&gt;""),1,""),IF($H12="","",MIN($H12/100,1)),IF($L12="","",XLOOKUP($L12,FILTER(Dictionaries!$B:$B,Dictionaries!$A:$A="???_????"),FILTER(Dictionaries!$C:$C,Dictionaries!$A:$A="???_????"))),IF($M12="","",XLOOKUP($M12,FILTER(Dictionaries!$B:$B,Dictionaries!$A:$A="?????"),FILTER(Dictionaries!$C:$C,Dictionaries!$A:$A="?????"))),IF($N12="","",MIN($N12/100,1)),IF($O12="","",XLOOKUP($O12,FILTER(Dictionaries!$B:$B,Dictionaries!$A:$A="??????????"),FILTER(Dictionaries!$C:$C,Dictionaries!$A:$A="??????????"))),IF($P12="","",XLOOKUP($P12,FILTER(Dictionaries!$B:$B,Dictionaries!$A:$A="???????"),FILTER(Dictionaries!$C:$C,Dictionaries!$A:$A="???????"))),IF($U12="","",LET(t,IF(OR($B12="????",$B12="????"),"train","rest"),k,$U12,p,$V12,f,$W12,c,$X12,k_s,IF(t="train",IF(k="","",IFS(AND(k&gt;=1900,k&lt;=2050),1,AND(k&gt;=1850,k&lt;1900),0.7,AND(k&gt;2050,k&lt;=2100),0.7,TRUE,0.2)),IF(k="","",IFS(AND(k&gt;=1700,k&lt;=1850),1,AND(k&gt;=1650,k&lt;1700),0.7,AND(k&gt;1850,k&lt;=1900),0.7,TRUE,0.2))),p_s,IF(t="train",IF(p="","",IFS(AND(p&gt;=125,p&lt;=135),1,AND(p&gt;=115,p&lt;125),0.7,AND(p&gt;135,p&lt;=145),0.7,AND(p&gt;=105,p&lt;115),0.4,AND(p&gt;145,p&lt;=155),0.4,TRUE,0.2)),IF(p="","",IFS(AND(p&gt;=120,p&lt;=130),1,AND(p&gt;=110,p&lt;120),0.7,AND(p&gt;130,p&lt;=140),0.7,AND(p&gt;=100,p&lt;110),0.4,AND(p&gt;140,p&lt;=150),0.4,TRUE,0.2))),f_s,IF(f="","",IFS(AND(f&gt;=55,f&lt;=65),1,AND(f&gt;=50,f&lt;55),0.7,AND(f&gt;65,f&lt;=70),0.7,AND(f&gt;=45,f&lt;50),0.4,AND(f&gt;70,f&lt;=75),0.4,TRUE,0.2)),c_s,IF(t="train",IF(c="","",IFS(AND(c&gt;=180,c&lt;=210),1,AND(c&gt;=160,c&lt;180),0.7,AND(c&gt;210,c&lt;=230),0.7,AND(c&gt;=140,c&lt;160),0.4,AND(c&gt;230,c&lt;=250),0.4,TRUE,0.2)),IF(c="","",IFS(AND(c&gt;=140,c&lt;=170),1,AND(c&gt;=120,c&lt;140),0.7,AND(c&gt;170,c&lt;=190),0.7,AND(c&gt;=100,c&lt;120),0.4,AND(c&gt;190,c&lt;=210),0.4,TRUE,0.2))),AVERAGE(k_s,p_s,f_s,c_s)))),1),""))</f>
        <v/>
      </c>
      <c r="Z12">
        <f>IF($A12="","",TEXTJOIN(", ",TRUE,IF($B12="","??????????",""),IF($C12="","??????",""),IF($D12="","????",""),IF($E12="","??????????",""),IF($F12="","???-?????",""),IF($G12="","???-????",""),IF($H12="","??????",""),IF($L12="","???",""),IF($M12="","?????",""),IF($N12="","??????????????",""),IF($O12="","??????????",""),IF($P12="","???????",""),IF($U12="","???","")))</f>
        <v/>
      </c>
    </row>
    <row r="13">
      <c r="A13" s="2" t="n">
        <v>739659</v>
      </c>
      <c r="J13">
        <f>IF(A13="","",SUMIF(FoodLog!$A:$A,A13,FoodLog!$I:$I))</f>
        <v/>
      </c>
      <c r="K13">
        <f>IF(A13="","",SUMIF(FoodLog!$A:$A,A13,FoodLog!$F:$F))</f>
        <v/>
      </c>
      <c r="L13">
        <f>IF(A13="","",SUMIF(FoodLog!$A:$A,A13,FoodLog!$G:$G))</f>
        <v/>
      </c>
      <c r="M13">
        <f>IF(A13="","",SUMIF(FoodLog!$A:$A,A13,FoodLog!$H:$H))</f>
        <v/>
      </c>
      <c r="N13">
        <f>LET(train,B13,cardio,C13,steps,D13,sleep,E13,reg,F13,prod,I13,kcal,J13,p,K13,w_train,0.22,w_steps,0.18,w_sleep,0.20,w_reg,0.10,w_food,0.18,w_prod,0.12,s_train,IF(train="Верх",1,IF(train="Ноги",1,IF(train="Отдых",0.6,IF(train="Пропустил",0.2,0)))),s_steps,IF(steps="15k+",1,IF(steps="12-15k",0.9,IF(steps="10-12k",0.8,IF(steps="7-10k",0.6,IF(steps="5-7k",0.4,IF(steps="&lt;5k",0.2,0)))))),s_sleep,IF(sleep="&gt;8",0.9,IF(sleep="6-8",1,IF(sleep="&lt;6",0.2,0))),s_reg,IF(reg="Не сбит",1,IF(reg="Сбит",0.3,0)),s_food,IF(AND(kcal&gt;0,p&gt;0),MIN(1, (p/120))*0.6 + MIN(1, MAX(0,1-ABS(kcal-2200)/600))*0.4,0),s_prod,IF(prod="100%",1,IF(prod="75%",0.8,IF(prod="50%",0.6,IF(prod="25%",0.35,IF(prod="0%",0.1,0)))),ROUND(100*(w_train*s_train + w_steps*s_steps + w_sleep*s_sleep + w_reg*s_reg + w_food*s_food + w_prod*s_prod),0))</f>
        <v/>
      </c>
      <c r="O13">
        <f>TEXTJOIN(", ",TRUE,IF(B13="","тренировка",""),IF(D13="","шаги",""),IF(E13="","сон",""),IF(F13="","режим",""),IF(G13="","настроение",""),IF(H13="","энергия",""),IF(I13="","продуктивность",""),IF(J13="","еда (ккал)",""))</f>
        <v/>
      </c>
      <c r="U13">
        <f>IF($A13="","",IF(SUMIF(FoodLog!$A:$A,$A13,FoodLog!$I:$I)=0,"",SUMIF(FoodLog!$A:$A,$A13,FoodLog!$I:$I)))</f>
        <v/>
      </c>
      <c r="V13">
        <f>IF($A13="","",IF(SUMIF(FoodLog!$A:$A,$A13,FoodLog!$F:$F)=0,"",SUMIF(FoodLog!$A:$A,$A13,FoodLog!$F:$F)))</f>
        <v/>
      </c>
      <c r="W13">
        <f>IF($A13="","",IF(SUMIF(FoodLog!$A:$A,$A13,FoodLog!$G:$G)=0,"",SUMIF(FoodLog!$A:$A,$A13,FoodLog!$G:$G)))</f>
        <v/>
      </c>
      <c r="X13">
        <f>IF($A13="","",IF(SUMIF(FoodLog!$A:$A,$A13,FoodLog!$H:$H)=0,"",SUMIF(FoodLog!$A:$A,$A13,FoodLog!$H:$H)))</f>
        <v/>
      </c>
      <c r="Y13">
        <f>IF($A13="","",IFERROR(ROUND(100*AVERAGE(IF($B13="","",XLOOKUP($B13,FILTER(Dictionaries!$B:$B,Dictionaries!$A:$A="??????????"),FILTER(Dictionaries!$C:$C,Dictionaries!$A:$A="??????????"))),IF($C13="","",MIN($C13/40,1)),IF($D13="","",XLOOKUP($D13,FILTER(Dictionaries!$B:$B,Dictionaries!$A:$A="????"),FILTER(Dictionaries!$C:$C,Dictionaries!$A:$A="????"))),IF($E13="","",MIN($E13/120,1)),IF(OR($F13&lt;&gt;"",$G13&lt;&gt;""),1,""),IF($H13="","",MIN($H13/100,1)),IF($L13="","",XLOOKUP($L13,FILTER(Dictionaries!$B:$B,Dictionaries!$A:$A="???_????"),FILTER(Dictionaries!$C:$C,Dictionaries!$A:$A="???_????"))),IF($M13="","",XLOOKUP($M13,FILTER(Dictionaries!$B:$B,Dictionaries!$A:$A="?????"),FILTER(Dictionaries!$C:$C,Dictionaries!$A:$A="?????"))),IF($N13="","",MIN($N13/100,1)),IF($O13="","",XLOOKUP($O13,FILTER(Dictionaries!$B:$B,Dictionaries!$A:$A="??????????"),FILTER(Dictionaries!$C:$C,Dictionaries!$A:$A="??????????"))),IF($P13="","",XLOOKUP($P13,FILTER(Dictionaries!$B:$B,Dictionaries!$A:$A="???????"),FILTER(Dictionaries!$C:$C,Dictionaries!$A:$A="???????"))),IF($U13="","",LET(t,IF(OR($B13="????",$B13="????"),"train","rest"),k,$U13,p,$V13,f,$W13,c,$X13,k_s,IF(t="train",IF(k="","",IFS(AND(k&gt;=1900,k&lt;=2050),1,AND(k&gt;=1850,k&lt;1900),0.7,AND(k&gt;2050,k&lt;=2100),0.7,TRUE,0.2)),IF(k="","",IFS(AND(k&gt;=1700,k&lt;=1850),1,AND(k&gt;=1650,k&lt;1700),0.7,AND(k&gt;1850,k&lt;=1900),0.7,TRUE,0.2))),p_s,IF(t="train",IF(p="","",IFS(AND(p&gt;=125,p&lt;=135),1,AND(p&gt;=115,p&lt;125),0.7,AND(p&gt;135,p&lt;=145),0.7,AND(p&gt;=105,p&lt;115),0.4,AND(p&gt;145,p&lt;=155),0.4,TRUE,0.2)),IF(p="","",IFS(AND(p&gt;=120,p&lt;=130),1,AND(p&gt;=110,p&lt;120),0.7,AND(p&gt;130,p&lt;=140),0.7,AND(p&gt;=100,p&lt;110),0.4,AND(p&gt;140,p&lt;=150),0.4,TRUE,0.2))),f_s,IF(f="","",IFS(AND(f&gt;=55,f&lt;=65),1,AND(f&gt;=50,f&lt;55),0.7,AND(f&gt;65,f&lt;=70),0.7,AND(f&gt;=45,f&lt;50),0.4,AND(f&gt;70,f&lt;=75),0.4,TRUE,0.2)),c_s,IF(t="train",IF(c="","",IFS(AND(c&gt;=180,c&lt;=210),1,AND(c&gt;=160,c&lt;180),0.7,AND(c&gt;210,c&lt;=230),0.7,AND(c&gt;=140,c&lt;160),0.4,AND(c&gt;230,c&lt;=250),0.4,TRUE,0.2)),IF(c="","",IFS(AND(c&gt;=140,c&lt;=170),1,AND(c&gt;=120,c&lt;140),0.7,AND(c&gt;170,c&lt;=190),0.7,AND(c&gt;=100,c&lt;120),0.4,AND(c&gt;190,c&lt;=210),0.4,TRUE,0.2))),AVERAGE(k_s,p_s,f_s,c_s)))),1),""))</f>
        <v/>
      </c>
      <c r="Z13">
        <f>IF($A13="","",TEXTJOIN(", ",TRUE,IF($B13="","??????????",""),IF($C13="","??????",""),IF($D13="","????",""),IF($E13="","??????????",""),IF($F13="","???-?????",""),IF($G13="","???-????",""),IF($H13="","??????",""),IF($L13="","???",""),IF($M13="","?????",""),IF($N13="","??????????????",""),IF($O13="","??????????",""),IF($P13="","???????",""),IF($U13="","???","")))</f>
        <v/>
      </c>
    </row>
    <row r="14">
      <c r="A14" s="2" t="n">
        <v>739660</v>
      </c>
      <c r="J14">
        <f>IF(A14="","",SUMIF(FoodLog!$A:$A,A14,FoodLog!$I:$I))</f>
        <v/>
      </c>
      <c r="K14">
        <f>IF(A14="","",SUMIF(FoodLog!$A:$A,A14,FoodLog!$F:$F))</f>
        <v/>
      </c>
      <c r="L14">
        <f>IF(A14="","",SUMIF(FoodLog!$A:$A,A14,FoodLog!$G:$G))</f>
        <v/>
      </c>
      <c r="M14">
        <f>IF(A14="","",SUMIF(FoodLog!$A:$A,A14,FoodLog!$H:$H))</f>
        <v/>
      </c>
      <c r="N14">
        <f>LET(train,B14,cardio,C14,steps,D14,sleep,E14,reg,F14,prod,I14,kcal,J14,p,K14,w_train,0.22,w_steps,0.18,w_sleep,0.20,w_reg,0.10,w_food,0.18,w_prod,0.12,s_train,IF(train="Верх",1,IF(train="Ноги",1,IF(train="Отдых",0.6,IF(train="Пропустил",0.2,0)))),s_steps,IF(steps="15k+",1,IF(steps="12-15k",0.9,IF(steps="10-12k",0.8,IF(steps="7-10k",0.6,IF(steps="5-7k",0.4,IF(steps="&lt;5k",0.2,0)))))),s_sleep,IF(sleep="&gt;8",0.9,IF(sleep="6-8",1,IF(sleep="&lt;6",0.2,0))),s_reg,IF(reg="Не сбит",1,IF(reg="Сбит",0.3,0)),s_food,IF(AND(kcal&gt;0,p&gt;0),MIN(1, (p/120))*0.6 + MIN(1, MAX(0,1-ABS(kcal-2200)/600))*0.4,0),s_prod,IF(prod="100%",1,IF(prod="75%",0.8,IF(prod="50%",0.6,IF(prod="25%",0.35,IF(prod="0%",0.1,0)))),ROUND(100*(w_train*s_train + w_steps*s_steps + w_sleep*s_sleep + w_reg*s_reg + w_food*s_food + w_prod*s_prod),0))</f>
        <v/>
      </c>
      <c r="O14">
        <f>TEXTJOIN(", ",TRUE,IF(B14="","тренировка",""),IF(D14="","шаги",""),IF(E14="","сон",""),IF(F14="","режим",""),IF(G14="","настроение",""),IF(H14="","энергия",""),IF(I14="","продуктивность",""),IF(J14="","еда (ккал)",""))</f>
        <v/>
      </c>
      <c r="U14">
        <f>IF($A14="","",IF(SUMIF(FoodLog!$A:$A,$A14,FoodLog!$I:$I)=0,"",SUMIF(FoodLog!$A:$A,$A14,FoodLog!$I:$I)))</f>
        <v/>
      </c>
      <c r="V14">
        <f>IF($A14="","",IF(SUMIF(FoodLog!$A:$A,$A14,FoodLog!$F:$F)=0,"",SUMIF(FoodLog!$A:$A,$A14,FoodLog!$F:$F)))</f>
        <v/>
      </c>
      <c r="W14">
        <f>IF($A14="","",IF(SUMIF(FoodLog!$A:$A,$A14,FoodLog!$G:$G)=0,"",SUMIF(FoodLog!$A:$A,$A14,FoodLog!$G:$G)))</f>
        <v/>
      </c>
      <c r="X14">
        <f>IF($A14="","",IF(SUMIF(FoodLog!$A:$A,$A14,FoodLog!$H:$H)=0,"",SUMIF(FoodLog!$A:$A,$A14,FoodLog!$H:$H)))</f>
        <v/>
      </c>
      <c r="Y14">
        <f>IF($A14="","",IFERROR(ROUND(100*AVERAGE(IF($B14="","",XLOOKUP($B14,FILTER(Dictionaries!$B:$B,Dictionaries!$A:$A="??????????"),FILTER(Dictionaries!$C:$C,Dictionaries!$A:$A="??????????"))),IF($C14="","",MIN($C14/40,1)),IF($D14="","",XLOOKUP($D14,FILTER(Dictionaries!$B:$B,Dictionaries!$A:$A="????"),FILTER(Dictionaries!$C:$C,Dictionaries!$A:$A="????"))),IF($E14="","",MIN($E14/120,1)),IF(OR($F14&lt;&gt;"",$G14&lt;&gt;""),1,""),IF($H14="","",MIN($H14/100,1)),IF($L14="","",XLOOKUP($L14,FILTER(Dictionaries!$B:$B,Dictionaries!$A:$A="???_????"),FILTER(Dictionaries!$C:$C,Dictionaries!$A:$A="???_????"))),IF($M14="","",XLOOKUP($M14,FILTER(Dictionaries!$B:$B,Dictionaries!$A:$A="?????"),FILTER(Dictionaries!$C:$C,Dictionaries!$A:$A="?????"))),IF($N14="","",MIN($N14/100,1)),IF($O14="","",XLOOKUP($O14,FILTER(Dictionaries!$B:$B,Dictionaries!$A:$A="??????????"),FILTER(Dictionaries!$C:$C,Dictionaries!$A:$A="??????????"))),IF($P14="","",XLOOKUP($P14,FILTER(Dictionaries!$B:$B,Dictionaries!$A:$A="???????"),FILTER(Dictionaries!$C:$C,Dictionaries!$A:$A="???????"))),IF($U14="","",LET(t,IF(OR($B14="????",$B14="????"),"train","rest"),k,$U14,p,$V14,f,$W14,c,$X14,k_s,IF(t="train",IF(k="","",IFS(AND(k&gt;=1900,k&lt;=2050),1,AND(k&gt;=1850,k&lt;1900),0.7,AND(k&gt;2050,k&lt;=2100),0.7,TRUE,0.2)),IF(k="","",IFS(AND(k&gt;=1700,k&lt;=1850),1,AND(k&gt;=1650,k&lt;1700),0.7,AND(k&gt;1850,k&lt;=1900),0.7,TRUE,0.2))),p_s,IF(t="train",IF(p="","",IFS(AND(p&gt;=125,p&lt;=135),1,AND(p&gt;=115,p&lt;125),0.7,AND(p&gt;135,p&lt;=145),0.7,AND(p&gt;=105,p&lt;115),0.4,AND(p&gt;145,p&lt;=155),0.4,TRUE,0.2)),IF(p="","",IFS(AND(p&gt;=120,p&lt;=130),1,AND(p&gt;=110,p&lt;120),0.7,AND(p&gt;130,p&lt;=140),0.7,AND(p&gt;=100,p&lt;110),0.4,AND(p&gt;140,p&lt;=150),0.4,TRUE,0.2))),f_s,IF(f="","",IFS(AND(f&gt;=55,f&lt;=65),1,AND(f&gt;=50,f&lt;55),0.7,AND(f&gt;65,f&lt;=70),0.7,AND(f&gt;=45,f&lt;50),0.4,AND(f&gt;70,f&lt;=75),0.4,TRUE,0.2)),c_s,IF(t="train",IF(c="","",IFS(AND(c&gt;=180,c&lt;=210),1,AND(c&gt;=160,c&lt;180),0.7,AND(c&gt;210,c&lt;=230),0.7,AND(c&gt;=140,c&lt;160),0.4,AND(c&gt;230,c&lt;=250),0.4,TRUE,0.2)),IF(c="","",IFS(AND(c&gt;=140,c&lt;=170),1,AND(c&gt;=120,c&lt;140),0.7,AND(c&gt;170,c&lt;=190),0.7,AND(c&gt;=100,c&lt;120),0.4,AND(c&gt;190,c&lt;=210),0.4,TRUE,0.2))),AVERAGE(k_s,p_s,f_s,c_s)))),1),""))</f>
        <v/>
      </c>
      <c r="Z14">
        <f>IF($A14="","",TEXTJOIN(", ",TRUE,IF($B14="","??????????",""),IF($C14="","??????",""),IF($D14="","????",""),IF($E14="","??????????",""),IF($F14="","???-?????",""),IF($G14="","???-????",""),IF($H14="","??????",""),IF($L14="","???",""),IF($M14="","?????",""),IF($N14="","??????????????",""),IF($O14="","??????????",""),IF($P14="","???????",""),IF($U14="","???","")))</f>
        <v/>
      </c>
    </row>
    <row r="15">
      <c r="A15" s="2" t="n">
        <v>739661</v>
      </c>
      <c r="J15">
        <f>IF(A15="","",SUMIF(FoodLog!$A:$A,A15,FoodLog!$I:$I))</f>
        <v/>
      </c>
      <c r="K15">
        <f>IF(A15="","",SUMIF(FoodLog!$A:$A,A15,FoodLog!$F:$F))</f>
        <v/>
      </c>
      <c r="L15">
        <f>IF(A15="","",SUMIF(FoodLog!$A:$A,A15,FoodLog!$G:$G))</f>
        <v/>
      </c>
      <c r="M15">
        <f>IF(A15="","",SUMIF(FoodLog!$A:$A,A15,FoodLog!$H:$H))</f>
        <v/>
      </c>
      <c r="N15">
        <f>LET(train,B15,cardio,C15,steps,D15,sleep,E15,reg,F15,prod,I15,kcal,J15,p,K15,w_train,0.22,w_steps,0.18,w_sleep,0.20,w_reg,0.10,w_food,0.18,w_prod,0.12,s_train,IF(train="Верх",1,IF(train="Ноги",1,IF(train="Отдых",0.6,IF(train="Пропустил",0.2,0)))),s_steps,IF(steps="15k+",1,IF(steps="12-15k",0.9,IF(steps="10-12k",0.8,IF(steps="7-10k",0.6,IF(steps="5-7k",0.4,IF(steps="&lt;5k",0.2,0)))))),s_sleep,IF(sleep="&gt;8",0.9,IF(sleep="6-8",1,IF(sleep="&lt;6",0.2,0))),s_reg,IF(reg="Не сбит",1,IF(reg="Сбит",0.3,0)),s_food,IF(AND(kcal&gt;0,p&gt;0),MIN(1, (p/120))*0.6 + MIN(1, MAX(0,1-ABS(kcal-2200)/600))*0.4,0),s_prod,IF(prod="100%",1,IF(prod="75%",0.8,IF(prod="50%",0.6,IF(prod="25%",0.35,IF(prod="0%",0.1,0)))),ROUND(100*(w_train*s_train + w_steps*s_steps + w_sleep*s_sleep + w_reg*s_reg + w_food*s_food + w_prod*s_prod),0))</f>
        <v/>
      </c>
      <c r="O15">
        <f>TEXTJOIN(", ",TRUE,IF(B15="","тренировка",""),IF(D15="","шаги",""),IF(E15="","сон",""),IF(F15="","режим",""),IF(G15="","настроение",""),IF(H15="","энергия",""),IF(I15="","продуктивность",""),IF(J15="","еда (ккал)",""))</f>
        <v/>
      </c>
      <c r="U15">
        <f>IF($A15="","",IF(SUMIF(FoodLog!$A:$A,$A15,FoodLog!$I:$I)=0,"",SUMIF(FoodLog!$A:$A,$A15,FoodLog!$I:$I)))</f>
        <v/>
      </c>
      <c r="V15">
        <f>IF($A15="","",IF(SUMIF(FoodLog!$A:$A,$A15,FoodLog!$F:$F)=0,"",SUMIF(FoodLog!$A:$A,$A15,FoodLog!$F:$F)))</f>
        <v/>
      </c>
      <c r="W15">
        <f>IF($A15="","",IF(SUMIF(FoodLog!$A:$A,$A15,FoodLog!$G:$G)=0,"",SUMIF(FoodLog!$A:$A,$A15,FoodLog!$G:$G)))</f>
        <v/>
      </c>
      <c r="X15">
        <f>IF($A15="","",IF(SUMIF(FoodLog!$A:$A,$A15,FoodLog!$H:$H)=0,"",SUMIF(FoodLog!$A:$A,$A15,FoodLog!$H:$H)))</f>
        <v/>
      </c>
      <c r="Y15">
        <f>IF($A15="","",IFERROR(ROUND(100*AVERAGE(IF($B15="","",XLOOKUP($B15,FILTER(Dictionaries!$B:$B,Dictionaries!$A:$A="??????????"),FILTER(Dictionaries!$C:$C,Dictionaries!$A:$A="??????????"))),IF($C15="","",MIN($C15/40,1)),IF($D15="","",XLOOKUP($D15,FILTER(Dictionaries!$B:$B,Dictionaries!$A:$A="????"),FILTER(Dictionaries!$C:$C,Dictionaries!$A:$A="????"))),IF($E15="","",MIN($E15/120,1)),IF(OR($F15&lt;&gt;"",$G15&lt;&gt;""),1,""),IF($H15="","",MIN($H15/100,1)),IF($L15="","",XLOOKUP($L15,FILTER(Dictionaries!$B:$B,Dictionaries!$A:$A="???_????"),FILTER(Dictionaries!$C:$C,Dictionaries!$A:$A="???_????"))),IF($M15="","",XLOOKUP($M15,FILTER(Dictionaries!$B:$B,Dictionaries!$A:$A="?????"),FILTER(Dictionaries!$C:$C,Dictionaries!$A:$A="?????"))),IF($N15="","",MIN($N15/100,1)),IF($O15="","",XLOOKUP($O15,FILTER(Dictionaries!$B:$B,Dictionaries!$A:$A="??????????"),FILTER(Dictionaries!$C:$C,Dictionaries!$A:$A="??????????"))),IF($P15="","",XLOOKUP($P15,FILTER(Dictionaries!$B:$B,Dictionaries!$A:$A="???????"),FILTER(Dictionaries!$C:$C,Dictionaries!$A:$A="???????"))),IF($U15="","",LET(t,IF(OR($B15="????",$B15="????"),"train","rest"),k,$U15,p,$V15,f,$W15,c,$X15,k_s,IF(t="train",IF(k="","",IFS(AND(k&gt;=1900,k&lt;=2050),1,AND(k&gt;=1850,k&lt;1900),0.7,AND(k&gt;2050,k&lt;=2100),0.7,TRUE,0.2)),IF(k="","",IFS(AND(k&gt;=1700,k&lt;=1850),1,AND(k&gt;=1650,k&lt;1700),0.7,AND(k&gt;1850,k&lt;=1900),0.7,TRUE,0.2))),p_s,IF(t="train",IF(p="","",IFS(AND(p&gt;=125,p&lt;=135),1,AND(p&gt;=115,p&lt;125),0.7,AND(p&gt;135,p&lt;=145),0.7,AND(p&gt;=105,p&lt;115),0.4,AND(p&gt;145,p&lt;=155),0.4,TRUE,0.2)),IF(p="","",IFS(AND(p&gt;=120,p&lt;=130),1,AND(p&gt;=110,p&lt;120),0.7,AND(p&gt;130,p&lt;=140),0.7,AND(p&gt;=100,p&lt;110),0.4,AND(p&gt;140,p&lt;=150),0.4,TRUE,0.2))),f_s,IF(f="","",IFS(AND(f&gt;=55,f&lt;=65),1,AND(f&gt;=50,f&lt;55),0.7,AND(f&gt;65,f&lt;=70),0.7,AND(f&gt;=45,f&lt;50),0.4,AND(f&gt;70,f&lt;=75),0.4,TRUE,0.2)),c_s,IF(t="train",IF(c="","",IFS(AND(c&gt;=180,c&lt;=210),1,AND(c&gt;=160,c&lt;180),0.7,AND(c&gt;210,c&lt;=230),0.7,AND(c&gt;=140,c&lt;160),0.4,AND(c&gt;230,c&lt;=250),0.4,TRUE,0.2)),IF(c="","",IFS(AND(c&gt;=140,c&lt;=170),1,AND(c&gt;=120,c&lt;140),0.7,AND(c&gt;170,c&lt;=190),0.7,AND(c&gt;=100,c&lt;120),0.4,AND(c&gt;190,c&lt;=210),0.4,TRUE,0.2))),AVERAGE(k_s,p_s,f_s,c_s)))),1),""))</f>
        <v/>
      </c>
      <c r="Z15">
        <f>IF($A15="","",TEXTJOIN(", ",TRUE,IF($B15="","??????????",""),IF($C15="","??????",""),IF($D15="","????",""),IF($E15="","??????????",""),IF($F15="","???-?????",""),IF($G15="","???-????",""),IF($H15="","??????",""),IF($L15="","???",""),IF($M15="","?????",""),IF($N15="","??????????????",""),IF($O15="","??????????",""),IF($P15="","???????",""),IF($U15="","???","")))</f>
        <v/>
      </c>
    </row>
    <row r="16">
      <c r="A16" s="2" t="n">
        <v>739662</v>
      </c>
      <c r="J16">
        <f>IF(A16="","",SUMIF(FoodLog!$A:$A,A16,FoodLog!$I:$I))</f>
        <v/>
      </c>
      <c r="K16">
        <f>IF(A16="","",SUMIF(FoodLog!$A:$A,A16,FoodLog!$F:$F))</f>
        <v/>
      </c>
      <c r="L16">
        <f>IF(A16="","",SUMIF(FoodLog!$A:$A,A16,FoodLog!$G:$G))</f>
        <v/>
      </c>
      <c r="M16">
        <f>IF(A16="","",SUMIF(FoodLog!$A:$A,A16,FoodLog!$H:$H))</f>
        <v/>
      </c>
      <c r="N16">
        <f>LET(train,B16,cardio,C16,steps,D16,sleep,E16,reg,F16,prod,I16,kcal,J16,p,K16,w_train,0.22,w_steps,0.18,w_sleep,0.20,w_reg,0.10,w_food,0.18,w_prod,0.12,s_train,IF(train="Верх",1,IF(train="Ноги",1,IF(train="Отдых",0.6,IF(train="Пропустил",0.2,0)))),s_steps,IF(steps="15k+",1,IF(steps="12-15k",0.9,IF(steps="10-12k",0.8,IF(steps="7-10k",0.6,IF(steps="5-7k",0.4,IF(steps="&lt;5k",0.2,0)))))),s_sleep,IF(sleep="&gt;8",0.9,IF(sleep="6-8",1,IF(sleep="&lt;6",0.2,0))),s_reg,IF(reg="Не сбит",1,IF(reg="Сбит",0.3,0)),s_food,IF(AND(kcal&gt;0,p&gt;0),MIN(1, (p/120))*0.6 + MIN(1, MAX(0,1-ABS(kcal-2200)/600))*0.4,0),s_prod,IF(prod="100%",1,IF(prod="75%",0.8,IF(prod="50%",0.6,IF(prod="25%",0.35,IF(prod="0%",0.1,0)))),ROUND(100*(w_train*s_train + w_steps*s_steps + w_sleep*s_sleep + w_reg*s_reg + w_food*s_food + w_prod*s_prod),0))</f>
        <v/>
      </c>
      <c r="O16">
        <f>TEXTJOIN(", ",TRUE,IF(B16="","тренировка",""),IF(D16="","шаги",""),IF(E16="","сон",""),IF(F16="","режим",""),IF(G16="","настроение",""),IF(H16="","энергия",""),IF(I16="","продуктивность",""),IF(J16="","еда (ккал)",""))</f>
        <v/>
      </c>
      <c r="U16">
        <f>IF($A16="","",IF(SUMIF(FoodLog!$A:$A,$A16,FoodLog!$I:$I)=0,"",SUMIF(FoodLog!$A:$A,$A16,FoodLog!$I:$I)))</f>
        <v/>
      </c>
      <c r="V16">
        <f>IF($A16="","",IF(SUMIF(FoodLog!$A:$A,$A16,FoodLog!$F:$F)=0,"",SUMIF(FoodLog!$A:$A,$A16,FoodLog!$F:$F)))</f>
        <v/>
      </c>
      <c r="W16">
        <f>IF($A16="","",IF(SUMIF(FoodLog!$A:$A,$A16,FoodLog!$G:$G)=0,"",SUMIF(FoodLog!$A:$A,$A16,FoodLog!$G:$G)))</f>
        <v/>
      </c>
      <c r="X16">
        <f>IF($A16="","",IF(SUMIF(FoodLog!$A:$A,$A16,FoodLog!$H:$H)=0,"",SUMIF(FoodLog!$A:$A,$A16,FoodLog!$H:$H)))</f>
        <v/>
      </c>
      <c r="Y16">
        <f>IF($A16="","",IFERROR(ROUND(100*AVERAGE(IF($B16="","",XLOOKUP($B16,FILTER(Dictionaries!$B:$B,Dictionaries!$A:$A="??????????"),FILTER(Dictionaries!$C:$C,Dictionaries!$A:$A="??????????"))),IF($C16="","",MIN($C16/40,1)),IF($D16="","",XLOOKUP($D16,FILTER(Dictionaries!$B:$B,Dictionaries!$A:$A="????"),FILTER(Dictionaries!$C:$C,Dictionaries!$A:$A="????"))),IF($E16="","",MIN($E16/120,1)),IF(OR($F16&lt;&gt;"",$G16&lt;&gt;""),1,""),IF($H16="","",MIN($H16/100,1)),IF($L16="","",XLOOKUP($L16,FILTER(Dictionaries!$B:$B,Dictionaries!$A:$A="???_????"),FILTER(Dictionaries!$C:$C,Dictionaries!$A:$A="???_????"))),IF($M16="","",XLOOKUP($M16,FILTER(Dictionaries!$B:$B,Dictionaries!$A:$A="?????"),FILTER(Dictionaries!$C:$C,Dictionaries!$A:$A="?????"))),IF($N16="","",MIN($N16/100,1)),IF($O16="","",XLOOKUP($O16,FILTER(Dictionaries!$B:$B,Dictionaries!$A:$A="??????????"),FILTER(Dictionaries!$C:$C,Dictionaries!$A:$A="??????????"))),IF($P16="","",XLOOKUP($P16,FILTER(Dictionaries!$B:$B,Dictionaries!$A:$A="???????"),FILTER(Dictionaries!$C:$C,Dictionaries!$A:$A="???????"))),IF($U16="","",LET(t,IF(OR($B16="????",$B16="????"),"train","rest"),k,$U16,p,$V16,f,$W16,c,$X16,k_s,IF(t="train",IF(k="","",IFS(AND(k&gt;=1900,k&lt;=2050),1,AND(k&gt;=1850,k&lt;1900),0.7,AND(k&gt;2050,k&lt;=2100),0.7,TRUE,0.2)),IF(k="","",IFS(AND(k&gt;=1700,k&lt;=1850),1,AND(k&gt;=1650,k&lt;1700),0.7,AND(k&gt;1850,k&lt;=1900),0.7,TRUE,0.2))),p_s,IF(t="train",IF(p="","",IFS(AND(p&gt;=125,p&lt;=135),1,AND(p&gt;=115,p&lt;125),0.7,AND(p&gt;135,p&lt;=145),0.7,AND(p&gt;=105,p&lt;115),0.4,AND(p&gt;145,p&lt;=155),0.4,TRUE,0.2)),IF(p="","",IFS(AND(p&gt;=120,p&lt;=130),1,AND(p&gt;=110,p&lt;120),0.7,AND(p&gt;130,p&lt;=140),0.7,AND(p&gt;=100,p&lt;110),0.4,AND(p&gt;140,p&lt;=150),0.4,TRUE,0.2))),f_s,IF(f="","",IFS(AND(f&gt;=55,f&lt;=65),1,AND(f&gt;=50,f&lt;55),0.7,AND(f&gt;65,f&lt;=70),0.7,AND(f&gt;=45,f&lt;50),0.4,AND(f&gt;70,f&lt;=75),0.4,TRUE,0.2)),c_s,IF(t="train",IF(c="","",IFS(AND(c&gt;=180,c&lt;=210),1,AND(c&gt;=160,c&lt;180),0.7,AND(c&gt;210,c&lt;=230),0.7,AND(c&gt;=140,c&lt;160),0.4,AND(c&gt;230,c&lt;=250),0.4,TRUE,0.2)),IF(c="","",IFS(AND(c&gt;=140,c&lt;=170),1,AND(c&gt;=120,c&lt;140),0.7,AND(c&gt;170,c&lt;=190),0.7,AND(c&gt;=100,c&lt;120),0.4,AND(c&gt;190,c&lt;=210),0.4,TRUE,0.2))),AVERAGE(k_s,p_s,f_s,c_s)))),1),""))</f>
        <v/>
      </c>
      <c r="Z16">
        <f>IF($A16="","",TEXTJOIN(", ",TRUE,IF($B16="","??????????",""),IF($C16="","??????",""),IF($D16="","????",""),IF($E16="","??????????",""),IF($F16="","???-?????",""),IF($G16="","???-????",""),IF($H16="","??????",""),IF($L16="","???",""),IF($M16="","?????",""),IF($N16="","??????????????",""),IF($O16="","??????????",""),IF($P16="","???????",""),IF($U16="","???","")))</f>
        <v/>
      </c>
    </row>
    <row r="17">
      <c r="A17" s="2" t="n">
        <v>739663</v>
      </c>
      <c r="J17">
        <f>IF(A17="","",SUMIF(FoodLog!$A:$A,A17,FoodLog!$I:$I))</f>
        <v/>
      </c>
      <c r="K17">
        <f>IF(A17="","",SUMIF(FoodLog!$A:$A,A17,FoodLog!$F:$F))</f>
        <v/>
      </c>
      <c r="L17">
        <f>IF(A17="","",SUMIF(FoodLog!$A:$A,A17,FoodLog!$G:$G))</f>
        <v/>
      </c>
      <c r="M17">
        <f>IF(A17="","",SUMIF(FoodLog!$A:$A,A17,FoodLog!$H:$H))</f>
        <v/>
      </c>
      <c r="N17">
        <f>LET(train,B17,cardio,C17,steps,D17,sleep,E17,reg,F17,prod,I17,kcal,J17,p,K17,w_train,0.22,w_steps,0.18,w_sleep,0.20,w_reg,0.10,w_food,0.18,w_prod,0.12,s_train,IF(train="Верх",1,IF(train="Ноги",1,IF(train="Отдых",0.6,IF(train="Пропустил",0.2,0)))),s_steps,IF(steps="15k+",1,IF(steps="12-15k",0.9,IF(steps="10-12k",0.8,IF(steps="7-10k",0.6,IF(steps="5-7k",0.4,IF(steps="&lt;5k",0.2,0)))))),s_sleep,IF(sleep="&gt;8",0.9,IF(sleep="6-8",1,IF(sleep="&lt;6",0.2,0))),s_reg,IF(reg="Не сбит",1,IF(reg="Сбит",0.3,0)),s_food,IF(AND(kcal&gt;0,p&gt;0),MIN(1, (p/120))*0.6 + MIN(1, MAX(0,1-ABS(kcal-2200)/600))*0.4,0),s_prod,IF(prod="100%",1,IF(prod="75%",0.8,IF(prod="50%",0.6,IF(prod="25%",0.35,IF(prod="0%",0.1,0)))),ROUND(100*(w_train*s_train + w_steps*s_steps + w_sleep*s_sleep + w_reg*s_reg + w_food*s_food + w_prod*s_prod),0))</f>
        <v/>
      </c>
      <c r="O17">
        <f>TEXTJOIN(", ",TRUE,IF(B17="","тренировка",""),IF(D17="","шаги",""),IF(E17="","сон",""),IF(F17="","режим",""),IF(G17="","настроение",""),IF(H17="","энергия",""),IF(I17="","продуктивность",""),IF(J17="","еда (ккал)",""))</f>
        <v/>
      </c>
      <c r="U17">
        <f>IF($A17="","",IF(SUMIF(FoodLog!$A:$A,$A17,FoodLog!$I:$I)=0,"",SUMIF(FoodLog!$A:$A,$A17,FoodLog!$I:$I)))</f>
        <v/>
      </c>
      <c r="V17">
        <f>IF($A17="","",IF(SUMIF(FoodLog!$A:$A,$A17,FoodLog!$F:$F)=0,"",SUMIF(FoodLog!$A:$A,$A17,FoodLog!$F:$F)))</f>
        <v/>
      </c>
      <c r="W17">
        <f>IF($A17="","",IF(SUMIF(FoodLog!$A:$A,$A17,FoodLog!$G:$G)=0,"",SUMIF(FoodLog!$A:$A,$A17,FoodLog!$G:$G)))</f>
        <v/>
      </c>
      <c r="X17">
        <f>IF($A17="","",IF(SUMIF(FoodLog!$A:$A,$A17,FoodLog!$H:$H)=0,"",SUMIF(FoodLog!$A:$A,$A17,FoodLog!$H:$H)))</f>
        <v/>
      </c>
      <c r="Y17">
        <f>IF($A17="","",IFERROR(ROUND(100*AVERAGE(IF($B17="","",XLOOKUP($B17,FILTER(Dictionaries!$B:$B,Dictionaries!$A:$A="??????????"),FILTER(Dictionaries!$C:$C,Dictionaries!$A:$A="??????????"))),IF($C17="","",MIN($C17/40,1)),IF($D17="","",XLOOKUP($D17,FILTER(Dictionaries!$B:$B,Dictionaries!$A:$A="????"),FILTER(Dictionaries!$C:$C,Dictionaries!$A:$A="????"))),IF($E17="","",MIN($E17/120,1)),IF(OR($F17&lt;&gt;"",$G17&lt;&gt;""),1,""),IF($H17="","",MIN($H17/100,1)),IF($L17="","",XLOOKUP($L17,FILTER(Dictionaries!$B:$B,Dictionaries!$A:$A="???_????"),FILTER(Dictionaries!$C:$C,Dictionaries!$A:$A="???_????"))),IF($M17="","",XLOOKUP($M17,FILTER(Dictionaries!$B:$B,Dictionaries!$A:$A="?????"),FILTER(Dictionaries!$C:$C,Dictionaries!$A:$A="?????"))),IF($N17="","",MIN($N17/100,1)),IF($O17="","",XLOOKUP($O17,FILTER(Dictionaries!$B:$B,Dictionaries!$A:$A="??????????"),FILTER(Dictionaries!$C:$C,Dictionaries!$A:$A="??????????"))),IF($P17="","",XLOOKUP($P17,FILTER(Dictionaries!$B:$B,Dictionaries!$A:$A="???????"),FILTER(Dictionaries!$C:$C,Dictionaries!$A:$A="???????"))),IF($U17="","",LET(t,IF(OR($B17="????",$B17="????"),"train","rest"),k,$U17,p,$V17,f,$W17,c,$X17,k_s,IF(t="train",IF(k="","",IFS(AND(k&gt;=1900,k&lt;=2050),1,AND(k&gt;=1850,k&lt;1900),0.7,AND(k&gt;2050,k&lt;=2100),0.7,TRUE,0.2)),IF(k="","",IFS(AND(k&gt;=1700,k&lt;=1850),1,AND(k&gt;=1650,k&lt;1700),0.7,AND(k&gt;1850,k&lt;=1900),0.7,TRUE,0.2))),p_s,IF(t="train",IF(p="","",IFS(AND(p&gt;=125,p&lt;=135),1,AND(p&gt;=115,p&lt;125),0.7,AND(p&gt;135,p&lt;=145),0.7,AND(p&gt;=105,p&lt;115),0.4,AND(p&gt;145,p&lt;=155),0.4,TRUE,0.2)),IF(p="","",IFS(AND(p&gt;=120,p&lt;=130),1,AND(p&gt;=110,p&lt;120),0.7,AND(p&gt;130,p&lt;=140),0.7,AND(p&gt;=100,p&lt;110),0.4,AND(p&gt;140,p&lt;=150),0.4,TRUE,0.2))),f_s,IF(f="","",IFS(AND(f&gt;=55,f&lt;=65),1,AND(f&gt;=50,f&lt;55),0.7,AND(f&gt;65,f&lt;=70),0.7,AND(f&gt;=45,f&lt;50),0.4,AND(f&gt;70,f&lt;=75),0.4,TRUE,0.2)),c_s,IF(t="train",IF(c="","",IFS(AND(c&gt;=180,c&lt;=210),1,AND(c&gt;=160,c&lt;180),0.7,AND(c&gt;210,c&lt;=230),0.7,AND(c&gt;=140,c&lt;160),0.4,AND(c&gt;230,c&lt;=250),0.4,TRUE,0.2)),IF(c="","",IFS(AND(c&gt;=140,c&lt;=170),1,AND(c&gt;=120,c&lt;140),0.7,AND(c&gt;170,c&lt;=190),0.7,AND(c&gt;=100,c&lt;120),0.4,AND(c&gt;190,c&lt;=210),0.4,TRUE,0.2))),AVERAGE(k_s,p_s,f_s,c_s)))),1),""))</f>
        <v/>
      </c>
      <c r="Z17">
        <f>IF($A17="","",TEXTJOIN(", ",TRUE,IF($B17="","??????????",""),IF($C17="","??????",""),IF($D17="","????",""),IF($E17="","??????????",""),IF($F17="","???-?????",""),IF($G17="","???-????",""),IF($H17="","??????",""),IF($L17="","???",""),IF($M17="","?????",""),IF($N17="","??????????????",""),IF($O17="","??????????",""),IF($P17="","???????",""),IF($U17="","???","")))</f>
        <v/>
      </c>
    </row>
    <row r="18">
      <c r="A18" s="2" t="n">
        <v>739664</v>
      </c>
      <c r="J18">
        <f>IF(A18="","",SUMIF(FoodLog!$A:$A,A18,FoodLog!$I:$I))</f>
        <v/>
      </c>
      <c r="K18">
        <f>IF(A18="","",SUMIF(FoodLog!$A:$A,A18,FoodLog!$F:$F))</f>
        <v/>
      </c>
      <c r="L18">
        <f>IF(A18="","",SUMIF(FoodLog!$A:$A,A18,FoodLog!$G:$G))</f>
        <v/>
      </c>
      <c r="M18">
        <f>IF(A18="","",SUMIF(FoodLog!$A:$A,A18,FoodLog!$H:$H))</f>
        <v/>
      </c>
      <c r="N18">
        <f>LET(train,B18,cardio,C18,steps,D18,sleep,E18,reg,F18,prod,I18,kcal,J18,p,K18,w_train,0.22,w_steps,0.18,w_sleep,0.20,w_reg,0.10,w_food,0.18,w_prod,0.12,s_train,IF(train="Верх",1,IF(train="Ноги",1,IF(train="Отдых",0.6,IF(train="Пропустил",0.2,0)))),s_steps,IF(steps="15k+",1,IF(steps="12-15k",0.9,IF(steps="10-12k",0.8,IF(steps="7-10k",0.6,IF(steps="5-7k",0.4,IF(steps="&lt;5k",0.2,0)))))),s_sleep,IF(sleep="&gt;8",0.9,IF(sleep="6-8",1,IF(sleep="&lt;6",0.2,0))),s_reg,IF(reg="Не сбит",1,IF(reg="Сбит",0.3,0)),s_food,IF(AND(kcal&gt;0,p&gt;0),MIN(1, (p/120))*0.6 + MIN(1, MAX(0,1-ABS(kcal-2200)/600))*0.4,0),s_prod,IF(prod="100%",1,IF(prod="75%",0.8,IF(prod="50%",0.6,IF(prod="25%",0.35,IF(prod="0%",0.1,0)))),ROUND(100*(w_train*s_train + w_steps*s_steps + w_sleep*s_sleep + w_reg*s_reg + w_food*s_food + w_prod*s_prod),0))</f>
        <v/>
      </c>
      <c r="O18">
        <f>TEXTJOIN(", ",TRUE,IF(B18="","тренировка",""),IF(D18="","шаги",""),IF(E18="","сон",""),IF(F18="","режим",""),IF(G18="","настроение",""),IF(H18="","энергия",""),IF(I18="","продуктивность",""),IF(J18="","еда (ккал)",""))</f>
        <v/>
      </c>
      <c r="U18">
        <f>IF($A18="","",IF(SUMIF(FoodLog!$A:$A,$A18,FoodLog!$I:$I)=0,"",SUMIF(FoodLog!$A:$A,$A18,FoodLog!$I:$I)))</f>
        <v/>
      </c>
      <c r="V18">
        <f>IF($A18="","",IF(SUMIF(FoodLog!$A:$A,$A18,FoodLog!$F:$F)=0,"",SUMIF(FoodLog!$A:$A,$A18,FoodLog!$F:$F)))</f>
        <v/>
      </c>
      <c r="W18">
        <f>IF($A18="","",IF(SUMIF(FoodLog!$A:$A,$A18,FoodLog!$G:$G)=0,"",SUMIF(FoodLog!$A:$A,$A18,FoodLog!$G:$G)))</f>
        <v/>
      </c>
      <c r="X18">
        <f>IF($A18="","",IF(SUMIF(FoodLog!$A:$A,$A18,FoodLog!$H:$H)=0,"",SUMIF(FoodLog!$A:$A,$A18,FoodLog!$H:$H)))</f>
        <v/>
      </c>
      <c r="Y18">
        <f>IF($A18="","",IFERROR(ROUND(100*AVERAGE(IF($B18="","",XLOOKUP($B18,FILTER(Dictionaries!$B:$B,Dictionaries!$A:$A="??????????"),FILTER(Dictionaries!$C:$C,Dictionaries!$A:$A="??????????"))),IF($C18="","",MIN($C18/40,1)),IF($D18="","",XLOOKUP($D18,FILTER(Dictionaries!$B:$B,Dictionaries!$A:$A="????"),FILTER(Dictionaries!$C:$C,Dictionaries!$A:$A="????"))),IF($E18="","",MIN($E18/120,1)),IF(OR($F18&lt;&gt;"",$G18&lt;&gt;""),1,""),IF($H18="","",MIN($H18/100,1)),IF($L18="","",XLOOKUP($L18,FILTER(Dictionaries!$B:$B,Dictionaries!$A:$A="???_????"),FILTER(Dictionaries!$C:$C,Dictionaries!$A:$A="???_????"))),IF($M18="","",XLOOKUP($M18,FILTER(Dictionaries!$B:$B,Dictionaries!$A:$A="?????"),FILTER(Dictionaries!$C:$C,Dictionaries!$A:$A="?????"))),IF($N18="","",MIN($N18/100,1)),IF($O18="","",XLOOKUP($O18,FILTER(Dictionaries!$B:$B,Dictionaries!$A:$A="??????????"),FILTER(Dictionaries!$C:$C,Dictionaries!$A:$A="??????????"))),IF($P18="","",XLOOKUP($P18,FILTER(Dictionaries!$B:$B,Dictionaries!$A:$A="???????"),FILTER(Dictionaries!$C:$C,Dictionaries!$A:$A="???????"))),IF($U18="","",LET(t,IF(OR($B18="????",$B18="????"),"train","rest"),k,$U18,p,$V18,f,$W18,c,$X18,k_s,IF(t="train",IF(k="","",IFS(AND(k&gt;=1900,k&lt;=2050),1,AND(k&gt;=1850,k&lt;1900),0.7,AND(k&gt;2050,k&lt;=2100),0.7,TRUE,0.2)),IF(k="","",IFS(AND(k&gt;=1700,k&lt;=1850),1,AND(k&gt;=1650,k&lt;1700),0.7,AND(k&gt;1850,k&lt;=1900),0.7,TRUE,0.2))),p_s,IF(t="train",IF(p="","",IFS(AND(p&gt;=125,p&lt;=135),1,AND(p&gt;=115,p&lt;125),0.7,AND(p&gt;135,p&lt;=145),0.7,AND(p&gt;=105,p&lt;115),0.4,AND(p&gt;145,p&lt;=155),0.4,TRUE,0.2)),IF(p="","",IFS(AND(p&gt;=120,p&lt;=130),1,AND(p&gt;=110,p&lt;120),0.7,AND(p&gt;130,p&lt;=140),0.7,AND(p&gt;=100,p&lt;110),0.4,AND(p&gt;140,p&lt;=150),0.4,TRUE,0.2))),f_s,IF(f="","",IFS(AND(f&gt;=55,f&lt;=65),1,AND(f&gt;=50,f&lt;55),0.7,AND(f&gt;65,f&lt;=70),0.7,AND(f&gt;=45,f&lt;50),0.4,AND(f&gt;70,f&lt;=75),0.4,TRUE,0.2)),c_s,IF(t="train",IF(c="","",IFS(AND(c&gt;=180,c&lt;=210),1,AND(c&gt;=160,c&lt;180),0.7,AND(c&gt;210,c&lt;=230),0.7,AND(c&gt;=140,c&lt;160),0.4,AND(c&gt;230,c&lt;=250),0.4,TRUE,0.2)),IF(c="","",IFS(AND(c&gt;=140,c&lt;=170),1,AND(c&gt;=120,c&lt;140),0.7,AND(c&gt;170,c&lt;=190),0.7,AND(c&gt;=100,c&lt;120),0.4,AND(c&gt;190,c&lt;=210),0.4,TRUE,0.2))),AVERAGE(k_s,p_s,f_s,c_s)))),1),""))</f>
        <v/>
      </c>
      <c r="Z18">
        <f>IF($A18="","",TEXTJOIN(", ",TRUE,IF($B18="","??????????",""),IF($C18="","??????",""),IF($D18="","????",""),IF($E18="","??????????",""),IF($F18="","???-?????",""),IF($G18="","???-????",""),IF($H18="","??????",""),IF($L18="","???",""),IF($M18="","?????",""),IF($N18="","??????????????",""),IF($O18="","??????????",""),IF($P18="","???????",""),IF($U18="","???","")))</f>
        <v/>
      </c>
    </row>
    <row r="19">
      <c r="A19" s="2" t="n">
        <v>739665</v>
      </c>
      <c r="J19">
        <f>IF(A19="","",SUMIF(FoodLog!$A:$A,A19,FoodLog!$I:$I))</f>
        <v/>
      </c>
      <c r="K19">
        <f>IF(A19="","",SUMIF(FoodLog!$A:$A,A19,FoodLog!$F:$F))</f>
        <v/>
      </c>
      <c r="L19">
        <f>IF(A19="","",SUMIF(FoodLog!$A:$A,A19,FoodLog!$G:$G))</f>
        <v/>
      </c>
      <c r="M19">
        <f>IF(A19="","",SUMIF(FoodLog!$A:$A,A19,FoodLog!$H:$H))</f>
        <v/>
      </c>
      <c r="N19">
        <f>LET(train,B19,cardio,C19,steps,D19,sleep,E19,reg,F19,prod,I19,kcal,J19,p,K19,w_train,0.22,w_steps,0.18,w_sleep,0.20,w_reg,0.10,w_food,0.18,w_prod,0.12,s_train,IF(train="Верх",1,IF(train="Ноги",1,IF(train="Отдых",0.6,IF(train="Пропустил",0.2,0)))),s_steps,IF(steps="15k+",1,IF(steps="12-15k",0.9,IF(steps="10-12k",0.8,IF(steps="7-10k",0.6,IF(steps="5-7k",0.4,IF(steps="&lt;5k",0.2,0)))))),s_sleep,IF(sleep="&gt;8",0.9,IF(sleep="6-8",1,IF(sleep="&lt;6",0.2,0))),s_reg,IF(reg="Не сбит",1,IF(reg="Сбит",0.3,0)),s_food,IF(AND(kcal&gt;0,p&gt;0),MIN(1, (p/120))*0.6 + MIN(1, MAX(0,1-ABS(kcal-2200)/600))*0.4,0),s_prod,IF(prod="100%",1,IF(prod="75%",0.8,IF(prod="50%",0.6,IF(prod="25%",0.35,IF(prod="0%",0.1,0)))),ROUND(100*(w_train*s_train + w_steps*s_steps + w_sleep*s_sleep + w_reg*s_reg + w_food*s_food + w_prod*s_prod),0))</f>
        <v/>
      </c>
      <c r="O19">
        <f>TEXTJOIN(", ",TRUE,IF(B19="","тренировка",""),IF(D19="","шаги",""),IF(E19="","сон",""),IF(F19="","режим",""),IF(G19="","настроение",""),IF(H19="","энергия",""),IF(I19="","продуктивность",""),IF(J19="","еда (ккал)",""))</f>
        <v/>
      </c>
      <c r="U19">
        <f>IF($A19="","",IF(SUMIF(FoodLog!$A:$A,$A19,FoodLog!$I:$I)=0,"",SUMIF(FoodLog!$A:$A,$A19,FoodLog!$I:$I)))</f>
        <v/>
      </c>
      <c r="V19">
        <f>IF($A19="","",IF(SUMIF(FoodLog!$A:$A,$A19,FoodLog!$F:$F)=0,"",SUMIF(FoodLog!$A:$A,$A19,FoodLog!$F:$F)))</f>
        <v/>
      </c>
      <c r="W19">
        <f>IF($A19="","",IF(SUMIF(FoodLog!$A:$A,$A19,FoodLog!$G:$G)=0,"",SUMIF(FoodLog!$A:$A,$A19,FoodLog!$G:$G)))</f>
        <v/>
      </c>
      <c r="X19">
        <f>IF($A19="","",IF(SUMIF(FoodLog!$A:$A,$A19,FoodLog!$H:$H)=0,"",SUMIF(FoodLog!$A:$A,$A19,FoodLog!$H:$H)))</f>
        <v/>
      </c>
      <c r="Y19">
        <f>IF($A19="","",IFERROR(ROUND(100*AVERAGE(IF($B19="","",XLOOKUP($B19,FILTER(Dictionaries!$B:$B,Dictionaries!$A:$A="??????????"),FILTER(Dictionaries!$C:$C,Dictionaries!$A:$A="??????????"))),IF($C19="","",MIN($C19/40,1)),IF($D19="","",XLOOKUP($D19,FILTER(Dictionaries!$B:$B,Dictionaries!$A:$A="????"),FILTER(Dictionaries!$C:$C,Dictionaries!$A:$A="????"))),IF($E19="","",MIN($E19/120,1)),IF(OR($F19&lt;&gt;"",$G19&lt;&gt;""),1,""),IF($H19="","",MIN($H19/100,1)),IF($L19="","",XLOOKUP($L19,FILTER(Dictionaries!$B:$B,Dictionaries!$A:$A="???_????"),FILTER(Dictionaries!$C:$C,Dictionaries!$A:$A="???_????"))),IF($M19="","",XLOOKUP($M19,FILTER(Dictionaries!$B:$B,Dictionaries!$A:$A="?????"),FILTER(Dictionaries!$C:$C,Dictionaries!$A:$A="?????"))),IF($N19="","",MIN($N19/100,1)),IF($O19="","",XLOOKUP($O19,FILTER(Dictionaries!$B:$B,Dictionaries!$A:$A="??????????"),FILTER(Dictionaries!$C:$C,Dictionaries!$A:$A="??????????"))),IF($P19="","",XLOOKUP($P19,FILTER(Dictionaries!$B:$B,Dictionaries!$A:$A="???????"),FILTER(Dictionaries!$C:$C,Dictionaries!$A:$A="???????"))),IF($U19="","",LET(t,IF(OR($B19="????",$B19="????"),"train","rest"),k,$U19,p,$V19,f,$W19,c,$X19,k_s,IF(t="train",IF(k="","",IFS(AND(k&gt;=1900,k&lt;=2050),1,AND(k&gt;=1850,k&lt;1900),0.7,AND(k&gt;2050,k&lt;=2100),0.7,TRUE,0.2)),IF(k="","",IFS(AND(k&gt;=1700,k&lt;=1850),1,AND(k&gt;=1650,k&lt;1700),0.7,AND(k&gt;1850,k&lt;=1900),0.7,TRUE,0.2))),p_s,IF(t="train",IF(p="","",IFS(AND(p&gt;=125,p&lt;=135),1,AND(p&gt;=115,p&lt;125),0.7,AND(p&gt;135,p&lt;=145),0.7,AND(p&gt;=105,p&lt;115),0.4,AND(p&gt;145,p&lt;=155),0.4,TRUE,0.2)),IF(p="","",IFS(AND(p&gt;=120,p&lt;=130),1,AND(p&gt;=110,p&lt;120),0.7,AND(p&gt;130,p&lt;=140),0.7,AND(p&gt;=100,p&lt;110),0.4,AND(p&gt;140,p&lt;=150),0.4,TRUE,0.2))),f_s,IF(f="","",IFS(AND(f&gt;=55,f&lt;=65),1,AND(f&gt;=50,f&lt;55),0.7,AND(f&gt;65,f&lt;=70),0.7,AND(f&gt;=45,f&lt;50),0.4,AND(f&gt;70,f&lt;=75),0.4,TRUE,0.2)),c_s,IF(t="train",IF(c="","",IFS(AND(c&gt;=180,c&lt;=210),1,AND(c&gt;=160,c&lt;180),0.7,AND(c&gt;210,c&lt;=230),0.7,AND(c&gt;=140,c&lt;160),0.4,AND(c&gt;230,c&lt;=250),0.4,TRUE,0.2)),IF(c="","",IFS(AND(c&gt;=140,c&lt;=170),1,AND(c&gt;=120,c&lt;140),0.7,AND(c&gt;170,c&lt;=190),0.7,AND(c&gt;=100,c&lt;120),0.4,AND(c&gt;190,c&lt;=210),0.4,TRUE,0.2))),AVERAGE(k_s,p_s,f_s,c_s)))),1),""))</f>
        <v/>
      </c>
      <c r="Z19">
        <f>IF($A19="","",TEXTJOIN(", ",TRUE,IF($B19="","??????????",""),IF($C19="","??????",""),IF($D19="","????",""),IF($E19="","??????????",""),IF($F19="","???-?????",""),IF($G19="","???-????",""),IF($H19="","??????",""),IF($L19="","???",""),IF($M19="","?????",""),IF($N19="","??????????????",""),IF($O19="","??????????",""),IF($P19="","???????",""),IF($U19="","???","")))</f>
        <v/>
      </c>
    </row>
    <row r="20">
      <c r="A20" s="2" t="n">
        <v>739666</v>
      </c>
      <c r="J20">
        <f>IF(A20="","",SUMIF(FoodLog!$A:$A,A20,FoodLog!$I:$I))</f>
        <v/>
      </c>
      <c r="K20">
        <f>IF(A20="","",SUMIF(FoodLog!$A:$A,A20,FoodLog!$F:$F))</f>
        <v/>
      </c>
      <c r="L20">
        <f>IF(A20="","",SUMIF(FoodLog!$A:$A,A20,FoodLog!$G:$G))</f>
        <v/>
      </c>
      <c r="M20">
        <f>IF(A20="","",SUMIF(FoodLog!$A:$A,A20,FoodLog!$H:$H))</f>
        <v/>
      </c>
      <c r="N20">
        <f>LET(train,B20,cardio,C20,steps,D20,sleep,E20,reg,F20,prod,I20,kcal,J20,p,K20,w_train,0.22,w_steps,0.18,w_sleep,0.20,w_reg,0.10,w_food,0.18,w_prod,0.12,s_train,IF(train="Верх",1,IF(train="Ноги",1,IF(train="Отдых",0.6,IF(train="Пропустил",0.2,0)))),s_steps,IF(steps="15k+",1,IF(steps="12-15k",0.9,IF(steps="10-12k",0.8,IF(steps="7-10k",0.6,IF(steps="5-7k",0.4,IF(steps="&lt;5k",0.2,0)))))),s_sleep,IF(sleep="&gt;8",0.9,IF(sleep="6-8",1,IF(sleep="&lt;6",0.2,0))),s_reg,IF(reg="Не сбит",1,IF(reg="Сбит",0.3,0)),s_food,IF(AND(kcal&gt;0,p&gt;0),MIN(1, (p/120))*0.6 + MIN(1, MAX(0,1-ABS(kcal-2200)/600))*0.4,0),s_prod,IF(prod="100%",1,IF(prod="75%",0.8,IF(prod="50%",0.6,IF(prod="25%",0.35,IF(prod="0%",0.1,0)))),ROUND(100*(w_train*s_train + w_steps*s_steps + w_sleep*s_sleep + w_reg*s_reg + w_food*s_food + w_prod*s_prod),0))</f>
        <v/>
      </c>
      <c r="O20">
        <f>TEXTJOIN(", ",TRUE,IF(B20="","тренировка",""),IF(D20="","шаги",""),IF(E20="","сон",""),IF(F20="","режим",""),IF(G20="","настроение",""),IF(H20="","энергия",""),IF(I20="","продуктивность",""),IF(J20="","еда (ккал)",""))</f>
        <v/>
      </c>
      <c r="U20">
        <f>IF($A20="","",IF(SUMIF(FoodLog!$A:$A,$A20,FoodLog!$I:$I)=0,"",SUMIF(FoodLog!$A:$A,$A20,FoodLog!$I:$I)))</f>
        <v/>
      </c>
      <c r="V20">
        <f>IF($A20="","",IF(SUMIF(FoodLog!$A:$A,$A20,FoodLog!$F:$F)=0,"",SUMIF(FoodLog!$A:$A,$A20,FoodLog!$F:$F)))</f>
        <v/>
      </c>
      <c r="W20">
        <f>IF($A20="","",IF(SUMIF(FoodLog!$A:$A,$A20,FoodLog!$G:$G)=0,"",SUMIF(FoodLog!$A:$A,$A20,FoodLog!$G:$G)))</f>
        <v/>
      </c>
      <c r="X20">
        <f>IF($A20="","",IF(SUMIF(FoodLog!$A:$A,$A20,FoodLog!$H:$H)=0,"",SUMIF(FoodLog!$A:$A,$A20,FoodLog!$H:$H)))</f>
        <v/>
      </c>
      <c r="Y20">
        <f>IF($A20="","",IFERROR(ROUND(100*AVERAGE(IF($B20="","",XLOOKUP($B20,FILTER(Dictionaries!$B:$B,Dictionaries!$A:$A="??????????"),FILTER(Dictionaries!$C:$C,Dictionaries!$A:$A="??????????"))),IF($C20="","",MIN($C20/40,1)),IF($D20="","",XLOOKUP($D20,FILTER(Dictionaries!$B:$B,Dictionaries!$A:$A="????"),FILTER(Dictionaries!$C:$C,Dictionaries!$A:$A="????"))),IF($E20="","",MIN($E20/120,1)),IF(OR($F20&lt;&gt;"",$G20&lt;&gt;""),1,""),IF($H20="","",MIN($H20/100,1)),IF($L20="","",XLOOKUP($L20,FILTER(Dictionaries!$B:$B,Dictionaries!$A:$A="???_????"),FILTER(Dictionaries!$C:$C,Dictionaries!$A:$A="???_????"))),IF($M20="","",XLOOKUP($M20,FILTER(Dictionaries!$B:$B,Dictionaries!$A:$A="?????"),FILTER(Dictionaries!$C:$C,Dictionaries!$A:$A="?????"))),IF($N20="","",MIN($N20/100,1)),IF($O20="","",XLOOKUP($O20,FILTER(Dictionaries!$B:$B,Dictionaries!$A:$A="??????????"),FILTER(Dictionaries!$C:$C,Dictionaries!$A:$A="??????????"))),IF($P20="","",XLOOKUP($P20,FILTER(Dictionaries!$B:$B,Dictionaries!$A:$A="???????"),FILTER(Dictionaries!$C:$C,Dictionaries!$A:$A="???????"))),IF($U20="","",LET(t,IF(OR($B20="????",$B20="????"),"train","rest"),k,$U20,p,$V20,f,$W20,c,$X20,k_s,IF(t="train",IF(k="","",IFS(AND(k&gt;=1900,k&lt;=2050),1,AND(k&gt;=1850,k&lt;1900),0.7,AND(k&gt;2050,k&lt;=2100),0.7,TRUE,0.2)),IF(k="","",IFS(AND(k&gt;=1700,k&lt;=1850),1,AND(k&gt;=1650,k&lt;1700),0.7,AND(k&gt;1850,k&lt;=1900),0.7,TRUE,0.2))),p_s,IF(t="train",IF(p="","",IFS(AND(p&gt;=125,p&lt;=135),1,AND(p&gt;=115,p&lt;125),0.7,AND(p&gt;135,p&lt;=145),0.7,AND(p&gt;=105,p&lt;115),0.4,AND(p&gt;145,p&lt;=155),0.4,TRUE,0.2)),IF(p="","",IFS(AND(p&gt;=120,p&lt;=130),1,AND(p&gt;=110,p&lt;120),0.7,AND(p&gt;130,p&lt;=140),0.7,AND(p&gt;=100,p&lt;110),0.4,AND(p&gt;140,p&lt;=150),0.4,TRUE,0.2))),f_s,IF(f="","",IFS(AND(f&gt;=55,f&lt;=65),1,AND(f&gt;=50,f&lt;55),0.7,AND(f&gt;65,f&lt;=70),0.7,AND(f&gt;=45,f&lt;50),0.4,AND(f&gt;70,f&lt;=75),0.4,TRUE,0.2)),c_s,IF(t="train",IF(c="","",IFS(AND(c&gt;=180,c&lt;=210),1,AND(c&gt;=160,c&lt;180),0.7,AND(c&gt;210,c&lt;=230),0.7,AND(c&gt;=140,c&lt;160),0.4,AND(c&gt;230,c&lt;=250),0.4,TRUE,0.2)),IF(c="","",IFS(AND(c&gt;=140,c&lt;=170),1,AND(c&gt;=120,c&lt;140),0.7,AND(c&gt;170,c&lt;=190),0.7,AND(c&gt;=100,c&lt;120),0.4,AND(c&gt;190,c&lt;=210),0.4,TRUE,0.2))),AVERAGE(k_s,p_s,f_s,c_s)))),1),""))</f>
        <v/>
      </c>
      <c r="Z20">
        <f>IF($A20="","",TEXTJOIN(", ",TRUE,IF($B20="","??????????",""),IF($C20="","??????",""),IF($D20="","????",""),IF($E20="","??????????",""),IF($F20="","???-?????",""),IF($G20="","???-????",""),IF($H20="","??????",""),IF($L20="","???",""),IF($M20="","?????",""),IF($N20="","??????????????",""),IF($O20="","??????????",""),IF($P20="","???????",""),IF($U20="","???","")))</f>
        <v/>
      </c>
    </row>
    <row r="21">
      <c r="A21" s="2" t="n">
        <v>739667</v>
      </c>
      <c r="J21">
        <f>IF(A21="","",SUMIF(FoodLog!$A:$A,A21,FoodLog!$I:$I))</f>
        <v/>
      </c>
      <c r="K21">
        <f>IF(A21="","",SUMIF(FoodLog!$A:$A,A21,FoodLog!$F:$F))</f>
        <v/>
      </c>
      <c r="L21">
        <f>IF(A21="","",SUMIF(FoodLog!$A:$A,A21,FoodLog!$G:$G))</f>
        <v/>
      </c>
      <c r="M21">
        <f>IF(A21="","",SUMIF(FoodLog!$A:$A,A21,FoodLog!$H:$H))</f>
        <v/>
      </c>
      <c r="N21">
        <f>LET(train,B21,cardio,C21,steps,D21,sleep,E21,reg,F21,prod,I21,kcal,J21,p,K21,w_train,0.22,w_steps,0.18,w_sleep,0.20,w_reg,0.10,w_food,0.18,w_prod,0.12,s_train,IF(train="Верх",1,IF(train="Ноги",1,IF(train="Отдых",0.6,IF(train="Пропустил",0.2,0)))),s_steps,IF(steps="15k+",1,IF(steps="12-15k",0.9,IF(steps="10-12k",0.8,IF(steps="7-10k",0.6,IF(steps="5-7k",0.4,IF(steps="&lt;5k",0.2,0)))))),s_sleep,IF(sleep="&gt;8",0.9,IF(sleep="6-8",1,IF(sleep="&lt;6",0.2,0))),s_reg,IF(reg="Не сбит",1,IF(reg="Сбит",0.3,0)),s_food,IF(AND(kcal&gt;0,p&gt;0),MIN(1, (p/120))*0.6 + MIN(1, MAX(0,1-ABS(kcal-2200)/600))*0.4,0),s_prod,IF(prod="100%",1,IF(prod="75%",0.8,IF(prod="50%",0.6,IF(prod="25%",0.35,IF(prod="0%",0.1,0)))),ROUND(100*(w_train*s_train + w_steps*s_steps + w_sleep*s_sleep + w_reg*s_reg + w_food*s_food + w_prod*s_prod),0))</f>
        <v/>
      </c>
      <c r="O21">
        <f>TEXTJOIN(", ",TRUE,IF(B21="","тренировка",""),IF(D21="","шаги",""),IF(E21="","сон",""),IF(F21="","режим",""),IF(G21="","настроение",""),IF(H21="","энергия",""),IF(I21="","продуктивность",""),IF(J21="","еда (ккал)",""))</f>
        <v/>
      </c>
      <c r="U21">
        <f>IF($A21="","",IF(SUMIF(FoodLog!$A:$A,$A21,FoodLog!$I:$I)=0,"",SUMIF(FoodLog!$A:$A,$A21,FoodLog!$I:$I)))</f>
        <v/>
      </c>
      <c r="V21">
        <f>IF($A21="","",IF(SUMIF(FoodLog!$A:$A,$A21,FoodLog!$F:$F)=0,"",SUMIF(FoodLog!$A:$A,$A21,FoodLog!$F:$F)))</f>
        <v/>
      </c>
      <c r="W21">
        <f>IF($A21="","",IF(SUMIF(FoodLog!$A:$A,$A21,FoodLog!$G:$G)=0,"",SUMIF(FoodLog!$A:$A,$A21,FoodLog!$G:$G)))</f>
        <v/>
      </c>
      <c r="X21">
        <f>IF($A21="","",IF(SUMIF(FoodLog!$A:$A,$A21,FoodLog!$H:$H)=0,"",SUMIF(FoodLog!$A:$A,$A21,FoodLog!$H:$H)))</f>
        <v/>
      </c>
      <c r="Y21">
        <f>IF($A21="","",IFERROR(ROUND(100*AVERAGE(IF($B21="","",XLOOKUP($B21,FILTER(Dictionaries!$B:$B,Dictionaries!$A:$A="??????????"),FILTER(Dictionaries!$C:$C,Dictionaries!$A:$A="??????????"))),IF($C21="","",MIN($C21/40,1)),IF($D21="","",XLOOKUP($D21,FILTER(Dictionaries!$B:$B,Dictionaries!$A:$A="????"),FILTER(Dictionaries!$C:$C,Dictionaries!$A:$A="????"))),IF($E21="","",MIN($E21/120,1)),IF(OR($F21&lt;&gt;"",$G21&lt;&gt;""),1,""),IF($H21="","",MIN($H21/100,1)),IF($L21="","",XLOOKUP($L21,FILTER(Dictionaries!$B:$B,Dictionaries!$A:$A="???_????"),FILTER(Dictionaries!$C:$C,Dictionaries!$A:$A="???_????"))),IF($M21="","",XLOOKUP($M21,FILTER(Dictionaries!$B:$B,Dictionaries!$A:$A="?????"),FILTER(Dictionaries!$C:$C,Dictionaries!$A:$A="?????"))),IF($N21="","",MIN($N21/100,1)),IF($O21="","",XLOOKUP($O21,FILTER(Dictionaries!$B:$B,Dictionaries!$A:$A="??????????"),FILTER(Dictionaries!$C:$C,Dictionaries!$A:$A="??????????"))),IF($P21="","",XLOOKUP($P21,FILTER(Dictionaries!$B:$B,Dictionaries!$A:$A="???????"),FILTER(Dictionaries!$C:$C,Dictionaries!$A:$A="???????"))),IF($U21="","",LET(t,IF(OR($B21="????",$B21="????"),"train","rest"),k,$U21,p,$V21,f,$W21,c,$X21,k_s,IF(t="train",IF(k="","",IFS(AND(k&gt;=1900,k&lt;=2050),1,AND(k&gt;=1850,k&lt;1900),0.7,AND(k&gt;2050,k&lt;=2100),0.7,TRUE,0.2)),IF(k="","",IFS(AND(k&gt;=1700,k&lt;=1850),1,AND(k&gt;=1650,k&lt;1700),0.7,AND(k&gt;1850,k&lt;=1900),0.7,TRUE,0.2))),p_s,IF(t="train",IF(p="","",IFS(AND(p&gt;=125,p&lt;=135),1,AND(p&gt;=115,p&lt;125),0.7,AND(p&gt;135,p&lt;=145),0.7,AND(p&gt;=105,p&lt;115),0.4,AND(p&gt;145,p&lt;=155),0.4,TRUE,0.2)),IF(p="","",IFS(AND(p&gt;=120,p&lt;=130),1,AND(p&gt;=110,p&lt;120),0.7,AND(p&gt;130,p&lt;=140),0.7,AND(p&gt;=100,p&lt;110),0.4,AND(p&gt;140,p&lt;=150),0.4,TRUE,0.2))),f_s,IF(f="","",IFS(AND(f&gt;=55,f&lt;=65),1,AND(f&gt;=50,f&lt;55),0.7,AND(f&gt;65,f&lt;=70),0.7,AND(f&gt;=45,f&lt;50),0.4,AND(f&gt;70,f&lt;=75),0.4,TRUE,0.2)),c_s,IF(t="train",IF(c="","",IFS(AND(c&gt;=180,c&lt;=210),1,AND(c&gt;=160,c&lt;180),0.7,AND(c&gt;210,c&lt;=230),0.7,AND(c&gt;=140,c&lt;160),0.4,AND(c&gt;230,c&lt;=250),0.4,TRUE,0.2)),IF(c="","",IFS(AND(c&gt;=140,c&lt;=170),1,AND(c&gt;=120,c&lt;140),0.7,AND(c&gt;170,c&lt;=190),0.7,AND(c&gt;=100,c&lt;120),0.4,AND(c&gt;190,c&lt;=210),0.4,TRUE,0.2))),AVERAGE(k_s,p_s,f_s,c_s)))),1),""))</f>
        <v/>
      </c>
      <c r="Z21">
        <f>IF($A21="","",TEXTJOIN(", ",TRUE,IF($B21="","??????????",""),IF($C21="","??????",""),IF($D21="","????",""),IF($E21="","??????????",""),IF($F21="","???-?????",""),IF($G21="","???-????",""),IF($H21="","??????",""),IF($L21="","???",""),IF($M21="","?????",""),IF($N21="","??????????????",""),IF($O21="","??????????",""),IF($P21="","???????",""),IF($U21="","???","")))</f>
        <v/>
      </c>
    </row>
    <row r="22">
      <c r="A22" s="2" t="n">
        <v>739668</v>
      </c>
      <c r="J22">
        <f>IF(A22="","",SUMIF(FoodLog!$A:$A,A22,FoodLog!$I:$I))</f>
        <v/>
      </c>
      <c r="K22">
        <f>IF(A22="","",SUMIF(FoodLog!$A:$A,A22,FoodLog!$F:$F))</f>
        <v/>
      </c>
      <c r="L22">
        <f>IF(A22="","",SUMIF(FoodLog!$A:$A,A22,FoodLog!$G:$G))</f>
        <v/>
      </c>
      <c r="M22">
        <f>IF(A22="","",SUMIF(FoodLog!$A:$A,A22,FoodLog!$H:$H))</f>
        <v/>
      </c>
      <c r="N22">
        <f>LET(train,B22,cardio,C22,steps,D22,sleep,E22,reg,F22,prod,I22,kcal,J22,p,K22,w_train,0.22,w_steps,0.18,w_sleep,0.20,w_reg,0.10,w_food,0.18,w_prod,0.12,s_train,IF(train="Верх",1,IF(train="Ноги",1,IF(train="Отдых",0.6,IF(train="Пропустил",0.2,0)))),s_steps,IF(steps="15k+",1,IF(steps="12-15k",0.9,IF(steps="10-12k",0.8,IF(steps="7-10k",0.6,IF(steps="5-7k",0.4,IF(steps="&lt;5k",0.2,0)))))),s_sleep,IF(sleep="&gt;8",0.9,IF(sleep="6-8",1,IF(sleep="&lt;6",0.2,0))),s_reg,IF(reg="Не сбит",1,IF(reg="Сбит",0.3,0)),s_food,IF(AND(kcal&gt;0,p&gt;0),MIN(1, (p/120))*0.6 + MIN(1, MAX(0,1-ABS(kcal-2200)/600))*0.4,0),s_prod,IF(prod="100%",1,IF(prod="75%",0.8,IF(prod="50%",0.6,IF(prod="25%",0.35,IF(prod="0%",0.1,0)))),ROUND(100*(w_train*s_train + w_steps*s_steps + w_sleep*s_sleep + w_reg*s_reg + w_food*s_food + w_prod*s_prod),0))</f>
        <v/>
      </c>
      <c r="O22">
        <f>TEXTJOIN(", ",TRUE,IF(B22="","тренировка",""),IF(D22="","шаги",""),IF(E22="","сон",""),IF(F22="","режим",""),IF(G22="","настроение",""),IF(H22="","энергия",""),IF(I22="","продуктивность",""),IF(J22="","еда (ккал)",""))</f>
        <v/>
      </c>
      <c r="U22">
        <f>IF($A22="","",IF(SUMIF(FoodLog!$A:$A,$A22,FoodLog!$I:$I)=0,"",SUMIF(FoodLog!$A:$A,$A22,FoodLog!$I:$I)))</f>
        <v/>
      </c>
      <c r="V22">
        <f>IF($A22="","",IF(SUMIF(FoodLog!$A:$A,$A22,FoodLog!$F:$F)=0,"",SUMIF(FoodLog!$A:$A,$A22,FoodLog!$F:$F)))</f>
        <v/>
      </c>
      <c r="W22">
        <f>IF($A22="","",IF(SUMIF(FoodLog!$A:$A,$A22,FoodLog!$G:$G)=0,"",SUMIF(FoodLog!$A:$A,$A22,FoodLog!$G:$G)))</f>
        <v/>
      </c>
      <c r="X22">
        <f>IF($A22="","",IF(SUMIF(FoodLog!$A:$A,$A22,FoodLog!$H:$H)=0,"",SUMIF(FoodLog!$A:$A,$A22,FoodLog!$H:$H)))</f>
        <v/>
      </c>
      <c r="Y22">
        <f>IF($A22="","",IFERROR(ROUND(100*AVERAGE(IF($B22="","",XLOOKUP($B22,FILTER(Dictionaries!$B:$B,Dictionaries!$A:$A="??????????"),FILTER(Dictionaries!$C:$C,Dictionaries!$A:$A="??????????"))),IF($C22="","",MIN($C22/40,1)),IF($D22="","",XLOOKUP($D22,FILTER(Dictionaries!$B:$B,Dictionaries!$A:$A="????"),FILTER(Dictionaries!$C:$C,Dictionaries!$A:$A="????"))),IF($E22="","",MIN($E22/120,1)),IF(OR($F22&lt;&gt;"",$G22&lt;&gt;""),1,""),IF($H22="","",MIN($H22/100,1)),IF($L22="","",XLOOKUP($L22,FILTER(Dictionaries!$B:$B,Dictionaries!$A:$A="???_????"),FILTER(Dictionaries!$C:$C,Dictionaries!$A:$A="???_????"))),IF($M22="","",XLOOKUP($M22,FILTER(Dictionaries!$B:$B,Dictionaries!$A:$A="?????"),FILTER(Dictionaries!$C:$C,Dictionaries!$A:$A="?????"))),IF($N22="","",MIN($N22/100,1)),IF($O22="","",XLOOKUP($O22,FILTER(Dictionaries!$B:$B,Dictionaries!$A:$A="??????????"),FILTER(Dictionaries!$C:$C,Dictionaries!$A:$A="??????????"))),IF($P22="","",XLOOKUP($P22,FILTER(Dictionaries!$B:$B,Dictionaries!$A:$A="???????"),FILTER(Dictionaries!$C:$C,Dictionaries!$A:$A="???????"))),IF($U22="","",LET(t,IF(OR($B22="????",$B22="????"),"train","rest"),k,$U22,p,$V22,f,$W22,c,$X22,k_s,IF(t="train",IF(k="","",IFS(AND(k&gt;=1900,k&lt;=2050),1,AND(k&gt;=1850,k&lt;1900),0.7,AND(k&gt;2050,k&lt;=2100),0.7,TRUE,0.2)),IF(k="","",IFS(AND(k&gt;=1700,k&lt;=1850),1,AND(k&gt;=1650,k&lt;1700),0.7,AND(k&gt;1850,k&lt;=1900),0.7,TRUE,0.2))),p_s,IF(t="train",IF(p="","",IFS(AND(p&gt;=125,p&lt;=135),1,AND(p&gt;=115,p&lt;125),0.7,AND(p&gt;135,p&lt;=145),0.7,AND(p&gt;=105,p&lt;115),0.4,AND(p&gt;145,p&lt;=155),0.4,TRUE,0.2)),IF(p="","",IFS(AND(p&gt;=120,p&lt;=130),1,AND(p&gt;=110,p&lt;120),0.7,AND(p&gt;130,p&lt;=140),0.7,AND(p&gt;=100,p&lt;110),0.4,AND(p&gt;140,p&lt;=150),0.4,TRUE,0.2))),f_s,IF(f="","",IFS(AND(f&gt;=55,f&lt;=65),1,AND(f&gt;=50,f&lt;55),0.7,AND(f&gt;65,f&lt;=70),0.7,AND(f&gt;=45,f&lt;50),0.4,AND(f&gt;70,f&lt;=75),0.4,TRUE,0.2)),c_s,IF(t="train",IF(c="","",IFS(AND(c&gt;=180,c&lt;=210),1,AND(c&gt;=160,c&lt;180),0.7,AND(c&gt;210,c&lt;=230),0.7,AND(c&gt;=140,c&lt;160),0.4,AND(c&gt;230,c&lt;=250),0.4,TRUE,0.2)),IF(c="","",IFS(AND(c&gt;=140,c&lt;=170),1,AND(c&gt;=120,c&lt;140),0.7,AND(c&gt;170,c&lt;=190),0.7,AND(c&gt;=100,c&lt;120),0.4,AND(c&gt;190,c&lt;=210),0.4,TRUE,0.2))),AVERAGE(k_s,p_s,f_s,c_s)))),1),""))</f>
        <v/>
      </c>
      <c r="Z22">
        <f>IF($A22="","",TEXTJOIN(", ",TRUE,IF($B22="","??????????",""),IF($C22="","??????",""),IF($D22="","????",""),IF($E22="","??????????",""),IF($F22="","???-?????",""),IF($G22="","???-????",""),IF($H22="","??????",""),IF($L22="","???",""),IF($M22="","?????",""),IF($N22="","??????????????",""),IF($O22="","??????????",""),IF($P22="","???????",""),IF($U22="","???","")))</f>
        <v/>
      </c>
    </row>
    <row r="23">
      <c r="A23" s="2" t="n">
        <v>739669</v>
      </c>
      <c r="J23">
        <f>IF(A23="","",SUMIF(FoodLog!$A:$A,A23,FoodLog!$I:$I))</f>
        <v/>
      </c>
      <c r="K23">
        <f>IF(A23="","",SUMIF(FoodLog!$A:$A,A23,FoodLog!$F:$F))</f>
        <v/>
      </c>
      <c r="L23">
        <f>IF(A23="","",SUMIF(FoodLog!$A:$A,A23,FoodLog!$G:$G))</f>
        <v/>
      </c>
      <c r="M23">
        <f>IF(A23="","",SUMIF(FoodLog!$A:$A,A23,FoodLog!$H:$H))</f>
        <v/>
      </c>
      <c r="N23">
        <f>LET(train,B23,cardio,C23,steps,D23,sleep,E23,reg,F23,prod,I23,kcal,J23,p,K23,w_train,0.22,w_steps,0.18,w_sleep,0.20,w_reg,0.10,w_food,0.18,w_prod,0.12,s_train,IF(train="Верх",1,IF(train="Ноги",1,IF(train="Отдых",0.6,IF(train="Пропустил",0.2,0)))),s_steps,IF(steps="15k+",1,IF(steps="12-15k",0.9,IF(steps="10-12k",0.8,IF(steps="7-10k",0.6,IF(steps="5-7k",0.4,IF(steps="&lt;5k",0.2,0)))))),s_sleep,IF(sleep="&gt;8",0.9,IF(sleep="6-8",1,IF(sleep="&lt;6",0.2,0))),s_reg,IF(reg="Не сбит",1,IF(reg="Сбит",0.3,0)),s_food,IF(AND(kcal&gt;0,p&gt;0),MIN(1, (p/120))*0.6 + MIN(1, MAX(0,1-ABS(kcal-2200)/600))*0.4,0),s_prod,IF(prod="100%",1,IF(prod="75%",0.8,IF(prod="50%",0.6,IF(prod="25%",0.35,IF(prod="0%",0.1,0)))),ROUND(100*(w_train*s_train + w_steps*s_steps + w_sleep*s_sleep + w_reg*s_reg + w_food*s_food + w_prod*s_prod),0))</f>
        <v/>
      </c>
      <c r="O23">
        <f>TEXTJOIN(", ",TRUE,IF(B23="","тренировка",""),IF(D23="","шаги",""),IF(E23="","сон",""),IF(F23="","режим",""),IF(G23="","настроение",""),IF(H23="","энергия",""),IF(I23="","продуктивность",""),IF(J23="","еда (ккал)",""))</f>
        <v/>
      </c>
      <c r="U23">
        <f>IF($A23="","",IF(SUMIF(FoodLog!$A:$A,$A23,FoodLog!$I:$I)=0,"",SUMIF(FoodLog!$A:$A,$A23,FoodLog!$I:$I)))</f>
        <v/>
      </c>
      <c r="V23">
        <f>IF($A23="","",IF(SUMIF(FoodLog!$A:$A,$A23,FoodLog!$F:$F)=0,"",SUMIF(FoodLog!$A:$A,$A23,FoodLog!$F:$F)))</f>
        <v/>
      </c>
      <c r="W23">
        <f>IF($A23="","",IF(SUMIF(FoodLog!$A:$A,$A23,FoodLog!$G:$G)=0,"",SUMIF(FoodLog!$A:$A,$A23,FoodLog!$G:$G)))</f>
        <v/>
      </c>
      <c r="X23">
        <f>IF($A23="","",IF(SUMIF(FoodLog!$A:$A,$A23,FoodLog!$H:$H)=0,"",SUMIF(FoodLog!$A:$A,$A23,FoodLog!$H:$H)))</f>
        <v/>
      </c>
      <c r="Y23">
        <f>IF($A23="","",IFERROR(ROUND(100*AVERAGE(IF($B23="","",XLOOKUP($B23,FILTER(Dictionaries!$B:$B,Dictionaries!$A:$A="??????????"),FILTER(Dictionaries!$C:$C,Dictionaries!$A:$A="??????????"))),IF($C23="","",MIN($C23/40,1)),IF($D23="","",XLOOKUP($D23,FILTER(Dictionaries!$B:$B,Dictionaries!$A:$A="????"),FILTER(Dictionaries!$C:$C,Dictionaries!$A:$A="????"))),IF($E23="","",MIN($E23/120,1)),IF(OR($F23&lt;&gt;"",$G23&lt;&gt;""),1,""),IF($H23="","",MIN($H23/100,1)),IF($L23="","",XLOOKUP($L23,FILTER(Dictionaries!$B:$B,Dictionaries!$A:$A="???_????"),FILTER(Dictionaries!$C:$C,Dictionaries!$A:$A="???_????"))),IF($M23="","",XLOOKUP($M23,FILTER(Dictionaries!$B:$B,Dictionaries!$A:$A="?????"),FILTER(Dictionaries!$C:$C,Dictionaries!$A:$A="?????"))),IF($N23="","",MIN($N23/100,1)),IF($O23="","",XLOOKUP($O23,FILTER(Dictionaries!$B:$B,Dictionaries!$A:$A="??????????"),FILTER(Dictionaries!$C:$C,Dictionaries!$A:$A="??????????"))),IF($P23="","",XLOOKUP($P23,FILTER(Dictionaries!$B:$B,Dictionaries!$A:$A="???????"),FILTER(Dictionaries!$C:$C,Dictionaries!$A:$A="???????"))),IF($U23="","",LET(t,IF(OR($B23="????",$B23="????"),"train","rest"),k,$U23,p,$V23,f,$W23,c,$X23,k_s,IF(t="train",IF(k="","",IFS(AND(k&gt;=1900,k&lt;=2050),1,AND(k&gt;=1850,k&lt;1900),0.7,AND(k&gt;2050,k&lt;=2100),0.7,TRUE,0.2)),IF(k="","",IFS(AND(k&gt;=1700,k&lt;=1850),1,AND(k&gt;=1650,k&lt;1700),0.7,AND(k&gt;1850,k&lt;=1900),0.7,TRUE,0.2))),p_s,IF(t="train",IF(p="","",IFS(AND(p&gt;=125,p&lt;=135),1,AND(p&gt;=115,p&lt;125),0.7,AND(p&gt;135,p&lt;=145),0.7,AND(p&gt;=105,p&lt;115),0.4,AND(p&gt;145,p&lt;=155),0.4,TRUE,0.2)),IF(p="","",IFS(AND(p&gt;=120,p&lt;=130),1,AND(p&gt;=110,p&lt;120),0.7,AND(p&gt;130,p&lt;=140),0.7,AND(p&gt;=100,p&lt;110),0.4,AND(p&gt;140,p&lt;=150),0.4,TRUE,0.2))),f_s,IF(f="","",IFS(AND(f&gt;=55,f&lt;=65),1,AND(f&gt;=50,f&lt;55),0.7,AND(f&gt;65,f&lt;=70),0.7,AND(f&gt;=45,f&lt;50),0.4,AND(f&gt;70,f&lt;=75),0.4,TRUE,0.2)),c_s,IF(t="train",IF(c="","",IFS(AND(c&gt;=180,c&lt;=210),1,AND(c&gt;=160,c&lt;180),0.7,AND(c&gt;210,c&lt;=230),0.7,AND(c&gt;=140,c&lt;160),0.4,AND(c&gt;230,c&lt;=250),0.4,TRUE,0.2)),IF(c="","",IFS(AND(c&gt;=140,c&lt;=170),1,AND(c&gt;=120,c&lt;140),0.7,AND(c&gt;170,c&lt;=190),0.7,AND(c&gt;=100,c&lt;120),0.4,AND(c&gt;190,c&lt;=210),0.4,TRUE,0.2))),AVERAGE(k_s,p_s,f_s,c_s)))),1),""))</f>
        <v/>
      </c>
      <c r="Z23">
        <f>IF($A23="","",TEXTJOIN(", ",TRUE,IF($B23="","??????????",""),IF($C23="","??????",""),IF($D23="","????",""),IF($E23="","??????????",""),IF($F23="","???-?????",""),IF($G23="","???-????",""),IF($H23="","??????",""),IF($L23="","???",""),IF($M23="","?????",""),IF($N23="","??????????????",""),IF($O23="","??????????",""),IF($P23="","???????",""),IF($U23="","???","")))</f>
        <v/>
      </c>
    </row>
    <row r="24">
      <c r="A24" s="2" t="n">
        <v>739670</v>
      </c>
      <c r="J24">
        <f>IF(A24="","",SUMIF(FoodLog!$A:$A,A24,FoodLog!$I:$I))</f>
        <v/>
      </c>
      <c r="K24">
        <f>IF(A24="","",SUMIF(FoodLog!$A:$A,A24,FoodLog!$F:$F))</f>
        <v/>
      </c>
      <c r="L24">
        <f>IF(A24="","",SUMIF(FoodLog!$A:$A,A24,FoodLog!$G:$G))</f>
        <v/>
      </c>
      <c r="M24">
        <f>IF(A24="","",SUMIF(FoodLog!$A:$A,A24,FoodLog!$H:$H))</f>
        <v/>
      </c>
      <c r="N24">
        <f>LET(train,B24,cardio,C24,steps,D24,sleep,E24,reg,F24,prod,I24,kcal,J24,p,K24,w_train,0.22,w_steps,0.18,w_sleep,0.20,w_reg,0.10,w_food,0.18,w_prod,0.12,s_train,IF(train="Верх",1,IF(train="Ноги",1,IF(train="Отдых",0.6,IF(train="Пропустил",0.2,0)))),s_steps,IF(steps="15k+",1,IF(steps="12-15k",0.9,IF(steps="10-12k",0.8,IF(steps="7-10k",0.6,IF(steps="5-7k",0.4,IF(steps="&lt;5k",0.2,0)))))),s_sleep,IF(sleep="&gt;8",0.9,IF(sleep="6-8",1,IF(sleep="&lt;6",0.2,0))),s_reg,IF(reg="Не сбит",1,IF(reg="Сбит",0.3,0)),s_food,IF(AND(kcal&gt;0,p&gt;0),MIN(1, (p/120))*0.6 + MIN(1, MAX(0,1-ABS(kcal-2200)/600))*0.4,0),s_prod,IF(prod="100%",1,IF(prod="75%",0.8,IF(prod="50%",0.6,IF(prod="25%",0.35,IF(prod="0%",0.1,0)))),ROUND(100*(w_train*s_train + w_steps*s_steps + w_sleep*s_sleep + w_reg*s_reg + w_food*s_food + w_prod*s_prod),0))</f>
        <v/>
      </c>
      <c r="O24">
        <f>TEXTJOIN(", ",TRUE,IF(B24="","тренировка",""),IF(D24="","шаги",""),IF(E24="","сон",""),IF(F24="","режим",""),IF(G24="","настроение",""),IF(H24="","энергия",""),IF(I24="","продуктивность",""),IF(J24="","еда (ккал)",""))</f>
        <v/>
      </c>
      <c r="U24">
        <f>IF($A24="","",IF(SUMIF(FoodLog!$A:$A,$A24,FoodLog!$I:$I)=0,"",SUMIF(FoodLog!$A:$A,$A24,FoodLog!$I:$I)))</f>
        <v/>
      </c>
      <c r="V24">
        <f>IF($A24="","",IF(SUMIF(FoodLog!$A:$A,$A24,FoodLog!$F:$F)=0,"",SUMIF(FoodLog!$A:$A,$A24,FoodLog!$F:$F)))</f>
        <v/>
      </c>
      <c r="W24">
        <f>IF($A24="","",IF(SUMIF(FoodLog!$A:$A,$A24,FoodLog!$G:$G)=0,"",SUMIF(FoodLog!$A:$A,$A24,FoodLog!$G:$G)))</f>
        <v/>
      </c>
      <c r="X24">
        <f>IF($A24="","",IF(SUMIF(FoodLog!$A:$A,$A24,FoodLog!$H:$H)=0,"",SUMIF(FoodLog!$A:$A,$A24,FoodLog!$H:$H)))</f>
        <v/>
      </c>
      <c r="Y24">
        <f>IF($A24="","",IFERROR(ROUND(100*AVERAGE(IF($B24="","",XLOOKUP($B24,FILTER(Dictionaries!$B:$B,Dictionaries!$A:$A="??????????"),FILTER(Dictionaries!$C:$C,Dictionaries!$A:$A="??????????"))),IF($C24="","",MIN($C24/40,1)),IF($D24="","",XLOOKUP($D24,FILTER(Dictionaries!$B:$B,Dictionaries!$A:$A="????"),FILTER(Dictionaries!$C:$C,Dictionaries!$A:$A="????"))),IF($E24="","",MIN($E24/120,1)),IF(OR($F24&lt;&gt;"",$G24&lt;&gt;""),1,""),IF($H24="","",MIN($H24/100,1)),IF($L24="","",XLOOKUP($L24,FILTER(Dictionaries!$B:$B,Dictionaries!$A:$A="???_????"),FILTER(Dictionaries!$C:$C,Dictionaries!$A:$A="???_????"))),IF($M24="","",XLOOKUP($M24,FILTER(Dictionaries!$B:$B,Dictionaries!$A:$A="?????"),FILTER(Dictionaries!$C:$C,Dictionaries!$A:$A="?????"))),IF($N24="","",MIN($N24/100,1)),IF($O24="","",XLOOKUP($O24,FILTER(Dictionaries!$B:$B,Dictionaries!$A:$A="??????????"),FILTER(Dictionaries!$C:$C,Dictionaries!$A:$A="??????????"))),IF($P24="","",XLOOKUP($P24,FILTER(Dictionaries!$B:$B,Dictionaries!$A:$A="???????"),FILTER(Dictionaries!$C:$C,Dictionaries!$A:$A="???????"))),IF($U24="","",LET(t,IF(OR($B24="????",$B24="????"),"train","rest"),k,$U24,p,$V24,f,$W24,c,$X24,k_s,IF(t="train",IF(k="","",IFS(AND(k&gt;=1900,k&lt;=2050),1,AND(k&gt;=1850,k&lt;1900),0.7,AND(k&gt;2050,k&lt;=2100),0.7,TRUE,0.2)),IF(k="","",IFS(AND(k&gt;=1700,k&lt;=1850),1,AND(k&gt;=1650,k&lt;1700),0.7,AND(k&gt;1850,k&lt;=1900),0.7,TRUE,0.2))),p_s,IF(t="train",IF(p="","",IFS(AND(p&gt;=125,p&lt;=135),1,AND(p&gt;=115,p&lt;125),0.7,AND(p&gt;135,p&lt;=145),0.7,AND(p&gt;=105,p&lt;115),0.4,AND(p&gt;145,p&lt;=155),0.4,TRUE,0.2)),IF(p="","",IFS(AND(p&gt;=120,p&lt;=130),1,AND(p&gt;=110,p&lt;120),0.7,AND(p&gt;130,p&lt;=140),0.7,AND(p&gt;=100,p&lt;110),0.4,AND(p&gt;140,p&lt;=150),0.4,TRUE,0.2))),f_s,IF(f="","",IFS(AND(f&gt;=55,f&lt;=65),1,AND(f&gt;=50,f&lt;55),0.7,AND(f&gt;65,f&lt;=70),0.7,AND(f&gt;=45,f&lt;50),0.4,AND(f&gt;70,f&lt;=75),0.4,TRUE,0.2)),c_s,IF(t="train",IF(c="","",IFS(AND(c&gt;=180,c&lt;=210),1,AND(c&gt;=160,c&lt;180),0.7,AND(c&gt;210,c&lt;=230),0.7,AND(c&gt;=140,c&lt;160),0.4,AND(c&gt;230,c&lt;=250),0.4,TRUE,0.2)),IF(c="","",IFS(AND(c&gt;=140,c&lt;=170),1,AND(c&gt;=120,c&lt;140),0.7,AND(c&gt;170,c&lt;=190),0.7,AND(c&gt;=100,c&lt;120),0.4,AND(c&gt;190,c&lt;=210),0.4,TRUE,0.2))),AVERAGE(k_s,p_s,f_s,c_s)))),1),""))</f>
        <v/>
      </c>
      <c r="Z24">
        <f>IF($A24="","",TEXTJOIN(", ",TRUE,IF($B24="","??????????",""),IF($C24="","??????",""),IF($D24="","????",""),IF($E24="","??????????",""),IF($F24="","???-?????",""),IF($G24="","???-????",""),IF($H24="","??????",""),IF($L24="","???",""),IF($M24="","?????",""),IF($N24="","??????????????",""),IF($O24="","??????????",""),IF($P24="","???????",""),IF($U24="","???","")))</f>
        <v/>
      </c>
    </row>
    <row r="25">
      <c r="A25" s="2" t="n">
        <v>739671</v>
      </c>
      <c r="J25">
        <f>IF(A25="","",SUMIF(FoodLog!$A:$A,A25,FoodLog!$I:$I))</f>
        <v/>
      </c>
      <c r="K25">
        <f>IF(A25="","",SUMIF(FoodLog!$A:$A,A25,FoodLog!$F:$F))</f>
        <v/>
      </c>
      <c r="L25">
        <f>IF(A25="","",SUMIF(FoodLog!$A:$A,A25,FoodLog!$G:$G))</f>
        <v/>
      </c>
      <c r="M25">
        <f>IF(A25="","",SUMIF(FoodLog!$A:$A,A25,FoodLog!$H:$H))</f>
        <v/>
      </c>
      <c r="N25">
        <f>LET(train,B25,cardio,C25,steps,D25,sleep,E25,reg,F25,prod,I25,kcal,J25,p,K25,w_train,0.22,w_steps,0.18,w_sleep,0.20,w_reg,0.10,w_food,0.18,w_prod,0.12,s_train,IF(train="Верх",1,IF(train="Ноги",1,IF(train="Отдых",0.6,IF(train="Пропустил",0.2,0)))),s_steps,IF(steps="15k+",1,IF(steps="12-15k",0.9,IF(steps="10-12k",0.8,IF(steps="7-10k",0.6,IF(steps="5-7k",0.4,IF(steps="&lt;5k",0.2,0)))))),s_sleep,IF(sleep="&gt;8",0.9,IF(sleep="6-8",1,IF(sleep="&lt;6",0.2,0))),s_reg,IF(reg="Не сбит",1,IF(reg="Сбит",0.3,0)),s_food,IF(AND(kcal&gt;0,p&gt;0),MIN(1, (p/120))*0.6 + MIN(1, MAX(0,1-ABS(kcal-2200)/600))*0.4,0),s_prod,IF(prod="100%",1,IF(prod="75%",0.8,IF(prod="50%",0.6,IF(prod="25%",0.35,IF(prod="0%",0.1,0)))),ROUND(100*(w_train*s_train + w_steps*s_steps + w_sleep*s_sleep + w_reg*s_reg + w_food*s_food + w_prod*s_prod),0))</f>
        <v/>
      </c>
      <c r="O25">
        <f>TEXTJOIN(", ",TRUE,IF(B25="","тренировка",""),IF(D25="","шаги",""),IF(E25="","сон",""),IF(F25="","режим",""),IF(G25="","настроение",""),IF(H25="","энергия",""),IF(I25="","продуктивность",""),IF(J25="","еда (ккал)",""))</f>
        <v/>
      </c>
      <c r="U25">
        <f>IF($A25="","",IF(SUMIF(FoodLog!$A:$A,$A25,FoodLog!$I:$I)=0,"",SUMIF(FoodLog!$A:$A,$A25,FoodLog!$I:$I)))</f>
        <v/>
      </c>
      <c r="V25">
        <f>IF($A25="","",IF(SUMIF(FoodLog!$A:$A,$A25,FoodLog!$F:$F)=0,"",SUMIF(FoodLog!$A:$A,$A25,FoodLog!$F:$F)))</f>
        <v/>
      </c>
      <c r="W25">
        <f>IF($A25="","",IF(SUMIF(FoodLog!$A:$A,$A25,FoodLog!$G:$G)=0,"",SUMIF(FoodLog!$A:$A,$A25,FoodLog!$G:$G)))</f>
        <v/>
      </c>
      <c r="X25">
        <f>IF($A25="","",IF(SUMIF(FoodLog!$A:$A,$A25,FoodLog!$H:$H)=0,"",SUMIF(FoodLog!$A:$A,$A25,FoodLog!$H:$H)))</f>
        <v/>
      </c>
      <c r="Y25">
        <f>IF($A25="","",IFERROR(ROUND(100*AVERAGE(IF($B25="","",XLOOKUP($B25,FILTER(Dictionaries!$B:$B,Dictionaries!$A:$A="??????????"),FILTER(Dictionaries!$C:$C,Dictionaries!$A:$A="??????????"))),IF($C25="","",MIN($C25/40,1)),IF($D25="","",XLOOKUP($D25,FILTER(Dictionaries!$B:$B,Dictionaries!$A:$A="????"),FILTER(Dictionaries!$C:$C,Dictionaries!$A:$A="????"))),IF($E25="","",MIN($E25/120,1)),IF(OR($F25&lt;&gt;"",$G25&lt;&gt;""),1,""),IF($H25="","",MIN($H25/100,1)),IF($L25="","",XLOOKUP($L25,FILTER(Dictionaries!$B:$B,Dictionaries!$A:$A="???_????"),FILTER(Dictionaries!$C:$C,Dictionaries!$A:$A="???_????"))),IF($M25="","",XLOOKUP($M25,FILTER(Dictionaries!$B:$B,Dictionaries!$A:$A="?????"),FILTER(Dictionaries!$C:$C,Dictionaries!$A:$A="?????"))),IF($N25="","",MIN($N25/100,1)),IF($O25="","",XLOOKUP($O25,FILTER(Dictionaries!$B:$B,Dictionaries!$A:$A="??????????"),FILTER(Dictionaries!$C:$C,Dictionaries!$A:$A="??????????"))),IF($P25="","",XLOOKUP($P25,FILTER(Dictionaries!$B:$B,Dictionaries!$A:$A="???????"),FILTER(Dictionaries!$C:$C,Dictionaries!$A:$A="???????"))),IF($U25="","",LET(t,IF(OR($B25="????",$B25="????"),"train","rest"),k,$U25,p,$V25,f,$W25,c,$X25,k_s,IF(t="train",IF(k="","",IFS(AND(k&gt;=1900,k&lt;=2050),1,AND(k&gt;=1850,k&lt;1900),0.7,AND(k&gt;2050,k&lt;=2100),0.7,TRUE,0.2)),IF(k="","",IFS(AND(k&gt;=1700,k&lt;=1850),1,AND(k&gt;=1650,k&lt;1700),0.7,AND(k&gt;1850,k&lt;=1900),0.7,TRUE,0.2))),p_s,IF(t="train",IF(p="","",IFS(AND(p&gt;=125,p&lt;=135),1,AND(p&gt;=115,p&lt;125),0.7,AND(p&gt;135,p&lt;=145),0.7,AND(p&gt;=105,p&lt;115),0.4,AND(p&gt;145,p&lt;=155),0.4,TRUE,0.2)),IF(p="","",IFS(AND(p&gt;=120,p&lt;=130),1,AND(p&gt;=110,p&lt;120),0.7,AND(p&gt;130,p&lt;=140),0.7,AND(p&gt;=100,p&lt;110),0.4,AND(p&gt;140,p&lt;=150),0.4,TRUE,0.2))),f_s,IF(f="","",IFS(AND(f&gt;=55,f&lt;=65),1,AND(f&gt;=50,f&lt;55),0.7,AND(f&gt;65,f&lt;=70),0.7,AND(f&gt;=45,f&lt;50),0.4,AND(f&gt;70,f&lt;=75),0.4,TRUE,0.2)),c_s,IF(t="train",IF(c="","",IFS(AND(c&gt;=180,c&lt;=210),1,AND(c&gt;=160,c&lt;180),0.7,AND(c&gt;210,c&lt;=230),0.7,AND(c&gt;=140,c&lt;160),0.4,AND(c&gt;230,c&lt;=250),0.4,TRUE,0.2)),IF(c="","",IFS(AND(c&gt;=140,c&lt;=170),1,AND(c&gt;=120,c&lt;140),0.7,AND(c&gt;170,c&lt;=190),0.7,AND(c&gt;=100,c&lt;120),0.4,AND(c&gt;190,c&lt;=210),0.4,TRUE,0.2))),AVERAGE(k_s,p_s,f_s,c_s)))),1),""))</f>
        <v/>
      </c>
      <c r="Z25">
        <f>IF($A25="","",TEXTJOIN(", ",TRUE,IF($B25="","??????????",""),IF($C25="","??????",""),IF($D25="","????",""),IF($E25="","??????????",""),IF($F25="","???-?????",""),IF($G25="","???-????",""),IF($H25="","??????",""),IF($L25="","???",""),IF($M25="","?????",""),IF($N25="","??????????????",""),IF($O25="","??????????",""),IF($P25="","???????",""),IF($U25="","???","")))</f>
        <v/>
      </c>
    </row>
    <row r="26">
      <c r="A26" s="2" t="n">
        <v>739672</v>
      </c>
      <c r="J26">
        <f>IF(A26="","",SUMIF(FoodLog!$A:$A,A26,FoodLog!$I:$I))</f>
        <v/>
      </c>
      <c r="K26">
        <f>IF(A26="","",SUMIF(FoodLog!$A:$A,A26,FoodLog!$F:$F))</f>
        <v/>
      </c>
      <c r="L26">
        <f>IF(A26="","",SUMIF(FoodLog!$A:$A,A26,FoodLog!$G:$G))</f>
        <v/>
      </c>
      <c r="M26">
        <f>IF(A26="","",SUMIF(FoodLog!$A:$A,A26,FoodLog!$H:$H))</f>
        <v/>
      </c>
      <c r="N26">
        <f>LET(train,B26,cardio,C26,steps,D26,sleep,E26,reg,F26,prod,I26,kcal,J26,p,K26,w_train,0.22,w_steps,0.18,w_sleep,0.20,w_reg,0.10,w_food,0.18,w_prod,0.12,s_train,IF(train="Верх",1,IF(train="Ноги",1,IF(train="Отдых",0.6,IF(train="Пропустил",0.2,0)))),s_steps,IF(steps="15k+",1,IF(steps="12-15k",0.9,IF(steps="10-12k",0.8,IF(steps="7-10k",0.6,IF(steps="5-7k",0.4,IF(steps="&lt;5k",0.2,0)))))),s_sleep,IF(sleep="&gt;8",0.9,IF(sleep="6-8",1,IF(sleep="&lt;6",0.2,0))),s_reg,IF(reg="Не сбит",1,IF(reg="Сбит",0.3,0)),s_food,IF(AND(kcal&gt;0,p&gt;0),MIN(1, (p/120))*0.6 + MIN(1, MAX(0,1-ABS(kcal-2200)/600))*0.4,0),s_prod,IF(prod="100%",1,IF(prod="75%",0.8,IF(prod="50%",0.6,IF(prod="25%",0.35,IF(prod="0%",0.1,0)))),ROUND(100*(w_train*s_train + w_steps*s_steps + w_sleep*s_sleep + w_reg*s_reg + w_food*s_food + w_prod*s_prod),0))</f>
        <v/>
      </c>
      <c r="O26">
        <f>TEXTJOIN(", ",TRUE,IF(B26="","тренировка",""),IF(D26="","шаги",""),IF(E26="","сон",""),IF(F26="","режим",""),IF(G26="","настроение",""),IF(H26="","энергия",""),IF(I26="","продуктивность",""),IF(J26="","еда (ккал)",""))</f>
        <v/>
      </c>
      <c r="U26">
        <f>IF($A26="","",IF(SUMIF(FoodLog!$A:$A,$A26,FoodLog!$I:$I)=0,"",SUMIF(FoodLog!$A:$A,$A26,FoodLog!$I:$I)))</f>
        <v/>
      </c>
      <c r="V26">
        <f>IF($A26="","",IF(SUMIF(FoodLog!$A:$A,$A26,FoodLog!$F:$F)=0,"",SUMIF(FoodLog!$A:$A,$A26,FoodLog!$F:$F)))</f>
        <v/>
      </c>
      <c r="W26">
        <f>IF($A26="","",IF(SUMIF(FoodLog!$A:$A,$A26,FoodLog!$G:$G)=0,"",SUMIF(FoodLog!$A:$A,$A26,FoodLog!$G:$G)))</f>
        <v/>
      </c>
      <c r="X26">
        <f>IF($A26="","",IF(SUMIF(FoodLog!$A:$A,$A26,FoodLog!$H:$H)=0,"",SUMIF(FoodLog!$A:$A,$A26,FoodLog!$H:$H)))</f>
        <v/>
      </c>
      <c r="Y26">
        <f>IF($A26="","",IFERROR(ROUND(100*AVERAGE(IF($B26="","",XLOOKUP($B26,FILTER(Dictionaries!$B:$B,Dictionaries!$A:$A="??????????"),FILTER(Dictionaries!$C:$C,Dictionaries!$A:$A="??????????"))),IF($C26="","",MIN($C26/40,1)),IF($D26="","",XLOOKUP($D26,FILTER(Dictionaries!$B:$B,Dictionaries!$A:$A="????"),FILTER(Dictionaries!$C:$C,Dictionaries!$A:$A="????"))),IF($E26="","",MIN($E26/120,1)),IF(OR($F26&lt;&gt;"",$G26&lt;&gt;""),1,""),IF($H26="","",MIN($H26/100,1)),IF($L26="","",XLOOKUP($L26,FILTER(Dictionaries!$B:$B,Dictionaries!$A:$A="???_????"),FILTER(Dictionaries!$C:$C,Dictionaries!$A:$A="???_????"))),IF($M26="","",XLOOKUP($M26,FILTER(Dictionaries!$B:$B,Dictionaries!$A:$A="?????"),FILTER(Dictionaries!$C:$C,Dictionaries!$A:$A="?????"))),IF($N26="","",MIN($N26/100,1)),IF($O26="","",XLOOKUP($O26,FILTER(Dictionaries!$B:$B,Dictionaries!$A:$A="??????????"),FILTER(Dictionaries!$C:$C,Dictionaries!$A:$A="??????????"))),IF($P26="","",XLOOKUP($P26,FILTER(Dictionaries!$B:$B,Dictionaries!$A:$A="???????"),FILTER(Dictionaries!$C:$C,Dictionaries!$A:$A="???????"))),IF($U26="","",LET(t,IF(OR($B26="????",$B26="????"),"train","rest"),k,$U26,p,$V26,f,$W26,c,$X26,k_s,IF(t="train",IF(k="","",IFS(AND(k&gt;=1900,k&lt;=2050),1,AND(k&gt;=1850,k&lt;1900),0.7,AND(k&gt;2050,k&lt;=2100),0.7,TRUE,0.2)),IF(k="","",IFS(AND(k&gt;=1700,k&lt;=1850),1,AND(k&gt;=1650,k&lt;1700),0.7,AND(k&gt;1850,k&lt;=1900),0.7,TRUE,0.2))),p_s,IF(t="train",IF(p="","",IFS(AND(p&gt;=125,p&lt;=135),1,AND(p&gt;=115,p&lt;125),0.7,AND(p&gt;135,p&lt;=145),0.7,AND(p&gt;=105,p&lt;115),0.4,AND(p&gt;145,p&lt;=155),0.4,TRUE,0.2)),IF(p="","",IFS(AND(p&gt;=120,p&lt;=130),1,AND(p&gt;=110,p&lt;120),0.7,AND(p&gt;130,p&lt;=140),0.7,AND(p&gt;=100,p&lt;110),0.4,AND(p&gt;140,p&lt;=150),0.4,TRUE,0.2))),f_s,IF(f="","",IFS(AND(f&gt;=55,f&lt;=65),1,AND(f&gt;=50,f&lt;55),0.7,AND(f&gt;65,f&lt;=70),0.7,AND(f&gt;=45,f&lt;50),0.4,AND(f&gt;70,f&lt;=75),0.4,TRUE,0.2)),c_s,IF(t="train",IF(c="","",IFS(AND(c&gt;=180,c&lt;=210),1,AND(c&gt;=160,c&lt;180),0.7,AND(c&gt;210,c&lt;=230),0.7,AND(c&gt;=140,c&lt;160),0.4,AND(c&gt;230,c&lt;=250),0.4,TRUE,0.2)),IF(c="","",IFS(AND(c&gt;=140,c&lt;=170),1,AND(c&gt;=120,c&lt;140),0.7,AND(c&gt;170,c&lt;=190),0.7,AND(c&gt;=100,c&lt;120),0.4,AND(c&gt;190,c&lt;=210),0.4,TRUE,0.2))),AVERAGE(k_s,p_s,f_s,c_s)))),1),""))</f>
        <v/>
      </c>
      <c r="Z26">
        <f>IF($A26="","",TEXTJOIN(", ",TRUE,IF($B26="","??????????",""),IF($C26="","??????",""),IF($D26="","????",""),IF($E26="","??????????",""),IF($F26="","???-?????",""),IF($G26="","???-????",""),IF($H26="","??????",""),IF($L26="","???",""),IF($M26="","?????",""),IF($N26="","??????????????",""),IF($O26="","??????????",""),IF($P26="","???????",""),IF($U26="","???","")))</f>
        <v/>
      </c>
    </row>
    <row r="27">
      <c r="A27" s="2" t="n">
        <v>739673</v>
      </c>
      <c r="J27">
        <f>IF(A27="","",SUMIF(FoodLog!$A:$A,A27,FoodLog!$I:$I))</f>
        <v/>
      </c>
      <c r="K27">
        <f>IF(A27="","",SUMIF(FoodLog!$A:$A,A27,FoodLog!$F:$F))</f>
        <v/>
      </c>
      <c r="L27">
        <f>IF(A27="","",SUMIF(FoodLog!$A:$A,A27,FoodLog!$G:$G))</f>
        <v/>
      </c>
      <c r="M27">
        <f>IF(A27="","",SUMIF(FoodLog!$A:$A,A27,FoodLog!$H:$H))</f>
        <v/>
      </c>
      <c r="N27">
        <f>LET(train,B27,cardio,C27,steps,D27,sleep,E27,reg,F27,prod,I27,kcal,J27,p,K27,w_train,0.22,w_steps,0.18,w_sleep,0.20,w_reg,0.10,w_food,0.18,w_prod,0.12,s_train,IF(train="Верх",1,IF(train="Ноги",1,IF(train="Отдых",0.6,IF(train="Пропустил",0.2,0)))),s_steps,IF(steps="15k+",1,IF(steps="12-15k",0.9,IF(steps="10-12k",0.8,IF(steps="7-10k",0.6,IF(steps="5-7k",0.4,IF(steps="&lt;5k",0.2,0)))))),s_sleep,IF(sleep="&gt;8",0.9,IF(sleep="6-8",1,IF(sleep="&lt;6",0.2,0))),s_reg,IF(reg="Не сбит",1,IF(reg="Сбит",0.3,0)),s_food,IF(AND(kcal&gt;0,p&gt;0),MIN(1, (p/120))*0.6 + MIN(1, MAX(0,1-ABS(kcal-2200)/600))*0.4,0),s_prod,IF(prod="100%",1,IF(prod="75%",0.8,IF(prod="50%",0.6,IF(prod="25%",0.35,IF(prod="0%",0.1,0)))),ROUND(100*(w_train*s_train + w_steps*s_steps + w_sleep*s_sleep + w_reg*s_reg + w_food*s_food + w_prod*s_prod),0))</f>
        <v/>
      </c>
      <c r="O27">
        <f>TEXTJOIN(", ",TRUE,IF(B27="","тренировка",""),IF(D27="","шаги",""),IF(E27="","сон",""),IF(F27="","режим",""),IF(G27="","настроение",""),IF(H27="","энергия",""),IF(I27="","продуктивность",""),IF(J27="","еда (ккал)",""))</f>
        <v/>
      </c>
      <c r="U27">
        <f>IF($A27="","",IF(SUMIF(FoodLog!$A:$A,$A27,FoodLog!$I:$I)=0,"",SUMIF(FoodLog!$A:$A,$A27,FoodLog!$I:$I)))</f>
        <v/>
      </c>
      <c r="V27">
        <f>IF($A27="","",IF(SUMIF(FoodLog!$A:$A,$A27,FoodLog!$F:$F)=0,"",SUMIF(FoodLog!$A:$A,$A27,FoodLog!$F:$F)))</f>
        <v/>
      </c>
      <c r="W27">
        <f>IF($A27="","",IF(SUMIF(FoodLog!$A:$A,$A27,FoodLog!$G:$G)=0,"",SUMIF(FoodLog!$A:$A,$A27,FoodLog!$G:$G)))</f>
        <v/>
      </c>
      <c r="X27">
        <f>IF($A27="","",IF(SUMIF(FoodLog!$A:$A,$A27,FoodLog!$H:$H)=0,"",SUMIF(FoodLog!$A:$A,$A27,FoodLog!$H:$H)))</f>
        <v/>
      </c>
      <c r="Y27">
        <f>IF($A27="","",IFERROR(ROUND(100*AVERAGE(IF($B27="","",XLOOKUP($B27,FILTER(Dictionaries!$B:$B,Dictionaries!$A:$A="??????????"),FILTER(Dictionaries!$C:$C,Dictionaries!$A:$A="??????????"))),IF($C27="","",MIN($C27/40,1)),IF($D27="","",XLOOKUP($D27,FILTER(Dictionaries!$B:$B,Dictionaries!$A:$A="????"),FILTER(Dictionaries!$C:$C,Dictionaries!$A:$A="????"))),IF($E27="","",MIN($E27/120,1)),IF(OR($F27&lt;&gt;"",$G27&lt;&gt;""),1,""),IF($H27="","",MIN($H27/100,1)),IF($L27="","",XLOOKUP($L27,FILTER(Dictionaries!$B:$B,Dictionaries!$A:$A="???_????"),FILTER(Dictionaries!$C:$C,Dictionaries!$A:$A="???_????"))),IF($M27="","",XLOOKUP($M27,FILTER(Dictionaries!$B:$B,Dictionaries!$A:$A="?????"),FILTER(Dictionaries!$C:$C,Dictionaries!$A:$A="?????"))),IF($N27="","",MIN($N27/100,1)),IF($O27="","",XLOOKUP($O27,FILTER(Dictionaries!$B:$B,Dictionaries!$A:$A="??????????"),FILTER(Dictionaries!$C:$C,Dictionaries!$A:$A="??????????"))),IF($P27="","",XLOOKUP($P27,FILTER(Dictionaries!$B:$B,Dictionaries!$A:$A="???????"),FILTER(Dictionaries!$C:$C,Dictionaries!$A:$A="???????"))),IF($U27="","",LET(t,IF(OR($B27="????",$B27="????"),"train","rest"),k,$U27,p,$V27,f,$W27,c,$X27,k_s,IF(t="train",IF(k="","",IFS(AND(k&gt;=1900,k&lt;=2050),1,AND(k&gt;=1850,k&lt;1900),0.7,AND(k&gt;2050,k&lt;=2100),0.7,TRUE,0.2)),IF(k="","",IFS(AND(k&gt;=1700,k&lt;=1850),1,AND(k&gt;=1650,k&lt;1700),0.7,AND(k&gt;1850,k&lt;=1900),0.7,TRUE,0.2))),p_s,IF(t="train",IF(p="","",IFS(AND(p&gt;=125,p&lt;=135),1,AND(p&gt;=115,p&lt;125),0.7,AND(p&gt;135,p&lt;=145),0.7,AND(p&gt;=105,p&lt;115),0.4,AND(p&gt;145,p&lt;=155),0.4,TRUE,0.2)),IF(p="","",IFS(AND(p&gt;=120,p&lt;=130),1,AND(p&gt;=110,p&lt;120),0.7,AND(p&gt;130,p&lt;=140),0.7,AND(p&gt;=100,p&lt;110),0.4,AND(p&gt;140,p&lt;=150),0.4,TRUE,0.2))),f_s,IF(f="","",IFS(AND(f&gt;=55,f&lt;=65),1,AND(f&gt;=50,f&lt;55),0.7,AND(f&gt;65,f&lt;=70),0.7,AND(f&gt;=45,f&lt;50),0.4,AND(f&gt;70,f&lt;=75),0.4,TRUE,0.2)),c_s,IF(t="train",IF(c="","",IFS(AND(c&gt;=180,c&lt;=210),1,AND(c&gt;=160,c&lt;180),0.7,AND(c&gt;210,c&lt;=230),0.7,AND(c&gt;=140,c&lt;160),0.4,AND(c&gt;230,c&lt;=250),0.4,TRUE,0.2)),IF(c="","",IFS(AND(c&gt;=140,c&lt;=170),1,AND(c&gt;=120,c&lt;140),0.7,AND(c&gt;170,c&lt;=190),0.7,AND(c&gt;=100,c&lt;120),0.4,AND(c&gt;190,c&lt;=210),0.4,TRUE,0.2))),AVERAGE(k_s,p_s,f_s,c_s)))),1),""))</f>
        <v/>
      </c>
      <c r="Z27">
        <f>IF($A27="","",TEXTJOIN(", ",TRUE,IF($B27="","??????????",""),IF($C27="","??????",""),IF($D27="","????",""),IF($E27="","??????????",""),IF($F27="","???-?????",""),IF($G27="","???-????",""),IF($H27="","??????",""),IF($L27="","???",""),IF($M27="","?????",""),IF($N27="","??????????????",""),IF($O27="","??????????",""),IF($P27="","???????",""),IF($U27="","???","")))</f>
        <v/>
      </c>
    </row>
    <row r="28">
      <c r="A28" s="2" t="n">
        <v>739674</v>
      </c>
      <c r="J28">
        <f>IF(A28="","",SUMIF(FoodLog!$A:$A,A28,FoodLog!$I:$I))</f>
        <v/>
      </c>
      <c r="K28">
        <f>IF(A28="","",SUMIF(FoodLog!$A:$A,A28,FoodLog!$F:$F))</f>
        <v/>
      </c>
      <c r="L28">
        <f>IF(A28="","",SUMIF(FoodLog!$A:$A,A28,FoodLog!$G:$G))</f>
        <v/>
      </c>
      <c r="M28">
        <f>IF(A28="","",SUMIF(FoodLog!$A:$A,A28,FoodLog!$H:$H))</f>
        <v/>
      </c>
      <c r="N28">
        <f>LET(train,B28,cardio,C28,steps,D28,sleep,E28,reg,F28,prod,I28,kcal,J28,p,K28,w_train,0.22,w_steps,0.18,w_sleep,0.20,w_reg,0.10,w_food,0.18,w_prod,0.12,s_train,IF(train="Верх",1,IF(train="Ноги",1,IF(train="Отдых",0.6,IF(train="Пропустил",0.2,0)))),s_steps,IF(steps="15k+",1,IF(steps="12-15k",0.9,IF(steps="10-12k",0.8,IF(steps="7-10k",0.6,IF(steps="5-7k",0.4,IF(steps="&lt;5k",0.2,0)))))),s_sleep,IF(sleep="&gt;8",0.9,IF(sleep="6-8",1,IF(sleep="&lt;6",0.2,0))),s_reg,IF(reg="Не сбит",1,IF(reg="Сбит",0.3,0)),s_food,IF(AND(kcal&gt;0,p&gt;0),MIN(1, (p/120))*0.6 + MIN(1, MAX(0,1-ABS(kcal-2200)/600))*0.4,0),s_prod,IF(prod="100%",1,IF(prod="75%",0.8,IF(prod="50%",0.6,IF(prod="25%",0.35,IF(prod="0%",0.1,0)))),ROUND(100*(w_train*s_train + w_steps*s_steps + w_sleep*s_sleep + w_reg*s_reg + w_food*s_food + w_prod*s_prod),0))</f>
        <v/>
      </c>
      <c r="O28">
        <f>TEXTJOIN(", ",TRUE,IF(B28="","тренировка",""),IF(D28="","шаги",""),IF(E28="","сон",""),IF(F28="","режим",""),IF(G28="","настроение",""),IF(H28="","энергия",""),IF(I28="","продуктивность",""),IF(J28="","еда (ккал)",""))</f>
        <v/>
      </c>
      <c r="U28">
        <f>IF($A28="","",IF(SUMIF(FoodLog!$A:$A,$A28,FoodLog!$I:$I)=0,"",SUMIF(FoodLog!$A:$A,$A28,FoodLog!$I:$I)))</f>
        <v/>
      </c>
      <c r="V28">
        <f>IF($A28="","",IF(SUMIF(FoodLog!$A:$A,$A28,FoodLog!$F:$F)=0,"",SUMIF(FoodLog!$A:$A,$A28,FoodLog!$F:$F)))</f>
        <v/>
      </c>
      <c r="W28">
        <f>IF($A28="","",IF(SUMIF(FoodLog!$A:$A,$A28,FoodLog!$G:$G)=0,"",SUMIF(FoodLog!$A:$A,$A28,FoodLog!$G:$G)))</f>
        <v/>
      </c>
      <c r="X28">
        <f>IF($A28="","",IF(SUMIF(FoodLog!$A:$A,$A28,FoodLog!$H:$H)=0,"",SUMIF(FoodLog!$A:$A,$A28,FoodLog!$H:$H)))</f>
        <v/>
      </c>
      <c r="Y28">
        <f>IF($A28="","",IFERROR(ROUND(100*AVERAGE(IF($B28="","",XLOOKUP($B28,FILTER(Dictionaries!$B:$B,Dictionaries!$A:$A="??????????"),FILTER(Dictionaries!$C:$C,Dictionaries!$A:$A="??????????"))),IF($C28="","",MIN($C28/40,1)),IF($D28="","",XLOOKUP($D28,FILTER(Dictionaries!$B:$B,Dictionaries!$A:$A="????"),FILTER(Dictionaries!$C:$C,Dictionaries!$A:$A="????"))),IF($E28="","",MIN($E28/120,1)),IF(OR($F28&lt;&gt;"",$G28&lt;&gt;""),1,""),IF($H28="","",MIN($H28/100,1)),IF($L28="","",XLOOKUP($L28,FILTER(Dictionaries!$B:$B,Dictionaries!$A:$A="???_????"),FILTER(Dictionaries!$C:$C,Dictionaries!$A:$A="???_????"))),IF($M28="","",XLOOKUP($M28,FILTER(Dictionaries!$B:$B,Dictionaries!$A:$A="?????"),FILTER(Dictionaries!$C:$C,Dictionaries!$A:$A="?????"))),IF($N28="","",MIN($N28/100,1)),IF($O28="","",XLOOKUP($O28,FILTER(Dictionaries!$B:$B,Dictionaries!$A:$A="??????????"),FILTER(Dictionaries!$C:$C,Dictionaries!$A:$A="??????????"))),IF($P28="","",XLOOKUP($P28,FILTER(Dictionaries!$B:$B,Dictionaries!$A:$A="???????"),FILTER(Dictionaries!$C:$C,Dictionaries!$A:$A="???????"))),IF($U28="","",LET(t,IF(OR($B28="????",$B28="????"),"train","rest"),k,$U28,p,$V28,f,$W28,c,$X28,k_s,IF(t="train",IF(k="","",IFS(AND(k&gt;=1900,k&lt;=2050),1,AND(k&gt;=1850,k&lt;1900),0.7,AND(k&gt;2050,k&lt;=2100),0.7,TRUE,0.2)),IF(k="","",IFS(AND(k&gt;=1700,k&lt;=1850),1,AND(k&gt;=1650,k&lt;1700),0.7,AND(k&gt;1850,k&lt;=1900),0.7,TRUE,0.2))),p_s,IF(t="train",IF(p="","",IFS(AND(p&gt;=125,p&lt;=135),1,AND(p&gt;=115,p&lt;125),0.7,AND(p&gt;135,p&lt;=145),0.7,AND(p&gt;=105,p&lt;115),0.4,AND(p&gt;145,p&lt;=155),0.4,TRUE,0.2)),IF(p="","",IFS(AND(p&gt;=120,p&lt;=130),1,AND(p&gt;=110,p&lt;120),0.7,AND(p&gt;130,p&lt;=140),0.7,AND(p&gt;=100,p&lt;110),0.4,AND(p&gt;140,p&lt;=150),0.4,TRUE,0.2))),f_s,IF(f="","",IFS(AND(f&gt;=55,f&lt;=65),1,AND(f&gt;=50,f&lt;55),0.7,AND(f&gt;65,f&lt;=70),0.7,AND(f&gt;=45,f&lt;50),0.4,AND(f&gt;70,f&lt;=75),0.4,TRUE,0.2)),c_s,IF(t="train",IF(c="","",IFS(AND(c&gt;=180,c&lt;=210),1,AND(c&gt;=160,c&lt;180),0.7,AND(c&gt;210,c&lt;=230),0.7,AND(c&gt;=140,c&lt;160),0.4,AND(c&gt;230,c&lt;=250),0.4,TRUE,0.2)),IF(c="","",IFS(AND(c&gt;=140,c&lt;=170),1,AND(c&gt;=120,c&lt;140),0.7,AND(c&gt;170,c&lt;=190),0.7,AND(c&gt;=100,c&lt;120),0.4,AND(c&gt;190,c&lt;=210),0.4,TRUE,0.2))),AVERAGE(k_s,p_s,f_s,c_s)))),1),""))</f>
        <v/>
      </c>
      <c r="Z28">
        <f>IF($A28="","",TEXTJOIN(", ",TRUE,IF($B28="","??????????",""),IF($C28="","??????",""),IF($D28="","????",""),IF($E28="","??????????",""),IF($F28="","???-?????",""),IF($G28="","???-????",""),IF($H28="","??????",""),IF($L28="","???",""),IF($M28="","?????",""),IF($N28="","??????????????",""),IF($O28="","??????????",""),IF($P28="","???????",""),IF($U28="","???","")))</f>
        <v/>
      </c>
    </row>
    <row r="29">
      <c r="A29" s="2" t="n">
        <v>739675</v>
      </c>
      <c r="J29">
        <f>IF(A29="","",SUMIF(FoodLog!$A:$A,A29,FoodLog!$I:$I))</f>
        <v/>
      </c>
      <c r="K29">
        <f>IF(A29="","",SUMIF(FoodLog!$A:$A,A29,FoodLog!$F:$F))</f>
        <v/>
      </c>
      <c r="L29">
        <f>IF(A29="","",SUMIF(FoodLog!$A:$A,A29,FoodLog!$G:$G))</f>
        <v/>
      </c>
      <c r="M29">
        <f>IF(A29="","",SUMIF(FoodLog!$A:$A,A29,FoodLog!$H:$H))</f>
        <v/>
      </c>
      <c r="N29">
        <f>LET(train,B29,cardio,C29,steps,D29,sleep,E29,reg,F29,prod,I29,kcal,J29,p,K29,w_train,0.22,w_steps,0.18,w_sleep,0.20,w_reg,0.10,w_food,0.18,w_prod,0.12,s_train,IF(train="Верх",1,IF(train="Ноги",1,IF(train="Отдых",0.6,IF(train="Пропустил",0.2,0)))),s_steps,IF(steps="15k+",1,IF(steps="12-15k",0.9,IF(steps="10-12k",0.8,IF(steps="7-10k",0.6,IF(steps="5-7k",0.4,IF(steps="&lt;5k",0.2,0)))))),s_sleep,IF(sleep="&gt;8",0.9,IF(sleep="6-8",1,IF(sleep="&lt;6",0.2,0))),s_reg,IF(reg="Не сбит",1,IF(reg="Сбит",0.3,0)),s_food,IF(AND(kcal&gt;0,p&gt;0),MIN(1, (p/120))*0.6 + MIN(1, MAX(0,1-ABS(kcal-2200)/600))*0.4,0),s_prod,IF(prod="100%",1,IF(prod="75%",0.8,IF(prod="50%",0.6,IF(prod="25%",0.35,IF(prod="0%",0.1,0)))),ROUND(100*(w_train*s_train + w_steps*s_steps + w_sleep*s_sleep + w_reg*s_reg + w_food*s_food + w_prod*s_prod),0))</f>
        <v/>
      </c>
      <c r="O29">
        <f>TEXTJOIN(", ",TRUE,IF(B29="","тренировка",""),IF(D29="","шаги",""),IF(E29="","сон",""),IF(F29="","режим",""),IF(G29="","настроение",""),IF(H29="","энергия",""),IF(I29="","продуктивность",""),IF(J29="","еда (ккал)",""))</f>
        <v/>
      </c>
      <c r="U29">
        <f>IF($A29="","",IF(SUMIF(FoodLog!$A:$A,$A29,FoodLog!$I:$I)=0,"",SUMIF(FoodLog!$A:$A,$A29,FoodLog!$I:$I)))</f>
        <v/>
      </c>
      <c r="V29">
        <f>IF($A29="","",IF(SUMIF(FoodLog!$A:$A,$A29,FoodLog!$F:$F)=0,"",SUMIF(FoodLog!$A:$A,$A29,FoodLog!$F:$F)))</f>
        <v/>
      </c>
      <c r="W29">
        <f>IF($A29="","",IF(SUMIF(FoodLog!$A:$A,$A29,FoodLog!$G:$G)=0,"",SUMIF(FoodLog!$A:$A,$A29,FoodLog!$G:$G)))</f>
        <v/>
      </c>
      <c r="X29">
        <f>IF($A29="","",IF(SUMIF(FoodLog!$A:$A,$A29,FoodLog!$H:$H)=0,"",SUMIF(FoodLog!$A:$A,$A29,FoodLog!$H:$H)))</f>
        <v/>
      </c>
      <c r="Y29">
        <f>IF($A29="","",IFERROR(ROUND(100*AVERAGE(IF($B29="","",XLOOKUP($B29,FILTER(Dictionaries!$B:$B,Dictionaries!$A:$A="??????????"),FILTER(Dictionaries!$C:$C,Dictionaries!$A:$A="??????????"))),IF($C29="","",MIN($C29/40,1)),IF($D29="","",XLOOKUP($D29,FILTER(Dictionaries!$B:$B,Dictionaries!$A:$A="????"),FILTER(Dictionaries!$C:$C,Dictionaries!$A:$A="????"))),IF($E29="","",MIN($E29/120,1)),IF(OR($F29&lt;&gt;"",$G29&lt;&gt;""),1,""),IF($H29="","",MIN($H29/100,1)),IF($L29="","",XLOOKUP($L29,FILTER(Dictionaries!$B:$B,Dictionaries!$A:$A="???_????"),FILTER(Dictionaries!$C:$C,Dictionaries!$A:$A="???_????"))),IF($M29="","",XLOOKUP($M29,FILTER(Dictionaries!$B:$B,Dictionaries!$A:$A="?????"),FILTER(Dictionaries!$C:$C,Dictionaries!$A:$A="?????"))),IF($N29="","",MIN($N29/100,1)),IF($O29="","",XLOOKUP($O29,FILTER(Dictionaries!$B:$B,Dictionaries!$A:$A="??????????"),FILTER(Dictionaries!$C:$C,Dictionaries!$A:$A="??????????"))),IF($P29="","",XLOOKUP($P29,FILTER(Dictionaries!$B:$B,Dictionaries!$A:$A="???????"),FILTER(Dictionaries!$C:$C,Dictionaries!$A:$A="???????"))),IF($U29="","",LET(t,IF(OR($B29="????",$B29="????"),"train","rest"),k,$U29,p,$V29,f,$W29,c,$X29,k_s,IF(t="train",IF(k="","",IFS(AND(k&gt;=1900,k&lt;=2050),1,AND(k&gt;=1850,k&lt;1900),0.7,AND(k&gt;2050,k&lt;=2100),0.7,TRUE,0.2)),IF(k="","",IFS(AND(k&gt;=1700,k&lt;=1850),1,AND(k&gt;=1650,k&lt;1700),0.7,AND(k&gt;1850,k&lt;=1900),0.7,TRUE,0.2))),p_s,IF(t="train",IF(p="","",IFS(AND(p&gt;=125,p&lt;=135),1,AND(p&gt;=115,p&lt;125),0.7,AND(p&gt;135,p&lt;=145),0.7,AND(p&gt;=105,p&lt;115),0.4,AND(p&gt;145,p&lt;=155),0.4,TRUE,0.2)),IF(p="","",IFS(AND(p&gt;=120,p&lt;=130),1,AND(p&gt;=110,p&lt;120),0.7,AND(p&gt;130,p&lt;=140),0.7,AND(p&gt;=100,p&lt;110),0.4,AND(p&gt;140,p&lt;=150),0.4,TRUE,0.2))),f_s,IF(f="","",IFS(AND(f&gt;=55,f&lt;=65),1,AND(f&gt;=50,f&lt;55),0.7,AND(f&gt;65,f&lt;=70),0.7,AND(f&gt;=45,f&lt;50),0.4,AND(f&gt;70,f&lt;=75),0.4,TRUE,0.2)),c_s,IF(t="train",IF(c="","",IFS(AND(c&gt;=180,c&lt;=210),1,AND(c&gt;=160,c&lt;180),0.7,AND(c&gt;210,c&lt;=230),0.7,AND(c&gt;=140,c&lt;160),0.4,AND(c&gt;230,c&lt;=250),0.4,TRUE,0.2)),IF(c="","",IFS(AND(c&gt;=140,c&lt;=170),1,AND(c&gt;=120,c&lt;140),0.7,AND(c&gt;170,c&lt;=190),0.7,AND(c&gt;=100,c&lt;120),0.4,AND(c&gt;190,c&lt;=210),0.4,TRUE,0.2))),AVERAGE(k_s,p_s,f_s,c_s)))),1),""))</f>
        <v/>
      </c>
      <c r="Z29">
        <f>IF($A29="","",TEXTJOIN(", ",TRUE,IF($B29="","??????????",""),IF($C29="","??????",""),IF($D29="","????",""),IF($E29="","??????????",""),IF($F29="","???-?????",""),IF($G29="","???-????",""),IF($H29="","??????",""),IF($L29="","???",""),IF($M29="","?????",""),IF($N29="","??????????????",""),IF($O29="","??????????",""),IF($P29="","???????",""),IF($U29="","???","")))</f>
        <v/>
      </c>
    </row>
    <row r="30">
      <c r="A30" s="2" t="n">
        <v>739676</v>
      </c>
      <c r="J30">
        <f>IF(A30="","",SUMIF(FoodLog!$A:$A,A30,FoodLog!$I:$I))</f>
        <v/>
      </c>
      <c r="K30">
        <f>IF(A30="","",SUMIF(FoodLog!$A:$A,A30,FoodLog!$F:$F))</f>
        <v/>
      </c>
      <c r="L30">
        <f>IF(A30="","",SUMIF(FoodLog!$A:$A,A30,FoodLog!$G:$G))</f>
        <v/>
      </c>
      <c r="M30">
        <f>IF(A30="","",SUMIF(FoodLog!$A:$A,A30,FoodLog!$H:$H))</f>
        <v/>
      </c>
      <c r="N30">
        <f>LET(train,B30,cardio,C30,steps,D30,sleep,E30,reg,F30,prod,I30,kcal,J30,p,K30,w_train,0.22,w_steps,0.18,w_sleep,0.20,w_reg,0.10,w_food,0.18,w_prod,0.12,s_train,IF(train="Верх",1,IF(train="Ноги",1,IF(train="Отдых",0.6,IF(train="Пропустил",0.2,0)))),s_steps,IF(steps="15k+",1,IF(steps="12-15k",0.9,IF(steps="10-12k",0.8,IF(steps="7-10k",0.6,IF(steps="5-7k",0.4,IF(steps="&lt;5k",0.2,0)))))),s_sleep,IF(sleep="&gt;8",0.9,IF(sleep="6-8",1,IF(sleep="&lt;6",0.2,0))),s_reg,IF(reg="Не сбит",1,IF(reg="Сбит",0.3,0)),s_food,IF(AND(kcal&gt;0,p&gt;0),MIN(1, (p/120))*0.6 + MIN(1, MAX(0,1-ABS(kcal-2200)/600))*0.4,0),s_prod,IF(prod="100%",1,IF(prod="75%",0.8,IF(prod="50%",0.6,IF(prod="25%",0.35,IF(prod="0%",0.1,0)))),ROUND(100*(w_train*s_train + w_steps*s_steps + w_sleep*s_sleep + w_reg*s_reg + w_food*s_food + w_prod*s_prod),0))</f>
        <v/>
      </c>
      <c r="O30">
        <f>TEXTJOIN(", ",TRUE,IF(B30="","тренировка",""),IF(D30="","шаги",""),IF(E30="","сон",""),IF(F30="","режим",""),IF(G30="","настроение",""),IF(H30="","энергия",""),IF(I30="","продуктивность",""),IF(J30="","еда (ккал)",""))</f>
        <v/>
      </c>
      <c r="U30">
        <f>IF($A30="","",IF(SUMIF(FoodLog!$A:$A,$A30,FoodLog!$I:$I)=0,"",SUMIF(FoodLog!$A:$A,$A30,FoodLog!$I:$I)))</f>
        <v/>
      </c>
      <c r="V30">
        <f>IF($A30="","",IF(SUMIF(FoodLog!$A:$A,$A30,FoodLog!$F:$F)=0,"",SUMIF(FoodLog!$A:$A,$A30,FoodLog!$F:$F)))</f>
        <v/>
      </c>
      <c r="W30">
        <f>IF($A30="","",IF(SUMIF(FoodLog!$A:$A,$A30,FoodLog!$G:$G)=0,"",SUMIF(FoodLog!$A:$A,$A30,FoodLog!$G:$G)))</f>
        <v/>
      </c>
      <c r="X30">
        <f>IF($A30="","",IF(SUMIF(FoodLog!$A:$A,$A30,FoodLog!$H:$H)=0,"",SUMIF(FoodLog!$A:$A,$A30,FoodLog!$H:$H)))</f>
        <v/>
      </c>
      <c r="Y30">
        <f>IF($A30="","",IFERROR(ROUND(100*AVERAGE(IF($B30="","",XLOOKUP($B30,FILTER(Dictionaries!$B:$B,Dictionaries!$A:$A="??????????"),FILTER(Dictionaries!$C:$C,Dictionaries!$A:$A="??????????"))),IF($C30="","",MIN($C30/40,1)),IF($D30="","",XLOOKUP($D30,FILTER(Dictionaries!$B:$B,Dictionaries!$A:$A="????"),FILTER(Dictionaries!$C:$C,Dictionaries!$A:$A="????"))),IF($E30="","",MIN($E30/120,1)),IF(OR($F30&lt;&gt;"",$G30&lt;&gt;""),1,""),IF($H30="","",MIN($H30/100,1)),IF($L30="","",XLOOKUP($L30,FILTER(Dictionaries!$B:$B,Dictionaries!$A:$A="???_????"),FILTER(Dictionaries!$C:$C,Dictionaries!$A:$A="???_????"))),IF($M30="","",XLOOKUP($M30,FILTER(Dictionaries!$B:$B,Dictionaries!$A:$A="?????"),FILTER(Dictionaries!$C:$C,Dictionaries!$A:$A="?????"))),IF($N30="","",MIN($N30/100,1)),IF($O30="","",XLOOKUP($O30,FILTER(Dictionaries!$B:$B,Dictionaries!$A:$A="??????????"),FILTER(Dictionaries!$C:$C,Dictionaries!$A:$A="??????????"))),IF($P30="","",XLOOKUP($P30,FILTER(Dictionaries!$B:$B,Dictionaries!$A:$A="???????"),FILTER(Dictionaries!$C:$C,Dictionaries!$A:$A="???????"))),IF($U30="","",LET(t,IF(OR($B30="????",$B30="????"),"train","rest"),k,$U30,p,$V30,f,$W30,c,$X30,k_s,IF(t="train",IF(k="","",IFS(AND(k&gt;=1900,k&lt;=2050),1,AND(k&gt;=1850,k&lt;1900),0.7,AND(k&gt;2050,k&lt;=2100),0.7,TRUE,0.2)),IF(k="","",IFS(AND(k&gt;=1700,k&lt;=1850),1,AND(k&gt;=1650,k&lt;1700),0.7,AND(k&gt;1850,k&lt;=1900),0.7,TRUE,0.2))),p_s,IF(t="train",IF(p="","",IFS(AND(p&gt;=125,p&lt;=135),1,AND(p&gt;=115,p&lt;125),0.7,AND(p&gt;135,p&lt;=145),0.7,AND(p&gt;=105,p&lt;115),0.4,AND(p&gt;145,p&lt;=155),0.4,TRUE,0.2)),IF(p="","",IFS(AND(p&gt;=120,p&lt;=130),1,AND(p&gt;=110,p&lt;120),0.7,AND(p&gt;130,p&lt;=140),0.7,AND(p&gt;=100,p&lt;110),0.4,AND(p&gt;140,p&lt;=150),0.4,TRUE,0.2))),f_s,IF(f="","",IFS(AND(f&gt;=55,f&lt;=65),1,AND(f&gt;=50,f&lt;55),0.7,AND(f&gt;65,f&lt;=70),0.7,AND(f&gt;=45,f&lt;50),0.4,AND(f&gt;70,f&lt;=75),0.4,TRUE,0.2)),c_s,IF(t="train",IF(c="","",IFS(AND(c&gt;=180,c&lt;=210),1,AND(c&gt;=160,c&lt;180),0.7,AND(c&gt;210,c&lt;=230),0.7,AND(c&gt;=140,c&lt;160),0.4,AND(c&gt;230,c&lt;=250),0.4,TRUE,0.2)),IF(c="","",IFS(AND(c&gt;=140,c&lt;=170),1,AND(c&gt;=120,c&lt;140),0.7,AND(c&gt;170,c&lt;=190),0.7,AND(c&gt;=100,c&lt;120),0.4,AND(c&gt;190,c&lt;=210),0.4,TRUE,0.2))),AVERAGE(k_s,p_s,f_s,c_s)))),1),""))</f>
        <v/>
      </c>
      <c r="Z30">
        <f>IF($A30="","",TEXTJOIN(", ",TRUE,IF($B30="","??????????",""),IF($C30="","??????",""),IF($D30="","????",""),IF($E30="","??????????",""),IF($F30="","???-?????",""),IF($G30="","???-????",""),IF($H30="","??????",""),IF($L30="","???",""),IF($M30="","?????",""),IF($N30="","??????????????",""),IF($O30="","??????????",""),IF($P30="","???????",""),IF($U30="","???","")))</f>
        <v/>
      </c>
    </row>
    <row r="31">
      <c r="A31" s="2" t="n">
        <v>739677</v>
      </c>
      <c r="J31">
        <f>IF(A31="","",SUMIF(FoodLog!$A:$A,A31,FoodLog!$I:$I))</f>
        <v/>
      </c>
      <c r="K31">
        <f>IF(A31="","",SUMIF(FoodLog!$A:$A,A31,FoodLog!$F:$F))</f>
        <v/>
      </c>
      <c r="L31">
        <f>IF(A31="","",SUMIF(FoodLog!$A:$A,A31,FoodLog!$G:$G))</f>
        <v/>
      </c>
      <c r="M31">
        <f>IF(A31="","",SUMIF(FoodLog!$A:$A,A31,FoodLog!$H:$H))</f>
        <v/>
      </c>
      <c r="N31">
        <f>LET(train,B31,cardio,C31,steps,D31,sleep,E31,reg,F31,prod,I31,kcal,J31,p,K31,w_train,0.22,w_steps,0.18,w_sleep,0.20,w_reg,0.10,w_food,0.18,w_prod,0.12,s_train,IF(train="Верх",1,IF(train="Ноги",1,IF(train="Отдых",0.6,IF(train="Пропустил",0.2,0)))),s_steps,IF(steps="15k+",1,IF(steps="12-15k",0.9,IF(steps="10-12k",0.8,IF(steps="7-10k",0.6,IF(steps="5-7k",0.4,IF(steps="&lt;5k",0.2,0)))))),s_sleep,IF(sleep="&gt;8",0.9,IF(sleep="6-8",1,IF(sleep="&lt;6",0.2,0))),s_reg,IF(reg="Не сбит",1,IF(reg="Сбит",0.3,0)),s_food,IF(AND(kcal&gt;0,p&gt;0),MIN(1, (p/120))*0.6 + MIN(1, MAX(0,1-ABS(kcal-2200)/600))*0.4,0),s_prod,IF(prod="100%",1,IF(prod="75%",0.8,IF(prod="50%",0.6,IF(prod="25%",0.35,IF(prod="0%",0.1,0)))),ROUND(100*(w_train*s_train + w_steps*s_steps + w_sleep*s_sleep + w_reg*s_reg + w_food*s_food + w_prod*s_prod),0))</f>
        <v/>
      </c>
      <c r="O31">
        <f>TEXTJOIN(", ",TRUE,IF(B31="","тренировка",""),IF(D31="","шаги",""),IF(E31="","сон",""),IF(F31="","режим",""),IF(G31="","настроение",""),IF(H31="","энергия",""),IF(I31="","продуктивность",""),IF(J31="","еда (ккал)",""))</f>
        <v/>
      </c>
      <c r="U31">
        <f>IF($A31="","",IF(SUMIF(FoodLog!$A:$A,$A31,FoodLog!$I:$I)=0,"",SUMIF(FoodLog!$A:$A,$A31,FoodLog!$I:$I)))</f>
        <v/>
      </c>
      <c r="V31">
        <f>IF($A31="","",IF(SUMIF(FoodLog!$A:$A,$A31,FoodLog!$F:$F)=0,"",SUMIF(FoodLog!$A:$A,$A31,FoodLog!$F:$F)))</f>
        <v/>
      </c>
      <c r="W31">
        <f>IF($A31="","",IF(SUMIF(FoodLog!$A:$A,$A31,FoodLog!$G:$G)=0,"",SUMIF(FoodLog!$A:$A,$A31,FoodLog!$G:$G)))</f>
        <v/>
      </c>
      <c r="X31">
        <f>IF($A31="","",IF(SUMIF(FoodLog!$A:$A,$A31,FoodLog!$H:$H)=0,"",SUMIF(FoodLog!$A:$A,$A31,FoodLog!$H:$H)))</f>
        <v/>
      </c>
      <c r="Y31">
        <f>IF($A31="","",IFERROR(ROUND(100*AVERAGE(IF($B31="","",XLOOKUP($B31,FILTER(Dictionaries!$B:$B,Dictionaries!$A:$A="??????????"),FILTER(Dictionaries!$C:$C,Dictionaries!$A:$A="??????????"))),IF($C31="","",MIN($C31/40,1)),IF($D31="","",XLOOKUP($D31,FILTER(Dictionaries!$B:$B,Dictionaries!$A:$A="????"),FILTER(Dictionaries!$C:$C,Dictionaries!$A:$A="????"))),IF($E31="","",MIN($E31/120,1)),IF(OR($F31&lt;&gt;"",$G31&lt;&gt;""),1,""),IF($H31="","",MIN($H31/100,1)),IF($L31="","",XLOOKUP($L31,FILTER(Dictionaries!$B:$B,Dictionaries!$A:$A="???_????"),FILTER(Dictionaries!$C:$C,Dictionaries!$A:$A="???_????"))),IF($M31="","",XLOOKUP($M31,FILTER(Dictionaries!$B:$B,Dictionaries!$A:$A="?????"),FILTER(Dictionaries!$C:$C,Dictionaries!$A:$A="?????"))),IF($N31="","",MIN($N31/100,1)),IF($O31="","",XLOOKUP($O31,FILTER(Dictionaries!$B:$B,Dictionaries!$A:$A="??????????"),FILTER(Dictionaries!$C:$C,Dictionaries!$A:$A="??????????"))),IF($P31="","",XLOOKUP($P31,FILTER(Dictionaries!$B:$B,Dictionaries!$A:$A="???????"),FILTER(Dictionaries!$C:$C,Dictionaries!$A:$A="???????"))),IF($U31="","",LET(t,IF(OR($B31="????",$B31="????"),"train","rest"),k,$U31,p,$V31,f,$W31,c,$X31,k_s,IF(t="train",IF(k="","",IFS(AND(k&gt;=1900,k&lt;=2050),1,AND(k&gt;=1850,k&lt;1900),0.7,AND(k&gt;2050,k&lt;=2100),0.7,TRUE,0.2)),IF(k="","",IFS(AND(k&gt;=1700,k&lt;=1850),1,AND(k&gt;=1650,k&lt;1700),0.7,AND(k&gt;1850,k&lt;=1900),0.7,TRUE,0.2))),p_s,IF(t="train",IF(p="","",IFS(AND(p&gt;=125,p&lt;=135),1,AND(p&gt;=115,p&lt;125),0.7,AND(p&gt;135,p&lt;=145),0.7,AND(p&gt;=105,p&lt;115),0.4,AND(p&gt;145,p&lt;=155),0.4,TRUE,0.2)),IF(p="","",IFS(AND(p&gt;=120,p&lt;=130),1,AND(p&gt;=110,p&lt;120),0.7,AND(p&gt;130,p&lt;=140),0.7,AND(p&gt;=100,p&lt;110),0.4,AND(p&gt;140,p&lt;=150),0.4,TRUE,0.2))),f_s,IF(f="","",IFS(AND(f&gt;=55,f&lt;=65),1,AND(f&gt;=50,f&lt;55),0.7,AND(f&gt;65,f&lt;=70),0.7,AND(f&gt;=45,f&lt;50),0.4,AND(f&gt;70,f&lt;=75),0.4,TRUE,0.2)),c_s,IF(t="train",IF(c="","",IFS(AND(c&gt;=180,c&lt;=210),1,AND(c&gt;=160,c&lt;180),0.7,AND(c&gt;210,c&lt;=230),0.7,AND(c&gt;=140,c&lt;160),0.4,AND(c&gt;230,c&lt;=250),0.4,TRUE,0.2)),IF(c="","",IFS(AND(c&gt;=140,c&lt;=170),1,AND(c&gt;=120,c&lt;140),0.7,AND(c&gt;170,c&lt;=190),0.7,AND(c&gt;=100,c&lt;120),0.4,AND(c&gt;190,c&lt;=210),0.4,TRUE,0.2))),AVERAGE(k_s,p_s,f_s,c_s)))),1),""))</f>
        <v/>
      </c>
      <c r="Z31">
        <f>IF($A31="","",TEXTJOIN(", ",TRUE,IF($B31="","??????????",""),IF($C31="","??????",""),IF($D31="","????",""),IF($E31="","??????????",""),IF($F31="","???-?????",""),IF($G31="","???-????",""),IF($H31="","??????",""),IF($L31="","???",""),IF($M31="","?????",""),IF($N31="","??????????????",""),IF($O31="","??????????",""),IF($P31="","???????",""),IF($U31="","???","")))</f>
        <v/>
      </c>
    </row>
    <row r="32">
      <c r="A32" s="2" t="n">
        <v>739678</v>
      </c>
      <c r="J32">
        <f>IF(A32="","",SUMIF(FoodLog!$A:$A,A32,FoodLog!$I:$I))</f>
        <v/>
      </c>
      <c r="K32">
        <f>IF(A32="","",SUMIF(FoodLog!$A:$A,A32,FoodLog!$F:$F))</f>
        <v/>
      </c>
      <c r="L32">
        <f>IF(A32="","",SUMIF(FoodLog!$A:$A,A32,FoodLog!$G:$G))</f>
        <v/>
      </c>
      <c r="M32">
        <f>IF(A32="","",SUMIF(FoodLog!$A:$A,A32,FoodLog!$H:$H))</f>
        <v/>
      </c>
      <c r="N32">
        <f>LET(train,B32,cardio,C32,steps,D32,sleep,E32,reg,F32,prod,I32,kcal,J32,p,K32,w_train,0.22,w_steps,0.18,w_sleep,0.20,w_reg,0.10,w_food,0.18,w_prod,0.12,s_train,IF(train="Верх",1,IF(train="Ноги",1,IF(train="Отдых",0.6,IF(train="Пропустил",0.2,0)))),s_steps,IF(steps="15k+",1,IF(steps="12-15k",0.9,IF(steps="10-12k",0.8,IF(steps="7-10k",0.6,IF(steps="5-7k",0.4,IF(steps="&lt;5k",0.2,0)))))),s_sleep,IF(sleep="&gt;8",0.9,IF(sleep="6-8",1,IF(sleep="&lt;6",0.2,0))),s_reg,IF(reg="Не сбит",1,IF(reg="Сбит",0.3,0)),s_food,IF(AND(kcal&gt;0,p&gt;0),MIN(1, (p/120))*0.6 + MIN(1, MAX(0,1-ABS(kcal-2200)/600))*0.4,0),s_prod,IF(prod="100%",1,IF(prod="75%",0.8,IF(prod="50%",0.6,IF(prod="25%",0.35,IF(prod="0%",0.1,0)))),ROUND(100*(w_train*s_train + w_steps*s_steps + w_sleep*s_sleep + w_reg*s_reg + w_food*s_food + w_prod*s_prod),0))</f>
        <v/>
      </c>
      <c r="O32">
        <f>TEXTJOIN(", ",TRUE,IF(B32="","тренировка",""),IF(D32="","шаги",""),IF(E32="","сон",""),IF(F32="","режим",""),IF(G32="","настроение",""),IF(H32="","энергия",""),IF(I32="","продуктивность",""),IF(J32="","еда (ккал)",""))</f>
        <v/>
      </c>
      <c r="U32">
        <f>IF($A32="","",IF(SUMIF(FoodLog!$A:$A,$A32,FoodLog!$I:$I)=0,"",SUMIF(FoodLog!$A:$A,$A32,FoodLog!$I:$I)))</f>
        <v/>
      </c>
      <c r="V32">
        <f>IF($A32="","",IF(SUMIF(FoodLog!$A:$A,$A32,FoodLog!$F:$F)=0,"",SUMIF(FoodLog!$A:$A,$A32,FoodLog!$F:$F)))</f>
        <v/>
      </c>
      <c r="W32">
        <f>IF($A32="","",IF(SUMIF(FoodLog!$A:$A,$A32,FoodLog!$G:$G)=0,"",SUMIF(FoodLog!$A:$A,$A32,FoodLog!$G:$G)))</f>
        <v/>
      </c>
      <c r="X32">
        <f>IF($A32="","",IF(SUMIF(FoodLog!$A:$A,$A32,FoodLog!$H:$H)=0,"",SUMIF(FoodLog!$A:$A,$A32,FoodLog!$H:$H)))</f>
        <v/>
      </c>
      <c r="Y32">
        <f>IF($A32="","",IFERROR(ROUND(100*AVERAGE(IF($B32="","",XLOOKUP($B32,FILTER(Dictionaries!$B:$B,Dictionaries!$A:$A="??????????"),FILTER(Dictionaries!$C:$C,Dictionaries!$A:$A="??????????"))),IF($C32="","",MIN($C32/40,1)),IF($D32="","",XLOOKUP($D32,FILTER(Dictionaries!$B:$B,Dictionaries!$A:$A="????"),FILTER(Dictionaries!$C:$C,Dictionaries!$A:$A="????"))),IF($E32="","",MIN($E32/120,1)),IF(OR($F32&lt;&gt;"",$G32&lt;&gt;""),1,""),IF($H32="","",MIN($H32/100,1)),IF($L32="","",XLOOKUP($L32,FILTER(Dictionaries!$B:$B,Dictionaries!$A:$A="???_????"),FILTER(Dictionaries!$C:$C,Dictionaries!$A:$A="???_????"))),IF($M32="","",XLOOKUP($M32,FILTER(Dictionaries!$B:$B,Dictionaries!$A:$A="?????"),FILTER(Dictionaries!$C:$C,Dictionaries!$A:$A="?????"))),IF($N32="","",MIN($N32/100,1)),IF($O32="","",XLOOKUP($O32,FILTER(Dictionaries!$B:$B,Dictionaries!$A:$A="??????????"),FILTER(Dictionaries!$C:$C,Dictionaries!$A:$A="??????????"))),IF($P32="","",XLOOKUP($P32,FILTER(Dictionaries!$B:$B,Dictionaries!$A:$A="???????"),FILTER(Dictionaries!$C:$C,Dictionaries!$A:$A="???????"))),IF($U32="","",LET(t,IF(OR($B32="????",$B32="????"),"train","rest"),k,$U32,p,$V32,f,$W32,c,$X32,k_s,IF(t="train",IF(k="","",IFS(AND(k&gt;=1900,k&lt;=2050),1,AND(k&gt;=1850,k&lt;1900),0.7,AND(k&gt;2050,k&lt;=2100),0.7,TRUE,0.2)),IF(k="","",IFS(AND(k&gt;=1700,k&lt;=1850),1,AND(k&gt;=1650,k&lt;1700),0.7,AND(k&gt;1850,k&lt;=1900),0.7,TRUE,0.2))),p_s,IF(t="train",IF(p="","",IFS(AND(p&gt;=125,p&lt;=135),1,AND(p&gt;=115,p&lt;125),0.7,AND(p&gt;135,p&lt;=145),0.7,AND(p&gt;=105,p&lt;115),0.4,AND(p&gt;145,p&lt;=155),0.4,TRUE,0.2)),IF(p="","",IFS(AND(p&gt;=120,p&lt;=130),1,AND(p&gt;=110,p&lt;120),0.7,AND(p&gt;130,p&lt;=140),0.7,AND(p&gt;=100,p&lt;110),0.4,AND(p&gt;140,p&lt;=150),0.4,TRUE,0.2))),f_s,IF(f="","",IFS(AND(f&gt;=55,f&lt;=65),1,AND(f&gt;=50,f&lt;55),0.7,AND(f&gt;65,f&lt;=70),0.7,AND(f&gt;=45,f&lt;50),0.4,AND(f&gt;70,f&lt;=75),0.4,TRUE,0.2)),c_s,IF(t="train",IF(c="","",IFS(AND(c&gt;=180,c&lt;=210),1,AND(c&gt;=160,c&lt;180),0.7,AND(c&gt;210,c&lt;=230),0.7,AND(c&gt;=140,c&lt;160),0.4,AND(c&gt;230,c&lt;=250),0.4,TRUE,0.2)),IF(c="","",IFS(AND(c&gt;=140,c&lt;=170),1,AND(c&gt;=120,c&lt;140),0.7,AND(c&gt;170,c&lt;=190),0.7,AND(c&gt;=100,c&lt;120),0.4,AND(c&gt;190,c&lt;=210),0.4,TRUE,0.2))),AVERAGE(k_s,p_s,f_s,c_s)))),1),""))</f>
        <v/>
      </c>
      <c r="Z32">
        <f>IF($A32="","",TEXTJOIN(", ",TRUE,IF($B32="","??????????",""),IF($C32="","??????",""),IF($D32="","????",""),IF($E32="","??????????",""),IF($F32="","???-?????",""),IF($G32="","???-????",""),IF($H32="","??????",""),IF($L32="","???",""),IF($M32="","?????",""),IF($N32="","??????????????",""),IF($O32="","??????????",""),IF($P32="","???????",""),IF($U32="","???","")))</f>
        <v/>
      </c>
    </row>
    <row r="33">
      <c r="A33" s="2" t="n">
        <v>739679</v>
      </c>
      <c r="J33">
        <f>IF(A33="","",SUMIF(FoodLog!$A:$A,A33,FoodLog!$I:$I))</f>
        <v/>
      </c>
      <c r="K33">
        <f>IF(A33="","",SUMIF(FoodLog!$A:$A,A33,FoodLog!$F:$F))</f>
        <v/>
      </c>
      <c r="L33">
        <f>IF(A33="","",SUMIF(FoodLog!$A:$A,A33,FoodLog!$G:$G))</f>
        <v/>
      </c>
      <c r="M33">
        <f>IF(A33="","",SUMIF(FoodLog!$A:$A,A33,FoodLog!$H:$H))</f>
        <v/>
      </c>
      <c r="N33">
        <f>LET(train,B33,cardio,C33,steps,D33,sleep,E33,reg,F33,prod,I33,kcal,J33,p,K33,w_train,0.22,w_steps,0.18,w_sleep,0.20,w_reg,0.10,w_food,0.18,w_prod,0.12,s_train,IF(train="Верх",1,IF(train="Ноги",1,IF(train="Отдых",0.6,IF(train="Пропустил",0.2,0)))),s_steps,IF(steps="15k+",1,IF(steps="12-15k",0.9,IF(steps="10-12k",0.8,IF(steps="7-10k",0.6,IF(steps="5-7k",0.4,IF(steps="&lt;5k",0.2,0)))))),s_sleep,IF(sleep="&gt;8",0.9,IF(sleep="6-8",1,IF(sleep="&lt;6",0.2,0))),s_reg,IF(reg="Не сбит",1,IF(reg="Сбит",0.3,0)),s_food,IF(AND(kcal&gt;0,p&gt;0),MIN(1, (p/120))*0.6 + MIN(1, MAX(0,1-ABS(kcal-2200)/600))*0.4,0),s_prod,IF(prod="100%",1,IF(prod="75%",0.8,IF(prod="50%",0.6,IF(prod="25%",0.35,IF(prod="0%",0.1,0)))),ROUND(100*(w_train*s_train + w_steps*s_steps + w_sleep*s_sleep + w_reg*s_reg + w_food*s_food + w_prod*s_prod),0))</f>
        <v/>
      </c>
      <c r="O33">
        <f>TEXTJOIN(", ",TRUE,IF(B33="","тренировка",""),IF(D33="","шаги",""),IF(E33="","сон",""),IF(F33="","режим",""),IF(G33="","настроение",""),IF(H33="","энергия",""),IF(I33="","продуктивность",""),IF(J33="","еда (ккал)",""))</f>
        <v/>
      </c>
      <c r="U33">
        <f>IF($A33="","",IF(SUMIF(FoodLog!$A:$A,$A33,FoodLog!$I:$I)=0,"",SUMIF(FoodLog!$A:$A,$A33,FoodLog!$I:$I)))</f>
        <v/>
      </c>
      <c r="V33">
        <f>IF($A33="","",IF(SUMIF(FoodLog!$A:$A,$A33,FoodLog!$F:$F)=0,"",SUMIF(FoodLog!$A:$A,$A33,FoodLog!$F:$F)))</f>
        <v/>
      </c>
      <c r="W33">
        <f>IF($A33="","",IF(SUMIF(FoodLog!$A:$A,$A33,FoodLog!$G:$G)=0,"",SUMIF(FoodLog!$A:$A,$A33,FoodLog!$G:$G)))</f>
        <v/>
      </c>
      <c r="X33">
        <f>IF($A33="","",IF(SUMIF(FoodLog!$A:$A,$A33,FoodLog!$H:$H)=0,"",SUMIF(FoodLog!$A:$A,$A33,FoodLog!$H:$H)))</f>
        <v/>
      </c>
      <c r="Y33">
        <f>IF($A33="","",IFERROR(ROUND(100*AVERAGE(IF($B33="","",XLOOKUP($B33,FILTER(Dictionaries!$B:$B,Dictionaries!$A:$A="??????????"),FILTER(Dictionaries!$C:$C,Dictionaries!$A:$A="??????????"))),IF($C33="","",MIN($C33/40,1)),IF($D33="","",XLOOKUP($D33,FILTER(Dictionaries!$B:$B,Dictionaries!$A:$A="????"),FILTER(Dictionaries!$C:$C,Dictionaries!$A:$A="????"))),IF($E33="","",MIN($E33/120,1)),IF(OR($F33&lt;&gt;"",$G33&lt;&gt;""),1,""),IF($H33="","",MIN($H33/100,1)),IF($L33="","",XLOOKUP($L33,FILTER(Dictionaries!$B:$B,Dictionaries!$A:$A="???_????"),FILTER(Dictionaries!$C:$C,Dictionaries!$A:$A="???_????"))),IF($M33="","",XLOOKUP($M33,FILTER(Dictionaries!$B:$B,Dictionaries!$A:$A="?????"),FILTER(Dictionaries!$C:$C,Dictionaries!$A:$A="?????"))),IF($N33="","",MIN($N33/100,1)),IF($O33="","",XLOOKUP($O33,FILTER(Dictionaries!$B:$B,Dictionaries!$A:$A="??????????"),FILTER(Dictionaries!$C:$C,Dictionaries!$A:$A="??????????"))),IF($P33="","",XLOOKUP($P33,FILTER(Dictionaries!$B:$B,Dictionaries!$A:$A="???????"),FILTER(Dictionaries!$C:$C,Dictionaries!$A:$A="???????"))),IF($U33="","",LET(t,IF(OR($B33="????",$B33="????"),"train","rest"),k,$U33,p,$V33,f,$W33,c,$X33,k_s,IF(t="train",IF(k="","",IFS(AND(k&gt;=1900,k&lt;=2050),1,AND(k&gt;=1850,k&lt;1900),0.7,AND(k&gt;2050,k&lt;=2100),0.7,TRUE,0.2)),IF(k="","",IFS(AND(k&gt;=1700,k&lt;=1850),1,AND(k&gt;=1650,k&lt;1700),0.7,AND(k&gt;1850,k&lt;=1900),0.7,TRUE,0.2))),p_s,IF(t="train",IF(p="","",IFS(AND(p&gt;=125,p&lt;=135),1,AND(p&gt;=115,p&lt;125),0.7,AND(p&gt;135,p&lt;=145),0.7,AND(p&gt;=105,p&lt;115),0.4,AND(p&gt;145,p&lt;=155),0.4,TRUE,0.2)),IF(p="","",IFS(AND(p&gt;=120,p&lt;=130),1,AND(p&gt;=110,p&lt;120),0.7,AND(p&gt;130,p&lt;=140),0.7,AND(p&gt;=100,p&lt;110),0.4,AND(p&gt;140,p&lt;=150),0.4,TRUE,0.2))),f_s,IF(f="","",IFS(AND(f&gt;=55,f&lt;=65),1,AND(f&gt;=50,f&lt;55),0.7,AND(f&gt;65,f&lt;=70),0.7,AND(f&gt;=45,f&lt;50),0.4,AND(f&gt;70,f&lt;=75),0.4,TRUE,0.2)),c_s,IF(t="train",IF(c="","",IFS(AND(c&gt;=180,c&lt;=210),1,AND(c&gt;=160,c&lt;180),0.7,AND(c&gt;210,c&lt;=230),0.7,AND(c&gt;=140,c&lt;160),0.4,AND(c&gt;230,c&lt;=250),0.4,TRUE,0.2)),IF(c="","",IFS(AND(c&gt;=140,c&lt;=170),1,AND(c&gt;=120,c&lt;140),0.7,AND(c&gt;170,c&lt;=190),0.7,AND(c&gt;=100,c&lt;120),0.4,AND(c&gt;190,c&lt;=210),0.4,TRUE,0.2))),AVERAGE(k_s,p_s,f_s,c_s)))),1),""))</f>
        <v/>
      </c>
      <c r="Z33">
        <f>IF($A33="","",TEXTJOIN(", ",TRUE,IF($B33="","??????????",""),IF($C33="","??????",""),IF($D33="","????",""),IF($E33="","??????????",""),IF($F33="","???-?????",""),IF($G33="","???-????",""),IF($H33="","??????",""),IF($L33="","???",""),IF($M33="","?????",""),IF($N33="","??????????????",""),IF($O33="","??????????",""),IF($P33="","???????",""),IF($U33="","???","")))</f>
        <v/>
      </c>
    </row>
    <row r="34">
      <c r="A34" s="2" t="n">
        <v>739680</v>
      </c>
      <c r="J34">
        <f>IF(A34="","",SUMIF(FoodLog!$A:$A,A34,FoodLog!$I:$I))</f>
        <v/>
      </c>
      <c r="K34">
        <f>IF(A34="","",SUMIF(FoodLog!$A:$A,A34,FoodLog!$F:$F))</f>
        <v/>
      </c>
      <c r="L34">
        <f>IF(A34="","",SUMIF(FoodLog!$A:$A,A34,FoodLog!$G:$G))</f>
        <v/>
      </c>
      <c r="M34">
        <f>IF(A34="","",SUMIF(FoodLog!$A:$A,A34,FoodLog!$H:$H))</f>
        <v/>
      </c>
      <c r="N34">
        <f>LET(train,B34,cardio,C34,steps,D34,sleep,E34,reg,F34,prod,I34,kcal,J34,p,K34,w_train,0.22,w_steps,0.18,w_sleep,0.20,w_reg,0.10,w_food,0.18,w_prod,0.12,s_train,IF(train="Верх",1,IF(train="Ноги",1,IF(train="Отдых",0.6,IF(train="Пропустил",0.2,0)))),s_steps,IF(steps="15k+",1,IF(steps="12-15k",0.9,IF(steps="10-12k",0.8,IF(steps="7-10k",0.6,IF(steps="5-7k",0.4,IF(steps="&lt;5k",0.2,0)))))),s_sleep,IF(sleep="&gt;8",0.9,IF(sleep="6-8",1,IF(sleep="&lt;6",0.2,0))),s_reg,IF(reg="Не сбит",1,IF(reg="Сбит",0.3,0)),s_food,IF(AND(kcal&gt;0,p&gt;0),MIN(1, (p/120))*0.6 + MIN(1, MAX(0,1-ABS(kcal-2200)/600))*0.4,0),s_prod,IF(prod="100%",1,IF(prod="75%",0.8,IF(prod="50%",0.6,IF(prod="25%",0.35,IF(prod="0%",0.1,0)))),ROUND(100*(w_train*s_train + w_steps*s_steps + w_sleep*s_sleep + w_reg*s_reg + w_food*s_food + w_prod*s_prod),0))</f>
        <v/>
      </c>
      <c r="O34">
        <f>TEXTJOIN(", ",TRUE,IF(B34="","тренировка",""),IF(D34="","шаги",""),IF(E34="","сон",""),IF(F34="","режим",""),IF(G34="","настроение",""),IF(H34="","энергия",""),IF(I34="","продуктивность",""),IF(J34="","еда (ккал)",""))</f>
        <v/>
      </c>
      <c r="U34">
        <f>IF($A34="","",IF(SUMIF(FoodLog!$A:$A,$A34,FoodLog!$I:$I)=0,"",SUMIF(FoodLog!$A:$A,$A34,FoodLog!$I:$I)))</f>
        <v/>
      </c>
      <c r="V34">
        <f>IF($A34="","",IF(SUMIF(FoodLog!$A:$A,$A34,FoodLog!$F:$F)=0,"",SUMIF(FoodLog!$A:$A,$A34,FoodLog!$F:$F)))</f>
        <v/>
      </c>
      <c r="W34">
        <f>IF($A34="","",IF(SUMIF(FoodLog!$A:$A,$A34,FoodLog!$G:$G)=0,"",SUMIF(FoodLog!$A:$A,$A34,FoodLog!$G:$G)))</f>
        <v/>
      </c>
      <c r="X34">
        <f>IF($A34="","",IF(SUMIF(FoodLog!$A:$A,$A34,FoodLog!$H:$H)=0,"",SUMIF(FoodLog!$A:$A,$A34,FoodLog!$H:$H)))</f>
        <v/>
      </c>
      <c r="Y34">
        <f>IF($A34="","",IFERROR(ROUND(100*AVERAGE(IF($B34="","",XLOOKUP($B34,FILTER(Dictionaries!$B:$B,Dictionaries!$A:$A="??????????"),FILTER(Dictionaries!$C:$C,Dictionaries!$A:$A="??????????"))),IF($C34="","",MIN($C34/40,1)),IF($D34="","",XLOOKUP($D34,FILTER(Dictionaries!$B:$B,Dictionaries!$A:$A="????"),FILTER(Dictionaries!$C:$C,Dictionaries!$A:$A="????"))),IF($E34="","",MIN($E34/120,1)),IF(OR($F34&lt;&gt;"",$G34&lt;&gt;""),1,""),IF($H34="","",MIN($H34/100,1)),IF($L34="","",XLOOKUP($L34,FILTER(Dictionaries!$B:$B,Dictionaries!$A:$A="???_????"),FILTER(Dictionaries!$C:$C,Dictionaries!$A:$A="???_????"))),IF($M34="","",XLOOKUP($M34,FILTER(Dictionaries!$B:$B,Dictionaries!$A:$A="?????"),FILTER(Dictionaries!$C:$C,Dictionaries!$A:$A="?????"))),IF($N34="","",MIN($N34/100,1)),IF($O34="","",XLOOKUP($O34,FILTER(Dictionaries!$B:$B,Dictionaries!$A:$A="??????????"),FILTER(Dictionaries!$C:$C,Dictionaries!$A:$A="??????????"))),IF($P34="","",XLOOKUP($P34,FILTER(Dictionaries!$B:$B,Dictionaries!$A:$A="???????"),FILTER(Dictionaries!$C:$C,Dictionaries!$A:$A="???????"))),IF($U34="","",LET(t,IF(OR($B34="????",$B34="????"),"train","rest"),k,$U34,p,$V34,f,$W34,c,$X34,k_s,IF(t="train",IF(k="","",IFS(AND(k&gt;=1900,k&lt;=2050),1,AND(k&gt;=1850,k&lt;1900),0.7,AND(k&gt;2050,k&lt;=2100),0.7,TRUE,0.2)),IF(k="","",IFS(AND(k&gt;=1700,k&lt;=1850),1,AND(k&gt;=1650,k&lt;1700),0.7,AND(k&gt;1850,k&lt;=1900),0.7,TRUE,0.2))),p_s,IF(t="train",IF(p="","",IFS(AND(p&gt;=125,p&lt;=135),1,AND(p&gt;=115,p&lt;125),0.7,AND(p&gt;135,p&lt;=145),0.7,AND(p&gt;=105,p&lt;115),0.4,AND(p&gt;145,p&lt;=155),0.4,TRUE,0.2)),IF(p="","",IFS(AND(p&gt;=120,p&lt;=130),1,AND(p&gt;=110,p&lt;120),0.7,AND(p&gt;130,p&lt;=140),0.7,AND(p&gt;=100,p&lt;110),0.4,AND(p&gt;140,p&lt;=150),0.4,TRUE,0.2))),f_s,IF(f="","",IFS(AND(f&gt;=55,f&lt;=65),1,AND(f&gt;=50,f&lt;55),0.7,AND(f&gt;65,f&lt;=70),0.7,AND(f&gt;=45,f&lt;50),0.4,AND(f&gt;70,f&lt;=75),0.4,TRUE,0.2)),c_s,IF(t="train",IF(c="","",IFS(AND(c&gt;=180,c&lt;=210),1,AND(c&gt;=160,c&lt;180),0.7,AND(c&gt;210,c&lt;=230),0.7,AND(c&gt;=140,c&lt;160),0.4,AND(c&gt;230,c&lt;=250),0.4,TRUE,0.2)),IF(c="","",IFS(AND(c&gt;=140,c&lt;=170),1,AND(c&gt;=120,c&lt;140),0.7,AND(c&gt;170,c&lt;=190),0.7,AND(c&gt;=100,c&lt;120),0.4,AND(c&gt;190,c&lt;=210),0.4,TRUE,0.2))),AVERAGE(k_s,p_s,f_s,c_s)))),1),""))</f>
        <v/>
      </c>
      <c r="Z34">
        <f>IF($A34="","",TEXTJOIN(", ",TRUE,IF($B34="","??????????",""),IF($C34="","??????",""),IF($D34="","????",""),IF($E34="","??????????",""),IF($F34="","???-?????",""),IF($G34="","???-????",""),IF($H34="","??????",""),IF($L34="","???",""),IF($M34="","?????",""),IF($N34="","??????????????",""),IF($O34="","??????????",""),IF($P34="","???????",""),IF($U34="","???","")))</f>
        <v/>
      </c>
    </row>
    <row r="35">
      <c r="A35" s="2" t="n">
        <v>739681</v>
      </c>
      <c r="J35">
        <f>IF(A35="","",SUMIF(FoodLog!$A:$A,A35,FoodLog!$I:$I))</f>
        <v/>
      </c>
      <c r="K35">
        <f>IF(A35="","",SUMIF(FoodLog!$A:$A,A35,FoodLog!$F:$F))</f>
        <v/>
      </c>
      <c r="L35">
        <f>IF(A35="","",SUMIF(FoodLog!$A:$A,A35,FoodLog!$G:$G))</f>
        <v/>
      </c>
      <c r="M35">
        <f>IF(A35="","",SUMIF(FoodLog!$A:$A,A35,FoodLog!$H:$H))</f>
        <v/>
      </c>
      <c r="N35">
        <f>LET(train,B35,cardio,C35,steps,D35,sleep,E35,reg,F35,prod,I35,kcal,J35,p,K35,w_train,0.22,w_steps,0.18,w_sleep,0.20,w_reg,0.10,w_food,0.18,w_prod,0.12,s_train,IF(train="Верх",1,IF(train="Ноги",1,IF(train="Отдых",0.6,IF(train="Пропустил",0.2,0)))),s_steps,IF(steps="15k+",1,IF(steps="12-15k",0.9,IF(steps="10-12k",0.8,IF(steps="7-10k",0.6,IF(steps="5-7k",0.4,IF(steps="&lt;5k",0.2,0)))))),s_sleep,IF(sleep="&gt;8",0.9,IF(sleep="6-8",1,IF(sleep="&lt;6",0.2,0))),s_reg,IF(reg="Не сбит",1,IF(reg="Сбит",0.3,0)),s_food,IF(AND(kcal&gt;0,p&gt;0),MIN(1, (p/120))*0.6 + MIN(1, MAX(0,1-ABS(kcal-2200)/600))*0.4,0),s_prod,IF(prod="100%",1,IF(prod="75%",0.8,IF(prod="50%",0.6,IF(prod="25%",0.35,IF(prod="0%",0.1,0)))),ROUND(100*(w_train*s_train + w_steps*s_steps + w_sleep*s_sleep + w_reg*s_reg + w_food*s_food + w_prod*s_prod),0))</f>
        <v/>
      </c>
      <c r="O35">
        <f>TEXTJOIN(", ",TRUE,IF(B35="","тренировка",""),IF(D35="","шаги",""),IF(E35="","сон",""),IF(F35="","режим",""),IF(G35="","настроение",""),IF(H35="","энергия",""),IF(I35="","продуктивность",""),IF(J35="","еда (ккал)",""))</f>
        <v/>
      </c>
      <c r="U35">
        <f>IF($A35="","",IF(SUMIF(FoodLog!$A:$A,$A35,FoodLog!$I:$I)=0,"",SUMIF(FoodLog!$A:$A,$A35,FoodLog!$I:$I)))</f>
        <v/>
      </c>
      <c r="V35">
        <f>IF($A35="","",IF(SUMIF(FoodLog!$A:$A,$A35,FoodLog!$F:$F)=0,"",SUMIF(FoodLog!$A:$A,$A35,FoodLog!$F:$F)))</f>
        <v/>
      </c>
      <c r="W35">
        <f>IF($A35="","",IF(SUMIF(FoodLog!$A:$A,$A35,FoodLog!$G:$G)=0,"",SUMIF(FoodLog!$A:$A,$A35,FoodLog!$G:$G)))</f>
        <v/>
      </c>
      <c r="X35">
        <f>IF($A35="","",IF(SUMIF(FoodLog!$A:$A,$A35,FoodLog!$H:$H)=0,"",SUMIF(FoodLog!$A:$A,$A35,FoodLog!$H:$H)))</f>
        <v/>
      </c>
      <c r="Y35">
        <f>IF($A35="","",IFERROR(ROUND(100*AVERAGE(IF($B35="","",XLOOKUP($B35,FILTER(Dictionaries!$B:$B,Dictionaries!$A:$A="??????????"),FILTER(Dictionaries!$C:$C,Dictionaries!$A:$A="??????????"))),IF($C35="","",MIN($C35/40,1)),IF($D35="","",XLOOKUP($D35,FILTER(Dictionaries!$B:$B,Dictionaries!$A:$A="????"),FILTER(Dictionaries!$C:$C,Dictionaries!$A:$A="????"))),IF($E35="","",MIN($E35/120,1)),IF(OR($F35&lt;&gt;"",$G35&lt;&gt;""),1,""),IF($H35="","",MIN($H35/100,1)),IF($L35="","",XLOOKUP($L35,FILTER(Dictionaries!$B:$B,Dictionaries!$A:$A="???_????"),FILTER(Dictionaries!$C:$C,Dictionaries!$A:$A="???_????"))),IF($M35="","",XLOOKUP($M35,FILTER(Dictionaries!$B:$B,Dictionaries!$A:$A="?????"),FILTER(Dictionaries!$C:$C,Dictionaries!$A:$A="?????"))),IF($N35="","",MIN($N35/100,1)),IF($O35="","",XLOOKUP($O35,FILTER(Dictionaries!$B:$B,Dictionaries!$A:$A="??????????"),FILTER(Dictionaries!$C:$C,Dictionaries!$A:$A="??????????"))),IF($P35="","",XLOOKUP($P35,FILTER(Dictionaries!$B:$B,Dictionaries!$A:$A="???????"),FILTER(Dictionaries!$C:$C,Dictionaries!$A:$A="???????"))),IF($U35="","",LET(t,IF(OR($B35="????",$B35="????"),"train","rest"),k,$U35,p,$V35,f,$W35,c,$X35,k_s,IF(t="train",IF(k="","",IFS(AND(k&gt;=1900,k&lt;=2050),1,AND(k&gt;=1850,k&lt;1900),0.7,AND(k&gt;2050,k&lt;=2100),0.7,TRUE,0.2)),IF(k="","",IFS(AND(k&gt;=1700,k&lt;=1850),1,AND(k&gt;=1650,k&lt;1700),0.7,AND(k&gt;1850,k&lt;=1900),0.7,TRUE,0.2))),p_s,IF(t="train",IF(p="","",IFS(AND(p&gt;=125,p&lt;=135),1,AND(p&gt;=115,p&lt;125),0.7,AND(p&gt;135,p&lt;=145),0.7,AND(p&gt;=105,p&lt;115),0.4,AND(p&gt;145,p&lt;=155),0.4,TRUE,0.2)),IF(p="","",IFS(AND(p&gt;=120,p&lt;=130),1,AND(p&gt;=110,p&lt;120),0.7,AND(p&gt;130,p&lt;=140),0.7,AND(p&gt;=100,p&lt;110),0.4,AND(p&gt;140,p&lt;=150),0.4,TRUE,0.2))),f_s,IF(f="","",IFS(AND(f&gt;=55,f&lt;=65),1,AND(f&gt;=50,f&lt;55),0.7,AND(f&gt;65,f&lt;=70),0.7,AND(f&gt;=45,f&lt;50),0.4,AND(f&gt;70,f&lt;=75),0.4,TRUE,0.2)),c_s,IF(t="train",IF(c="","",IFS(AND(c&gt;=180,c&lt;=210),1,AND(c&gt;=160,c&lt;180),0.7,AND(c&gt;210,c&lt;=230),0.7,AND(c&gt;=140,c&lt;160),0.4,AND(c&gt;230,c&lt;=250),0.4,TRUE,0.2)),IF(c="","",IFS(AND(c&gt;=140,c&lt;=170),1,AND(c&gt;=120,c&lt;140),0.7,AND(c&gt;170,c&lt;=190),0.7,AND(c&gt;=100,c&lt;120),0.4,AND(c&gt;190,c&lt;=210),0.4,TRUE,0.2))),AVERAGE(k_s,p_s,f_s,c_s)))),1),""))</f>
        <v/>
      </c>
      <c r="Z35">
        <f>IF($A35="","",TEXTJOIN(", ",TRUE,IF($B35="","??????????",""),IF($C35="","??????",""),IF($D35="","????",""),IF($E35="","??????????",""),IF($F35="","???-?????",""),IF($G35="","???-????",""),IF($H35="","??????",""),IF($L35="","???",""),IF($M35="","?????",""),IF($N35="","??????????????",""),IF($O35="","??????????",""),IF($P35="","???????",""),IF($U35="","???","")))</f>
        <v/>
      </c>
    </row>
    <row r="36">
      <c r="A36" s="2" t="n">
        <v>739682</v>
      </c>
      <c r="J36">
        <f>IF(A36="","",SUMIF(FoodLog!$A:$A,A36,FoodLog!$I:$I))</f>
        <v/>
      </c>
      <c r="K36">
        <f>IF(A36="","",SUMIF(FoodLog!$A:$A,A36,FoodLog!$F:$F))</f>
        <v/>
      </c>
      <c r="L36">
        <f>IF(A36="","",SUMIF(FoodLog!$A:$A,A36,FoodLog!$G:$G))</f>
        <v/>
      </c>
      <c r="M36">
        <f>IF(A36="","",SUMIF(FoodLog!$A:$A,A36,FoodLog!$H:$H))</f>
        <v/>
      </c>
      <c r="N36">
        <f>LET(train,B36,cardio,C36,steps,D36,sleep,E36,reg,F36,prod,I36,kcal,J36,p,K36,w_train,0.22,w_steps,0.18,w_sleep,0.20,w_reg,0.10,w_food,0.18,w_prod,0.12,s_train,IF(train="Верх",1,IF(train="Ноги",1,IF(train="Отдых",0.6,IF(train="Пропустил",0.2,0)))),s_steps,IF(steps="15k+",1,IF(steps="12-15k",0.9,IF(steps="10-12k",0.8,IF(steps="7-10k",0.6,IF(steps="5-7k",0.4,IF(steps="&lt;5k",0.2,0)))))),s_sleep,IF(sleep="&gt;8",0.9,IF(sleep="6-8",1,IF(sleep="&lt;6",0.2,0))),s_reg,IF(reg="Не сбит",1,IF(reg="Сбит",0.3,0)),s_food,IF(AND(kcal&gt;0,p&gt;0),MIN(1, (p/120))*0.6 + MIN(1, MAX(0,1-ABS(kcal-2200)/600))*0.4,0),s_prod,IF(prod="100%",1,IF(prod="75%",0.8,IF(prod="50%",0.6,IF(prod="25%",0.35,IF(prod="0%",0.1,0)))),ROUND(100*(w_train*s_train + w_steps*s_steps + w_sleep*s_sleep + w_reg*s_reg + w_food*s_food + w_prod*s_prod),0))</f>
        <v/>
      </c>
      <c r="O36">
        <f>TEXTJOIN(", ",TRUE,IF(B36="","тренировка",""),IF(D36="","шаги",""),IF(E36="","сон",""),IF(F36="","режим",""),IF(G36="","настроение",""),IF(H36="","энергия",""),IF(I36="","продуктивность",""),IF(J36="","еда (ккал)",""))</f>
        <v/>
      </c>
      <c r="U36">
        <f>IF($A36="","",IF(SUMIF(FoodLog!$A:$A,$A36,FoodLog!$I:$I)=0,"",SUMIF(FoodLog!$A:$A,$A36,FoodLog!$I:$I)))</f>
        <v/>
      </c>
      <c r="V36">
        <f>IF($A36="","",IF(SUMIF(FoodLog!$A:$A,$A36,FoodLog!$F:$F)=0,"",SUMIF(FoodLog!$A:$A,$A36,FoodLog!$F:$F)))</f>
        <v/>
      </c>
      <c r="W36">
        <f>IF($A36="","",IF(SUMIF(FoodLog!$A:$A,$A36,FoodLog!$G:$G)=0,"",SUMIF(FoodLog!$A:$A,$A36,FoodLog!$G:$G)))</f>
        <v/>
      </c>
      <c r="X36">
        <f>IF($A36="","",IF(SUMIF(FoodLog!$A:$A,$A36,FoodLog!$H:$H)=0,"",SUMIF(FoodLog!$A:$A,$A36,FoodLog!$H:$H)))</f>
        <v/>
      </c>
      <c r="Y36">
        <f>IF($A36="","",IFERROR(ROUND(100*AVERAGE(IF($B36="","",XLOOKUP($B36,FILTER(Dictionaries!$B:$B,Dictionaries!$A:$A="??????????"),FILTER(Dictionaries!$C:$C,Dictionaries!$A:$A="??????????"))),IF($C36="","",MIN($C36/40,1)),IF($D36="","",XLOOKUP($D36,FILTER(Dictionaries!$B:$B,Dictionaries!$A:$A="????"),FILTER(Dictionaries!$C:$C,Dictionaries!$A:$A="????"))),IF($E36="","",MIN($E36/120,1)),IF(OR($F36&lt;&gt;"",$G36&lt;&gt;""),1,""),IF($H36="","",MIN($H36/100,1)),IF($L36="","",XLOOKUP($L36,FILTER(Dictionaries!$B:$B,Dictionaries!$A:$A="???_????"),FILTER(Dictionaries!$C:$C,Dictionaries!$A:$A="???_????"))),IF($M36="","",XLOOKUP($M36,FILTER(Dictionaries!$B:$B,Dictionaries!$A:$A="?????"),FILTER(Dictionaries!$C:$C,Dictionaries!$A:$A="?????"))),IF($N36="","",MIN($N36/100,1)),IF($O36="","",XLOOKUP($O36,FILTER(Dictionaries!$B:$B,Dictionaries!$A:$A="??????????"),FILTER(Dictionaries!$C:$C,Dictionaries!$A:$A="??????????"))),IF($P36="","",XLOOKUP($P36,FILTER(Dictionaries!$B:$B,Dictionaries!$A:$A="???????"),FILTER(Dictionaries!$C:$C,Dictionaries!$A:$A="???????"))),IF($U36="","",LET(t,IF(OR($B36="????",$B36="????"),"train","rest"),k,$U36,p,$V36,f,$W36,c,$X36,k_s,IF(t="train",IF(k="","",IFS(AND(k&gt;=1900,k&lt;=2050),1,AND(k&gt;=1850,k&lt;1900),0.7,AND(k&gt;2050,k&lt;=2100),0.7,TRUE,0.2)),IF(k="","",IFS(AND(k&gt;=1700,k&lt;=1850),1,AND(k&gt;=1650,k&lt;1700),0.7,AND(k&gt;1850,k&lt;=1900),0.7,TRUE,0.2))),p_s,IF(t="train",IF(p="","",IFS(AND(p&gt;=125,p&lt;=135),1,AND(p&gt;=115,p&lt;125),0.7,AND(p&gt;135,p&lt;=145),0.7,AND(p&gt;=105,p&lt;115),0.4,AND(p&gt;145,p&lt;=155),0.4,TRUE,0.2)),IF(p="","",IFS(AND(p&gt;=120,p&lt;=130),1,AND(p&gt;=110,p&lt;120),0.7,AND(p&gt;130,p&lt;=140),0.7,AND(p&gt;=100,p&lt;110),0.4,AND(p&gt;140,p&lt;=150),0.4,TRUE,0.2))),f_s,IF(f="","",IFS(AND(f&gt;=55,f&lt;=65),1,AND(f&gt;=50,f&lt;55),0.7,AND(f&gt;65,f&lt;=70),0.7,AND(f&gt;=45,f&lt;50),0.4,AND(f&gt;70,f&lt;=75),0.4,TRUE,0.2)),c_s,IF(t="train",IF(c="","",IFS(AND(c&gt;=180,c&lt;=210),1,AND(c&gt;=160,c&lt;180),0.7,AND(c&gt;210,c&lt;=230),0.7,AND(c&gt;=140,c&lt;160),0.4,AND(c&gt;230,c&lt;=250),0.4,TRUE,0.2)),IF(c="","",IFS(AND(c&gt;=140,c&lt;=170),1,AND(c&gt;=120,c&lt;140),0.7,AND(c&gt;170,c&lt;=190),0.7,AND(c&gt;=100,c&lt;120),0.4,AND(c&gt;190,c&lt;=210),0.4,TRUE,0.2))),AVERAGE(k_s,p_s,f_s,c_s)))),1),""))</f>
        <v/>
      </c>
      <c r="Z36">
        <f>IF($A36="","",TEXTJOIN(", ",TRUE,IF($B36="","??????????",""),IF($C36="","??????",""),IF($D36="","????",""),IF($E36="","??????????",""),IF($F36="","???-?????",""),IF($G36="","???-????",""),IF($H36="","??????",""),IF($L36="","???",""),IF($M36="","?????",""),IF($N36="","??????????????",""),IF($O36="","??????????",""),IF($P36="","???????",""),IF($U36="","???","")))</f>
        <v/>
      </c>
    </row>
    <row r="37">
      <c r="A37" s="2" t="n">
        <v>739683</v>
      </c>
      <c r="J37">
        <f>IF(A37="","",SUMIF(FoodLog!$A:$A,A37,FoodLog!$I:$I))</f>
        <v/>
      </c>
      <c r="K37">
        <f>IF(A37="","",SUMIF(FoodLog!$A:$A,A37,FoodLog!$F:$F))</f>
        <v/>
      </c>
      <c r="L37">
        <f>IF(A37="","",SUMIF(FoodLog!$A:$A,A37,FoodLog!$G:$G))</f>
        <v/>
      </c>
      <c r="M37">
        <f>IF(A37="","",SUMIF(FoodLog!$A:$A,A37,FoodLog!$H:$H))</f>
        <v/>
      </c>
      <c r="N37">
        <f>LET(train,B37,cardio,C37,steps,D37,sleep,E37,reg,F37,prod,I37,kcal,J37,p,K37,w_train,0.22,w_steps,0.18,w_sleep,0.20,w_reg,0.10,w_food,0.18,w_prod,0.12,s_train,IF(train="Верх",1,IF(train="Ноги",1,IF(train="Отдых",0.6,IF(train="Пропустил",0.2,0)))),s_steps,IF(steps="15k+",1,IF(steps="12-15k",0.9,IF(steps="10-12k",0.8,IF(steps="7-10k",0.6,IF(steps="5-7k",0.4,IF(steps="&lt;5k",0.2,0)))))),s_sleep,IF(sleep="&gt;8",0.9,IF(sleep="6-8",1,IF(sleep="&lt;6",0.2,0))),s_reg,IF(reg="Не сбит",1,IF(reg="Сбит",0.3,0)),s_food,IF(AND(kcal&gt;0,p&gt;0),MIN(1, (p/120))*0.6 + MIN(1, MAX(0,1-ABS(kcal-2200)/600))*0.4,0),s_prod,IF(prod="100%",1,IF(prod="75%",0.8,IF(prod="50%",0.6,IF(prod="25%",0.35,IF(prod="0%",0.1,0)))),ROUND(100*(w_train*s_train + w_steps*s_steps + w_sleep*s_sleep + w_reg*s_reg + w_food*s_food + w_prod*s_prod),0))</f>
        <v/>
      </c>
      <c r="O37">
        <f>TEXTJOIN(", ",TRUE,IF(B37="","тренировка",""),IF(D37="","шаги",""),IF(E37="","сон",""),IF(F37="","режим",""),IF(G37="","настроение",""),IF(H37="","энергия",""),IF(I37="","продуктивность",""),IF(J37="","еда (ккал)",""))</f>
        <v/>
      </c>
      <c r="U37">
        <f>IF($A37="","",IF(SUMIF(FoodLog!$A:$A,$A37,FoodLog!$I:$I)=0,"",SUMIF(FoodLog!$A:$A,$A37,FoodLog!$I:$I)))</f>
        <v/>
      </c>
      <c r="V37">
        <f>IF($A37="","",IF(SUMIF(FoodLog!$A:$A,$A37,FoodLog!$F:$F)=0,"",SUMIF(FoodLog!$A:$A,$A37,FoodLog!$F:$F)))</f>
        <v/>
      </c>
      <c r="W37">
        <f>IF($A37="","",IF(SUMIF(FoodLog!$A:$A,$A37,FoodLog!$G:$G)=0,"",SUMIF(FoodLog!$A:$A,$A37,FoodLog!$G:$G)))</f>
        <v/>
      </c>
      <c r="X37">
        <f>IF($A37="","",IF(SUMIF(FoodLog!$A:$A,$A37,FoodLog!$H:$H)=0,"",SUMIF(FoodLog!$A:$A,$A37,FoodLog!$H:$H)))</f>
        <v/>
      </c>
      <c r="Y37">
        <f>IF($A37="","",IFERROR(ROUND(100*AVERAGE(IF($B37="","",XLOOKUP($B37,FILTER(Dictionaries!$B:$B,Dictionaries!$A:$A="??????????"),FILTER(Dictionaries!$C:$C,Dictionaries!$A:$A="??????????"))),IF($C37="","",MIN($C37/40,1)),IF($D37="","",XLOOKUP($D37,FILTER(Dictionaries!$B:$B,Dictionaries!$A:$A="????"),FILTER(Dictionaries!$C:$C,Dictionaries!$A:$A="????"))),IF($E37="","",MIN($E37/120,1)),IF(OR($F37&lt;&gt;"",$G37&lt;&gt;""),1,""),IF($H37="","",MIN($H37/100,1)),IF($L37="","",XLOOKUP($L37,FILTER(Dictionaries!$B:$B,Dictionaries!$A:$A="???_????"),FILTER(Dictionaries!$C:$C,Dictionaries!$A:$A="???_????"))),IF($M37="","",XLOOKUP($M37,FILTER(Dictionaries!$B:$B,Dictionaries!$A:$A="?????"),FILTER(Dictionaries!$C:$C,Dictionaries!$A:$A="?????"))),IF($N37="","",MIN($N37/100,1)),IF($O37="","",XLOOKUP($O37,FILTER(Dictionaries!$B:$B,Dictionaries!$A:$A="??????????"),FILTER(Dictionaries!$C:$C,Dictionaries!$A:$A="??????????"))),IF($P37="","",XLOOKUP($P37,FILTER(Dictionaries!$B:$B,Dictionaries!$A:$A="???????"),FILTER(Dictionaries!$C:$C,Dictionaries!$A:$A="???????"))),IF($U37="","",LET(t,IF(OR($B37="????",$B37="????"),"train","rest"),k,$U37,p,$V37,f,$W37,c,$X37,k_s,IF(t="train",IF(k="","",IFS(AND(k&gt;=1900,k&lt;=2050),1,AND(k&gt;=1850,k&lt;1900),0.7,AND(k&gt;2050,k&lt;=2100),0.7,TRUE,0.2)),IF(k="","",IFS(AND(k&gt;=1700,k&lt;=1850),1,AND(k&gt;=1650,k&lt;1700),0.7,AND(k&gt;1850,k&lt;=1900),0.7,TRUE,0.2))),p_s,IF(t="train",IF(p="","",IFS(AND(p&gt;=125,p&lt;=135),1,AND(p&gt;=115,p&lt;125),0.7,AND(p&gt;135,p&lt;=145),0.7,AND(p&gt;=105,p&lt;115),0.4,AND(p&gt;145,p&lt;=155),0.4,TRUE,0.2)),IF(p="","",IFS(AND(p&gt;=120,p&lt;=130),1,AND(p&gt;=110,p&lt;120),0.7,AND(p&gt;130,p&lt;=140),0.7,AND(p&gt;=100,p&lt;110),0.4,AND(p&gt;140,p&lt;=150),0.4,TRUE,0.2))),f_s,IF(f="","",IFS(AND(f&gt;=55,f&lt;=65),1,AND(f&gt;=50,f&lt;55),0.7,AND(f&gt;65,f&lt;=70),0.7,AND(f&gt;=45,f&lt;50),0.4,AND(f&gt;70,f&lt;=75),0.4,TRUE,0.2)),c_s,IF(t="train",IF(c="","",IFS(AND(c&gt;=180,c&lt;=210),1,AND(c&gt;=160,c&lt;180),0.7,AND(c&gt;210,c&lt;=230),0.7,AND(c&gt;=140,c&lt;160),0.4,AND(c&gt;230,c&lt;=250),0.4,TRUE,0.2)),IF(c="","",IFS(AND(c&gt;=140,c&lt;=170),1,AND(c&gt;=120,c&lt;140),0.7,AND(c&gt;170,c&lt;=190),0.7,AND(c&gt;=100,c&lt;120),0.4,AND(c&gt;190,c&lt;=210),0.4,TRUE,0.2))),AVERAGE(k_s,p_s,f_s,c_s)))),1),""))</f>
        <v/>
      </c>
      <c r="Z37">
        <f>IF($A37="","",TEXTJOIN(", ",TRUE,IF($B37="","??????????",""),IF($C37="","??????",""),IF($D37="","????",""),IF($E37="","??????????",""),IF($F37="","???-?????",""),IF($G37="","???-????",""),IF($H37="","??????",""),IF($L37="","???",""),IF($M37="","?????",""),IF($N37="","??????????????",""),IF($O37="","??????????",""),IF($P37="","???????",""),IF($U37="","???","")))</f>
        <v/>
      </c>
    </row>
    <row r="38">
      <c r="A38" s="2" t="n">
        <v>739684</v>
      </c>
      <c r="J38">
        <f>IF(A38="","",SUMIF(FoodLog!$A:$A,A38,FoodLog!$I:$I))</f>
        <v/>
      </c>
      <c r="K38">
        <f>IF(A38="","",SUMIF(FoodLog!$A:$A,A38,FoodLog!$F:$F))</f>
        <v/>
      </c>
      <c r="L38">
        <f>IF(A38="","",SUMIF(FoodLog!$A:$A,A38,FoodLog!$G:$G))</f>
        <v/>
      </c>
      <c r="M38">
        <f>IF(A38="","",SUMIF(FoodLog!$A:$A,A38,FoodLog!$H:$H))</f>
        <v/>
      </c>
      <c r="N38">
        <f>LET(train,B38,cardio,C38,steps,D38,sleep,E38,reg,F38,prod,I38,kcal,J38,p,K38,w_train,0.22,w_steps,0.18,w_sleep,0.20,w_reg,0.10,w_food,0.18,w_prod,0.12,s_train,IF(train="Верх",1,IF(train="Ноги",1,IF(train="Отдых",0.6,IF(train="Пропустил",0.2,0)))),s_steps,IF(steps="15k+",1,IF(steps="12-15k",0.9,IF(steps="10-12k",0.8,IF(steps="7-10k",0.6,IF(steps="5-7k",0.4,IF(steps="&lt;5k",0.2,0)))))),s_sleep,IF(sleep="&gt;8",0.9,IF(sleep="6-8",1,IF(sleep="&lt;6",0.2,0))),s_reg,IF(reg="Не сбит",1,IF(reg="Сбит",0.3,0)),s_food,IF(AND(kcal&gt;0,p&gt;0),MIN(1, (p/120))*0.6 + MIN(1, MAX(0,1-ABS(kcal-2200)/600))*0.4,0),s_prod,IF(prod="100%",1,IF(prod="75%",0.8,IF(prod="50%",0.6,IF(prod="25%",0.35,IF(prod="0%",0.1,0)))),ROUND(100*(w_train*s_train + w_steps*s_steps + w_sleep*s_sleep + w_reg*s_reg + w_food*s_food + w_prod*s_prod),0))</f>
        <v/>
      </c>
      <c r="O38">
        <f>TEXTJOIN(", ",TRUE,IF(B38="","тренировка",""),IF(D38="","шаги",""),IF(E38="","сон",""),IF(F38="","режим",""),IF(G38="","настроение",""),IF(H38="","энергия",""),IF(I38="","продуктивность",""),IF(J38="","еда (ккал)",""))</f>
        <v/>
      </c>
      <c r="U38">
        <f>IF($A38="","",IF(SUMIF(FoodLog!$A:$A,$A38,FoodLog!$I:$I)=0,"",SUMIF(FoodLog!$A:$A,$A38,FoodLog!$I:$I)))</f>
        <v/>
      </c>
      <c r="V38">
        <f>IF($A38="","",IF(SUMIF(FoodLog!$A:$A,$A38,FoodLog!$F:$F)=0,"",SUMIF(FoodLog!$A:$A,$A38,FoodLog!$F:$F)))</f>
        <v/>
      </c>
      <c r="W38">
        <f>IF($A38="","",IF(SUMIF(FoodLog!$A:$A,$A38,FoodLog!$G:$G)=0,"",SUMIF(FoodLog!$A:$A,$A38,FoodLog!$G:$G)))</f>
        <v/>
      </c>
      <c r="X38">
        <f>IF($A38="","",IF(SUMIF(FoodLog!$A:$A,$A38,FoodLog!$H:$H)=0,"",SUMIF(FoodLog!$A:$A,$A38,FoodLog!$H:$H)))</f>
        <v/>
      </c>
      <c r="Y38">
        <f>IF($A38="","",IFERROR(ROUND(100*AVERAGE(IF($B38="","",XLOOKUP($B38,FILTER(Dictionaries!$B:$B,Dictionaries!$A:$A="??????????"),FILTER(Dictionaries!$C:$C,Dictionaries!$A:$A="??????????"))),IF($C38="","",MIN($C38/40,1)),IF($D38="","",XLOOKUP($D38,FILTER(Dictionaries!$B:$B,Dictionaries!$A:$A="????"),FILTER(Dictionaries!$C:$C,Dictionaries!$A:$A="????"))),IF($E38="","",MIN($E38/120,1)),IF(OR($F38&lt;&gt;"",$G38&lt;&gt;""),1,""),IF($H38="","",MIN($H38/100,1)),IF($L38="","",XLOOKUP($L38,FILTER(Dictionaries!$B:$B,Dictionaries!$A:$A="???_????"),FILTER(Dictionaries!$C:$C,Dictionaries!$A:$A="???_????"))),IF($M38="","",XLOOKUP($M38,FILTER(Dictionaries!$B:$B,Dictionaries!$A:$A="?????"),FILTER(Dictionaries!$C:$C,Dictionaries!$A:$A="?????"))),IF($N38="","",MIN($N38/100,1)),IF($O38="","",XLOOKUP($O38,FILTER(Dictionaries!$B:$B,Dictionaries!$A:$A="??????????"),FILTER(Dictionaries!$C:$C,Dictionaries!$A:$A="??????????"))),IF($P38="","",XLOOKUP($P38,FILTER(Dictionaries!$B:$B,Dictionaries!$A:$A="???????"),FILTER(Dictionaries!$C:$C,Dictionaries!$A:$A="???????"))),IF($U38="","",LET(t,IF(OR($B38="????",$B38="????"),"train","rest"),k,$U38,p,$V38,f,$W38,c,$X38,k_s,IF(t="train",IF(k="","",IFS(AND(k&gt;=1900,k&lt;=2050),1,AND(k&gt;=1850,k&lt;1900),0.7,AND(k&gt;2050,k&lt;=2100),0.7,TRUE,0.2)),IF(k="","",IFS(AND(k&gt;=1700,k&lt;=1850),1,AND(k&gt;=1650,k&lt;1700),0.7,AND(k&gt;1850,k&lt;=1900),0.7,TRUE,0.2))),p_s,IF(t="train",IF(p="","",IFS(AND(p&gt;=125,p&lt;=135),1,AND(p&gt;=115,p&lt;125),0.7,AND(p&gt;135,p&lt;=145),0.7,AND(p&gt;=105,p&lt;115),0.4,AND(p&gt;145,p&lt;=155),0.4,TRUE,0.2)),IF(p="","",IFS(AND(p&gt;=120,p&lt;=130),1,AND(p&gt;=110,p&lt;120),0.7,AND(p&gt;130,p&lt;=140),0.7,AND(p&gt;=100,p&lt;110),0.4,AND(p&gt;140,p&lt;=150),0.4,TRUE,0.2))),f_s,IF(f="","",IFS(AND(f&gt;=55,f&lt;=65),1,AND(f&gt;=50,f&lt;55),0.7,AND(f&gt;65,f&lt;=70),0.7,AND(f&gt;=45,f&lt;50),0.4,AND(f&gt;70,f&lt;=75),0.4,TRUE,0.2)),c_s,IF(t="train",IF(c="","",IFS(AND(c&gt;=180,c&lt;=210),1,AND(c&gt;=160,c&lt;180),0.7,AND(c&gt;210,c&lt;=230),0.7,AND(c&gt;=140,c&lt;160),0.4,AND(c&gt;230,c&lt;=250),0.4,TRUE,0.2)),IF(c="","",IFS(AND(c&gt;=140,c&lt;=170),1,AND(c&gt;=120,c&lt;140),0.7,AND(c&gt;170,c&lt;=190),0.7,AND(c&gt;=100,c&lt;120),0.4,AND(c&gt;190,c&lt;=210),0.4,TRUE,0.2))),AVERAGE(k_s,p_s,f_s,c_s)))),1),""))</f>
        <v/>
      </c>
      <c r="Z38">
        <f>IF($A38="","",TEXTJOIN(", ",TRUE,IF($B38="","??????????",""),IF($C38="","??????",""),IF($D38="","????",""),IF($E38="","??????????",""),IF($F38="","???-?????",""),IF($G38="","???-????",""),IF($H38="","??????",""),IF($L38="","???",""),IF($M38="","?????",""),IF($N38="","??????????????",""),IF($O38="","??????????",""),IF($P38="","???????",""),IF($U38="","???","")))</f>
        <v/>
      </c>
    </row>
    <row r="39">
      <c r="A39" s="2" t="n">
        <v>739685</v>
      </c>
      <c r="J39">
        <f>IF(A39="","",SUMIF(FoodLog!$A:$A,A39,FoodLog!$I:$I))</f>
        <v/>
      </c>
      <c r="K39">
        <f>IF(A39="","",SUMIF(FoodLog!$A:$A,A39,FoodLog!$F:$F))</f>
        <v/>
      </c>
      <c r="L39">
        <f>IF(A39="","",SUMIF(FoodLog!$A:$A,A39,FoodLog!$G:$G))</f>
        <v/>
      </c>
      <c r="M39">
        <f>IF(A39="","",SUMIF(FoodLog!$A:$A,A39,FoodLog!$H:$H))</f>
        <v/>
      </c>
      <c r="N39">
        <f>LET(train,B39,cardio,C39,steps,D39,sleep,E39,reg,F39,prod,I39,kcal,J39,p,K39,w_train,0.22,w_steps,0.18,w_sleep,0.20,w_reg,0.10,w_food,0.18,w_prod,0.12,s_train,IF(train="Верх",1,IF(train="Ноги",1,IF(train="Отдых",0.6,IF(train="Пропустил",0.2,0)))),s_steps,IF(steps="15k+",1,IF(steps="12-15k",0.9,IF(steps="10-12k",0.8,IF(steps="7-10k",0.6,IF(steps="5-7k",0.4,IF(steps="&lt;5k",0.2,0)))))),s_sleep,IF(sleep="&gt;8",0.9,IF(sleep="6-8",1,IF(sleep="&lt;6",0.2,0))),s_reg,IF(reg="Не сбит",1,IF(reg="Сбит",0.3,0)),s_food,IF(AND(kcal&gt;0,p&gt;0),MIN(1, (p/120))*0.6 + MIN(1, MAX(0,1-ABS(kcal-2200)/600))*0.4,0),s_prod,IF(prod="100%",1,IF(prod="75%",0.8,IF(prod="50%",0.6,IF(prod="25%",0.35,IF(prod="0%",0.1,0)))),ROUND(100*(w_train*s_train + w_steps*s_steps + w_sleep*s_sleep + w_reg*s_reg + w_food*s_food + w_prod*s_prod),0))</f>
        <v/>
      </c>
      <c r="O39">
        <f>TEXTJOIN(", ",TRUE,IF(B39="","тренировка",""),IF(D39="","шаги",""),IF(E39="","сон",""),IF(F39="","режим",""),IF(G39="","настроение",""),IF(H39="","энергия",""),IF(I39="","продуктивность",""),IF(J39="","еда (ккал)",""))</f>
        <v/>
      </c>
      <c r="U39">
        <f>IF($A39="","",IF(SUMIF(FoodLog!$A:$A,$A39,FoodLog!$I:$I)=0,"",SUMIF(FoodLog!$A:$A,$A39,FoodLog!$I:$I)))</f>
        <v/>
      </c>
      <c r="V39">
        <f>IF($A39="","",IF(SUMIF(FoodLog!$A:$A,$A39,FoodLog!$F:$F)=0,"",SUMIF(FoodLog!$A:$A,$A39,FoodLog!$F:$F)))</f>
        <v/>
      </c>
      <c r="W39">
        <f>IF($A39="","",IF(SUMIF(FoodLog!$A:$A,$A39,FoodLog!$G:$G)=0,"",SUMIF(FoodLog!$A:$A,$A39,FoodLog!$G:$G)))</f>
        <v/>
      </c>
      <c r="X39">
        <f>IF($A39="","",IF(SUMIF(FoodLog!$A:$A,$A39,FoodLog!$H:$H)=0,"",SUMIF(FoodLog!$A:$A,$A39,FoodLog!$H:$H)))</f>
        <v/>
      </c>
      <c r="Y39">
        <f>IF($A39="","",IFERROR(ROUND(100*AVERAGE(IF($B39="","",XLOOKUP($B39,FILTER(Dictionaries!$B:$B,Dictionaries!$A:$A="??????????"),FILTER(Dictionaries!$C:$C,Dictionaries!$A:$A="??????????"))),IF($C39="","",MIN($C39/40,1)),IF($D39="","",XLOOKUP($D39,FILTER(Dictionaries!$B:$B,Dictionaries!$A:$A="????"),FILTER(Dictionaries!$C:$C,Dictionaries!$A:$A="????"))),IF($E39="","",MIN($E39/120,1)),IF(OR($F39&lt;&gt;"",$G39&lt;&gt;""),1,""),IF($H39="","",MIN($H39/100,1)),IF($L39="","",XLOOKUP($L39,FILTER(Dictionaries!$B:$B,Dictionaries!$A:$A="???_????"),FILTER(Dictionaries!$C:$C,Dictionaries!$A:$A="???_????"))),IF($M39="","",XLOOKUP($M39,FILTER(Dictionaries!$B:$B,Dictionaries!$A:$A="?????"),FILTER(Dictionaries!$C:$C,Dictionaries!$A:$A="?????"))),IF($N39="","",MIN($N39/100,1)),IF($O39="","",XLOOKUP($O39,FILTER(Dictionaries!$B:$B,Dictionaries!$A:$A="??????????"),FILTER(Dictionaries!$C:$C,Dictionaries!$A:$A="??????????"))),IF($P39="","",XLOOKUP($P39,FILTER(Dictionaries!$B:$B,Dictionaries!$A:$A="???????"),FILTER(Dictionaries!$C:$C,Dictionaries!$A:$A="???????"))),IF($U39="","",LET(t,IF(OR($B39="????",$B39="????"),"train","rest"),k,$U39,p,$V39,f,$W39,c,$X39,k_s,IF(t="train",IF(k="","",IFS(AND(k&gt;=1900,k&lt;=2050),1,AND(k&gt;=1850,k&lt;1900),0.7,AND(k&gt;2050,k&lt;=2100),0.7,TRUE,0.2)),IF(k="","",IFS(AND(k&gt;=1700,k&lt;=1850),1,AND(k&gt;=1650,k&lt;1700),0.7,AND(k&gt;1850,k&lt;=1900),0.7,TRUE,0.2))),p_s,IF(t="train",IF(p="","",IFS(AND(p&gt;=125,p&lt;=135),1,AND(p&gt;=115,p&lt;125),0.7,AND(p&gt;135,p&lt;=145),0.7,AND(p&gt;=105,p&lt;115),0.4,AND(p&gt;145,p&lt;=155),0.4,TRUE,0.2)),IF(p="","",IFS(AND(p&gt;=120,p&lt;=130),1,AND(p&gt;=110,p&lt;120),0.7,AND(p&gt;130,p&lt;=140),0.7,AND(p&gt;=100,p&lt;110),0.4,AND(p&gt;140,p&lt;=150),0.4,TRUE,0.2))),f_s,IF(f="","",IFS(AND(f&gt;=55,f&lt;=65),1,AND(f&gt;=50,f&lt;55),0.7,AND(f&gt;65,f&lt;=70),0.7,AND(f&gt;=45,f&lt;50),0.4,AND(f&gt;70,f&lt;=75),0.4,TRUE,0.2)),c_s,IF(t="train",IF(c="","",IFS(AND(c&gt;=180,c&lt;=210),1,AND(c&gt;=160,c&lt;180),0.7,AND(c&gt;210,c&lt;=230),0.7,AND(c&gt;=140,c&lt;160),0.4,AND(c&gt;230,c&lt;=250),0.4,TRUE,0.2)),IF(c="","",IFS(AND(c&gt;=140,c&lt;=170),1,AND(c&gt;=120,c&lt;140),0.7,AND(c&gt;170,c&lt;=190),0.7,AND(c&gt;=100,c&lt;120),0.4,AND(c&gt;190,c&lt;=210),0.4,TRUE,0.2))),AVERAGE(k_s,p_s,f_s,c_s)))),1),""))</f>
        <v/>
      </c>
      <c r="Z39">
        <f>IF($A39="","",TEXTJOIN(", ",TRUE,IF($B39="","??????????",""),IF($C39="","??????",""),IF($D39="","????",""),IF($E39="","??????????",""),IF($F39="","???-?????",""),IF($G39="","???-????",""),IF($H39="","??????",""),IF($L39="","???",""),IF($M39="","?????",""),IF($N39="","??????????????",""),IF($O39="","??????????",""),IF($P39="","???????",""),IF($U39="","???","")))</f>
        <v/>
      </c>
    </row>
    <row r="40">
      <c r="A40" s="2" t="n">
        <v>739686</v>
      </c>
      <c r="J40">
        <f>IF(A40="","",SUMIF(FoodLog!$A:$A,A40,FoodLog!$I:$I))</f>
        <v/>
      </c>
      <c r="K40">
        <f>IF(A40="","",SUMIF(FoodLog!$A:$A,A40,FoodLog!$F:$F))</f>
        <v/>
      </c>
      <c r="L40">
        <f>IF(A40="","",SUMIF(FoodLog!$A:$A,A40,FoodLog!$G:$G))</f>
        <v/>
      </c>
      <c r="M40">
        <f>IF(A40="","",SUMIF(FoodLog!$A:$A,A40,FoodLog!$H:$H))</f>
        <v/>
      </c>
      <c r="N40">
        <f>LET(train,B40,cardio,C40,steps,D40,sleep,E40,reg,F40,prod,I40,kcal,J40,p,K40,w_train,0.22,w_steps,0.18,w_sleep,0.20,w_reg,0.10,w_food,0.18,w_prod,0.12,s_train,IF(train="Верх",1,IF(train="Ноги",1,IF(train="Отдых",0.6,IF(train="Пропустил",0.2,0)))),s_steps,IF(steps="15k+",1,IF(steps="12-15k",0.9,IF(steps="10-12k",0.8,IF(steps="7-10k",0.6,IF(steps="5-7k",0.4,IF(steps="&lt;5k",0.2,0)))))),s_sleep,IF(sleep="&gt;8",0.9,IF(sleep="6-8",1,IF(sleep="&lt;6",0.2,0))),s_reg,IF(reg="Не сбит",1,IF(reg="Сбит",0.3,0)),s_food,IF(AND(kcal&gt;0,p&gt;0),MIN(1, (p/120))*0.6 + MIN(1, MAX(0,1-ABS(kcal-2200)/600))*0.4,0),s_prod,IF(prod="100%",1,IF(prod="75%",0.8,IF(prod="50%",0.6,IF(prod="25%",0.35,IF(prod="0%",0.1,0)))),ROUND(100*(w_train*s_train + w_steps*s_steps + w_sleep*s_sleep + w_reg*s_reg + w_food*s_food + w_prod*s_prod),0))</f>
        <v/>
      </c>
      <c r="O40">
        <f>TEXTJOIN(", ",TRUE,IF(B40="","тренировка",""),IF(D40="","шаги",""),IF(E40="","сон",""),IF(F40="","режим",""),IF(G40="","настроение",""),IF(H40="","энергия",""),IF(I40="","продуктивность",""),IF(J40="","еда (ккал)",""))</f>
        <v/>
      </c>
      <c r="U40">
        <f>IF($A40="","",IF(SUMIF(FoodLog!$A:$A,$A40,FoodLog!$I:$I)=0,"",SUMIF(FoodLog!$A:$A,$A40,FoodLog!$I:$I)))</f>
        <v/>
      </c>
      <c r="V40">
        <f>IF($A40="","",IF(SUMIF(FoodLog!$A:$A,$A40,FoodLog!$F:$F)=0,"",SUMIF(FoodLog!$A:$A,$A40,FoodLog!$F:$F)))</f>
        <v/>
      </c>
      <c r="W40">
        <f>IF($A40="","",IF(SUMIF(FoodLog!$A:$A,$A40,FoodLog!$G:$G)=0,"",SUMIF(FoodLog!$A:$A,$A40,FoodLog!$G:$G)))</f>
        <v/>
      </c>
      <c r="X40">
        <f>IF($A40="","",IF(SUMIF(FoodLog!$A:$A,$A40,FoodLog!$H:$H)=0,"",SUMIF(FoodLog!$A:$A,$A40,FoodLog!$H:$H)))</f>
        <v/>
      </c>
      <c r="Y40">
        <f>IF($A40="","",IFERROR(ROUND(100*AVERAGE(IF($B40="","",XLOOKUP($B40,FILTER(Dictionaries!$B:$B,Dictionaries!$A:$A="??????????"),FILTER(Dictionaries!$C:$C,Dictionaries!$A:$A="??????????"))),IF($C40="","",MIN($C40/40,1)),IF($D40="","",XLOOKUP($D40,FILTER(Dictionaries!$B:$B,Dictionaries!$A:$A="????"),FILTER(Dictionaries!$C:$C,Dictionaries!$A:$A="????"))),IF($E40="","",MIN($E40/120,1)),IF(OR($F40&lt;&gt;"",$G40&lt;&gt;""),1,""),IF($H40="","",MIN($H40/100,1)),IF($L40="","",XLOOKUP($L40,FILTER(Dictionaries!$B:$B,Dictionaries!$A:$A="???_????"),FILTER(Dictionaries!$C:$C,Dictionaries!$A:$A="???_????"))),IF($M40="","",XLOOKUP($M40,FILTER(Dictionaries!$B:$B,Dictionaries!$A:$A="?????"),FILTER(Dictionaries!$C:$C,Dictionaries!$A:$A="?????"))),IF($N40="","",MIN($N40/100,1)),IF($O40="","",XLOOKUP($O40,FILTER(Dictionaries!$B:$B,Dictionaries!$A:$A="??????????"),FILTER(Dictionaries!$C:$C,Dictionaries!$A:$A="??????????"))),IF($P40="","",XLOOKUP($P40,FILTER(Dictionaries!$B:$B,Dictionaries!$A:$A="???????"),FILTER(Dictionaries!$C:$C,Dictionaries!$A:$A="???????"))),IF($U40="","",LET(t,IF(OR($B40="????",$B40="????"),"train","rest"),k,$U40,p,$V40,f,$W40,c,$X40,k_s,IF(t="train",IF(k="","",IFS(AND(k&gt;=1900,k&lt;=2050),1,AND(k&gt;=1850,k&lt;1900),0.7,AND(k&gt;2050,k&lt;=2100),0.7,TRUE,0.2)),IF(k="","",IFS(AND(k&gt;=1700,k&lt;=1850),1,AND(k&gt;=1650,k&lt;1700),0.7,AND(k&gt;1850,k&lt;=1900),0.7,TRUE,0.2))),p_s,IF(t="train",IF(p="","",IFS(AND(p&gt;=125,p&lt;=135),1,AND(p&gt;=115,p&lt;125),0.7,AND(p&gt;135,p&lt;=145),0.7,AND(p&gt;=105,p&lt;115),0.4,AND(p&gt;145,p&lt;=155),0.4,TRUE,0.2)),IF(p="","",IFS(AND(p&gt;=120,p&lt;=130),1,AND(p&gt;=110,p&lt;120),0.7,AND(p&gt;130,p&lt;=140),0.7,AND(p&gt;=100,p&lt;110),0.4,AND(p&gt;140,p&lt;=150),0.4,TRUE,0.2))),f_s,IF(f="","",IFS(AND(f&gt;=55,f&lt;=65),1,AND(f&gt;=50,f&lt;55),0.7,AND(f&gt;65,f&lt;=70),0.7,AND(f&gt;=45,f&lt;50),0.4,AND(f&gt;70,f&lt;=75),0.4,TRUE,0.2)),c_s,IF(t="train",IF(c="","",IFS(AND(c&gt;=180,c&lt;=210),1,AND(c&gt;=160,c&lt;180),0.7,AND(c&gt;210,c&lt;=230),0.7,AND(c&gt;=140,c&lt;160),0.4,AND(c&gt;230,c&lt;=250),0.4,TRUE,0.2)),IF(c="","",IFS(AND(c&gt;=140,c&lt;=170),1,AND(c&gt;=120,c&lt;140),0.7,AND(c&gt;170,c&lt;=190),0.7,AND(c&gt;=100,c&lt;120),0.4,AND(c&gt;190,c&lt;=210),0.4,TRUE,0.2))),AVERAGE(k_s,p_s,f_s,c_s)))),1),""))</f>
        <v/>
      </c>
      <c r="Z40">
        <f>IF($A40="","",TEXTJOIN(", ",TRUE,IF($B40="","??????????",""),IF($C40="","??????",""),IF($D40="","????",""),IF($E40="","??????????",""),IF($F40="","???-?????",""),IF($G40="","???-????",""),IF($H40="","??????",""),IF($L40="","???",""),IF($M40="","?????",""),IF($N40="","??????????????",""),IF($O40="","??????????",""),IF($P40="","???????",""),IF($U40="","???","")))</f>
        <v/>
      </c>
    </row>
    <row r="41">
      <c r="A41" s="2" t="n">
        <v>739687</v>
      </c>
      <c r="J41">
        <f>IF(A41="","",SUMIF(FoodLog!$A:$A,A41,FoodLog!$I:$I))</f>
        <v/>
      </c>
      <c r="K41">
        <f>IF(A41="","",SUMIF(FoodLog!$A:$A,A41,FoodLog!$F:$F))</f>
        <v/>
      </c>
      <c r="L41">
        <f>IF(A41="","",SUMIF(FoodLog!$A:$A,A41,FoodLog!$G:$G))</f>
        <v/>
      </c>
      <c r="M41">
        <f>IF(A41="","",SUMIF(FoodLog!$A:$A,A41,FoodLog!$H:$H))</f>
        <v/>
      </c>
      <c r="N41">
        <f>LET(train,B41,cardio,C41,steps,D41,sleep,E41,reg,F41,prod,I41,kcal,J41,p,K41,w_train,0.22,w_steps,0.18,w_sleep,0.20,w_reg,0.10,w_food,0.18,w_prod,0.12,s_train,IF(train="Верх",1,IF(train="Ноги",1,IF(train="Отдых",0.6,IF(train="Пропустил",0.2,0)))),s_steps,IF(steps="15k+",1,IF(steps="12-15k",0.9,IF(steps="10-12k",0.8,IF(steps="7-10k",0.6,IF(steps="5-7k",0.4,IF(steps="&lt;5k",0.2,0)))))),s_sleep,IF(sleep="&gt;8",0.9,IF(sleep="6-8",1,IF(sleep="&lt;6",0.2,0))),s_reg,IF(reg="Не сбит",1,IF(reg="Сбит",0.3,0)),s_food,IF(AND(kcal&gt;0,p&gt;0),MIN(1, (p/120))*0.6 + MIN(1, MAX(0,1-ABS(kcal-2200)/600))*0.4,0),s_prod,IF(prod="100%",1,IF(prod="75%",0.8,IF(prod="50%",0.6,IF(prod="25%",0.35,IF(prod="0%",0.1,0)))),ROUND(100*(w_train*s_train + w_steps*s_steps + w_sleep*s_sleep + w_reg*s_reg + w_food*s_food + w_prod*s_prod),0))</f>
        <v/>
      </c>
      <c r="O41">
        <f>TEXTJOIN(", ",TRUE,IF(B41="","тренировка",""),IF(D41="","шаги",""),IF(E41="","сон",""),IF(F41="","режим",""),IF(G41="","настроение",""),IF(H41="","энергия",""),IF(I41="","продуктивность",""),IF(J41="","еда (ккал)",""))</f>
        <v/>
      </c>
      <c r="U41">
        <f>IF($A41="","",IF(SUMIF(FoodLog!$A:$A,$A41,FoodLog!$I:$I)=0,"",SUMIF(FoodLog!$A:$A,$A41,FoodLog!$I:$I)))</f>
        <v/>
      </c>
      <c r="V41">
        <f>IF($A41="","",IF(SUMIF(FoodLog!$A:$A,$A41,FoodLog!$F:$F)=0,"",SUMIF(FoodLog!$A:$A,$A41,FoodLog!$F:$F)))</f>
        <v/>
      </c>
      <c r="W41">
        <f>IF($A41="","",IF(SUMIF(FoodLog!$A:$A,$A41,FoodLog!$G:$G)=0,"",SUMIF(FoodLog!$A:$A,$A41,FoodLog!$G:$G)))</f>
        <v/>
      </c>
      <c r="X41">
        <f>IF($A41="","",IF(SUMIF(FoodLog!$A:$A,$A41,FoodLog!$H:$H)=0,"",SUMIF(FoodLog!$A:$A,$A41,FoodLog!$H:$H)))</f>
        <v/>
      </c>
      <c r="Y41">
        <f>IF($A41="","",IFERROR(ROUND(100*AVERAGE(IF($B41="","",XLOOKUP($B41,FILTER(Dictionaries!$B:$B,Dictionaries!$A:$A="??????????"),FILTER(Dictionaries!$C:$C,Dictionaries!$A:$A="??????????"))),IF($C41="","",MIN($C41/40,1)),IF($D41="","",XLOOKUP($D41,FILTER(Dictionaries!$B:$B,Dictionaries!$A:$A="????"),FILTER(Dictionaries!$C:$C,Dictionaries!$A:$A="????"))),IF($E41="","",MIN($E41/120,1)),IF(OR($F41&lt;&gt;"",$G41&lt;&gt;""),1,""),IF($H41="","",MIN($H41/100,1)),IF($L41="","",XLOOKUP($L41,FILTER(Dictionaries!$B:$B,Dictionaries!$A:$A="???_????"),FILTER(Dictionaries!$C:$C,Dictionaries!$A:$A="???_????"))),IF($M41="","",XLOOKUP($M41,FILTER(Dictionaries!$B:$B,Dictionaries!$A:$A="?????"),FILTER(Dictionaries!$C:$C,Dictionaries!$A:$A="?????"))),IF($N41="","",MIN($N41/100,1)),IF($O41="","",XLOOKUP($O41,FILTER(Dictionaries!$B:$B,Dictionaries!$A:$A="??????????"),FILTER(Dictionaries!$C:$C,Dictionaries!$A:$A="??????????"))),IF($P41="","",XLOOKUP($P41,FILTER(Dictionaries!$B:$B,Dictionaries!$A:$A="???????"),FILTER(Dictionaries!$C:$C,Dictionaries!$A:$A="???????"))),IF($U41="","",LET(t,IF(OR($B41="????",$B41="????"),"train","rest"),k,$U41,p,$V41,f,$W41,c,$X41,k_s,IF(t="train",IF(k="","",IFS(AND(k&gt;=1900,k&lt;=2050),1,AND(k&gt;=1850,k&lt;1900),0.7,AND(k&gt;2050,k&lt;=2100),0.7,TRUE,0.2)),IF(k="","",IFS(AND(k&gt;=1700,k&lt;=1850),1,AND(k&gt;=1650,k&lt;1700),0.7,AND(k&gt;1850,k&lt;=1900),0.7,TRUE,0.2))),p_s,IF(t="train",IF(p="","",IFS(AND(p&gt;=125,p&lt;=135),1,AND(p&gt;=115,p&lt;125),0.7,AND(p&gt;135,p&lt;=145),0.7,AND(p&gt;=105,p&lt;115),0.4,AND(p&gt;145,p&lt;=155),0.4,TRUE,0.2)),IF(p="","",IFS(AND(p&gt;=120,p&lt;=130),1,AND(p&gt;=110,p&lt;120),0.7,AND(p&gt;130,p&lt;=140),0.7,AND(p&gt;=100,p&lt;110),0.4,AND(p&gt;140,p&lt;=150),0.4,TRUE,0.2))),f_s,IF(f="","",IFS(AND(f&gt;=55,f&lt;=65),1,AND(f&gt;=50,f&lt;55),0.7,AND(f&gt;65,f&lt;=70),0.7,AND(f&gt;=45,f&lt;50),0.4,AND(f&gt;70,f&lt;=75),0.4,TRUE,0.2)),c_s,IF(t="train",IF(c="","",IFS(AND(c&gt;=180,c&lt;=210),1,AND(c&gt;=160,c&lt;180),0.7,AND(c&gt;210,c&lt;=230),0.7,AND(c&gt;=140,c&lt;160),0.4,AND(c&gt;230,c&lt;=250),0.4,TRUE,0.2)),IF(c="","",IFS(AND(c&gt;=140,c&lt;=170),1,AND(c&gt;=120,c&lt;140),0.7,AND(c&gt;170,c&lt;=190),0.7,AND(c&gt;=100,c&lt;120),0.4,AND(c&gt;190,c&lt;=210),0.4,TRUE,0.2))),AVERAGE(k_s,p_s,f_s,c_s)))),1),""))</f>
        <v/>
      </c>
      <c r="Z41">
        <f>IF($A41="","",TEXTJOIN(", ",TRUE,IF($B41="","??????????",""),IF($C41="","??????",""),IF($D41="","????",""),IF($E41="","??????????",""),IF($F41="","???-?????",""),IF($G41="","???-????",""),IF($H41="","??????",""),IF($L41="","???",""),IF($M41="","?????",""),IF($N41="","??????????????",""),IF($O41="","??????????",""),IF($P41="","???????",""),IF($U41="","???","")))</f>
        <v/>
      </c>
    </row>
    <row r="42">
      <c r="A42" s="2" t="n">
        <v>739688</v>
      </c>
      <c r="J42">
        <f>IF(A42="","",SUMIF(FoodLog!$A:$A,A42,FoodLog!$I:$I))</f>
        <v/>
      </c>
      <c r="K42">
        <f>IF(A42="","",SUMIF(FoodLog!$A:$A,A42,FoodLog!$F:$F))</f>
        <v/>
      </c>
      <c r="L42">
        <f>IF(A42="","",SUMIF(FoodLog!$A:$A,A42,FoodLog!$G:$G))</f>
        <v/>
      </c>
      <c r="M42">
        <f>IF(A42="","",SUMIF(FoodLog!$A:$A,A42,FoodLog!$H:$H))</f>
        <v/>
      </c>
      <c r="N42">
        <f>LET(train,B42,cardio,C42,steps,D42,sleep,E42,reg,F42,prod,I42,kcal,J42,p,K42,w_train,0.22,w_steps,0.18,w_sleep,0.20,w_reg,0.10,w_food,0.18,w_prod,0.12,s_train,IF(train="Верх",1,IF(train="Ноги",1,IF(train="Отдых",0.6,IF(train="Пропустил",0.2,0)))),s_steps,IF(steps="15k+",1,IF(steps="12-15k",0.9,IF(steps="10-12k",0.8,IF(steps="7-10k",0.6,IF(steps="5-7k",0.4,IF(steps="&lt;5k",0.2,0)))))),s_sleep,IF(sleep="&gt;8",0.9,IF(sleep="6-8",1,IF(sleep="&lt;6",0.2,0))),s_reg,IF(reg="Не сбит",1,IF(reg="Сбит",0.3,0)),s_food,IF(AND(kcal&gt;0,p&gt;0),MIN(1, (p/120))*0.6 + MIN(1, MAX(0,1-ABS(kcal-2200)/600))*0.4,0),s_prod,IF(prod="100%",1,IF(prod="75%",0.8,IF(prod="50%",0.6,IF(prod="25%",0.35,IF(prod="0%",0.1,0)))),ROUND(100*(w_train*s_train + w_steps*s_steps + w_sleep*s_sleep + w_reg*s_reg + w_food*s_food + w_prod*s_prod),0))</f>
        <v/>
      </c>
      <c r="O42">
        <f>TEXTJOIN(", ",TRUE,IF(B42="","тренировка",""),IF(D42="","шаги",""),IF(E42="","сон",""),IF(F42="","режим",""),IF(G42="","настроение",""),IF(H42="","энергия",""),IF(I42="","продуктивность",""),IF(J42="","еда (ккал)",""))</f>
        <v/>
      </c>
      <c r="U42">
        <f>IF($A42="","",IF(SUMIF(FoodLog!$A:$A,$A42,FoodLog!$I:$I)=0,"",SUMIF(FoodLog!$A:$A,$A42,FoodLog!$I:$I)))</f>
        <v/>
      </c>
      <c r="V42">
        <f>IF($A42="","",IF(SUMIF(FoodLog!$A:$A,$A42,FoodLog!$F:$F)=0,"",SUMIF(FoodLog!$A:$A,$A42,FoodLog!$F:$F)))</f>
        <v/>
      </c>
      <c r="W42">
        <f>IF($A42="","",IF(SUMIF(FoodLog!$A:$A,$A42,FoodLog!$G:$G)=0,"",SUMIF(FoodLog!$A:$A,$A42,FoodLog!$G:$G)))</f>
        <v/>
      </c>
      <c r="X42">
        <f>IF($A42="","",IF(SUMIF(FoodLog!$A:$A,$A42,FoodLog!$H:$H)=0,"",SUMIF(FoodLog!$A:$A,$A42,FoodLog!$H:$H)))</f>
        <v/>
      </c>
      <c r="Y42">
        <f>IF($A42="","",IFERROR(ROUND(100*AVERAGE(IF($B42="","",XLOOKUP($B42,FILTER(Dictionaries!$B:$B,Dictionaries!$A:$A="??????????"),FILTER(Dictionaries!$C:$C,Dictionaries!$A:$A="??????????"))),IF($C42="","",MIN($C42/40,1)),IF($D42="","",XLOOKUP($D42,FILTER(Dictionaries!$B:$B,Dictionaries!$A:$A="????"),FILTER(Dictionaries!$C:$C,Dictionaries!$A:$A="????"))),IF($E42="","",MIN($E42/120,1)),IF(OR($F42&lt;&gt;"",$G42&lt;&gt;""),1,""),IF($H42="","",MIN($H42/100,1)),IF($L42="","",XLOOKUP($L42,FILTER(Dictionaries!$B:$B,Dictionaries!$A:$A="???_????"),FILTER(Dictionaries!$C:$C,Dictionaries!$A:$A="???_????"))),IF($M42="","",XLOOKUP($M42,FILTER(Dictionaries!$B:$B,Dictionaries!$A:$A="?????"),FILTER(Dictionaries!$C:$C,Dictionaries!$A:$A="?????"))),IF($N42="","",MIN($N42/100,1)),IF($O42="","",XLOOKUP($O42,FILTER(Dictionaries!$B:$B,Dictionaries!$A:$A="??????????"),FILTER(Dictionaries!$C:$C,Dictionaries!$A:$A="??????????"))),IF($P42="","",XLOOKUP($P42,FILTER(Dictionaries!$B:$B,Dictionaries!$A:$A="???????"),FILTER(Dictionaries!$C:$C,Dictionaries!$A:$A="???????"))),IF($U42="","",LET(t,IF(OR($B42="????",$B42="????"),"train","rest"),k,$U42,p,$V42,f,$W42,c,$X42,k_s,IF(t="train",IF(k="","",IFS(AND(k&gt;=1900,k&lt;=2050),1,AND(k&gt;=1850,k&lt;1900),0.7,AND(k&gt;2050,k&lt;=2100),0.7,TRUE,0.2)),IF(k="","",IFS(AND(k&gt;=1700,k&lt;=1850),1,AND(k&gt;=1650,k&lt;1700),0.7,AND(k&gt;1850,k&lt;=1900),0.7,TRUE,0.2))),p_s,IF(t="train",IF(p="","",IFS(AND(p&gt;=125,p&lt;=135),1,AND(p&gt;=115,p&lt;125),0.7,AND(p&gt;135,p&lt;=145),0.7,AND(p&gt;=105,p&lt;115),0.4,AND(p&gt;145,p&lt;=155),0.4,TRUE,0.2)),IF(p="","",IFS(AND(p&gt;=120,p&lt;=130),1,AND(p&gt;=110,p&lt;120),0.7,AND(p&gt;130,p&lt;=140),0.7,AND(p&gt;=100,p&lt;110),0.4,AND(p&gt;140,p&lt;=150),0.4,TRUE,0.2))),f_s,IF(f="","",IFS(AND(f&gt;=55,f&lt;=65),1,AND(f&gt;=50,f&lt;55),0.7,AND(f&gt;65,f&lt;=70),0.7,AND(f&gt;=45,f&lt;50),0.4,AND(f&gt;70,f&lt;=75),0.4,TRUE,0.2)),c_s,IF(t="train",IF(c="","",IFS(AND(c&gt;=180,c&lt;=210),1,AND(c&gt;=160,c&lt;180),0.7,AND(c&gt;210,c&lt;=230),0.7,AND(c&gt;=140,c&lt;160),0.4,AND(c&gt;230,c&lt;=250),0.4,TRUE,0.2)),IF(c="","",IFS(AND(c&gt;=140,c&lt;=170),1,AND(c&gt;=120,c&lt;140),0.7,AND(c&gt;170,c&lt;=190),0.7,AND(c&gt;=100,c&lt;120),0.4,AND(c&gt;190,c&lt;=210),0.4,TRUE,0.2))),AVERAGE(k_s,p_s,f_s,c_s)))),1),""))</f>
        <v/>
      </c>
      <c r="Z42">
        <f>IF($A42="","",TEXTJOIN(", ",TRUE,IF($B42="","??????????",""),IF($C42="","??????",""),IF($D42="","????",""),IF($E42="","??????????",""),IF($F42="","???-?????",""),IF($G42="","???-????",""),IF($H42="","??????",""),IF($L42="","???",""),IF($M42="","?????",""),IF($N42="","??????????????",""),IF($O42="","??????????",""),IF($P42="","???????",""),IF($U42="","???","")))</f>
        <v/>
      </c>
    </row>
    <row r="43">
      <c r="A43" s="2" t="n">
        <v>739689</v>
      </c>
      <c r="J43">
        <f>IF(A43="","",SUMIF(FoodLog!$A:$A,A43,FoodLog!$I:$I))</f>
        <v/>
      </c>
      <c r="K43">
        <f>IF(A43="","",SUMIF(FoodLog!$A:$A,A43,FoodLog!$F:$F))</f>
        <v/>
      </c>
      <c r="L43">
        <f>IF(A43="","",SUMIF(FoodLog!$A:$A,A43,FoodLog!$G:$G))</f>
        <v/>
      </c>
      <c r="M43">
        <f>IF(A43="","",SUMIF(FoodLog!$A:$A,A43,FoodLog!$H:$H))</f>
        <v/>
      </c>
      <c r="N43">
        <f>LET(train,B43,cardio,C43,steps,D43,sleep,E43,reg,F43,prod,I43,kcal,J43,p,K43,w_train,0.22,w_steps,0.18,w_sleep,0.20,w_reg,0.10,w_food,0.18,w_prod,0.12,s_train,IF(train="Верх",1,IF(train="Ноги",1,IF(train="Отдых",0.6,IF(train="Пропустил",0.2,0)))),s_steps,IF(steps="15k+",1,IF(steps="12-15k",0.9,IF(steps="10-12k",0.8,IF(steps="7-10k",0.6,IF(steps="5-7k",0.4,IF(steps="&lt;5k",0.2,0)))))),s_sleep,IF(sleep="&gt;8",0.9,IF(sleep="6-8",1,IF(sleep="&lt;6",0.2,0))),s_reg,IF(reg="Не сбит",1,IF(reg="Сбит",0.3,0)),s_food,IF(AND(kcal&gt;0,p&gt;0),MIN(1, (p/120))*0.6 + MIN(1, MAX(0,1-ABS(kcal-2200)/600))*0.4,0),s_prod,IF(prod="100%",1,IF(prod="75%",0.8,IF(prod="50%",0.6,IF(prod="25%",0.35,IF(prod="0%",0.1,0)))),ROUND(100*(w_train*s_train + w_steps*s_steps + w_sleep*s_sleep + w_reg*s_reg + w_food*s_food + w_prod*s_prod),0))</f>
        <v/>
      </c>
      <c r="O43">
        <f>TEXTJOIN(", ",TRUE,IF(B43="","тренировка",""),IF(D43="","шаги",""),IF(E43="","сон",""),IF(F43="","режим",""),IF(G43="","настроение",""),IF(H43="","энергия",""),IF(I43="","продуктивность",""),IF(J43="","еда (ккал)",""))</f>
        <v/>
      </c>
      <c r="U43">
        <f>IF($A43="","",IF(SUMIF(FoodLog!$A:$A,$A43,FoodLog!$I:$I)=0,"",SUMIF(FoodLog!$A:$A,$A43,FoodLog!$I:$I)))</f>
        <v/>
      </c>
      <c r="V43">
        <f>IF($A43="","",IF(SUMIF(FoodLog!$A:$A,$A43,FoodLog!$F:$F)=0,"",SUMIF(FoodLog!$A:$A,$A43,FoodLog!$F:$F)))</f>
        <v/>
      </c>
      <c r="W43">
        <f>IF($A43="","",IF(SUMIF(FoodLog!$A:$A,$A43,FoodLog!$G:$G)=0,"",SUMIF(FoodLog!$A:$A,$A43,FoodLog!$G:$G)))</f>
        <v/>
      </c>
      <c r="X43">
        <f>IF($A43="","",IF(SUMIF(FoodLog!$A:$A,$A43,FoodLog!$H:$H)=0,"",SUMIF(FoodLog!$A:$A,$A43,FoodLog!$H:$H)))</f>
        <v/>
      </c>
      <c r="Y43">
        <f>IF($A43="","",IFERROR(ROUND(100*AVERAGE(IF($B43="","",XLOOKUP($B43,FILTER(Dictionaries!$B:$B,Dictionaries!$A:$A="??????????"),FILTER(Dictionaries!$C:$C,Dictionaries!$A:$A="??????????"))),IF($C43="","",MIN($C43/40,1)),IF($D43="","",XLOOKUP($D43,FILTER(Dictionaries!$B:$B,Dictionaries!$A:$A="????"),FILTER(Dictionaries!$C:$C,Dictionaries!$A:$A="????"))),IF($E43="","",MIN($E43/120,1)),IF(OR($F43&lt;&gt;"",$G43&lt;&gt;""),1,""),IF($H43="","",MIN($H43/100,1)),IF($L43="","",XLOOKUP($L43,FILTER(Dictionaries!$B:$B,Dictionaries!$A:$A="???_????"),FILTER(Dictionaries!$C:$C,Dictionaries!$A:$A="???_????"))),IF($M43="","",XLOOKUP($M43,FILTER(Dictionaries!$B:$B,Dictionaries!$A:$A="?????"),FILTER(Dictionaries!$C:$C,Dictionaries!$A:$A="?????"))),IF($N43="","",MIN($N43/100,1)),IF($O43="","",XLOOKUP($O43,FILTER(Dictionaries!$B:$B,Dictionaries!$A:$A="??????????"),FILTER(Dictionaries!$C:$C,Dictionaries!$A:$A="??????????"))),IF($P43="","",XLOOKUP($P43,FILTER(Dictionaries!$B:$B,Dictionaries!$A:$A="???????"),FILTER(Dictionaries!$C:$C,Dictionaries!$A:$A="???????"))),IF($U43="","",LET(t,IF(OR($B43="????",$B43="????"),"train","rest"),k,$U43,p,$V43,f,$W43,c,$X43,k_s,IF(t="train",IF(k="","",IFS(AND(k&gt;=1900,k&lt;=2050),1,AND(k&gt;=1850,k&lt;1900),0.7,AND(k&gt;2050,k&lt;=2100),0.7,TRUE,0.2)),IF(k="","",IFS(AND(k&gt;=1700,k&lt;=1850),1,AND(k&gt;=1650,k&lt;1700),0.7,AND(k&gt;1850,k&lt;=1900),0.7,TRUE,0.2))),p_s,IF(t="train",IF(p="","",IFS(AND(p&gt;=125,p&lt;=135),1,AND(p&gt;=115,p&lt;125),0.7,AND(p&gt;135,p&lt;=145),0.7,AND(p&gt;=105,p&lt;115),0.4,AND(p&gt;145,p&lt;=155),0.4,TRUE,0.2)),IF(p="","",IFS(AND(p&gt;=120,p&lt;=130),1,AND(p&gt;=110,p&lt;120),0.7,AND(p&gt;130,p&lt;=140),0.7,AND(p&gt;=100,p&lt;110),0.4,AND(p&gt;140,p&lt;=150),0.4,TRUE,0.2))),f_s,IF(f="","",IFS(AND(f&gt;=55,f&lt;=65),1,AND(f&gt;=50,f&lt;55),0.7,AND(f&gt;65,f&lt;=70),0.7,AND(f&gt;=45,f&lt;50),0.4,AND(f&gt;70,f&lt;=75),0.4,TRUE,0.2)),c_s,IF(t="train",IF(c="","",IFS(AND(c&gt;=180,c&lt;=210),1,AND(c&gt;=160,c&lt;180),0.7,AND(c&gt;210,c&lt;=230),0.7,AND(c&gt;=140,c&lt;160),0.4,AND(c&gt;230,c&lt;=250),0.4,TRUE,0.2)),IF(c="","",IFS(AND(c&gt;=140,c&lt;=170),1,AND(c&gt;=120,c&lt;140),0.7,AND(c&gt;170,c&lt;=190),0.7,AND(c&gt;=100,c&lt;120),0.4,AND(c&gt;190,c&lt;=210),0.4,TRUE,0.2))),AVERAGE(k_s,p_s,f_s,c_s)))),1),""))</f>
        <v/>
      </c>
      <c r="Z43">
        <f>IF($A43="","",TEXTJOIN(", ",TRUE,IF($B43="","??????????",""),IF($C43="","??????",""),IF($D43="","????",""),IF($E43="","??????????",""),IF($F43="","???-?????",""),IF($G43="","???-????",""),IF($H43="","??????",""),IF($L43="","???",""),IF($M43="","?????",""),IF($N43="","??????????????",""),IF($O43="","??????????",""),IF($P43="","???????",""),IF($U43="","???","")))</f>
        <v/>
      </c>
    </row>
    <row r="44">
      <c r="A44" s="2" t="n">
        <v>739690</v>
      </c>
      <c r="J44">
        <f>IF(A44="","",SUMIF(FoodLog!$A:$A,A44,FoodLog!$I:$I))</f>
        <v/>
      </c>
      <c r="K44">
        <f>IF(A44="","",SUMIF(FoodLog!$A:$A,A44,FoodLog!$F:$F))</f>
        <v/>
      </c>
      <c r="L44">
        <f>IF(A44="","",SUMIF(FoodLog!$A:$A,A44,FoodLog!$G:$G))</f>
        <v/>
      </c>
      <c r="M44">
        <f>IF(A44="","",SUMIF(FoodLog!$A:$A,A44,FoodLog!$H:$H))</f>
        <v/>
      </c>
      <c r="N44">
        <f>LET(train,B44,cardio,C44,steps,D44,sleep,E44,reg,F44,prod,I44,kcal,J44,p,K44,w_train,0.22,w_steps,0.18,w_sleep,0.20,w_reg,0.10,w_food,0.18,w_prod,0.12,s_train,IF(train="Верх",1,IF(train="Ноги",1,IF(train="Отдых",0.6,IF(train="Пропустил",0.2,0)))),s_steps,IF(steps="15k+",1,IF(steps="12-15k",0.9,IF(steps="10-12k",0.8,IF(steps="7-10k",0.6,IF(steps="5-7k",0.4,IF(steps="&lt;5k",0.2,0)))))),s_sleep,IF(sleep="&gt;8",0.9,IF(sleep="6-8",1,IF(sleep="&lt;6",0.2,0))),s_reg,IF(reg="Не сбит",1,IF(reg="Сбит",0.3,0)),s_food,IF(AND(kcal&gt;0,p&gt;0),MIN(1, (p/120))*0.6 + MIN(1, MAX(0,1-ABS(kcal-2200)/600))*0.4,0),s_prod,IF(prod="100%",1,IF(prod="75%",0.8,IF(prod="50%",0.6,IF(prod="25%",0.35,IF(prod="0%",0.1,0)))),ROUND(100*(w_train*s_train + w_steps*s_steps + w_sleep*s_sleep + w_reg*s_reg + w_food*s_food + w_prod*s_prod),0))</f>
        <v/>
      </c>
      <c r="O44">
        <f>TEXTJOIN(", ",TRUE,IF(B44="","тренировка",""),IF(D44="","шаги",""),IF(E44="","сон",""),IF(F44="","режим",""),IF(G44="","настроение",""),IF(H44="","энергия",""),IF(I44="","продуктивность",""),IF(J44="","еда (ккал)",""))</f>
        <v/>
      </c>
      <c r="U44">
        <f>IF($A44="","",IF(SUMIF(FoodLog!$A:$A,$A44,FoodLog!$I:$I)=0,"",SUMIF(FoodLog!$A:$A,$A44,FoodLog!$I:$I)))</f>
        <v/>
      </c>
      <c r="V44">
        <f>IF($A44="","",IF(SUMIF(FoodLog!$A:$A,$A44,FoodLog!$F:$F)=0,"",SUMIF(FoodLog!$A:$A,$A44,FoodLog!$F:$F)))</f>
        <v/>
      </c>
      <c r="W44">
        <f>IF($A44="","",IF(SUMIF(FoodLog!$A:$A,$A44,FoodLog!$G:$G)=0,"",SUMIF(FoodLog!$A:$A,$A44,FoodLog!$G:$G)))</f>
        <v/>
      </c>
      <c r="X44">
        <f>IF($A44="","",IF(SUMIF(FoodLog!$A:$A,$A44,FoodLog!$H:$H)=0,"",SUMIF(FoodLog!$A:$A,$A44,FoodLog!$H:$H)))</f>
        <v/>
      </c>
      <c r="Y44">
        <f>IF($A44="","",IFERROR(ROUND(100*AVERAGE(IF($B44="","",XLOOKUP($B44,FILTER(Dictionaries!$B:$B,Dictionaries!$A:$A="??????????"),FILTER(Dictionaries!$C:$C,Dictionaries!$A:$A="??????????"))),IF($C44="","",MIN($C44/40,1)),IF($D44="","",XLOOKUP($D44,FILTER(Dictionaries!$B:$B,Dictionaries!$A:$A="????"),FILTER(Dictionaries!$C:$C,Dictionaries!$A:$A="????"))),IF($E44="","",MIN($E44/120,1)),IF(OR($F44&lt;&gt;"",$G44&lt;&gt;""),1,""),IF($H44="","",MIN($H44/100,1)),IF($L44="","",XLOOKUP($L44,FILTER(Dictionaries!$B:$B,Dictionaries!$A:$A="???_????"),FILTER(Dictionaries!$C:$C,Dictionaries!$A:$A="???_????"))),IF($M44="","",XLOOKUP($M44,FILTER(Dictionaries!$B:$B,Dictionaries!$A:$A="?????"),FILTER(Dictionaries!$C:$C,Dictionaries!$A:$A="?????"))),IF($N44="","",MIN($N44/100,1)),IF($O44="","",XLOOKUP($O44,FILTER(Dictionaries!$B:$B,Dictionaries!$A:$A="??????????"),FILTER(Dictionaries!$C:$C,Dictionaries!$A:$A="??????????"))),IF($P44="","",XLOOKUP($P44,FILTER(Dictionaries!$B:$B,Dictionaries!$A:$A="???????"),FILTER(Dictionaries!$C:$C,Dictionaries!$A:$A="???????"))),IF($U44="","",LET(t,IF(OR($B44="????",$B44="????"),"train","rest"),k,$U44,p,$V44,f,$W44,c,$X44,k_s,IF(t="train",IF(k="","",IFS(AND(k&gt;=1900,k&lt;=2050),1,AND(k&gt;=1850,k&lt;1900),0.7,AND(k&gt;2050,k&lt;=2100),0.7,TRUE,0.2)),IF(k="","",IFS(AND(k&gt;=1700,k&lt;=1850),1,AND(k&gt;=1650,k&lt;1700),0.7,AND(k&gt;1850,k&lt;=1900),0.7,TRUE,0.2))),p_s,IF(t="train",IF(p="","",IFS(AND(p&gt;=125,p&lt;=135),1,AND(p&gt;=115,p&lt;125),0.7,AND(p&gt;135,p&lt;=145),0.7,AND(p&gt;=105,p&lt;115),0.4,AND(p&gt;145,p&lt;=155),0.4,TRUE,0.2)),IF(p="","",IFS(AND(p&gt;=120,p&lt;=130),1,AND(p&gt;=110,p&lt;120),0.7,AND(p&gt;130,p&lt;=140),0.7,AND(p&gt;=100,p&lt;110),0.4,AND(p&gt;140,p&lt;=150),0.4,TRUE,0.2))),f_s,IF(f="","",IFS(AND(f&gt;=55,f&lt;=65),1,AND(f&gt;=50,f&lt;55),0.7,AND(f&gt;65,f&lt;=70),0.7,AND(f&gt;=45,f&lt;50),0.4,AND(f&gt;70,f&lt;=75),0.4,TRUE,0.2)),c_s,IF(t="train",IF(c="","",IFS(AND(c&gt;=180,c&lt;=210),1,AND(c&gt;=160,c&lt;180),0.7,AND(c&gt;210,c&lt;=230),0.7,AND(c&gt;=140,c&lt;160),0.4,AND(c&gt;230,c&lt;=250),0.4,TRUE,0.2)),IF(c="","",IFS(AND(c&gt;=140,c&lt;=170),1,AND(c&gt;=120,c&lt;140),0.7,AND(c&gt;170,c&lt;=190),0.7,AND(c&gt;=100,c&lt;120),0.4,AND(c&gt;190,c&lt;=210),0.4,TRUE,0.2))),AVERAGE(k_s,p_s,f_s,c_s)))),1),""))</f>
        <v/>
      </c>
      <c r="Z44">
        <f>IF($A44="","",TEXTJOIN(", ",TRUE,IF($B44="","??????????",""),IF($C44="","??????",""),IF($D44="","????",""),IF($E44="","??????????",""),IF($F44="","???-?????",""),IF($G44="","???-????",""),IF($H44="","??????",""),IF($L44="","???",""),IF($M44="","?????",""),IF($N44="","??????????????",""),IF($O44="","??????????",""),IF($P44="","???????",""),IF($U44="","???","")))</f>
        <v/>
      </c>
    </row>
    <row r="45">
      <c r="A45" s="2" t="n">
        <v>739691</v>
      </c>
      <c r="J45">
        <f>IF(A45="","",SUMIF(FoodLog!$A:$A,A45,FoodLog!$I:$I))</f>
        <v/>
      </c>
      <c r="K45">
        <f>IF(A45="","",SUMIF(FoodLog!$A:$A,A45,FoodLog!$F:$F))</f>
        <v/>
      </c>
      <c r="L45">
        <f>IF(A45="","",SUMIF(FoodLog!$A:$A,A45,FoodLog!$G:$G))</f>
        <v/>
      </c>
      <c r="M45">
        <f>IF(A45="","",SUMIF(FoodLog!$A:$A,A45,FoodLog!$H:$H))</f>
        <v/>
      </c>
      <c r="N45">
        <f>LET(train,B45,cardio,C45,steps,D45,sleep,E45,reg,F45,prod,I45,kcal,J45,p,K45,w_train,0.22,w_steps,0.18,w_sleep,0.20,w_reg,0.10,w_food,0.18,w_prod,0.12,s_train,IF(train="Верх",1,IF(train="Ноги",1,IF(train="Отдых",0.6,IF(train="Пропустил",0.2,0)))),s_steps,IF(steps="15k+",1,IF(steps="12-15k",0.9,IF(steps="10-12k",0.8,IF(steps="7-10k",0.6,IF(steps="5-7k",0.4,IF(steps="&lt;5k",0.2,0)))))),s_sleep,IF(sleep="&gt;8",0.9,IF(sleep="6-8",1,IF(sleep="&lt;6",0.2,0))),s_reg,IF(reg="Не сбит",1,IF(reg="Сбит",0.3,0)),s_food,IF(AND(kcal&gt;0,p&gt;0),MIN(1, (p/120))*0.6 + MIN(1, MAX(0,1-ABS(kcal-2200)/600))*0.4,0),s_prod,IF(prod="100%",1,IF(prod="75%",0.8,IF(prod="50%",0.6,IF(prod="25%",0.35,IF(prod="0%",0.1,0)))),ROUND(100*(w_train*s_train + w_steps*s_steps + w_sleep*s_sleep + w_reg*s_reg + w_food*s_food + w_prod*s_prod),0))</f>
        <v/>
      </c>
      <c r="O45">
        <f>TEXTJOIN(", ",TRUE,IF(B45="","тренировка",""),IF(D45="","шаги",""),IF(E45="","сон",""),IF(F45="","режим",""),IF(G45="","настроение",""),IF(H45="","энергия",""),IF(I45="","продуктивность",""),IF(J45="","еда (ккал)",""))</f>
        <v/>
      </c>
      <c r="U45">
        <f>IF($A45="","",IF(SUMIF(FoodLog!$A:$A,$A45,FoodLog!$I:$I)=0,"",SUMIF(FoodLog!$A:$A,$A45,FoodLog!$I:$I)))</f>
        <v/>
      </c>
      <c r="V45">
        <f>IF($A45="","",IF(SUMIF(FoodLog!$A:$A,$A45,FoodLog!$F:$F)=0,"",SUMIF(FoodLog!$A:$A,$A45,FoodLog!$F:$F)))</f>
        <v/>
      </c>
      <c r="W45">
        <f>IF($A45="","",IF(SUMIF(FoodLog!$A:$A,$A45,FoodLog!$G:$G)=0,"",SUMIF(FoodLog!$A:$A,$A45,FoodLog!$G:$G)))</f>
        <v/>
      </c>
      <c r="X45">
        <f>IF($A45="","",IF(SUMIF(FoodLog!$A:$A,$A45,FoodLog!$H:$H)=0,"",SUMIF(FoodLog!$A:$A,$A45,FoodLog!$H:$H)))</f>
        <v/>
      </c>
      <c r="Y45">
        <f>IF($A45="","",IFERROR(ROUND(100*AVERAGE(IF($B45="","",XLOOKUP($B45,FILTER(Dictionaries!$B:$B,Dictionaries!$A:$A="??????????"),FILTER(Dictionaries!$C:$C,Dictionaries!$A:$A="??????????"))),IF($C45="","",MIN($C45/40,1)),IF($D45="","",XLOOKUP($D45,FILTER(Dictionaries!$B:$B,Dictionaries!$A:$A="????"),FILTER(Dictionaries!$C:$C,Dictionaries!$A:$A="????"))),IF($E45="","",MIN($E45/120,1)),IF(OR($F45&lt;&gt;"",$G45&lt;&gt;""),1,""),IF($H45="","",MIN($H45/100,1)),IF($L45="","",XLOOKUP($L45,FILTER(Dictionaries!$B:$B,Dictionaries!$A:$A="???_????"),FILTER(Dictionaries!$C:$C,Dictionaries!$A:$A="???_????"))),IF($M45="","",XLOOKUP($M45,FILTER(Dictionaries!$B:$B,Dictionaries!$A:$A="?????"),FILTER(Dictionaries!$C:$C,Dictionaries!$A:$A="?????"))),IF($N45="","",MIN($N45/100,1)),IF($O45="","",XLOOKUP($O45,FILTER(Dictionaries!$B:$B,Dictionaries!$A:$A="??????????"),FILTER(Dictionaries!$C:$C,Dictionaries!$A:$A="??????????"))),IF($P45="","",XLOOKUP($P45,FILTER(Dictionaries!$B:$B,Dictionaries!$A:$A="???????"),FILTER(Dictionaries!$C:$C,Dictionaries!$A:$A="???????"))),IF($U45="","",LET(t,IF(OR($B45="????",$B45="????"),"train","rest"),k,$U45,p,$V45,f,$W45,c,$X45,k_s,IF(t="train",IF(k="","",IFS(AND(k&gt;=1900,k&lt;=2050),1,AND(k&gt;=1850,k&lt;1900),0.7,AND(k&gt;2050,k&lt;=2100),0.7,TRUE,0.2)),IF(k="","",IFS(AND(k&gt;=1700,k&lt;=1850),1,AND(k&gt;=1650,k&lt;1700),0.7,AND(k&gt;1850,k&lt;=1900),0.7,TRUE,0.2))),p_s,IF(t="train",IF(p="","",IFS(AND(p&gt;=125,p&lt;=135),1,AND(p&gt;=115,p&lt;125),0.7,AND(p&gt;135,p&lt;=145),0.7,AND(p&gt;=105,p&lt;115),0.4,AND(p&gt;145,p&lt;=155),0.4,TRUE,0.2)),IF(p="","",IFS(AND(p&gt;=120,p&lt;=130),1,AND(p&gt;=110,p&lt;120),0.7,AND(p&gt;130,p&lt;=140),0.7,AND(p&gt;=100,p&lt;110),0.4,AND(p&gt;140,p&lt;=150),0.4,TRUE,0.2))),f_s,IF(f="","",IFS(AND(f&gt;=55,f&lt;=65),1,AND(f&gt;=50,f&lt;55),0.7,AND(f&gt;65,f&lt;=70),0.7,AND(f&gt;=45,f&lt;50),0.4,AND(f&gt;70,f&lt;=75),0.4,TRUE,0.2)),c_s,IF(t="train",IF(c="","",IFS(AND(c&gt;=180,c&lt;=210),1,AND(c&gt;=160,c&lt;180),0.7,AND(c&gt;210,c&lt;=230),0.7,AND(c&gt;=140,c&lt;160),0.4,AND(c&gt;230,c&lt;=250),0.4,TRUE,0.2)),IF(c="","",IFS(AND(c&gt;=140,c&lt;=170),1,AND(c&gt;=120,c&lt;140),0.7,AND(c&gt;170,c&lt;=190),0.7,AND(c&gt;=100,c&lt;120),0.4,AND(c&gt;190,c&lt;=210),0.4,TRUE,0.2))),AVERAGE(k_s,p_s,f_s,c_s)))),1),""))</f>
        <v/>
      </c>
      <c r="Z45">
        <f>IF($A45="","",TEXTJOIN(", ",TRUE,IF($B45="","??????????",""),IF($C45="","??????",""),IF($D45="","????",""),IF($E45="","??????????",""),IF($F45="","???-?????",""),IF($G45="","???-????",""),IF($H45="","??????",""),IF($L45="","???",""),IF($M45="","?????",""),IF($N45="","??????????????",""),IF($O45="","??????????",""),IF($P45="","???????",""),IF($U45="","???","")))</f>
        <v/>
      </c>
    </row>
    <row r="46">
      <c r="A46" s="2" t="n">
        <v>739692</v>
      </c>
      <c r="J46">
        <f>IF(A46="","",SUMIF(FoodLog!$A:$A,A46,FoodLog!$I:$I))</f>
        <v/>
      </c>
      <c r="K46">
        <f>IF(A46="","",SUMIF(FoodLog!$A:$A,A46,FoodLog!$F:$F))</f>
        <v/>
      </c>
      <c r="L46">
        <f>IF(A46="","",SUMIF(FoodLog!$A:$A,A46,FoodLog!$G:$G))</f>
        <v/>
      </c>
      <c r="M46">
        <f>IF(A46="","",SUMIF(FoodLog!$A:$A,A46,FoodLog!$H:$H))</f>
        <v/>
      </c>
      <c r="N46">
        <f>LET(train,B46,cardio,C46,steps,D46,sleep,E46,reg,F46,prod,I46,kcal,J46,p,K46,w_train,0.22,w_steps,0.18,w_sleep,0.20,w_reg,0.10,w_food,0.18,w_prod,0.12,s_train,IF(train="Верх",1,IF(train="Ноги",1,IF(train="Отдых",0.6,IF(train="Пропустил",0.2,0)))),s_steps,IF(steps="15k+",1,IF(steps="12-15k",0.9,IF(steps="10-12k",0.8,IF(steps="7-10k",0.6,IF(steps="5-7k",0.4,IF(steps="&lt;5k",0.2,0)))))),s_sleep,IF(sleep="&gt;8",0.9,IF(sleep="6-8",1,IF(sleep="&lt;6",0.2,0))),s_reg,IF(reg="Не сбит",1,IF(reg="Сбит",0.3,0)),s_food,IF(AND(kcal&gt;0,p&gt;0),MIN(1, (p/120))*0.6 + MIN(1, MAX(0,1-ABS(kcal-2200)/600))*0.4,0),s_prod,IF(prod="100%",1,IF(prod="75%",0.8,IF(prod="50%",0.6,IF(prod="25%",0.35,IF(prod="0%",0.1,0)))),ROUND(100*(w_train*s_train + w_steps*s_steps + w_sleep*s_sleep + w_reg*s_reg + w_food*s_food + w_prod*s_prod),0))</f>
        <v/>
      </c>
      <c r="O46">
        <f>TEXTJOIN(", ",TRUE,IF(B46="","тренировка",""),IF(D46="","шаги",""),IF(E46="","сон",""),IF(F46="","режим",""),IF(G46="","настроение",""),IF(H46="","энергия",""),IF(I46="","продуктивность",""),IF(J46="","еда (ккал)",""))</f>
        <v/>
      </c>
      <c r="U46">
        <f>IF($A46="","",IF(SUMIF(FoodLog!$A:$A,$A46,FoodLog!$I:$I)=0,"",SUMIF(FoodLog!$A:$A,$A46,FoodLog!$I:$I)))</f>
        <v/>
      </c>
      <c r="V46">
        <f>IF($A46="","",IF(SUMIF(FoodLog!$A:$A,$A46,FoodLog!$F:$F)=0,"",SUMIF(FoodLog!$A:$A,$A46,FoodLog!$F:$F)))</f>
        <v/>
      </c>
      <c r="W46">
        <f>IF($A46="","",IF(SUMIF(FoodLog!$A:$A,$A46,FoodLog!$G:$G)=0,"",SUMIF(FoodLog!$A:$A,$A46,FoodLog!$G:$G)))</f>
        <v/>
      </c>
      <c r="X46">
        <f>IF($A46="","",IF(SUMIF(FoodLog!$A:$A,$A46,FoodLog!$H:$H)=0,"",SUMIF(FoodLog!$A:$A,$A46,FoodLog!$H:$H)))</f>
        <v/>
      </c>
      <c r="Y46">
        <f>IF($A46="","",IFERROR(ROUND(100*AVERAGE(IF($B46="","",XLOOKUP($B46,FILTER(Dictionaries!$B:$B,Dictionaries!$A:$A="??????????"),FILTER(Dictionaries!$C:$C,Dictionaries!$A:$A="??????????"))),IF($C46="","",MIN($C46/40,1)),IF($D46="","",XLOOKUP($D46,FILTER(Dictionaries!$B:$B,Dictionaries!$A:$A="????"),FILTER(Dictionaries!$C:$C,Dictionaries!$A:$A="????"))),IF($E46="","",MIN($E46/120,1)),IF(OR($F46&lt;&gt;"",$G46&lt;&gt;""),1,""),IF($H46="","",MIN($H46/100,1)),IF($L46="","",XLOOKUP($L46,FILTER(Dictionaries!$B:$B,Dictionaries!$A:$A="???_????"),FILTER(Dictionaries!$C:$C,Dictionaries!$A:$A="???_????"))),IF($M46="","",XLOOKUP($M46,FILTER(Dictionaries!$B:$B,Dictionaries!$A:$A="?????"),FILTER(Dictionaries!$C:$C,Dictionaries!$A:$A="?????"))),IF($N46="","",MIN($N46/100,1)),IF($O46="","",XLOOKUP($O46,FILTER(Dictionaries!$B:$B,Dictionaries!$A:$A="??????????"),FILTER(Dictionaries!$C:$C,Dictionaries!$A:$A="??????????"))),IF($P46="","",XLOOKUP($P46,FILTER(Dictionaries!$B:$B,Dictionaries!$A:$A="???????"),FILTER(Dictionaries!$C:$C,Dictionaries!$A:$A="???????"))),IF($U46="","",LET(t,IF(OR($B46="????",$B46="????"),"train","rest"),k,$U46,p,$V46,f,$W46,c,$X46,k_s,IF(t="train",IF(k="","",IFS(AND(k&gt;=1900,k&lt;=2050),1,AND(k&gt;=1850,k&lt;1900),0.7,AND(k&gt;2050,k&lt;=2100),0.7,TRUE,0.2)),IF(k="","",IFS(AND(k&gt;=1700,k&lt;=1850),1,AND(k&gt;=1650,k&lt;1700),0.7,AND(k&gt;1850,k&lt;=1900),0.7,TRUE,0.2))),p_s,IF(t="train",IF(p="","",IFS(AND(p&gt;=125,p&lt;=135),1,AND(p&gt;=115,p&lt;125),0.7,AND(p&gt;135,p&lt;=145),0.7,AND(p&gt;=105,p&lt;115),0.4,AND(p&gt;145,p&lt;=155),0.4,TRUE,0.2)),IF(p="","",IFS(AND(p&gt;=120,p&lt;=130),1,AND(p&gt;=110,p&lt;120),0.7,AND(p&gt;130,p&lt;=140),0.7,AND(p&gt;=100,p&lt;110),0.4,AND(p&gt;140,p&lt;=150),0.4,TRUE,0.2))),f_s,IF(f="","",IFS(AND(f&gt;=55,f&lt;=65),1,AND(f&gt;=50,f&lt;55),0.7,AND(f&gt;65,f&lt;=70),0.7,AND(f&gt;=45,f&lt;50),0.4,AND(f&gt;70,f&lt;=75),0.4,TRUE,0.2)),c_s,IF(t="train",IF(c="","",IFS(AND(c&gt;=180,c&lt;=210),1,AND(c&gt;=160,c&lt;180),0.7,AND(c&gt;210,c&lt;=230),0.7,AND(c&gt;=140,c&lt;160),0.4,AND(c&gt;230,c&lt;=250),0.4,TRUE,0.2)),IF(c="","",IFS(AND(c&gt;=140,c&lt;=170),1,AND(c&gt;=120,c&lt;140),0.7,AND(c&gt;170,c&lt;=190),0.7,AND(c&gt;=100,c&lt;120),0.4,AND(c&gt;190,c&lt;=210),0.4,TRUE,0.2))),AVERAGE(k_s,p_s,f_s,c_s)))),1),""))</f>
        <v/>
      </c>
      <c r="Z46">
        <f>IF($A46="","",TEXTJOIN(", ",TRUE,IF($B46="","??????????",""),IF($C46="","??????",""),IF($D46="","????",""),IF($E46="","??????????",""),IF($F46="","???-?????",""),IF($G46="","???-????",""),IF($H46="","??????",""),IF($L46="","???",""),IF($M46="","?????",""),IF($N46="","??????????????",""),IF($O46="","??????????",""),IF($P46="","???????",""),IF($U46="","???","")))</f>
        <v/>
      </c>
    </row>
    <row r="47">
      <c r="A47" s="2" t="n">
        <v>739693</v>
      </c>
      <c r="J47">
        <f>IF(A47="","",SUMIF(FoodLog!$A:$A,A47,FoodLog!$I:$I))</f>
        <v/>
      </c>
      <c r="K47">
        <f>IF(A47="","",SUMIF(FoodLog!$A:$A,A47,FoodLog!$F:$F))</f>
        <v/>
      </c>
      <c r="L47">
        <f>IF(A47="","",SUMIF(FoodLog!$A:$A,A47,FoodLog!$G:$G))</f>
        <v/>
      </c>
      <c r="M47">
        <f>IF(A47="","",SUMIF(FoodLog!$A:$A,A47,FoodLog!$H:$H))</f>
        <v/>
      </c>
      <c r="N47">
        <f>LET(train,B47,cardio,C47,steps,D47,sleep,E47,reg,F47,prod,I47,kcal,J47,p,K47,w_train,0.22,w_steps,0.18,w_sleep,0.20,w_reg,0.10,w_food,0.18,w_prod,0.12,s_train,IF(train="Верх",1,IF(train="Ноги",1,IF(train="Отдых",0.6,IF(train="Пропустил",0.2,0)))),s_steps,IF(steps="15k+",1,IF(steps="12-15k",0.9,IF(steps="10-12k",0.8,IF(steps="7-10k",0.6,IF(steps="5-7k",0.4,IF(steps="&lt;5k",0.2,0)))))),s_sleep,IF(sleep="&gt;8",0.9,IF(sleep="6-8",1,IF(sleep="&lt;6",0.2,0))),s_reg,IF(reg="Не сбит",1,IF(reg="Сбит",0.3,0)),s_food,IF(AND(kcal&gt;0,p&gt;0),MIN(1, (p/120))*0.6 + MIN(1, MAX(0,1-ABS(kcal-2200)/600))*0.4,0),s_prod,IF(prod="100%",1,IF(prod="75%",0.8,IF(prod="50%",0.6,IF(prod="25%",0.35,IF(prod="0%",0.1,0)))),ROUND(100*(w_train*s_train + w_steps*s_steps + w_sleep*s_sleep + w_reg*s_reg + w_food*s_food + w_prod*s_prod),0))</f>
        <v/>
      </c>
      <c r="O47">
        <f>TEXTJOIN(", ",TRUE,IF(B47="","тренировка",""),IF(D47="","шаги",""),IF(E47="","сон",""),IF(F47="","режим",""),IF(G47="","настроение",""),IF(H47="","энергия",""),IF(I47="","продуктивность",""),IF(J47="","еда (ккал)",""))</f>
        <v/>
      </c>
      <c r="U47">
        <f>IF($A47="","",IF(SUMIF(FoodLog!$A:$A,$A47,FoodLog!$I:$I)=0,"",SUMIF(FoodLog!$A:$A,$A47,FoodLog!$I:$I)))</f>
        <v/>
      </c>
      <c r="V47">
        <f>IF($A47="","",IF(SUMIF(FoodLog!$A:$A,$A47,FoodLog!$F:$F)=0,"",SUMIF(FoodLog!$A:$A,$A47,FoodLog!$F:$F)))</f>
        <v/>
      </c>
      <c r="W47">
        <f>IF($A47="","",IF(SUMIF(FoodLog!$A:$A,$A47,FoodLog!$G:$G)=0,"",SUMIF(FoodLog!$A:$A,$A47,FoodLog!$G:$G)))</f>
        <v/>
      </c>
      <c r="X47">
        <f>IF($A47="","",IF(SUMIF(FoodLog!$A:$A,$A47,FoodLog!$H:$H)=0,"",SUMIF(FoodLog!$A:$A,$A47,FoodLog!$H:$H)))</f>
        <v/>
      </c>
      <c r="Y47">
        <f>IF($A47="","",IFERROR(ROUND(100*AVERAGE(IF($B47="","",XLOOKUP($B47,FILTER(Dictionaries!$B:$B,Dictionaries!$A:$A="??????????"),FILTER(Dictionaries!$C:$C,Dictionaries!$A:$A="??????????"))),IF($C47="","",MIN($C47/40,1)),IF($D47="","",XLOOKUP($D47,FILTER(Dictionaries!$B:$B,Dictionaries!$A:$A="????"),FILTER(Dictionaries!$C:$C,Dictionaries!$A:$A="????"))),IF($E47="","",MIN($E47/120,1)),IF(OR($F47&lt;&gt;"",$G47&lt;&gt;""),1,""),IF($H47="","",MIN($H47/100,1)),IF($L47="","",XLOOKUP($L47,FILTER(Dictionaries!$B:$B,Dictionaries!$A:$A="???_????"),FILTER(Dictionaries!$C:$C,Dictionaries!$A:$A="???_????"))),IF($M47="","",XLOOKUP($M47,FILTER(Dictionaries!$B:$B,Dictionaries!$A:$A="?????"),FILTER(Dictionaries!$C:$C,Dictionaries!$A:$A="?????"))),IF($N47="","",MIN($N47/100,1)),IF($O47="","",XLOOKUP($O47,FILTER(Dictionaries!$B:$B,Dictionaries!$A:$A="??????????"),FILTER(Dictionaries!$C:$C,Dictionaries!$A:$A="??????????"))),IF($P47="","",XLOOKUP($P47,FILTER(Dictionaries!$B:$B,Dictionaries!$A:$A="???????"),FILTER(Dictionaries!$C:$C,Dictionaries!$A:$A="???????"))),IF($U47="","",LET(t,IF(OR($B47="????",$B47="????"),"train","rest"),k,$U47,p,$V47,f,$W47,c,$X47,k_s,IF(t="train",IF(k="","",IFS(AND(k&gt;=1900,k&lt;=2050),1,AND(k&gt;=1850,k&lt;1900),0.7,AND(k&gt;2050,k&lt;=2100),0.7,TRUE,0.2)),IF(k="","",IFS(AND(k&gt;=1700,k&lt;=1850),1,AND(k&gt;=1650,k&lt;1700),0.7,AND(k&gt;1850,k&lt;=1900),0.7,TRUE,0.2))),p_s,IF(t="train",IF(p="","",IFS(AND(p&gt;=125,p&lt;=135),1,AND(p&gt;=115,p&lt;125),0.7,AND(p&gt;135,p&lt;=145),0.7,AND(p&gt;=105,p&lt;115),0.4,AND(p&gt;145,p&lt;=155),0.4,TRUE,0.2)),IF(p="","",IFS(AND(p&gt;=120,p&lt;=130),1,AND(p&gt;=110,p&lt;120),0.7,AND(p&gt;130,p&lt;=140),0.7,AND(p&gt;=100,p&lt;110),0.4,AND(p&gt;140,p&lt;=150),0.4,TRUE,0.2))),f_s,IF(f="","",IFS(AND(f&gt;=55,f&lt;=65),1,AND(f&gt;=50,f&lt;55),0.7,AND(f&gt;65,f&lt;=70),0.7,AND(f&gt;=45,f&lt;50),0.4,AND(f&gt;70,f&lt;=75),0.4,TRUE,0.2)),c_s,IF(t="train",IF(c="","",IFS(AND(c&gt;=180,c&lt;=210),1,AND(c&gt;=160,c&lt;180),0.7,AND(c&gt;210,c&lt;=230),0.7,AND(c&gt;=140,c&lt;160),0.4,AND(c&gt;230,c&lt;=250),0.4,TRUE,0.2)),IF(c="","",IFS(AND(c&gt;=140,c&lt;=170),1,AND(c&gt;=120,c&lt;140),0.7,AND(c&gt;170,c&lt;=190),0.7,AND(c&gt;=100,c&lt;120),0.4,AND(c&gt;190,c&lt;=210),0.4,TRUE,0.2))),AVERAGE(k_s,p_s,f_s,c_s)))),1),""))</f>
        <v/>
      </c>
      <c r="Z47">
        <f>IF($A47="","",TEXTJOIN(", ",TRUE,IF($B47="","??????????",""),IF($C47="","??????",""),IF($D47="","????",""),IF($E47="","??????????",""),IF($F47="","???-?????",""),IF($G47="","???-????",""),IF($H47="","??????",""),IF($L47="","???",""),IF($M47="","?????",""),IF($N47="","??????????????",""),IF($O47="","??????????",""),IF($P47="","???????",""),IF($U47="","???","")))</f>
        <v/>
      </c>
    </row>
    <row r="48">
      <c r="A48" s="2" t="n">
        <v>739694</v>
      </c>
      <c r="J48">
        <f>IF(A48="","",SUMIF(FoodLog!$A:$A,A48,FoodLog!$I:$I))</f>
        <v/>
      </c>
      <c r="K48">
        <f>IF(A48="","",SUMIF(FoodLog!$A:$A,A48,FoodLog!$F:$F))</f>
        <v/>
      </c>
      <c r="L48">
        <f>IF(A48="","",SUMIF(FoodLog!$A:$A,A48,FoodLog!$G:$G))</f>
        <v/>
      </c>
      <c r="M48">
        <f>IF(A48="","",SUMIF(FoodLog!$A:$A,A48,FoodLog!$H:$H))</f>
        <v/>
      </c>
      <c r="N48">
        <f>LET(train,B48,cardio,C48,steps,D48,sleep,E48,reg,F48,prod,I48,kcal,J48,p,K48,w_train,0.22,w_steps,0.18,w_sleep,0.20,w_reg,0.10,w_food,0.18,w_prod,0.12,s_train,IF(train="Верх",1,IF(train="Ноги",1,IF(train="Отдых",0.6,IF(train="Пропустил",0.2,0)))),s_steps,IF(steps="15k+",1,IF(steps="12-15k",0.9,IF(steps="10-12k",0.8,IF(steps="7-10k",0.6,IF(steps="5-7k",0.4,IF(steps="&lt;5k",0.2,0)))))),s_sleep,IF(sleep="&gt;8",0.9,IF(sleep="6-8",1,IF(sleep="&lt;6",0.2,0))),s_reg,IF(reg="Не сбит",1,IF(reg="Сбит",0.3,0)),s_food,IF(AND(kcal&gt;0,p&gt;0),MIN(1, (p/120))*0.6 + MIN(1, MAX(0,1-ABS(kcal-2200)/600))*0.4,0),s_prod,IF(prod="100%",1,IF(prod="75%",0.8,IF(prod="50%",0.6,IF(prod="25%",0.35,IF(prod="0%",0.1,0)))),ROUND(100*(w_train*s_train + w_steps*s_steps + w_sleep*s_sleep + w_reg*s_reg + w_food*s_food + w_prod*s_prod),0))</f>
        <v/>
      </c>
      <c r="O48">
        <f>TEXTJOIN(", ",TRUE,IF(B48="","тренировка",""),IF(D48="","шаги",""),IF(E48="","сон",""),IF(F48="","режим",""),IF(G48="","настроение",""),IF(H48="","энергия",""),IF(I48="","продуктивность",""),IF(J48="","еда (ккал)",""))</f>
        <v/>
      </c>
      <c r="U48">
        <f>IF($A48="","",IF(SUMIF(FoodLog!$A:$A,$A48,FoodLog!$I:$I)=0,"",SUMIF(FoodLog!$A:$A,$A48,FoodLog!$I:$I)))</f>
        <v/>
      </c>
      <c r="V48">
        <f>IF($A48="","",IF(SUMIF(FoodLog!$A:$A,$A48,FoodLog!$F:$F)=0,"",SUMIF(FoodLog!$A:$A,$A48,FoodLog!$F:$F)))</f>
        <v/>
      </c>
      <c r="W48">
        <f>IF($A48="","",IF(SUMIF(FoodLog!$A:$A,$A48,FoodLog!$G:$G)=0,"",SUMIF(FoodLog!$A:$A,$A48,FoodLog!$G:$G)))</f>
        <v/>
      </c>
      <c r="X48">
        <f>IF($A48="","",IF(SUMIF(FoodLog!$A:$A,$A48,FoodLog!$H:$H)=0,"",SUMIF(FoodLog!$A:$A,$A48,FoodLog!$H:$H)))</f>
        <v/>
      </c>
      <c r="Y48">
        <f>IF($A48="","",IFERROR(ROUND(100*AVERAGE(IF($B48="","",XLOOKUP($B48,FILTER(Dictionaries!$B:$B,Dictionaries!$A:$A="??????????"),FILTER(Dictionaries!$C:$C,Dictionaries!$A:$A="??????????"))),IF($C48="","",MIN($C48/40,1)),IF($D48="","",XLOOKUP($D48,FILTER(Dictionaries!$B:$B,Dictionaries!$A:$A="????"),FILTER(Dictionaries!$C:$C,Dictionaries!$A:$A="????"))),IF($E48="","",MIN($E48/120,1)),IF(OR($F48&lt;&gt;"",$G48&lt;&gt;""),1,""),IF($H48="","",MIN($H48/100,1)),IF($L48="","",XLOOKUP($L48,FILTER(Dictionaries!$B:$B,Dictionaries!$A:$A="???_????"),FILTER(Dictionaries!$C:$C,Dictionaries!$A:$A="???_????"))),IF($M48="","",XLOOKUP($M48,FILTER(Dictionaries!$B:$B,Dictionaries!$A:$A="?????"),FILTER(Dictionaries!$C:$C,Dictionaries!$A:$A="?????"))),IF($N48="","",MIN($N48/100,1)),IF($O48="","",XLOOKUP($O48,FILTER(Dictionaries!$B:$B,Dictionaries!$A:$A="??????????"),FILTER(Dictionaries!$C:$C,Dictionaries!$A:$A="??????????"))),IF($P48="","",XLOOKUP($P48,FILTER(Dictionaries!$B:$B,Dictionaries!$A:$A="???????"),FILTER(Dictionaries!$C:$C,Dictionaries!$A:$A="???????"))),IF($U48="","",LET(t,IF(OR($B48="????",$B48="????"),"train","rest"),k,$U48,p,$V48,f,$W48,c,$X48,k_s,IF(t="train",IF(k="","",IFS(AND(k&gt;=1900,k&lt;=2050),1,AND(k&gt;=1850,k&lt;1900),0.7,AND(k&gt;2050,k&lt;=2100),0.7,TRUE,0.2)),IF(k="","",IFS(AND(k&gt;=1700,k&lt;=1850),1,AND(k&gt;=1650,k&lt;1700),0.7,AND(k&gt;1850,k&lt;=1900),0.7,TRUE,0.2))),p_s,IF(t="train",IF(p="","",IFS(AND(p&gt;=125,p&lt;=135),1,AND(p&gt;=115,p&lt;125),0.7,AND(p&gt;135,p&lt;=145),0.7,AND(p&gt;=105,p&lt;115),0.4,AND(p&gt;145,p&lt;=155),0.4,TRUE,0.2)),IF(p="","",IFS(AND(p&gt;=120,p&lt;=130),1,AND(p&gt;=110,p&lt;120),0.7,AND(p&gt;130,p&lt;=140),0.7,AND(p&gt;=100,p&lt;110),0.4,AND(p&gt;140,p&lt;=150),0.4,TRUE,0.2))),f_s,IF(f="","",IFS(AND(f&gt;=55,f&lt;=65),1,AND(f&gt;=50,f&lt;55),0.7,AND(f&gt;65,f&lt;=70),0.7,AND(f&gt;=45,f&lt;50),0.4,AND(f&gt;70,f&lt;=75),0.4,TRUE,0.2)),c_s,IF(t="train",IF(c="","",IFS(AND(c&gt;=180,c&lt;=210),1,AND(c&gt;=160,c&lt;180),0.7,AND(c&gt;210,c&lt;=230),0.7,AND(c&gt;=140,c&lt;160),0.4,AND(c&gt;230,c&lt;=250),0.4,TRUE,0.2)),IF(c="","",IFS(AND(c&gt;=140,c&lt;=170),1,AND(c&gt;=120,c&lt;140),0.7,AND(c&gt;170,c&lt;=190),0.7,AND(c&gt;=100,c&lt;120),0.4,AND(c&gt;190,c&lt;=210),0.4,TRUE,0.2))),AVERAGE(k_s,p_s,f_s,c_s)))),1),""))</f>
        <v/>
      </c>
      <c r="Z48">
        <f>IF($A48="","",TEXTJOIN(", ",TRUE,IF($B48="","??????????",""),IF($C48="","??????",""),IF($D48="","????",""),IF($E48="","??????????",""),IF($F48="","???-?????",""),IF($G48="","???-????",""),IF($H48="","??????",""),IF($L48="","???",""),IF($M48="","?????",""),IF($N48="","??????????????",""),IF($O48="","??????????",""),IF($P48="","???????",""),IF($U48="","???","")))</f>
        <v/>
      </c>
    </row>
    <row r="49">
      <c r="A49" s="2" t="n">
        <v>739695</v>
      </c>
      <c r="J49">
        <f>IF(A49="","",SUMIF(FoodLog!$A:$A,A49,FoodLog!$I:$I))</f>
        <v/>
      </c>
      <c r="K49">
        <f>IF(A49="","",SUMIF(FoodLog!$A:$A,A49,FoodLog!$F:$F))</f>
        <v/>
      </c>
      <c r="L49">
        <f>IF(A49="","",SUMIF(FoodLog!$A:$A,A49,FoodLog!$G:$G))</f>
        <v/>
      </c>
      <c r="M49">
        <f>IF(A49="","",SUMIF(FoodLog!$A:$A,A49,FoodLog!$H:$H))</f>
        <v/>
      </c>
      <c r="N49">
        <f>LET(train,B49,cardio,C49,steps,D49,sleep,E49,reg,F49,prod,I49,kcal,J49,p,K49,w_train,0.22,w_steps,0.18,w_sleep,0.20,w_reg,0.10,w_food,0.18,w_prod,0.12,s_train,IF(train="Верх",1,IF(train="Ноги",1,IF(train="Отдых",0.6,IF(train="Пропустил",0.2,0)))),s_steps,IF(steps="15k+",1,IF(steps="12-15k",0.9,IF(steps="10-12k",0.8,IF(steps="7-10k",0.6,IF(steps="5-7k",0.4,IF(steps="&lt;5k",0.2,0)))))),s_sleep,IF(sleep="&gt;8",0.9,IF(sleep="6-8",1,IF(sleep="&lt;6",0.2,0))),s_reg,IF(reg="Не сбит",1,IF(reg="Сбит",0.3,0)),s_food,IF(AND(kcal&gt;0,p&gt;0),MIN(1, (p/120))*0.6 + MIN(1, MAX(0,1-ABS(kcal-2200)/600))*0.4,0),s_prod,IF(prod="100%",1,IF(prod="75%",0.8,IF(prod="50%",0.6,IF(prod="25%",0.35,IF(prod="0%",0.1,0)))),ROUND(100*(w_train*s_train + w_steps*s_steps + w_sleep*s_sleep + w_reg*s_reg + w_food*s_food + w_prod*s_prod),0))</f>
        <v/>
      </c>
      <c r="O49">
        <f>TEXTJOIN(", ",TRUE,IF(B49="","тренировка",""),IF(D49="","шаги",""),IF(E49="","сон",""),IF(F49="","режим",""),IF(G49="","настроение",""),IF(H49="","энергия",""),IF(I49="","продуктивность",""),IF(J49="","еда (ккал)",""))</f>
        <v/>
      </c>
      <c r="U49">
        <f>IF($A49="","",IF(SUMIF(FoodLog!$A:$A,$A49,FoodLog!$I:$I)=0,"",SUMIF(FoodLog!$A:$A,$A49,FoodLog!$I:$I)))</f>
        <v/>
      </c>
      <c r="V49">
        <f>IF($A49="","",IF(SUMIF(FoodLog!$A:$A,$A49,FoodLog!$F:$F)=0,"",SUMIF(FoodLog!$A:$A,$A49,FoodLog!$F:$F)))</f>
        <v/>
      </c>
      <c r="W49">
        <f>IF($A49="","",IF(SUMIF(FoodLog!$A:$A,$A49,FoodLog!$G:$G)=0,"",SUMIF(FoodLog!$A:$A,$A49,FoodLog!$G:$G)))</f>
        <v/>
      </c>
      <c r="X49">
        <f>IF($A49="","",IF(SUMIF(FoodLog!$A:$A,$A49,FoodLog!$H:$H)=0,"",SUMIF(FoodLog!$A:$A,$A49,FoodLog!$H:$H)))</f>
        <v/>
      </c>
      <c r="Y49">
        <f>IF($A49="","",IFERROR(ROUND(100*AVERAGE(IF($B49="","",XLOOKUP($B49,FILTER(Dictionaries!$B:$B,Dictionaries!$A:$A="??????????"),FILTER(Dictionaries!$C:$C,Dictionaries!$A:$A="??????????"))),IF($C49="","",MIN($C49/40,1)),IF($D49="","",XLOOKUP($D49,FILTER(Dictionaries!$B:$B,Dictionaries!$A:$A="????"),FILTER(Dictionaries!$C:$C,Dictionaries!$A:$A="????"))),IF($E49="","",MIN($E49/120,1)),IF(OR($F49&lt;&gt;"",$G49&lt;&gt;""),1,""),IF($H49="","",MIN($H49/100,1)),IF($L49="","",XLOOKUP($L49,FILTER(Dictionaries!$B:$B,Dictionaries!$A:$A="???_????"),FILTER(Dictionaries!$C:$C,Dictionaries!$A:$A="???_????"))),IF($M49="","",XLOOKUP($M49,FILTER(Dictionaries!$B:$B,Dictionaries!$A:$A="?????"),FILTER(Dictionaries!$C:$C,Dictionaries!$A:$A="?????"))),IF($N49="","",MIN($N49/100,1)),IF($O49="","",XLOOKUP($O49,FILTER(Dictionaries!$B:$B,Dictionaries!$A:$A="??????????"),FILTER(Dictionaries!$C:$C,Dictionaries!$A:$A="??????????"))),IF($P49="","",XLOOKUP($P49,FILTER(Dictionaries!$B:$B,Dictionaries!$A:$A="???????"),FILTER(Dictionaries!$C:$C,Dictionaries!$A:$A="???????"))),IF($U49="","",LET(t,IF(OR($B49="????",$B49="????"),"train","rest"),k,$U49,p,$V49,f,$W49,c,$X49,k_s,IF(t="train",IF(k="","",IFS(AND(k&gt;=1900,k&lt;=2050),1,AND(k&gt;=1850,k&lt;1900),0.7,AND(k&gt;2050,k&lt;=2100),0.7,TRUE,0.2)),IF(k="","",IFS(AND(k&gt;=1700,k&lt;=1850),1,AND(k&gt;=1650,k&lt;1700),0.7,AND(k&gt;1850,k&lt;=1900),0.7,TRUE,0.2))),p_s,IF(t="train",IF(p="","",IFS(AND(p&gt;=125,p&lt;=135),1,AND(p&gt;=115,p&lt;125),0.7,AND(p&gt;135,p&lt;=145),0.7,AND(p&gt;=105,p&lt;115),0.4,AND(p&gt;145,p&lt;=155),0.4,TRUE,0.2)),IF(p="","",IFS(AND(p&gt;=120,p&lt;=130),1,AND(p&gt;=110,p&lt;120),0.7,AND(p&gt;130,p&lt;=140),0.7,AND(p&gt;=100,p&lt;110),0.4,AND(p&gt;140,p&lt;=150),0.4,TRUE,0.2))),f_s,IF(f="","",IFS(AND(f&gt;=55,f&lt;=65),1,AND(f&gt;=50,f&lt;55),0.7,AND(f&gt;65,f&lt;=70),0.7,AND(f&gt;=45,f&lt;50),0.4,AND(f&gt;70,f&lt;=75),0.4,TRUE,0.2)),c_s,IF(t="train",IF(c="","",IFS(AND(c&gt;=180,c&lt;=210),1,AND(c&gt;=160,c&lt;180),0.7,AND(c&gt;210,c&lt;=230),0.7,AND(c&gt;=140,c&lt;160),0.4,AND(c&gt;230,c&lt;=250),0.4,TRUE,0.2)),IF(c="","",IFS(AND(c&gt;=140,c&lt;=170),1,AND(c&gt;=120,c&lt;140),0.7,AND(c&gt;170,c&lt;=190),0.7,AND(c&gt;=100,c&lt;120),0.4,AND(c&gt;190,c&lt;=210),0.4,TRUE,0.2))),AVERAGE(k_s,p_s,f_s,c_s)))),1),""))</f>
        <v/>
      </c>
      <c r="Z49">
        <f>IF($A49="","",TEXTJOIN(", ",TRUE,IF($B49="","??????????",""),IF($C49="","??????",""),IF($D49="","????",""),IF($E49="","??????????",""),IF($F49="","???-?????",""),IF($G49="","???-????",""),IF($H49="","??????",""),IF($L49="","???",""),IF($M49="","?????",""),IF($N49="","??????????????",""),IF($O49="","??????????",""),IF($P49="","???????",""),IF($U49="","???","")))</f>
        <v/>
      </c>
    </row>
    <row r="50">
      <c r="A50" s="2" t="n">
        <v>739696</v>
      </c>
      <c r="J50">
        <f>IF(A50="","",SUMIF(FoodLog!$A:$A,A50,FoodLog!$I:$I))</f>
        <v/>
      </c>
      <c r="K50">
        <f>IF(A50="","",SUMIF(FoodLog!$A:$A,A50,FoodLog!$F:$F))</f>
        <v/>
      </c>
      <c r="L50">
        <f>IF(A50="","",SUMIF(FoodLog!$A:$A,A50,FoodLog!$G:$G))</f>
        <v/>
      </c>
      <c r="M50">
        <f>IF(A50="","",SUMIF(FoodLog!$A:$A,A50,FoodLog!$H:$H))</f>
        <v/>
      </c>
      <c r="N50">
        <f>LET(train,B50,cardio,C50,steps,D50,sleep,E50,reg,F50,prod,I50,kcal,J50,p,K50,w_train,0.22,w_steps,0.18,w_sleep,0.20,w_reg,0.10,w_food,0.18,w_prod,0.12,s_train,IF(train="Верх",1,IF(train="Ноги",1,IF(train="Отдых",0.6,IF(train="Пропустил",0.2,0)))),s_steps,IF(steps="15k+",1,IF(steps="12-15k",0.9,IF(steps="10-12k",0.8,IF(steps="7-10k",0.6,IF(steps="5-7k",0.4,IF(steps="&lt;5k",0.2,0)))))),s_sleep,IF(sleep="&gt;8",0.9,IF(sleep="6-8",1,IF(sleep="&lt;6",0.2,0))),s_reg,IF(reg="Не сбит",1,IF(reg="Сбит",0.3,0)),s_food,IF(AND(kcal&gt;0,p&gt;0),MIN(1, (p/120))*0.6 + MIN(1, MAX(0,1-ABS(kcal-2200)/600))*0.4,0),s_prod,IF(prod="100%",1,IF(prod="75%",0.8,IF(prod="50%",0.6,IF(prod="25%",0.35,IF(prod="0%",0.1,0)))),ROUND(100*(w_train*s_train + w_steps*s_steps + w_sleep*s_sleep + w_reg*s_reg + w_food*s_food + w_prod*s_prod),0))</f>
        <v/>
      </c>
      <c r="O50">
        <f>TEXTJOIN(", ",TRUE,IF(B50="","тренировка",""),IF(D50="","шаги",""),IF(E50="","сон",""),IF(F50="","режим",""),IF(G50="","настроение",""),IF(H50="","энергия",""),IF(I50="","продуктивность",""),IF(J50="","еда (ккал)",""))</f>
        <v/>
      </c>
      <c r="U50">
        <f>IF($A50="","",IF(SUMIF(FoodLog!$A:$A,$A50,FoodLog!$I:$I)=0,"",SUMIF(FoodLog!$A:$A,$A50,FoodLog!$I:$I)))</f>
        <v/>
      </c>
      <c r="V50">
        <f>IF($A50="","",IF(SUMIF(FoodLog!$A:$A,$A50,FoodLog!$F:$F)=0,"",SUMIF(FoodLog!$A:$A,$A50,FoodLog!$F:$F)))</f>
        <v/>
      </c>
      <c r="W50">
        <f>IF($A50="","",IF(SUMIF(FoodLog!$A:$A,$A50,FoodLog!$G:$G)=0,"",SUMIF(FoodLog!$A:$A,$A50,FoodLog!$G:$G)))</f>
        <v/>
      </c>
      <c r="X50">
        <f>IF($A50="","",IF(SUMIF(FoodLog!$A:$A,$A50,FoodLog!$H:$H)=0,"",SUMIF(FoodLog!$A:$A,$A50,FoodLog!$H:$H)))</f>
        <v/>
      </c>
      <c r="Y50">
        <f>IF($A50="","",IFERROR(ROUND(100*AVERAGE(IF($B50="","",XLOOKUP($B50,FILTER(Dictionaries!$B:$B,Dictionaries!$A:$A="??????????"),FILTER(Dictionaries!$C:$C,Dictionaries!$A:$A="??????????"))),IF($C50="","",MIN($C50/40,1)),IF($D50="","",XLOOKUP($D50,FILTER(Dictionaries!$B:$B,Dictionaries!$A:$A="????"),FILTER(Dictionaries!$C:$C,Dictionaries!$A:$A="????"))),IF($E50="","",MIN($E50/120,1)),IF(OR($F50&lt;&gt;"",$G50&lt;&gt;""),1,""),IF($H50="","",MIN($H50/100,1)),IF($L50="","",XLOOKUP($L50,FILTER(Dictionaries!$B:$B,Dictionaries!$A:$A="???_????"),FILTER(Dictionaries!$C:$C,Dictionaries!$A:$A="???_????"))),IF($M50="","",XLOOKUP($M50,FILTER(Dictionaries!$B:$B,Dictionaries!$A:$A="?????"),FILTER(Dictionaries!$C:$C,Dictionaries!$A:$A="?????"))),IF($N50="","",MIN($N50/100,1)),IF($O50="","",XLOOKUP($O50,FILTER(Dictionaries!$B:$B,Dictionaries!$A:$A="??????????"),FILTER(Dictionaries!$C:$C,Dictionaries!$A:$A="??????????"))),IF($P50="","",XLOOKUP($P50,FILTER(Dictionaries!$B:$B,Dictionaries!$A:$A="???????"),FILTER(Dictionaries!$C:$C,Dictionaries!$A:$A="???????"))),IF($U50="","",LET(t,IF(OR($B50="????",$B50="????"),"train","rest"),k,$U50,p,$V50,f,$W50,c,$X50,k_s,IF(t="train",IF(k="","",IFS(AND(k&gt;=1900,k&lt;=2050),1,AND(k&gt;=1850,k&lt;1900),0.7,AND(k&gt;2050,k&lt;=2100),0.7,TRUE,0.2)),IF(k="","",IFS(AND(k&gt;=1700,k&lt;=1850),1,AND(k&gt;=1650,k&lt;1700),0.7,AND(k&gt;1850,k&lt;=1900),0.7,TRUE,0.2))),p_s,IF(t="train",IF(p="","",IFS(AND(p&gt;=125,p&lt;=135),1,AND(p&gt;=115,p&lt;125),0.7,AND(p&gt;135,p&lt;=145),0.7,AND(p&gt;=105,p&lt;115),0.4,AND(p&gt;145,p&lt;=155),0.4,TRUE,0.2)),IF(p="","",IFS(AND(p&gt;=120,p&lt;=130),1,AND(p&gt;=110,p&lt;120),0.7,AND(p&gt;130,p&lt;=140),0.7,AND(p&gt;=100,p&lt;110),0.4,AND(p&gt;140,p&lt;=150),0.4,TRUE,0.2))),f_s,IF(f="","",IFS(AND(f&gt;=55,f&lt;=65),1,AND(f&gt;=50,f&lt;55),0.7,AND(f&gt;65,f&lt;=70),0.7,AND(f&gt;=45,f&lt;50),0.4,AND(f&gt;70,f&lt;=75),0.4,TRUE,0.2)),c_s,IF(t="train",IF(c="","",IFS(AND(c&gt;=180,c&lt;=210),1,AND(c&gt;=160,c&lt;180),0.7,AND(c&gt;210,c&lt;=230),0.7,AND(c&gt;=140,c&lt;160),0.4,AND(c&gt;230,c&lt;=250),0.4,TRUE,0.2)),IF(c="","",IFS(AND(c&gt;=140,c&lt;=170),1,AND(c&gt;=120,c&lt;140),0.7,AND(c&gt;170,c&lt;=190),0.7,AND(c&gt;=100,c&lt;120),0.4,AND(c&gt;190,c&lt;=210),0.4,TRUE,0.2))),AVERAGE(k_s,p_s,f_s,c_s)))),1),""))</f>
        <v/>
      </c>
      <c r="Z50">
        <f>IF($A50="","",TEXTJOIN(", ",TRUE,IF($B50="","??????????",""),IF($C50="","??????",""),IF($D50="","????",""),IF($E50="","??????????",""),IF($F50="","???-?????",""),IF($G50="","???-????",""),IF($H50="","??????",""),IF($L50="","???",""),IF($M50="","?????",""),IF($N50="","??????????????",""),IF($O50="","??????????",""),IF($P50="","???????",""),IF($U50="","???","")))</f>
        <v/>
      </c>
    </row>
    <row r="51">
      <c r="A51" s="2" t="n">
        <v>739697</v>
      </c>
      <c r="J51">
        <f>IF(A51="","",SUMIF(FoodLog!$A:$A,A51,FoodLog!$I:$I))</f>
        <v/>
      </c>
      <c r="K51">
        <f>IF(A51="","",SUMIF(FoodLog!$A:$A,A51,FoodLog!$F:$F))</f>
        <v/>
      </c>
      <c r="L51">
        <f>IF(A51="","",SUMIF(FoodLog!$A:$A,A51,FoodLog!$G:$G))</f>
        <v/>
      </c>
      <c r="M51">
        <f>IF(A51="","",SUMIF(FoodLog!$A:$A,A51,FoodLog!$H:$H))</f>
        <v/>
      </c>
      <c r="N51">
        <f>LET(train,B51,cardio,C51,steps,D51,sleep,E51,reg,F51,prod,I51,kcal,J51,p,K51,w_train,0.22,w_steps,0.18,w_sleep,0.20,w_reg,0.10,w_food,0.18,w_prod,0.12,s_train,IF(train="Верх",1,IF(train="Ноги",1,IF(train="Отдых",0.6,IF(train="Пропустил",0.2,0)))),s_steps,IF(steps="15k+",1,IF(steps="12-15k",0.9,IF(steps="10-12k",0.8,IF(steps="7-10k",0.6,IF(steps="5-7k",0.4,IF(steps="&lt;5k",0.2,0)))))),s_sleep,IF(sleep="&gt;8",0.9,IF(sleep="6-8",1,IF(sleep="&lt;6",0.2,0))),s_reg,IF(reg="Не сбит",1,IF(reg="Сбит",0.3,0)),s_food,IF(AND(kcal&gt;0,p&gt;0),MIN(1, (p/120))*0.6 + MIN(1, MAX(0,1-ABS(kcal-2200)/600))*0.4,0),s_prod,IF(prod="100%",1,IF(prod="75%",0.8,IF(prod="50%",0.6,IF(prod="25%",0.35,IF(prod="0%",0.1,0)))),ROUND(100*(w_train*s_train + w_steps*s_steps + w_sleep*s_sleep + w_reg*s_reg + w_food*s_food + w_prod*s_prod),0))</f>
        <v/>
      </c>
      <c r="O51">
        <f>TEXTJOIN(", ",TRUE,IF(B51="","тренировка",""),IF(D51="","шаги",""),IF(E51="","сон",""),IF(F51="","режим",""),IF(G51="","настроение",""),IF(H51="","энергия",""),IF(I51="","продуктивность",""),IF(J51="","еда (ккал)",""))</f>
        <v/>
      </c>
      <c r="U51">
        <f>IF($A51="","",IF(SUMIF(FoodLog!$A:$A,$A51,FoodLog!$I:$I)=0,"",SUMIF(FoodLog!$A:$A,$A51,FoodLog!$I:$I)))</f>
        <v/>
      </c>
      <c r="V51">
        <f>IF($A51="","",IF(SUMIF(FoodLog!$A:$A,$A51,FoodLog!$F:$F)=0,"",SUMIF(FoodLog!$A:$A,$A51,FoodLog!$F:$F)))</f>
        <v/>
      </c>
      <c r="W51">
        <f>IF($A51="","",IF(SUMIF(FoodLog!$A:$A,$A51,FoodLog!$G:$G)=0,"",SUMIF(FoodLog!$A:$A,$A51,FoodLog!$G:$G)))</f>
        <v/>
      </c>
      <c r="X51">
        <f>IF($A51="","",IF(SUMIF(FoodLog!$A:$A,$A51,FoodLog!$H:$H)=0,"",SUMIF(FoodLog!$A:$A,$A51,FoodLog!$H:$H)))</f>
        <v/>
      </c>
      <c r="Y51">
        <f>IF($A51="","",IFERROR(ROUND(100*AVERAGE(IF($B51="","",XLOOKUP($B51,FILTER(Dictionaries!$B:$B,Dictionaries!$A:$A="??????????"),FILTER(Dictionaries!$C:$C,Dictionaries!$A:$A="??????????"))),IF($C51="","",MIN($C51/40,1)),IF($D51="","",XLOOKUP($D51,FILTER(Dictionaries!$B:$B,Dictionaries!$A:$A="????"),FILTER(Dictionaries!$C:$C,Dictionaries!$A:$A="????"))),IF($E51="","",MIN($E51/120,1)),IF(OR($F51&lt;&gt;"",$G51&lt;&gt;""),1,""),IF($H51="","",MIN($H51/100,1)),IF($L51="","",XLOOKUP($L51,FILTER(Dictionaries!$B:$B,Dictionaries!$A:$A="???_????"),FILTER(Dictionaries!$C:$C,Dictionaries!$A:$A="???_????"))),IF($M51="","",XLOOKUP($M51,FILTER(Dictionaries!$B:$B,Dictionaries!$A:$A="?????"),FILTER(Dictionaries!$C:$C,Dictionaries!$A:$A="?????"))),IF($N51="","",MIN($N51/100,1)),IF($O51="","",XLOOKUP($O51,FILTER(Dictionaries!$B:$B,Dictionaries!$A:$A="??????????"),FILTER(Dictionaries!$C:$C,Dictionaries!$A:$A="??????????"))),IF($P51="","",XLOOKUP($P51,FILTER(Dictionaries!$B:$B,Dictionaries!$A:$A="???????"),FILTER(Dictionaries!$C:$C,Dictionaries!$A:$A="???????"))),IF($U51="","",LET(t,IF(OR($B51="????",$B51="????"),"train","rest"),k,$U51,p,$V51,f,$W51,c,$X51,k_s,IF(t="train",IF(k="","",IFS(AND(k&gt;=1900,k&lt;=2050),1,AND(k&gt;=1850,k&lt;1900),0.7,AND(k&gt;2050,k&lt;=2100),0.7,TRUE,0.2)),IF(k="","",IFS(AND(k&gt;=1700,k&lt;=1850),1,AND(k&gt;=1650,k&lt;1700),0.7,AND(k&gt;1850,k&lt;=1900),0.7,TRUE,0.2))),p_s,IF(t="train",IF(p="","",IFS(AND(p&gt;=125,p&lt;=135),1,AND(p&gt;=115,p&lt;125),0.7,AND(p&gt;135,p&lt;=145),0.7,AND(p&gt;=105,p&lt;115),0.4,AND(p&gt;145,p&lt;=155),0.4,TRUE,0.2)),IF(p="","",IFS(AND(p&gt;=120,p&lt;=130),1,AND(p&gt;=110,p&lt;120),0.7,AND(p&gt;130,p&lt;=140),0.7,AND(p&gt;=100,p&lt;110),0.4,AND(p&gt;140,p&lt;=150),0.4,TRUE,0.2))),f_s,IF(f="","",IFS(AND(f&gt;=55,f&lt;=65),1,AND(f&gt;=50,f&lt;55),0.7,AND(f&gt;65,f&lt;=70),0.7,AND(f&gt;=45,f&lt;50),0.4,AND(f&gt;70,f&lt;=75),0.4,TRUE,0.2)),c_s,IF(t="train",IF(c="","",IFS(AND(c&gt;=180,c&lt;=210),1,AND(c&gt;=160,c&lt;180),0.7,AND(c&gt;210,c&lt;=230),0.7,AND(c&gt;=140,c&lt;160),0.4,AND(c&gt;230,c&lt;=250),0.4,TRUE,0.2)),IF(c="","",IFS(AND(c&gt;=140,c&lt;=170),1,AND(c&gt;=120,c&lt;140),0.7,AND(c&gt;170,c&lt;=190),0.7,AND(c&gt;=100,c&lt;120),0.4,AND(c&gt;190,c&lt;=210),0.4,TRUE,0.2))),AVERAGE(k_s,p_s,f_s,c_s)))),1),""))</f>
        <v/>
      </c>
      <c r="Z51">
        <f>IF($A51="","",TEXTJOIN(", ",TRUE,IF($B51="","??????????",""),IF($C51="","??????",""),IF($D51="","????",""),IF($E51="","??????????",""),IF($F51="","???-?????",""),IF($G51="","???-????",""),IF($H51="","??????",""),IF($L51="","???",""),IF($M51="","?????",""),IF($N51="","??????????????",""),IF($O51="","??????????",""),IF($P51="","???????",""),IF($U51="","???","")))</f>
        <v/>
      </c>
    </row>
    <row r="52">
      <c r="A52" s="2" t="n">
        <v>739698</v>
      </c>
      <c r="J52">
        <f>IF(A52="","",SUMIF(FoodLog!$A:$A,A52,FoodLog!$I:$I))</f>
        <v/>
      </c>
      <c r="K52">
        <f>IF(A52="","",SUMIF(FoodLog!$A:$A,A52,FoodLog!$F:$F))</f>
        <v/>
      </c>
      <c r="L52">
        <f>IF(A52="","",SUMIF(FoodLog!$A:$A,A52,FoodLog!$G:$G))</f>
        <v/>
      </c>
      <c r="M52">
        <f>IF(A52="","",SUMIF(FoodLog!$A:$A,A52,FoodLog!$H:$H))</f>
        <v/>
      </c>
      <c r="N52">
        <f>LET(train,B52,cardio,C52,steps,D52,sleep,E52,reg,F52,prod,I52,kcal,J52,p,K52,w_train,0.22,w_steps,0.18,w_sleep,0.20,w_reg,0.10,w_food,0.18,w_prod,0.12,s_train,IF(train="Верх",1,IF(train="Ноги",1,IF(train="Отдых",0.6,IF(train="Пропустил",0.2,0)))),s_steps,IF(steps="15k+",1,IF(steps="12-15k",0.9,IF(steps="10-12k",0.8,IF(steps="7-10k",0.6,IF(steps="5-7k",0.4,IF(steps="&lt;5k",0.2,0)))))),s_sleep,IF(sleep="&gt;8",0.9,IF(sleep="6-8",1,IF(sleep="&lt;6",0.2,0))),s_reg,IF(reg="Не сбит",1,IF(reg="Сбит",0.3,0)),s_food,IF(AND(kcal&gt;0,p&gt;0),MIN(1, (p/120))*0.6 + MIN(1, MAX(0,1-ABS(kcal-2200)/600))*0.4,0),s_prod,IF(prod="100%",1,IF(prod="75%",0.8,IF(prod="50%",0.6,IF(prod="25%",0.35,IF(prod="0%",0.1,0)))),ROUND(100*(w_train*s_train + w_steps*s_steps + w_sleep*s_sleep + w_reg*s_reg + w_food*s_food + w_prod*s_prod),0))</f>
        <v/>
      </c>
      <c r="O52">
        <f>TEXTJOIN(", ",TRUE,IF(B52="","тренировка",""),IF(D52="","шаги",""),IF(E52="","сон",""),IF(F52="","режим",""),IF(G52="","настроение",""),IF(H52="","энергия",""),IF(I52="","продуктивность",""),IF(J52="","еда (ккал)",""))</f>
        <v/>
      </c>
      <c r="U52">
        <f>IF($A52="","",IF(SUMIF(FoodLog!$A:$A,$A52,FoodLog!$I:$I)=0,"",SUMIF(FoodLog!$A:$A,$A52,FoodLog!$I:$I)))</f>
        <v/>
      </c>
      <c r="V52">
        <f>IF($A52="","",IF(SUMIF(FoodLog!$A:$A,$A52,FoodLog!$F:$F)=0,"",SUMIF(FoodLog!$A:$A,$A52,FoodLog!$F:$F)))</f>
        <v/>
      </c>
      <c r="W52">
        <f>IF($A52="","",IF(SUMIF(FoodLog!$A:$A,$A52,FoodLog!$G:$G)=0,"",SUMIF(FoodLog!$A:$A,$A52,FoodLog!$G:$G)))</f>
        <v/>
      </c>
      <c r="X52">
        <f>IF($A52="","",IF(SUMIF(FoodLog!$A:$A,$A52,FoodLog!$H:$H)=0,"",SUMIF(FoodLog!$A:$A,$A52,FoodLog!$H:$H)))</f>
        <v/>
      </c>
      <c r="Y52">
        <f>IF($A52="","",IFERROR(ROUND(100*AVERAGE(IF($B52="","",XLOOKUP($B52,FILTER(Dictionaries!$B:$B,Dictionaries!$A:$A="??????????"),FILTER(Dictionaries!$C:$C,Dictionaries!$A:$A="??????????"))),IF($C52="","",MIN($C52/40,1)),IF($D52="","",XLOOKUP($D52,FILTER(Dictionaries!$B:$B,Dictionaries!$A:$A="????"),FILTER(Dictionaries!$C:$C,Dictionaries!$A:$A="????"))),IF($E52="","",MIN($E52/120,1)),IF(OR($F52&lt;&gt;"",$G52&lt;&gt;""),1,""),IF($H52="","",MIN($H52/100,1)),IF($L52="","",XLOOKUP($L52,FILTER(Dictionaries!$B:$B,Dictionaries!$A:$A="???_????"),FILTER(Dictionaries!$C:$C,Dictionaries!$A:$A="???_????"))),IF($M52="","",XLOOKUP($M52,FILTER(Dictionaries!$B:$B,Dictionaries!$A:$A="?????"),FILTER(Dictionaries!$C:$C,Dictionaries!$A:$A="?????"))),IF($N52="","",MIN($N52/100,1)),IF($O52="","",XLOOKUP($O52,FILTER(Dictionaries!$B:$B,Dictionaries!$A:$A="??????????"),FILTER(Dictionaries!$C:$C,Dictionaries!$A:$A="??????????"))),IF($P52="","",XLOOKUP($P52,FILTER(Dictionaries!$B:$B,Dictionaries!$A:$A="???????"),FILTER(Dictionaries!$C:$C,Dictionaries!$A:$A="???????"))),IF($U52="","",LET(t,IF(OR($B52="????",$B52="????"),"train","rest"),k,$U52,p,$V52,f,$W52,c,$X52,k_s,IF(t="train",IF(k="","",IFS(AND(k&gt;=1900,k&lt;=2050),1,AND(k&gt;=1850,k&lt;1900),0.7,AND(k&gt;2050,k&lt;=2100),0.7,TRUE,0.2)),IF(k="","",IFS(AND(k&gt;=1700,k&lt;=1850),1,AND(k&gt;=1650,k&lt;1700),0.7,AND(k&gt;1850,k&lt;=1900),0.7,TRUE,0.2))),p_s,IF(t="train",IF(p="","",IFS(AND(p&gt;=125,p&lt;=135),1,AND(p&gt;=115,p&lt;125),0.7,AND(p&gt;135,p&lt;=145),0.7,AND(p&gt;=105,p&lt;115),0.4,AND(p&gt;145,p&lt;=155),0.4,TRUE,0.2)),IF(p="","",IFS(AND(p&gt;=120,p&lt;=130),1,AND(p&gt;=110,p&lt;120),0.7,AND(p&gt;130,p&lt;=140),0.7,AND(p&gt;=100,p&lt;110),0.4,AND(p&gt;140,p&lt;=150),0.4,TRUE,0.2))),f_s,IF(f="","",IFS(AND(f&gt;=55,f&lt;=65),1,AND(f&gt;=50,f&lt;55),0.7,AND(f&gt;65,f&lt;=70),0.7,AND(f&gt;=45,f&lt;50),0.4,AND(f&gt;70,f&lt;=75),0.4,TRUE,0.2)),c_s,IF(t="train",IF(c="","",IFS(AND(c&gt;=180,c&lt;=210),1,AND(c&gt;=160,c&lt;180),0.7,AND(c&gt;210,c&lt;=230),0.7,AND(c&gt;=140,c&lt;160),0.4,AND(c&gt;230,c&lt;=250),0.4,TRUE,0.2)),IF(c="","",IFS(AND(c&gt;=140,c&lt;=170),1,AND(c&gt;=120,c&lt;140),0.7,AND(c&gt;170,c&lt;=190),0.7,AND(c&gt;=100,c&lt;120),0.4,AND(c&gt;190,c&lt;=210),0.4,TRUE,0.2))),AVERAGE(k_s,p_s,f_s,c_s)))),1),""))</f>
        <v/>
      </c>
      <c r="Z52">
        <f>IF($A52="","",TEXTJOIN(", ",TRUE,IF($B52="","??????????",""),IF($C52="","??????",""),IF($D52="","????",""),IF($E52="","??????????",""),IF($F52="","???-?????",""),IF($G52="","???-????",""),IF($H52="","??????",""),IF($L52="","???",""),IF($M52="","?????",""),IF($N52="","??????????????",""),IF($O52="","??????????",""),IF($P52="","???????",""),IF($U52="","???","")))</f>
        <v/>
      </c>
    </row>
    <row r="53">
      <c r="A53" s="2" t="n">
        <v>739699</v>
      </c>
      <c r="J53">
        <f>IF(A53="","",SUMIF(FoodLog!$A:$A,A53,FoodLog!$I:$I))</f>
        <v/>
      </c>
      <c r="K53">
        <f>IF(A53="","",SUMIF(FoodLog!$A:$A,A53,FoodLog!$F:$F))</f>
        <v/>
      </c>
      <c r="L53">
        <f>IF(A53="","",SUMIF(FoodLog!$A:$A,A53,FoodLog!$G:$G))</f>
        <v/>
      </c>
      <c r="M53">
        <f>IF(A53="","",SUMIF(FoodLog!$A:$A,A53,FoodLog!$H:$H))</f>
        <v/>
      </c>
      <c r="N53">
        <f>LET(train,B53,cardio,C53,steps,D53,sleep,E53,reg,F53,prod,I53,kcal,J53,p,K53,w_train,0.22,w_steps,0.18,w_sleep,0.20,w_reg,0.10,w_food,0.18,w_prod,0.12,s_train,IF(train="Верх",1,IF(train="Ноги",1,IF(train="Отдых",0.6,IF(train="Пропустил",0.2,0)))),s_steps,IF(steps="15k+",1,IF(steps="12-15k",0.9,IF(steps="10-12k",0.8,IF(steps="7-10k",0.6,IF(steps="5-7k",0.4,IF(steps="&lt;5k",0.2,0)))))),s_sleep,IF(sleep="&gt;8",0.9,IF(sleep="6-8",1,IF(sleep="&lt;6",0.2,0))),s_reg,IF(reg="Не сбит",1,IF(reg="Сбит",0.3,0)),s_food,IF(AND(kcal&gt;0,p&gt;0),MIN(1, (p/120))*0.6 + MIN(1, MAX(0,1-ABS(kcal-2200)/600))*0.4,0),s_prod,IF(prod="100%",1,IF(prod="75%",0.8,IF(prod="50%",0.6,IF(prod="25%",0.35,IF(prod="0%",0.1,0)))),ROUND(100*(w_train*s_train + w_steps*s_steps + w_sleep*s_sleep + w_reg*s_reg + w_food*s_food + w_prod*s_prod),0))</f>
        <v/>
      </c>
      <c r="O53">
        <f>TEXTJOIN(", ",TRUE,IF(B53="","тренировка",""),IF(D53="","шаги",""),IF(E53="","сон",""),IF(F53="","режим",""),IF(G53="","настроение",""),IF(H53="","энергия",""),IF(I53="","продуктивность",""),IF(J53="","еда (ккал)",""))</f>
        <v/>
      </c>
      <c r="U53">
        <f>IF($A53="","",IF(SUMIF(FoodLog!$A:$A,$A53,FoodLog!$I:$I)=0,"",SUMIF(FoodLog!$A:$A,$A53,FoodLog!$I:$I)))</f>
        <v/>
      </c>
      <c r="V53">
        <f>IF($A53="","",IF(SUMIF(FoodLog!$A:$A,$A53,FoodLog!$F:$F)=0,"",SUMIF(FoodLog!$A:$A,$A53,FoodLog!$F:$F)))</f>
        <v/>
      </c>
      <c r="W53">
        <f>IF($A53="","",IF(SUMIF(FoodLog!$A:$A,$A53,FoodLog!$G:$G)=0,"",SUMIF(FoodLog!$A:$A,$A53,FoodLog!$G:$G)))</f>
        <v/>
      </c>
      <c r="X53">
        <f>IF($A53="","",IF(SUMIF(FoodLog!$A:$A,$A53,FoodLog!$H:$H)=0,"",SUMIF(FoodLog!$A:$A,$A53,FoodLog!$H:$H)))</f>
        <v/>
      </c>
      <c r="Y53">
        <f>IF($A53="","",IFERROR(ROUND(100*AVERAGE(IF($B53="","",XLOOKUP($B53,FILTER(Dictionaries!$B:$B,Dictionaries!$A:$A="??????????"),FILTER(Dictionaries!$C:$C,Dictionaries!$A:$A="??????????"))),IF($C53="","",MIN($C53/40,1)),IF($D53="","",XLOOKUP($D53,FILTER(Dictionaries!$B:$B,Dictionaries!$A:$A="????"),FILTER(Dictionaries!$C:$C,Dictionaries!$A:$A="????"))),IF($E53="","",MIN($E53/120,1)),IF(OR($F53&lt;&gt;"",$G53&lt;&gt;""),1,""),IF($H53="","",MIN($H53/100,1)),IF($L53="","",XLOOKUP($L53,FILTER(Dictionaries!$B:$B,Dictionaries!$A:$A="???_????"),FILTER(Dictionaries!$C:$C,Dictionaries!$A:$A="???_????"))),IF($M53="","",XLOOKUP($M53,FILTER(Dictionaries!$B:$B,Dictionaries!$A:$A="?????"),FILTER(Dictionaries!$C:$C,Dictionaries!$A:$A="?????"))),IF($N53="","",MIN($N53/100,1)),IF($O53="","",XLOOKUP($O53,FILTER(Dictionaries!$B:$B,Dictionaries!$A:$A="??????????"),FILTER(Dictionaries!$C:$C,Dictionaries!$A:$A="??????????"))),IF($P53="","",XLOOKUP($P53,FILTER(Dictionaries!$B:$B,Dictionaries!$A:$A="???????"),FILTER(Dictionaries!$C:$C,Dictionaries!$A:$A="???????"))),IF($U53="","",LET(t,IF(OR($B53="????",$B53="????"),"train","rest"),k,$U53,p,$V53,f,$W53,c,$X53,k_s,IF(t="train",IF(k="","",IFS(AND(k&gt;=1900,k&lt;=2050),1,AND(k&gt;=1850,k&lt;1900),0.7,AND(k&gt;2050,k&lt;=2100),0.7,TRUE,0.2)),IF(k="","",IFS(AND(k&gt;=1700,k&lt;=1850),1,AND(k&gt;=1650,k&lt;1700),0.7,AND(k&gt;1850,k&lt;=1900),0.7,TRUE,0.2))),p_s,IF(t="train",IF(p="","",IFS(AND(p&gt;=125,p&lt;=135),1,AND(p&gt;=115,p&lt;125),0.7,AND(p&gt;135,p&lt;=145),0.7,AND(p&gt;=105,p&lt;115),0.4,AND(p&gt;145,p&lt;=155),0.4,TRUE,0.2)),IF(p="","",IFS(AND(p&gt;=120,p&lt;=130),1,AND(p&gt;=110,p&lt;120),0.7,AND(p&gt;130,p&lt;=140),0.7,AND(p&gt;=100,p&lt;110),0.4,AND(p&gt;140,p&lt;=150),0.4,TRUE,0.2))),f_s,IF(f="","",IFS(AND(f&gt;=55,f&lt;=65),1,AND(f&gt;=50,f&lt;55),0.7,AND(f&gt;65,f&lt;=70),0.7,AND(f&gt;=45,f&lt;50),0.4,AND(f&gt;70,f&lt;=75),0.4,TRUE,0.2)),c_s,IF(t="train",IF(c="","",IFS(AND(c&gt;=180,c&lt;=210),1,AND(c&gt;=160,c&lt;180),0.7,AND(c&gt;210,c&lt;=230),0.7,AND(c&gt;=140,c&lt;160),0.4,AND(c&gt;230,c&lt;=250),0.4,TRUE,0.2)),IF(c="","",IFS(AND(c&gt;=140,c&lt;=170),1,AND(c&gt;=120,c&lt;140),0.7,AND(c&gt;170,c&lt;=190),0.7,AND(c&gt;=100,c&lt;120),0.4,AND(c&gt;190,c&lt;=210),0.4,TRUE,0.2))),AVERAGE(k_s,p_s,f_s,c_s)))),1),""))</f>
        <v/>
      </c>
      <c r="Z53">
        <f>IF($A53="","",TEXTJOIN(", ",TRUE,IF($B53="","??????????",""),IF($C53="","??????",""),IF($D53="","????",""),IF($E53="","??????????",""),IF($F53="","???-?????",""),IF($G53="","???-????",""),IF($H53="","??????",""),IF($L53="","???",""),IF($M53="","?????",""),IF($N53="","??????????????",""),IF($O53="","??????????",""),IF($P53="","???????",""),IF($U53="","???","")))</f>
        <v/>
      </c>
    </row>
    <row r="54">
      <c r="A54" s="2" t="n">
        <v>739700</v>
      </c>
      <c r="J54">
        <f>IF(A54="","",SUMIF(FoodLog!$A:$A,A54,FoodLog!$I:$I))</f>
        <v/>
      </c>
      <c r="K54">
        <f>IF(A54="","",SUMIF(FoodLog!$A:$A,A54,FoodLog!$F:$F))</f>
        <v/>
      </c>
      <c r="L54">
        <f>IF(A54="","",SUMIF(FoodLog!$A:$A,A54,FoodLog!$G:$G))</f>
        <v/>
      </c>
      <c r="M54">
        <f>IF(A54="","",SUMIF(FoodLog!$A:$A,A54,FoodLog!$H:$H))</f>
        <v/>
      </c>
      <c r="N54">
        <f>LET(train,B54,cardio,C54,steps,D54,sleep,E54,reg,F54,prod,I54,kcal,J54,p,K54,w_train,0.22,w_steps,0.18,w_sleep,0.20,w_reg,0.10,w_food,0.18,w_prod,0.12,s_train,IF(train="Верх",1,IF(train="Ноги",1,IF(train="Отдых",0.6,IF(train="Пропустил",0.2,0)))),s_steps,IF(steps="15k+",1,IF(steps="12-15k",0.9,IF(steps="10-12k",0.8,IF(steps="7-10k",0.6,IF(steps="5-7k",0.4,IF(steps="&lt;5k",0.2,0)))))),s_sleep,IF(sleep="&gt;8",0.9,IF(sleep="6-8",1,IF(sleep="&lt;6",0.2,0))),s_reg,IF(reg="Не сбит",1,IF(reg="Сбит",0.3,0)),s_food,IF(AND(kcal&gt;0,p&gt;0),MIN(1, (p/120))*0.6 + MIN(1, MAX(0,1-ABS(kcal-2200)/600))*0.4,0),s_prod,IF(prod="100%",1,IF(prod="75%",0.8,IF(prod="50%",0.6,IF(prod="25%",0.35,IF(prod="0%",0.1,0)))),ROUND(100*(w_train*s_train + w_steps*s_steps + w_sleep*s_sleep + w_reg*s_reg + w_food*s_food + w_prod*s_prod),0))</f>
        <v/>
      </c>
      <c r="O54">
        <f>TEXTJOIN(", ",TRUE,IF(B54="","тренировка",""),IF(D54="","шаги",""),IF(E54="","сон",""),IF(F54="","режим",""),IF(G54="","настроение",""),IF(H54="","энергия",""),IF(I54="","продуктивность",""),IF(J54="","еда (ккал)",""))</f>
        <v/>
      </c>
      <c r="U54">
        <f>IF($A54="","",IF(SUMIF(FoodLog!$A:$A,$A54,FoodLog!$I:$I)=0,"",SUMIF(FoodLog!$A:$A,$A54,FoodLog!$I:$I)))</f>
        <v/>
      </c>
      <c r="V54">
        <f>IF($A54="","",IF(SUMIF(FoodLog!$A:$A,$A54,FoodLog!$F:$F)=0,"",SUMIF(FoodLog!$A:$A,$A54,FoodLog!$F:$F)))</f>
        <v/>
      </c>
      <c r="W54">
        <f>IF($A54="","",IF(SUMIF(FoodLog!$A:$A,$A54,FoodLog!$G:$G)=0,"",SUMIF(FoodLog!$A:$A,$A54,FoodLog!$G:$G)))</f>
        <v/>
      </c>
      <c r="X54">
        <f>IF($A54="","",IF(SUMIF(FoodLog!$A:$A,$A54,FoodLog!$H:$H)=0,"",SUMIF(FoodLog!$A:$A,$A54,FoodLog!$H:$H)))</f>
        <v/>
      </c>
      <c r="Y54">
        <f>IF($A54="","",IFERROR(ROUND(100*AVERAGE(IF($B54="","",XLOOKUP($B54,FILTER(Dictionaries!$B:$B,Dictionaries!$A:$A="??????????"),FILTER(Dictionaries!$C:$C,Dictionaries!$A:$A="??????????"))),IF($C54="","",MIN($C54/40,1)),IF($D54="","",XLOOKUP($D54,FILTER(Dictionaries!$B:$B,Dictionaries!$A:$A="????"),FILTER(Dictionaries!$C:$C,Dictionaries!$A:$A="????"))),IF($E54="","",MIN($E54/120,1)),IF(OR($F54&lt;&gt;"",$G54&lt;&gt;""),1,""),IF($H54="","",MIN($H54/100,1)),IF($L54="","",XLOOKUP($L54,FILTER(Dictionaries!$B:$B,Dictionaries!$A:$A="???_????"),FILTER(Dictionaries!$C:$C,Dictionaries!$A:$A="???_????"))),IF($M54="","",XLOOKUP($M54,FILTER(Dictionaries!$B:$B,Dictionaries!$A:$A="?????"),FILTER(Dictionaries!$C:$C,Dictionaries!$A:$A="?????"))),IF($N54="","",MIN($N54/100,1)),IF($O54="","",XLOOKUP($O54,FILTER(Dictionaries!$B:$B,Dictionaries!$A:$A="??????????"),FILTER(Dictionaries!$C:$C,Dictionaries!$A:$A="??????????"))),IF($P54="","",XLOOKUP($P54,FILTER(Dictionaries!$B:$B,Dictionaries!$A:$A="???????"),FILTER(Dictionaries!$C:$C,Dictionaries!$A:$A="???????"))),IF($U54="","",LET(t,IF(OR($B54="????",$B54="????"),"train","rest"),k,$U54,p,$V54,f,$W54,c,$X54,k_s,IF(t="train",IF(k="","",IFS(AND(k&gt;=1900,k&lt;=2050),1,AND(k&gt;=1850,k&lt;1900),0.7,AND(k&gt;2050,k&lt;=2100),0.7,TRUE,0.2)),IF(k="","",IFS(AND(k&gt;=1700,k&lt;=1850),1,AND(k&gt;=1650,k&lt;1700),0.7,AND(k&gt;1850,k&lt;=1900),0.7,TRUE,0.2))),p_s,IF(t="train",IF(p="","",IFS(AND(p&gt;=125,p&lt;=135),1,AND(p&gt;=115,p&lt;125),0.7,AND(p&gt;135,p&lt;=145),0.7,AND(p&gt;=105,p&lt;115),0.4,AND(p&gt;145,p&lt;=155),0.4,TRUE,0.2)),IF(p="","",IFS(AND(p&gt;=120,p&lt;=130),1,AND(p&gt;=110,p&lt;120),0.7,AND(p&gt;130,p&lt;=140),0.7,AND(p&gt;=100,p&lt;110),0.4,AND(p&gt;140,p&lt;=150),0.4,TRUE,0.2))),f_s,IF(f="","",IFS(AND(f&gt;=55,f&lt;=65),1,AND(f&gt;=50,f&lt;55),0.7,AND(f&gt;65,f&lt;=70),0.7,AND(f&gt;=45,f&lt;50),0.4,AND(f&gt;70,f&lt;=75),0.4,TRUE,0.2)),c_s,IF(t="train",IF(c="","",IFS(AND(c&gt;=180,c&lt;=210),1,AND(c&gt;=160,c&lt;180),0.7,AND(c&gt;210,c&lt;=230),0.7,AND(c&gt;=140,c&lt;160),0.4,AND(c&gt;230,c&lt;=250),0.4,TRUE,0.2)),IF(c="","",IFS(AND(c&gt;=140,c&lt;=170),1,AND(c&gt;=120,c&lt;140),0.7,AND(c&gt;170,c&lt;=190),0.7,AND(c&gt;=100,c&lt;120),0.4,AND(c&gt;190,c&lt;=210),0.4,TRUE,0.2))),AVERAGE(k_s,p_s,f_s,c_s)))),1),""))</f>
        <v/>
      </c>
      <c r="Z54">
        <f>IF($A54="","",TEXTJOIN(", ",TRUE,IF($B54="","??????????",""),IF($C54="","??????",""),IF($D54="","????",""),IF($E54="","??????????",""),IF($F54="","???-?????",""),IF($G54="","???-????",""),IF($H54="","??????",""),IF($L54="","???",""),IF($M54="","?????",""),IF($N54="","??????????????",""),IF($O54="","??????????",""),IF($P54="","???????",""),IF($U54="","???","")))</f>
        <v/>
      </c>
    </row>
    <row r="55">
      <c r="A55" s="2" t="n">
        <v>739701</v>
      </c>
      <c r="J55">
        <f>IF(A55="","",SUMIF(FoodLog!$A:$A,A55,FoodLog!$I:$I))</f>
        <v/>
      </c>
      <c r="K55">
        <f>IF(A55="","",SUMIF(FoodLog!$A:$A,A55,FoodLog!$F:$F))</f>
        <v/>
      </c>
      <c r="L55">
        <f>IF(A55="","",SUMIF(FoodLog!$A:$A,A55,FoodLog!$G:$G))</f>
        <v/>
      </c>
      <c r="M55">
        <f>IF(A55="","",SUMIF(FoodLog!$A:$A,A55,FoodLog!$H:$H))</f>
        <v/>
      </c>
      <c r="N55">
        <f>LET(train,B55,cardio,C55,steps,D55,sleep,E55,reg,F55,prod,I55,kcal,J55,p,K55,w_train,0.22,w_steps,0.18,w_sleep,0.20,w_reg,0.10,w_food,0.18,w_prod,0.12,s_train,IF(train="Верх",1,IF(train="Ноги",1,IF(train="Отдых",0.6,IF(train="Пропустил",0.2,0)))),s_steps,IF(steps="15k+",1,IF(steps="12-15k",0.9,IF(steps="10-12k",0.8,IF(steps="7-10k",0.6,IF(steps="5-7k",0.4,IF(steps="&lt;5k",0.2,0)))))),s_sleep,IF(sleep="&gt;8",0.9,IF(sleep="6-8",1,IF(sleep="&lt;6",0.2,0))),s_reg,IF(reg="Не сбит",1,IF(reg="Сбит",0.3,0)),s_food,IF(AND(kcal&gt;0,p&gt;0),MIN(1, (p/120))*0.6 + MIN(1, MAX(0,1-ABS(kcal-2200)/600))*0.4,0),s_prod,IF(prod="100%",1,IF(prod="75%",0.8,IF(prod="50%",0.6,IF(prod="25%",0.35,IF(prod="0%",0.1,0)))),ROUND(100*(w_train*s_train + w_steps*s_steps + w_sleep*s_sleep + w_reg*s_reg + w_food*s_food + w_prod*s_prod),0))</f>
        <v/>
      </c>
      <c r="O55">
        <f>TEXTJOIN(", ",TRUE,IF(B55="","тренировка",""),IF(D55="","шаги",""),IF(E55="","сон",""),IF(F55="","режим",""),IF(G55="","настроение",""),IF(H55="","энергия",""),IF(I55="","продуктивность",""),IF(J55="","еда (ккал)",""))</f>
        <v/>
      </c>
      <c r="U55">
        <f>IF($A55="","",IF(SUMIF(FoodLog!$A:$A,$A55,FoodLog!$I:$I)=0,"",SUMIF(FoodLog!$A:$A,$A55,FoodLog!$I:$I)))</f>
        <v/>
      </c>
      <c r="V55">
        <f>IF($A55="","",IF(SUMIF(FoodLog!$A:$A,$A55,FoodLog!$F:$F)=0,"",SUMIF(FoodLog!$A:$A,$A55,FoodLog!$F:$F)))</f>
        <v/>
      </c>
      <c r="W55">
        <f>IF($A55="","",IF(SUMIF(FoodLog!$A:$A,$A55,FoodLog!$G:$G)=0,"",SUMIF(FoodLog!$A:$A,$A55,FoodLog!$G:$G)))</f>
        <v/>
      </c>
      <c r="X55">
        <f>IF($A55="","",IF(SUMIF(FoodLog!$A:$A,$A55,FoodLog!$H:$H)=0,"",SUMIF(FoodLog!$A:$A,$A55,FoodLog!$H:$H)))</f>
        <v/>
      </c>
      <c r="Y55">
        <f>IF($A55="","",IFERROR(ROUND(100*AVERAGE(IF($B55="","",XLOOKUP($B55,FILTER(Dictionaries!$B:$B,Dictionaries!$A:$A="??????????"),FILTER(Dictionaries!$C:$C,Dictionaries!$A:$A="??????????"))),IF($C55="","",MIN($C55/40,1)),IF($D55="","",XLOOKUP($D55,FILTER(Dictionaries!$B:$B,Dictionaries!$A:$A="????"),FILTER(Dictionaries!$C:$C,Dictionaries!$A:$A="????"))),IF($E55="","",MIN($E55/120,1)),IF(OR($F55&lt;&gt;"",$G55&lt;&gt;""),1,""),IF($H55="","",MIN($H55/100,1)),IF($L55="","",XLOOKUP($L55,FILTER(Dictionaries!$B:$B,Dictionaries!$A:$A="???_????"),FILTER(Dictionaries!$C:$C,Dictionaries!$A:$A="???_????"))),IF($M55="","",XLOOKUP($M55,FILTER(Dictionaries!$B:$B,Dictionaries!$A:$A="?????"),FILTER(Dictionaries!$C:$C,Dictionaries!$A:$A="?????"))),IF($N55="","",MIN($N55/100,1)),IF($O55="","",XLOOKUP($O55,FILTER(Dictionaries!$B:$B,Dictionaries!$A:$A="??????????"),FILTER(Dictionaries!$C:$C,Dictionaries!$A:$A="??????????"))),IF($P55="","",XLOOKUP($P55,FILTER(Dictionaries!$B:$B,Dictionaries!$A:$A="???????"),FILTER(Dictionaries!$C:$C,Dictionaries!$A:$A="???????"))),IF($U55="","",LET(t,IF(OR($B55="????",$B55="????"),"train","rest"),k,$U55,p,$V55,f,$W55,c,$X55,k_s,IF(t="train",IF(k="","",IFS(AND(k&gt;=1900,k&lt;=2050),1,AND(k&gt;=1850,k&lt;1900),0.7,AND(k&gt;2050,k&lt;=2100),0.7,TRUE,0.2)),IF(k="","",IFS(AND(k&gt;=1700,k&lt;=1850),1,AND(k&gt;=1650,k&lt;1700),0.7,AND(k&gt;1850,k&lt;=1900),0.7,TRUE,0.2))),p_s,IF(t="train",IF(p="","",IFS(AND(p&gt;=125,p&lt;=135),1,AND(p&gt;=115,p&lt;125),0.7,AND(p&gt;135,p&lt;=145),0.7,AND(p&gt;=105,p&lt;115),0.4,AND(p&gt;145,p&lt;=155),0.4,TRUE,0.2)),IF(p="","",IFS(AND(p&gt;=120,p&lt;=130),1,AND(p&gt;=110,p&lt;120),0.7,AND(p&gt;130,p&lt;=140),0.7,AND(p&gt;=100,p&lt;110),0.4,AND(p&gt;140,p&lt;=150),0.4,TRUE,0.2))),f_s,IF(f="","",IFS(AND(f&gt;=55,f&lt;=65),1,AND(f&gt;=50,f&lt;55),0.7,AND(f&gt;65,f&lt;=70),0.7,AND(f&gt;=45,f&lt;50),0.4,AND(f&gt;70,f&lt;=75),0.4,TRUE,0.2)),c_s,IF(t="train",IF(c="","",IFS(AND(c&gt;=180,c&lt;=210),1,AND(c&gt;=160,c&lt;180),0.7,AND(c&gt;210,c&lt;=230),0.7,AND(c&gt;=140,c&lt;160),0.4,AND(c&gt;230,c&lt;=250),0.4,TRUE,0.2)),IF(c="","",IFS(AND(c&gt;=140,c&lt;=170),1,AND(c&gt;=120,c&lt;140),0.7,AND(c&gt;170,c&lt;=190),0.7,AND(c&gt;=100,c&lt;120),0.4,AND(c&gt;190,c&lt;=210),0.4,TRUE,0.2))),AVERAGE(k_s,p_s,f_s,c_s)))),1),""))</f>
        <v/>
      </c>
      <c r="Z55">
        <f>IF($A55="","",TEXTJOIN(", ",TRUE,IF($B55="","??????????",""),IF($C55="","??????",""),IF($D55="","????",""),IF($E55="","??????????",""),IF($F55="","???-?????",""),IF($G55="","???-????",""),IF($H55="","??????",""),IF($L55="","???",""),IF($M55="","?????",""),IF($N55="","??????????????",""),IF($O55="","??????????",""),IF($P55="","???????",""),IF($U55="","???","")))</f>
        <v/>
      </c>
    </row>
    <row r="56">
      <c r="A56" s="2" t="n">
        <v>739702</v>
      </c>
      <c r="J56">
        <f>IF(A56="","",SUMIF(FoodLog!$A:$A,A56,FoodLog!$I:$I))</f>
        <v/>
      </c>
      <c r="K56">
        <f>IF(A56="","",SUMIF(FoodLog!$A:$A,A56,FoodLog!$F:$F))</f>
        <v/>
      </c>
      <c r="L56">
        <f>IF(A56="","",SUMIF(FoodLog!$A:$A,A56,FoodLog!$G:$G))</f>
        <v/>
      </c>
      <c r="M56">
        <f>IF(A56="","",SUMIF(FoodLog!$A:$A,A56,FoodLog!$H:$H))</f>
        <v/>
      </c>
      <c r="N56">
        <f>LET(train,B56,cardio,C56,steps,D56,sleep,E56,reg,F56,prod,I56,kcal,J56,p,K56,w_train,0.22,w_steps,0.18,w_sleep,0.20,w_reg,0.10,w_food,0.18,w_prod,0.12,s_train,IF(train="Верх",1,IF(train="Ноги",1,IF(train="Отдых",0.6,IF(train="Пропустил",0.2,0)))),s_steps,IF(steps="15k+",1,IF(steps="12-15k",0.9,IF(steps="10-12k",0.8,IF(steps="7-10k",0.6,IF(steps="5-7k",0.4,IF(steps="&lt;5k",0.2,0)))))),s_sleep,IF(sleep="&gt;8",0.9,IF(sleep="6-8",1,IF(sleep="&lt;6",0.2,0))),s_reg,IF(reg="Не сбит",1,IF(reg="Сбит",0.3,0)),s_food,IF(AND(kcal&gt;0,p&gt;0),MIN(1, (p/120))*0.6 + MIN(1, MAX(0,1-ABS(kcal-2200)/600))*0.4,0),s_prod,IF(prod="100%",1,IF(prod="75%",0.8,IF(prod="50%",0.6,IF(prod="25%",0.35,IF(prod="0%",0.1,0)))),ROUND(100*(w_train*s_train + w_steps*s_steps + w_sleep*s_sleep + w_reg*s_reg + w_food*s_food + w_prod*s_prod),0))</f>
        <v/>
      </c>
      <c r="O56">
        <f>TEXTJOIN(", ",TRUE,IF(B56="","тренировка",""),IF(D56="","шаги",""),IF(E56="","сон",""),IF(F56="","режим",""),IF(G56="","настроение",""),IF(H56="","энергия",""),IF(I56="","продуктивность",""),IF(J56="","еда (ккал)",""))</f>
        <v/>
      </c>
      <c r="U56">
        <f>IF($A56="","",IF(SUMIF(FoodLog!$A:$A,$A56,FoodLog!$I:$I)=0,"",SUMIF(FoodLog!$A:$A,$A56,FoodLog!$I:$I)))</f>
        <v/>
      </c>
      <c r="V56">
        <f>IF($A56="","",IF(SUMIF(FoodLog!$A:$A,$A56,FoodLog!$F:$F)=0,"",SUMIF(FoodLog!$A:$A,$A56,FoodLog!$F:$F)))</f>
        <v/>
      </c>
      <c r="W56">
        <f>IF($A56="","",IF(SUMIF(FoodLog!$A:$A,$A56,FoodLog!$G:$G)=0,"",SUMIF(FoodLog!$A:$A,$A56,FoodLog!$G:$G)))</f>
        <v/>
      </c>
      <c r="X56">
        <f>IF($A56="","",IF(SUMIF(FoodLog!$A:$A,$A56,FoodLog!$H:$H)=0,"",SUMIF(FoodLog!$A:$A,$A56,FoodLog!$H:$H)))</f>
        <v/>
      </c>
      <c r="Y56">
        <f>IF($A56="","",IFERROR(ROUND(100*AVERAGE(IF($B56="","",XLOOKUP($B56,FILTER(Dictionaries!$B:$B,Dictionaries!$A:$A="??????????"),FILTER(Dictionaries!$C:$C,Dictionaries!$A:$A="??????????"))),IF($C56="","",MIN($C56/40,1)),IF($D56="","",XLOOKUP($D56,FILTER(Dictionaries!$B:$B,Dictionaries!$A:$A="????"),FILTER(Dictionaries!$C:$C,Dictionaries!$A:$A="????"))),IF($E56="","",MIN($E56/120,1)),IF(OR($F56&lt;&gt;"",$G56&lt;&gt;""),1,""),IF($H56="","",MIN($H56/100,1)),IF($L56="","",XLOOKUP($L56,FILTER(Dictionaries!$B:$B,Dictionaries!$A:$A="???_????"),FILTER(Dictionaries!$C:$C,Dictionaries!$A:$A="???_????"))),IF($M56="","",XLOOKUP($M56,FILTER(Dictionaries!$B:$B,Dictionaries!$A:$A="?????"),FILTER(Dictionaries!$C:$C,Dictionaries!$A:$A="?????"))),IF($N56="","",MIN($N56/100,1)),IF($O56="","",XLOOKUP($O56,FILTER(Dictionaries!$B:$B,Dictionaries!$A:$A="??????????"),FILTER(Dictionaries!$C:$C,Dictionaries!$A:$A="??????????"))),IF($P56="","",XLOOKUP($P56,FILTER(Dictionaries!$B:$B,Dictionaries!$A:$A="???????"),FILTER(Dictionaries!$C:$C,Dictionaries!$A:$A="???????"))),IF($U56="","",LET(t,IF(OR($B56="????",$B56="????"),"train","rest"),k,$U56,p,$V56,f,$W56,c,$X56,k_s,IF(t="train",IF(k="","",IFS(AND(k&gt;=1900,k&lt;=2050),1,AND(k&gt;=1850,k&lt;1900),0.7,AND(k&gt;2050,k&lt;=2100),0.7,TRUE,0.2)),IF(k="","",IFS(AND(k&gt;=1700,k&lt;=1850),1,AND(k&gt;=1650,k&lt;1700),0.7,AND(k&gt;1850,k&lt;=1900),0.7,TRUE,0.2))),p_s,IF(t="train",IF(p="","",IFS(AND(p&gt;=125,p&lt;=135),1,AND(p&gt;=115,p&lt;125),0.7,AND(p&gt;135,p&lt;=145),0.7,AND(p&gt;=105,p&lt;115),0.4,AND(p&gt;145,p&lt;=155),0.4,TRUE,0.2)),IF(p="","",IFS(AND(p&gt;=120,p&lt;=130),1,AND(p&gt;=110,p&lt;120),0.7,AND(p&gt;130,p&lt;=140),0.7,AND(p&gt;=100,p&lt;110),0.4,AND(p&gt;140,p&lt;=150),0.4,TRUE,0.2))),f_s,IF(f="","",IFS(AND(f&gt;=55,f&lt;=65),1,AND(f&gt;=50,f&lt;55),0.7,AND(f&gt;65,f&lt;=70),0.7,AND(f&gt;=45,f&lt;50),0.4,AND(f&gt;70,f&lt;=75),0.4,TRUE,0.2)),c_s,IF(t="train",IF(c="","",IFS(AND(c&gt;=180,c&lt;=210),1,AND(c&gt;=160,c&lt;180),0.7,AND(c&gt;210,c&lt;=230),0.7,AND(c&gt;=140,c&lt;160),0.4,AND(c&gt;230,c&lt;=250),0.4,TRUE,0.2)),IF(c="","",IFS(AND(c&gt;=140,c&lt;=170),1,AND(c&gt;=120,c&lt;140),0.7,AND(c&gt;170,c&lt;=190),0.7,AND(c&gt;=100,c&lt;120),0.4,AND(c&gt;190,c&lt;=210),0.4,TRUE,0.2))),AVERAGE(k_s,p_s,f_s,c_s)))),1),""))</f>
        <v/>
      </c>
      <c r="Z56">
        <f>IF($A56="","",TEXTJOIN(", ",TRUE,IF($B56="","??????????",""),IF($C56="","??????",""),IF($D56="","????",""),IF($E56="","??????????",""),IF($F56="","???-?????",""),IF($G56="","???-????",""),IF($H56="","??????",""),IF($L56="","???",""),IF($M56="","?????",""),IF($N56="","??????????????",""),IF($O56="","??????????",""),IF($P56="","???????",""),IF($U56="","???","")))</f>
        <v/>
      </c>
    </row>
    <row r="57">
      <c r="A57" s="2" t="n">
        <v>739703</v>
      </c>
      <c r="J57">
        <f>IF(A57="","",SUMIF(FoodLog!$A:$A,A57,FoodLog!$I:$I))</f>
        <v/>
      </c>
      <c r="K57">
        <f>IF(A57="","",SUMIF(FoodLog!$A:$A,A57,FoodLog!$F:$F))</f>
        <v/>
      </c>
      <c r="L57">
        <f>IF(A57="","",SUMIF(FoodLog!$A:$A,A57,FoodLog!$G:$G))</f>
        <v/>
      </c>
      <c r="M57">
        <f>IF(A57="","",SUMIF(FoodLog!$A:$A,A57,FoodLog!$H:$H))</f>
        <v/>
      </c>
      <c r="N57">
        <f>LET(train,B57,cardio,C57,steps,D57,sleep,E57,reg,F57,prod,I57,kcal,J57,p,K57,w_train,0.22,w_steps,0.18,w_sleep,0.20,w_reg,0.10,w_food,0.18,w_prod,0.12,s_train,IF(train="Верх",1,IF(train="Ноги",1,IF(train="Отдых",0.6,IF(train="Пропустил",0.2,0)))),s_steps,IF(steps="15k+",1,IF(steps="12-15k",0.9,IF(steps="10-12k",0.8,IF(steps="7-10k",0.6,IF(steps="5-7k",0.4,IF(steps="&lt;5k",0.2,0)))))),s_sleep,IF(sleep="&gt;8",0.9,IF(sleep="6-8",1,IF(sleep="&lt;6",0.2,0))),s_reg,IF(reg="Не сбит",1,IF(reg="Сбит",0.3,0)),s_food,IF(AND(kcal&gt;0,p&gt;0),MIN(1, (p/120))*0.6 + MIN(1, MAX(0,1-ABS(kcal-2200)/600))*0.4,0),s_prod,IF(prod="100%",1,IF(prod="75%",0.8,IF(prod="50%",0.6,IF(prod="25%",0.35,IF(prod="0%",0.1,0)))),ROUND(100*(w_train*s_train + w_steps*s_steps + w_sleep*s_sleep + w_reg*s_reg + w_food*s_food + w_prod*s_prod),0))</f>
        <v/>
      </c>
      <c r="O57">
        <f>TEXTJOIN(", ",TRUE,IF(B57="","тренировка",""),IF(D57="","шаги",""),IF(E57="","сон",""),IF(F57="","режим",""),IF(G57="","настроение",""),IF(H57="","энергия",""),IF(I57="","продуктивность",""),IF(J57="","еда (ккал)",""))</f>
        <v/>
      </c>
      <c r="U57">
        <f>IF($A57="","",IF(SUMIF(FoodLog!$A:$A,$A57,FoodLog!$I:$I)=0,"",SUMIF(FoodLog!$A:$A,$A57,FoodLog!$I:$I)))</f>
        <v/>
      </c>
      <c r="V57">
        <f>IF($A57="","",IF(SUMIF(FoodLog!$A:$A,$A57,FoodLog!$F:$F)=0,"",SUMIF(FoodLog!$A:$A,$A57,FoodLog!$F:$F)))</f>
        <v/>
      </c>
      <c r="W57">
        <f>IF($A57="","",IF(SUMIF(FoodLog!$A:$A,$A57,FoodLog!$G:$G)=0,"",SUMIF(FoodLog!$A:$A,$A57,FoodLog!$G:$G)))</f>
        <v/>
      </c>
      <c r="X57">
        <f>IF($A57="","",IF(SUMIF(FoodLog!$A:$A,$A57,FoodLog!$H:$H)=0,"",SUMIF(FoodLog!$A:$A,$A57,FoodLog!$H:$H)))</f>
        <v/>
      </c>
      <c r="Y57">
        <f>IF($A57="","",IFERROR(ROUND(100*AVERAGE(IF($B57="","",XLOOKUP($B57,FILTER(Dictionaries!$B:$B,Dictionaries!$A:$A="??????????"),FILTER(Dictionaries!$C:$C,Dictionaries!$A:$A="??????????"))),IF($C57="","",MIN($C57/40,1)),IF($D57="","",XLOOKUP($D57,FILTER(Dictionaries!$B:$B,Dictionaries!$A:$A="????"),FILTER(Dictionaries!$C:$C,Dictionaries!$A:$A="????"))),IF($E57="","",MIN($E57/120,1)),IF(OR($F57&lt;&gt;"",$G57&lt;&gt;""),1,""),IF($H57="","",MIN($H57/100,1)),IF($L57="","",XLOOKUP($L57,FILTER(Dictionaries!$B:$B,Dictionaries!$A:$A="???_????"),FILTER(Dictionaries!$C:$C,Dictionaries!$A:$A="???_????"))),IF($M57="","",XLOOKUP($M57,FILTER(Dictionaries!$B:$B,Dictionaries!$A:$A="?????"),FILTER(Dictionaries!$C:$C,Dictionaries!$A:$A="?????"))),IF($N57="","",MIN($N57/100,1)),IF($O57="","",XLOOKUP($O57,FILTER(Dictionaries!$B:$B,Dictionaries!$A:$A="??????????"),FILTER(Dictionaries!$C:$C,Dictionaries!$A:$A="??????????"))),IF($P57="","",XLOOKUP($P57,FILTER(Dictionaries!$B:$B,Dictionaries!$A:$A="???????"),FILTER(Dictionaries!$C:$C,Dictionaries!$A:$A="???????"))),IF($U57="","",LET(t,IF(OR($B57="????",$B57="????"),"train","rest"),k,$U57,p,$V57,f,$W57,c,$X57,k_s,IF(t="train",IF(k="","",IFS(AND(k&gt;=1900,k&lt;=2050),1,AND(k&gt;=1850,k&lt;1900),0.7,AND(k&gt;2050,k&lt;=2100),0.7,TRUE,0.2)),IF(k="","",IFS(AND(k&gt;=1700,k&lt;=1850),1,AND(k&gt;=1650,k&lt;1700),0.7,AND(k&gt;1850,k&lt;=1900),0.7,TRUE,0.2))),p_s,IF(t="train",IF(p="","",IFS(AND(p&gt;=125,p&lt;=135),1,AND(p&gt;=115,p&lt;125),0.7,AND(p&gt;135,p&lt;=145),0.7,AND(p&gt;=105,p&lt;115),0.4,AND(p&gt;145,p&lt;=155),0.4,TRUE,0.2)),IF(p="","",IFS(AND(p&gt;=120,p&lt;=130),1,AND(p&gt;=110,p&lt;120),0.7,AND(p&gt;130,p&lt;=140),0.7,AND(p&gt;=100,p&lt;110),0.4,AND(p&gt;140,p&lt;=150),0.4,TRUE,0.2))),f_s,IF(f="","",IFS(AND(f&gt;=55,f&lt;=65),1,AND(f&gt;=50,f&lt;55),0.7,AND(f&gt;65,f&lt;=70),0.7,AND(f&gt;=45,f&lt;50),0.4,AND(f&gt;70,f&lt;=75),0.4,TRUE,0.2)),c_s,IF(t="train",IF(c="","",IFS(AND(c&gt;=180,c&lt;=210),1,AND(c&gt;=160,c&lt;180),0.7,AND(c&gt;210,c&lt;=230),0.7,AND(c&gt;=140,c&lt;160),0.4,AND(c&gt;230,c&lt;=250),0.4,TRUE,0.2)),IF(c="","",IFS(AND(c&gt;=140,c&lt;=170),1,AND(c&gt;=120,c&lt;140),0.7,AND(c&gt;170,c&lt;=190),0.7,AND(c&gt;=100,c&lt;120),0.4,AND(c&gt;190,c&lt;=210),0.4,TRUE,0.2))),AVERAGE(k_s,p_s,f_s,c_s)))),1),""))</f>
        <v/>
      </c>
      <c r="Z57">
        <f>IF($A57="","",TEXTJOIN(", ",TRUE,IF($B57="","??????????",""),IF($C57="","??????",""),IF($D57="","????",""),IF($E57="","??????????",""),IF($F57="","???-?????",""),IF($G57="","???-????",""),IF($H57="","??????",""),IF($L57="","???",""),IF($M57="","?????",""),IF($N57="","??????????????",""),IF($O57="","??????????",""),IF($P57="","???????",""),IF($U57="","???","")))</f>
        <v/>
      </c>
    </row>
    <row r="58">
      <c r="A58" s="2" t="n">
        <v>739704</v>
      </c>
      <c r="J58">
        <f>IF(A58="","",SUMIF(FoodLog!$A:$A,A58,FoodLog!$I:$I))</f>
        <v/>
      </c>
      <c r="K58">
        <f>IF(A58="","",SUMIF(FoodLog!$A:$A,A58,FoodLog!$F:$F))</f>
        <v/>
      </c>
      <c r="L58">
        <f>IF(A58="","",SUMIF(FoodLog!$A:$A,A58,FoodLog!$G:$G))</f>
        <v/>
      </c>
      <c r="M58">
        <f>IF(A58="","",SUMIF(FoodLog!$A:$A,A58,FoodLog!$H:$H))</f>
        <v/>
      </c>
      <c r="N58">
        <f>LET(train,B58,cardio,C58,steps,D58,sleep,E58,reg,F58,prod,I58,kcal,J58,p,K58,w_train,0.22,w_steps,0.18,w_sleep,0.20,w_reg,0.10,w_food,0.18,w_prod,0.12,s_train,IF(train="Верх",1,IF(train="Ноги",1,IF(train="Отдых",0.6,IF(train="Пропустил",0.2,0)))),s_steps,IF(steps="15k+",1,IF(steps="12-15k",0.9,IF(steps="10-12k",0.8,IF(steps="7-10k",0.6,IF(steps="5-7k",0.4,IF(steps="&lt;5k",0.2,0)))))),s_sleep,IF(sleep="&gt;8",0.9,IF(sleep="6-8",1,IF(sleep="&lt;6",0.2,0))),s_reg,IF(reg="Не сбит",1,IF(reg="Сбит",0.3,0)),s_food,IF(AND(kcal&gt;0,p&gt;0),MIN(1, (p/120))*0.6 + MIN(1, MAX(0,1-ABS(kcal-2200)/600))*0.4,0),s_prod,IF(prod="100%",1,IF(prod="75%",0.8,IF(prod="50%",0.6,IF(prod="25%",0.35,IF(prod="0%",0.1,0)))),ROUND(100*(w_train*s_train + w_steps*s_steps + w_sleep*s_sleep + w_reg*s_reg + w_food*s_food + w_prod*s_prod),0))</f>
        <v/>
      </c>
      <c r="O58">
        <f>TEXTJOIN(", ",TRUE,IF(B58="","тренировка",""),IF(D58="","шаги",""),IF(E58="","сон",""),IF(F58="","режим",""),IF(G58="","настроение",""),IF(H58="","энергия",""),IF(I58="","продуктивность",""),IF(J58="","еда (ккал)",""))</f>
        <v/>
      </c>
      <c r="U58">
        <f>IF($A58="","",IF(SUMIF(FoodLog!$A:$A,$A58,FoodLog!$I:$I)=0,"",SUMIF(FoodLog!$A:$A,$A58,FoodLog!$I:$I)))</f>
        <v/>
      </c>
      <c r="V58">
        <f>IF($A58="","",IF(SUMIF(FoodLog!$A:$A,$A58,FoodLog!$F:$F)=0,"",SUMIF(FoodLog!$A:$A,$A58,FoodLog!$F:$F)))</f>
        <v/>
      </c>
      <c r="W58">
        <f>IF($A58="","",IF(SUMIF(FoodLog!$A:$A,$A58,FoodLog!$G:$G)=0,"",SUMIF(FoodLog!$A:$A,$A58,FoodLog!$G:$G)))</f>
        <v/>
      </c>
      <c r="X58">
        <f>IF($A58="","",IF(SUMIF(FoodLog!$A:$A,$A58,FoodLog!$H:$H)=0,"",SUMIF(FoodLog!$A:$A,$A58,FoodLog!$H:$H)))</f>
        <v/>
      </c>
      <c r="Y58">
        <f>IF($A58="","",IFERROR(ROUND(100*AVERAGE(IF($B58="","",XLOOKUP($B58,FILTER(Dictionaries!$B:$B,Dictionaries!$A:$A="??????????"),FILTER(Dictionaries!$C:$C,Dictionaries!$A:$A="??????????"))),IF($C58="","",MIN($C58/40,1)),IF($D58="","",XLOOKUP($D58,FILTER(Dictionaries!$B:$B,Dictionaries!$A:$A="????"),FILTER(Dictionaries!$C:$C,Dictionaries!$A:$A="????"))),IF($E58="","",MIN($E58/120,1)),IF(OR($F58&lt;&gt;"",$G58&lt;&gt;""),1,""),IF($H58="","",MIN($H58/100,1)),IF($L58="","",XLOOKUP($L58,FILTER(Dictionaries!$B:$B,Dictionaries!$A:$A="???_????"),FILTER(Dictionaries!$C:$C,Dictionaries!$A:$A="???_????"))),IF($M58="","",XLOOKUP($M58,FILTER(Dictionaries!$B:$B,Dictionaries!$A:$A="?????"),FILTER(Dictionaries!$C:$C,Dictionaries!$A:$A="?????"))),IF($N58="","",MIN($N58/100,1)),IF($O58="","",XLOOKUP($O58,FILTER(Dictionaries!$B:$B,Dictionaries!$A:$A="??????????"),FILTER(Dictionaries!$C:$C,Dictionaries!$A:$A="??????????"))),IF($P58="","",XLOOKUP($P58,FILTER(Dictionaries!$B:$B,Dictionaries!$A:$A="???????"),FILTER(Dictionaries!$C:$C,Dictionaries!$A:$A="???????"))),IF($U58="","",LET(t,IF(OR($B58="????",$B58="????"),"train","rest"),k,$U58,p,$V58,f,$W58,c,$X58,k_s,IF(t="train",IF(k="","",IFS(AND(k&gt;=1900,k&lt;=2050),1,AND(k&gt;=1850,k&lt;1900),0.7,AND(k&gt;2050,k&lt;=2100),0.7,TRUE,0.2)),IF(k="","",IFS(AND(k&gt;=1700,k&lt;=1850),1,AND(k&gt;=1650,k&lt;1700),0.7,AND(k&gt;1850,k&lt;=1900),0.7,TRUE,0.2))),p_s,IF(t="train",IF(p="","",IFS(AND(p&gt;=125,p&lt;=135),1,AND(p&gt;=115,p&lt;125),0.7,AND(p&gt;135,p&lt;=145),0.7,AND(p&gt;=105,p&lt;115),0.4,AND(p&gt;145,p&lt;=155),0.4,TRUE,0.2)),IF(p="","",IFS(AND(p&gt;=120,p&lt;=130),1,AND(p&gt;=110,p&lt;120),0.7,AND(p&gt;130,p&lt;=140),0.7,AND(p&gt;=100,p&lt;110),0.4,AND(p&gt;140,p&lt;=150),0.4,TRUE,0.2))),f_s,IF(f="","",IFS(AND(f&gt;=55,f&lt;=65),1,AND(f&gt;=50,f&lt;55),0.7,AND(f&gt;65,f&lt;=70),0.7,AND(f&gt;=45,f&lt;50),0.4,AND(f&gt;70,f&lt;=75),0.4,TRUE,0.2)),c_s,IF(t="train",IF(c="","",IFS(AND(c&gt;=180,c&lt;=210),1,AND(c&gt;=160,c&lt;180),0.7,AND(c&gt;210,c&lt;=230),0.7,AND(c&gt;=140,c&lt;160),0.4,AND(c&gt;230,c&lt;=250),0.4,TRUE,0.2)),IF(c="","",IFS(AND(c&gt;=140,c&lt;=170),1,AND(c&gt;=120,c&lt;140),0.7,AND(c&gt;170,c&lt;=190),0.7,AND(c&gt;=100,c&lt;120),0.4,AND(c&gt;190,c&lt;=210),0.4,TRUE,0.2))),AVERAGE(k_s,p_s,f_s,c_s)))),1),""))</f>
        <v/>
      </c>
      <c r="Z58">
        <f>IF($A58="","",TEXTJOIN(", ",TRUE,IF($B58="","??????????",""),IF($C58="","??????",""),IF($D58="","????",""),IF($E58="","??????????",""),IF($F58="","???-?????",""),IF($G58="","???-????",""),IF($H58="","??????",""),IF($L58="","???",""),IF($M58="","?????",""),IF($N58="","??????????????",""),IF($O58="","??????????",""),IF($P58="","???????",""),IF($U58="","???","")))</f>
        <v/>
      </c>
    </row>
    <row r="59">
      <c r="A59" s="2" t="n">
        <v>739705</v>
      </c>
      <c r="J59">
        <f>IF(A59="","",SUMIF(FoodLog!$A:$A,A59,FoodLog!$I:$I))</f>
        <v/>
      </c>
      <c r="K59">
        <f>IF(A59="","",SUMIF(FoodLog!$A:$A,A59,FoodLog!$F:$F))</f>
        <v/>
      </c>
      <c r="L59">
        <f>IF(A59="","",SUMIF(FoodLog!$A:$A,A59,FoodLog!$G:$G))</f>
        <v/>
      </c>
      <c r="M59">
        <f>IF(A59="","",SUMIF(FoodLog!$A:$A,A59,FoodLog!$H:$H))</f>
        <v/>
      </c>
      <c r="N59">
        <f>LET(train,B59,cardio,C59,steps,D59,sleep,E59,reg,F59,prod,I59,kcal,J59,p,K59,w_train,0.22,w_steps,0.18,w_sleep,0.20,w_reg,0.10,w_food,0.18,w_prod,0.12,s_train,IF(train="Верх",1,IF(train="Ноги",1,IF(train="Отдых",0.6,IF(train="Пропустил",0.2,0)))),s_steps,IF(steps="15k+",1,IF(steps="12-15k",0.9,IF(steps="10-12k",0.8,IF(steps="7-10k",0.6,IF(steps="5-7k",0.4,IF(steps="&lt;5k",0.2,0)))))),s_sleep,IF(sleep="&gt;8",0.9,IF(sleep="6-8",1,IF(sleep="&lt;6",0.2,0))),s_reg,IF(reg="Не сбит",1,IF(reg="Сбит",0.3,0)),s_food,IF(AND(kcal&gt;0,p&gt;0),MIN(1, (p/120))*0.6 + MIN(1, MAX(0,1-ABS(kcal-2200)/600))*0.4,0),s_prod,IF(prod="100%",1,IF(prod="75%",0.8,IF(prod="50%",0.6,IF(prod="25%",0.35,IF(prod="0%",0.1,0)))),ROUND(100*(w_train*s_train + w_steps*s_steps + w_sleep*s_sleep + w_reg*s_reg + w_food*s_food + w_prod*s_prod),0))</f>
        <v/>
      </c>
      <c r="O59">
        <f>TEXTJOIN(", ",TRUE,IF(B59="","тренировка",""),IF(D59="","шаги",""),IF(E59="","сон",""),IF(F59="","режим",""),IF(G59="","настроение",""),IF(H59="","энергия",""),IF(I59="","продуктивность",""),IF(J59="","еда (ккал)",""))</f>
        <v/>
      </c>
      <c r="U59">
        <f>IF($A59="","",IF(SUMIF(FoodLog!$A:$A,$A59,FoodLog!$I:$I)=0,"",SUMIF(FoodLog!$A:$A,$A59,FoodLog!$I:$I)))</f>
        <v/>
      </c>
      <c r="V59">
        <f>IF($A59="","",IF(SUMIF(FoodLog!$A:$A,$A59,FoodLog!$F:$F)=0,"",SUMIF(FoodLog!$A:$A,$A59,FoodLog!$F:$F)))</f>
        <v/>
      </c>
      <c r="W59">
        <f>IF($A59="","",IF(SUMIF(FoodLog!$A:$A,$A59,FoodLog!$G:$G)=0,"",SUMIF(FoodLog!$A:$A,$A59,FoodLog!$G:$G)))</f>
        <v/>
      </c>
      <c r="X59">
        <f>IF($A59="","",IF(SUMIF(FoodLog!$A:$A,$A59,FoodLog!$H:$H)=0,"",SUMIF(FoodLog!$A:$A,$A59,FoodLog!$H:$H)))</f>
        <v/>
      </c>
      <c r="Y59">
        <f>IF($A59="","",IFERROR(ROUND(100*AVERAGE(IF($B59="","",XLOOKUP($B59,FILTER(Dictionaries!$B:$B,Dictionaries!$A:$A="??????????"),FILTER(Dictionaries!$C:$C,Dictionaries!$A:$A="??????????"))),IF($C59="","",MIN($C59/40,1)),IF($D59="","",XLOOKUP($D59,FILTER(Dictionaries!$B:$B,Dictionaries!$A:$A="????"),FILTER(Dictionaries!$C:$C,Dictionaries!$A:$A="????"))),IF($E59="","",MIN($E59/120,1)),IF(OR($F59&lt;&gt;"",$G59&lt;&gt;""),1,""),IF($H59="","",MIN($H59/100,1)),IF($L59="","",XLOOKUP($L59,FILTER(Dictionaries!$B:$B,Dictionaries!$A:$A="???_????"),FILTER(Dictionaries!$C:$C,Dictionaries!$A:$A="???_????"))),IF($M59="","",XLOOKUP($M59,FILTER(Dictionaries!$B:$B,Dictionaries!$A:$A="?????"),FILTER(Dictionaries!$C:$C,Dictionaries!$A:$A="?????"))),IF($N59="","",MIN($N59/100,1)),IF($O59="","",XLOOKUP($O59,FILTER(Dictionaries!$B:$B,Dictionaries!$A:$A="??????????"),FILTER(Dictionaries!$C:$C,Dictionaries!$A:$A="??????????"))),IF($P59="","",XLOOKUP($P59,FILTER(Dictionaries!$B:$B,Dictionaries!$A:$A="???????"),FILTER(Dictionaries!$C:$C,Dictionaries!$A:$A="???????"))),IF($U59="","",LET(t,IF(OR($B59="????",$B59="????"),"train","rest"),k,$U59,p,$V59,f,$W59,c,$X59,k_s,IF(t="train",IF(k="","",IFS(AND(k&gt;=1900,k&lt;=2050),1,AND(k&gt;=1850,k&lt;1900),0.7,AND(k&gt;2050,k&lt;=2100),0.7,TRUE,0.2)),IF(k="","",IFS(AND(k&gt;=1700,k&lt;=1850),1,AND(k&gt;=1650,k&lt;1700),0.7,AND(k&gt;1850,k&lt;=1900),0.7,TRUE,0.2))),p_s,IF(t="train",IF(p="","",IFS(AND(p&gt;=125,p&lt;=135),1,AND(p&gt;=115,p&lt;125),0.7,AND(p&gt;135,p&lt;=145),0.7,AND(p&gt;=105,p&lt;115),0.4,AND(p&gt;145,p&lt;=155),0.4,TRUE,0.2)),IF(p="","",IFS(AND(p&gt;=120,p&lt;=130),1,AND(p&gt;=110,p&lt;120),0.7,AND(p&gt;130,p&lt;=140),0.7,AND(p&gt;=100,p&lt;110),0.4,AND(p&gt;140,p&lt;=150),0.4,TRUE,0.2))),f_s,IF(f="","",IFS(AND(f&gt;=55,f&lt;=65),1,AND(f&gt;=50,f&lt;55),0.7,AND(f&gt;65,f&lt;=70),0.7,AND(f&gt;=45,f&lt;50),0.4,AND(f&gt;70,f&lt;=75),0.4,TRUE,0.2)),c_s,IF(t="train",IF(c="","",IFS(AND(c&gt;=180,c&lt;=210),1,AND(c&gt;=160,c&lt;180),0.7,AND(c&gt;210,c&lt;=230),0.7,AND(c&gt;=140,c&lt;160),0.4,AND(c&gt;230,c&lt;=250),0.4,TRUE,0.2)),IF(c="","",IFS(AND(c&gt;=140,c&lt;=170),1,AND(c&gt;=120,c&lt;140),0.7,AND(c&gt;170,c&lt;=190),0.7,AND(c&gt;=100,c&lt;120),0.4,AND(c&gt;190,c&lt;=210),0.4,TRUE,0.2))),AVERAGE(k_s,p_s,f_s,c_s)))),1),""))</f>
        <v/>
      </c>
      <c r="Z59">
        <f>IF($A59="","",TEXTJOIN(", ",TRUE,IF($B59="","??????????",""),IF($C59="","??????",""),IF($D59="","????",""),IF($E59="","??????????",""),IF($F59="","???-?????",""),IF($G59="","???-????",""),IF($H59="","??????",""),IF($L59="","???",""),IF($M59="","?????",""),IF($N59="","??????????????",""),IF($O59="","??????????",""),IF($P59="","???????",""),IF($U59="","???","")))</f>
        <v/>
      </c>
    </row>
    <row r="60">
      <c r="A60" s="2" t="n">
        <v>739706</v>
      </c>
      <c r="J60">
        <f>IF(A60="","",SUMIF(FoodLog!$A:$A,A60,FoodLog!$I:$I))</f>
        <v/>
      </c>
      <c r="K60">
        <f>IF(A60="","",SUMIF(FoodLog!$A:$A,A60,FoodLog!$F:$F))</f>
        <v/>
      </c>
      <c r="L60">
        <f>IF(A60="","",SUMIF(FoodLog!$A:$A,A60,FoodLog!$G:$G))</f>
        <v/>
      </c>
      <c r="M60">
        <f>IF(A60="","",SUMIF(FoodLog!$A:$A,A60,FoodLog!$H:$H))</f>
        <v/>
      </c>
      <c r="N60">
        <f>LET(train,B60,cardio,C60,steps,D60,sleep,E60,reg,F60,prod,I60,kcal,J60,p,K60,w_train,0.22,w_steps,0.18,w_sleep,0.20,w_reg,0.10,w_food,0.18,w_prod,0.12,s_train,IF(train="Верх",1,IF(train="Ноги",1,IF(train="Отдых",0.6,IF(train="Пропустил",0.2,0)))),s_steps,IF(steps="15k+",1,IF(steps="12-15k",0.9,IF(steps="10-12k",0.8,IF(steps="7-10k",0.6,IF(steps="5-7k",0.4,IF(steps="&lt;5k",0.2,0)))))),s_sleep,IF(sleep="&gt;8",0.9,IF(sleep="6-8",1,IF(sleep="&lt;6",0.2,0))),s_reg,IF(reg="Не сбит",1,IF(reg="Сбит",0.3,0)),s_food,IF(AND(kcal&gt;0,p&gt;0),MIN(1, (p/120))*0.6 + MIN(1, MAX(0,1-ABS(kcal-2200)/600))*0.4,0),s_prod,IF(prod="100%",1,IF(prod="75%",0.8,IF(prod="50%",0.6,IF(prod="25%",0.35,IF(prod="0%",0.1,0)))),ROUND(100*(w_train*s_train + w_steps*s_steps + w_sleep*s_sleep + w_reg*s_reg + w_food*s_food + w_prod*s_prod),0))</f>
        <v/>
      </c>
      <c r="O60">
        <f>TEXTJOIN(", ",TRUE,IF(B60="","тренировка",""),IF(D60="","шаги",""),IF(E60="","сон",""),IF(F60="","режим",""),IF(G60="","настроение",""),IF(H60="","энергия",""),IF(I60="","продуктивность",""),IF(J60="","еда (ккал)",""))</f>
        <v/>
      </c>
      <c r="U60">
        <f>IF($A60="","",IF(SUMIF(FoodLog!$A:$A,$A60,FoodLog!$I:$I)=0,"",SUMIF(FoodLog!$A:$A,$A60,FoodLog!$I:$I)))</f>
        <v/>
      </c>
      <c r="V60">
        <f>IF($A60="","",IF(SUMIF(FoodLog!$A:$A,$A60,FoodLog!$F:$F)=0,"",SUMIF(FoodLog!$A:$A,$A60,FoodLog!$F:$F)))</f>
        <v/>
      </c>
      <c r="W60">
        <f>IF($A60="","",IF(SUMIF(FoodLog!$A:$A,$A60,FoodLog!$G:$G)=0,"",SUMIF(FoodLog!$A:$A,$A60,FoodLog!$G:$G)))</f>
        <v/>
      </c>
      <c r="X60">
        <f>IF($A60="","",IF(SUMIF(FoodLog!$A:$A,$A60,FoodLog!$H:$H)=0,"",SUMIF(FoodLog!$A:$A,$A60,FoodLog!$H:$H)))</f>
        <v/>
      </c>
      <c r="Y60">
        <f>IF($A60="","",IFERROR(ROUND(100*AVERAGE(IF($B60="","",XLOOKUP($B60,FILTER(Dictionaries!$B:$B,Dictionaries!$A:$A="??????????"),FILTER(Dictionaries!$C:$C,Dictionaries!$A:$A="??????????"))),IF($C60="","",MIN($C60/40,1)),IF($D60="","",XLOOKUP($D60,FILTER(Dictionaries!$B:$B,Dictionaries!$A:$A="????"),FILTER(Dictionaries!$C:$C,Dictionaries!$A:$A="????"))),IF($E60="","",MIN($E60/120,1)),IF(OR($F60&lt;&gt;"",$G60&lt;&gt;""),1,""),IF($H60="","",MIN($H60/100,1)),IF($L60="","",XLOOKUP($L60,FILTER(Dictionaries!$B:$B,Dictionaries!$A:$A="???_????"),FILTER(Dictionaries!$C:$C,Dictionaries!$A:$A="???_????"))),IF($M60="","",XLOOKUP($M60,FILTER(Dictionaries!$B:$B,Dictionaries!$A:$A="?????"),FILTER(Dictionaries!$C:$C,Dictionaries!$A:$A="?????"))),IF($N60="","",MIN($N60/100,1)),IF($O60="","",XLOOKUP($O60,FILTER(Dictionaries!$B:$B,Dictionaries!$A:$A="??????????"),FILTER(Dictionaries!$C:$C,Dictionaries!$A:$A="??????????"))),IF($P60="","",XLOOKUP($P60,FILTER(Dictionaries!$B:$B,Dictionaries!$A:$A="???????"),FILTER(Dictionaries!$C:$C,Dictionaries!$A:$A="???????"))),IF($U60="","",LET(t,IF(OR($B60="????",$B60="????"),"train","rest"),k,$U60,p,$V60,f,$W60,c,$X60,k_s,IF(t="train",IF(k="","",IFS(AND(k&gt;=1900,k&lt;=2050),1,AND(k&gt;=1850,k&lt;1900),0.7,AND(k&gt;2050,k&lt;=2100),0.7,TRUE,0.2)),IF(k="","",IFS(AND(k&gt;=1700,k&lt;=1850),1,AND(k&gt;=1650,k&lt;1700),0.7,AND(k&gt;1850,k&lt;=1900),0.7,TRUE,0.2))),p_s,IF(t="train",IF(p="","",IFS(AND(p&gt;=125,p&lt;=135),1,AND(p&gt;=115,p&lt;125),0.7,AND(p&gt;135,p&lt;=145),0.7,AND(p&gt;=105,p&lt;115),0.4,AND(p&gt;145,p&lt;=155),0.4,TRUE,0.2)),IF(p="","",IFS(AND(p&gt;=120,p&lt;=130),1,AND(p&gt;=110,p&lt;120),0.7,AND(p&gt;130,p&lt;=140),0.7,AND(p&gt;=100,p&lt;110),0.4,AND(p&gt;140,p&lt;=150),0.4,TRUE,0.2))),f_s,IF(f="","",IFS(AND(f&gt;=55,f&lt;=65),1,AND(f&gt;=50,f&lt;55),0.7,AND(f&gt;65,f&lt;=70),0.7,AND(f&gt;=45,f&lt;50),0.4,AND(f&gt;70,f&lt;=75),0.4,TRUE,0.2)),c_s,IF(t="train",IF(c="","",IFS(AND(c&gt;=180,c&lt;=210),1,AND(c&gt;=160,c&lt;180),0.7,AND(c&gt;210,c&lt;=230),0.7,AND(c&gt;=140,c&lt;160),0.4,AND(c&gt;230,c&lt;=250),0.4,TRUE,0.2)),IF(c="","",IFS(AND(c&gt;=140,c&lt;=170),1,AND(c&gt;=120,c&lt;140),0.7,AND(c&gt;170,c&lt;=190),0.7,AND(c&gt;=100,c&lt;120),0.4,AND(c&gt;190,c&lt;=210),0.4,TRUE,0.2))),AVERAGE(k_s,p_s,f_s,c_s)))),1),""))</f>
        <v/>
      </c>
      <c r="Z60">
        <f>IF($A60="","",TEXTJOIN(", ",TRUE,IF($B60="","??????????",""),IF($C60="","??????",""),IF($D60="","????",""),IF($E60="","??????????",""),IF($F60="","???-?????",""),IF($G60="","???-????",""),IF($H60="","??????",""),IF($L60="","???",""),IF($M60="","?????",""),IF($N60="","??????????????",""),IF($O60="","??????????",""),IF($P60="","???????",""),IF($U60="","???","")))</f>
        <v/>
      </c>
    </row>
    <row r="61">
      <c r="A61" s="2" t="n">
        <v>739707</v>
      </c>
      <c r="J61">
        <f>IF(A61="","",SUMIF(FoodLog!$A:$A,A61,FoodLog!$I:$I))</f>
        <v/>
      </c>
      <c r="K61">
        <f>IF(A61="","",SUMIF(FoodLog!$A:$A,A61,FoodLog!$F:$F))</f>
        <v/>
      </c>
      <c r="L61">
        <f>IF(A61="","",SUMIF(FoodLog!$A:$A,A61,FoodLog!$G:$G))</f>
        <v/>
      </c>
      <c r="M61">
        <f>IF(A61="","",SUMIF(FoodLog!$A:$A,A61,FoodLog!$H:$H))</f>
        <v/>
      </c>
      <c r="N61">
        <f>LET(train,B61,cardio,C61,steps,D61,sleep,E61,reg,F61,prod,I61,kcal,J61,p,K61,w_train,0.22,w_steps,0.18,w_sleep,0.20,w_reg,0.10,w_food,0.18,w_prod,0.12,s_train,IF(train="Верх",1,IF(train="Ноги",1,IF(train="Отдых",0.6,IF(train="Пропустил",0.2,0)))),s_steps,IF(steps="15k+",1,IF(steps="12-15k",0.9,IF(steps="10-12k",0.8,IF(steps="7-10k",0.6,IF(steps="5-7k",0.4,IF(steps="&lt;5k",0.2,0)))))),s_sleep,IF(sleep="&gt;8",0.9,IF(sleep="6-8",1,IF(sleep="&lt;6",0.2,0))),s_reg,IF(reg="Не сбит",1,IF(reg="Сбит",0.3,0)),s_food,IF(AND(kcal&gt;0,p&gt;0),MIN(1, (p/120))*0.6 + MIN(1, MAX(0,1-ABS(kcal-2200)/600))*0.4,0),s_prod,IF(prod="100%",1,IF(prod="75%",0.8,IF(prod="50%",0.6,IF(prod="25%",0.35,IF(prod="0%",0.1,0)))),ROUND(100*(w_train*s_train + w_steps*s_steps + w_sleep*s_sleep + w_reg*s_reg + w_food*s_food + w_prod*s_prod),0))</f>
        <v/>
      </c>
      <c r="O61">
        <f>TEXTJOIN(", ",TRUE,IF(B61="","тренировка",""),IF(D61="","шаги",""),IF(E61="","сон",""),IF(F61="","режим",""),IF(G61="","настроение",""),IF(H61="","энергия",""),IF(I61="","продуктивность",""),IF(J61="","еда (ккал)",""))</f>
        <v/>
      </c>
      <c r="U61">
        <f>IF($A61="","",IF(SUMIF(FoodLog!$A:$A,$A61,FoodLog!$I:$I)=0,"",SUMIF(FoodLog!$A:$A,$A61,FoodLog!$I:$I)))</f>
        <v/>
      </c>
      <c r="V61">
        <f>IF($A61="","",IF(SUMIF(FoodLog!$A:$A,$A61,FoodLog!$F:$F)=0,"",SUMIF(FoodLog!$A:$A,$A61,FoodLog!$F:$F)))</f>
        <v/>
      </c>
      <c r="W61">
        <f>IF($A61="","",IF(SUMIF(FoodLog!$A:$A,$A61,FoodLog!$G:$G)=0,"",SUMIF(FoodLog!$A:$A,$A61,FoodLog!$G:$G)))</f>
        <v/>
      </c>
      <c r="X61">
        <f>IF($A61="","",IF(SUMIF(FoodLog!$A:$A,$A61,FoodLog!$H:$H)=0,"",SUMIF(FoodLog!$A:$A,$A61,FoodLog!$H:$H)))</f>
        <v/>
      </c>
      <c r="Y61">
        <f>IF($A61="","",IFERROR(ROUND(100*AVERAGE(IF($B61="","",XLOOKUP($B61,FILTER(Dictionaries!$B:$B,Dictionaries!$A:$A="??????????"),FILTER(Dictionaries!$C:$C,Dictionaries!$A:$A="??????????"))),IF($C61="","",MIN($C61/40,1)),IF($D61="","",XLOOKUP($D61,FILTER(Dictionaries!$B:$B,Dictionaries!$A:$A="????"),FILTER(Dictionaries!$C:$C,Dictionaries!$A:$A="????"))),IF($E61="","",MIN($E61/120,1)),IF(OR($F61&lt;&gt;"",$G61&lt;&gt;""),1,""),IF($H61="","",MIN($H61/100,1)),IF($L61="","",XLOOKUP($L61,FILTER(Dictionaries!$B:$B,Dictionaries!$A:$A="???_????"),FILTER(Dictionaries!$C:$C,Dictionaries!$A:$A="???_????"))),IF($M61="","",XLOOKUP($M61,FILTER(Dictionaries!$B:$B,Dictionaries!$A:$A="?????"),FILTER(Dictionaries!$C:$C,Dictionaries!$A:$A="?????"))),IF($N61="","",MIN($N61/100,1)),IF($O61="","",XLOOKUP($O61,FILTER(Dictionaries!$B:$B,Dictionaries!$A:$A="??????????"),FILTER(Dictionaries!$C:$C,Dictionaries!$A:$A="??????????"))),IF($P61="","",XLOOKUP($P61,FILTER(Dictionaries!$B:$B,Dictionaries!$A:$A="???????"),FILTER(Dictionaries!$C:$C,Dictionaries!$A:$A="???????"))),IF($U61="","",LET(t,IF(OR($B61="????",$B61="????"),"train","rest"),k,$U61,p,$V61,f,$W61,c,$X61,k_s,IF(t="train",IF(k="","",IFS(AND(k&gt;=1900,k&lt;=2050),1,AND(k&gt;=1850,k&lt;1900),0.7,AND(k&gt;2050,k&lt;=2100),0.7,TRUE,0.2)),IF(k="","",IFS(AND(k&gt;=1700,k&lt;=1850),1,AND(k&gt;=1650,k&lt;1700),0.7,AND(k&gt;1850,k&lt;=1900),0.7,TRUE,0.2))),p_s,IF(t="train",IF(p="","",IFS(AND(p&gt;=125,p&lt;=135),1,AND(p&gt;=115,p&lt;125),0.7,AND(p&gt;135,p&lt;=145),0.7,AND(p&gt;=105,p&lt;115),0.4,AND(p&gt;145,p&lt;=155),0.4,TRUE,0.2)),IF(p="","",IFS(AND(p&gt;=120,p&lt;=130),1,AND(p&gt;=110,p&lt;120),0.7,AND(p&gt;130,p&lt;=140),0.7,AND(p&gt;=100,p&lt;110),0.4,AND(p&gt;140,p&lt;=150),0.4,TRUE,0.2))),f_s,IF(f="","",IFS(AND(f&gt;=55,f&lt;=65),1,AND(f&gt;=50,f&lt;55),0.7,AND(f&gt;65,f&lt;=70),0.7,AND(f&gt;=45,f&lt;50),0.4,AND(f&gt;70,f&lt;=75),0.4,TRUE,0.2)),c_s,IF(t="train",IF(c="","",IFS(AND(c&gt;=180,c&lt;=210),1,AND(c&gt;=160,c&lt;180),0.7,AND(c&gt;210,c&lt;=230),0.7,AND(c&gt;=140,c&lt;160),0.4,AND(c&gt;230,c&lt;=250),0.4,TRUE,0.2)),IF(c="","",IFS(AND(c&gt;=140,c&lt;=170),1,AND(c&gt;=120,c&lt;140),0.7,AND(c&gt;170,c&lt;=190),0.7,AND(c&gt;=100,c&lt;120),0.4,AND(c&gt;190,c&lt;=210),0.4,TRUE,0.2))),AVERAGE(k_s,p_s,f_s,c_s)))),1),""))</f>
        <v/>
      </c>
      <c r="Z61">
        <f>IF($A61="","",TEXTJOIN(", ",TRUE,IF($B61="","??????????",""),IF($C61="","??????",""),IF($D61="","????",""),IF($E61="","??????????",""),IF($F61="","???-?????",""),IF($G61="","???-????",""),IF($H61="","??????",""),IF($L61="","???",""),IF($M61="","?????",""),IF($N61="","??????????????",""),IF($O61="","??????????",""),IF($P61="","???????",""),IF($U61="","???","")))</f>
        <v/>
      </c>
    </row>
    <row r="62">
      <c r="A62" s="2" t="n">
        <v>739708</v>
      </c>
      <c r="J62">
        <f>IF(A62="","",SUMIF(FoodLog!$A:$A,A62,FoodLog!$I:$I))</f>
        <v/>
      </c>
      <c r="K62">
        <f>IF(A62="","",SUMIF(FoodLog!$A:$A,A62,FoodLog!$F:$F))</f>
        <v/>
      </c>
      <c r="L62">
        <f>IF(A62="","",SUMIF(FoodLog!$A:$A,A62,FoodLog!$G:$G))</f>
        <v/>
      </c>
      <c r="M62">
        <f>IF(A62="","",SUMIF(FoodLog!$A:$A,A62,FoodLog!$H:$H))</f>
        <v/>
      </c>
      <c r="N62">
        <f>LET(train,B62,cardio,C62,steps,D62,sleep,E62,reg,F62,prod,I62,kcal,J62,p,K62,w_train,0.22,w_steps,0.18,w_sleep,0.20,w_reg,0.10,w_food,0.18,w_prod,0.12,s_train,IF(train="Верх",1,IF(train="Ноги",1,IF(train="Отдых",0.6,IF(train="Пропустил",0.2,0)))),s_steps,IF(steps="15k+",1,IF(steps="12-15k",0.9,IF(steps="10-12k",0.8,IF(steps="7-10k",0.6,IF(steps="5-7k",0.4,IF(steps="&lt;5k",0.2,0)))))),s_sleep,IF(sleep="&gt;8",0.9,IF(sleep="6-8",1,IF(sleep="&lt;6",0.2,0))),s_reg,IF(reg="Не сбит",1,IF(reg="Сбит",0.3,0)),s_food,IF(AND(kcal&gt;0,p&gt;0),MIN(1, (p/120))*0.6 + MIN(1, MAX(0,1-ABS(kcal-2200)/600))*0.4,0),s_prod,IF(prod="100%",1,IF(prod="75%",0.8,IF(prod="50%",0.6,IF(prod="25%",0.35,IF(prod="0%",0.1,0)))),ROUND(100*(w_train*s_train + w_steps*s_steps + w_sleep*s_sleep + w_reg*s_reg + w_food*s_food + w_prod*s_prod),0))</f>
        <v/>
      </c>
      <c r="O62">
        <f>TEXTJOIN(", ",TRUE,IF(B62="","тренировка",""),IF(D62="","шаги",""),IF(E62="","сон",""),IF(F62="","режим",""),IF(G62="","настроение",""),IF(H62="","энергия",""),IF(I62="","продуктивность",""),IF(J62="","еда (ккал)",""))</f>
        <v/>
      </c>
      <c r="U62">
        <f>IF($A62="","",IF(SUMIF(FoodLog!$A:$A,$A62,FoodLog!$I:$I)=0,"",SUMIF(FoodLog!$A:$A,$A62,FoodLog!$I:$I)))</f>
        <v/>
      </c>
      <c r="V62">
        <f>IF($A62="","",IF(SUMIF(FoodLog!$A:$A,$A62,FoodLog!$F:$F)=0,"",SUMIF(FoodLog!$A:$A,$A62,FoodLog!$F:$F)))</f>
        <v/>
      </c>
      <c r="W62">
        <f>IF($A62="","",IF(SUMIF(FoodLog!$A:$A,$A62,FoodLog!$G:$G)=0,"",SUMIF(FoodLog!$A:$A,$A62,FoodLog!$G:$G)))</f>
        <v/>
      </c>
      <c r="X62">
        <f>IF($A62="","",IF(SUMIF(FoodLog!$A:$A,$A62,FoodLog!$H:$H)=0,"",SUMIF(FoodLog!$A:$A,$A62,FoodLog!$H:$H)))</f>
        <v/>
      </c>
      <c r="Y62">
        <f>IF($A62="","",IFERROR(ROUND(100*AVERAGE(IF($B62="","",XLOOKUP($B62,FILTER(Dictionaries!$B:$B,Dictionaries!$A:$A="??????????"),FILTER(Dictionaries!$C:$C,Dictionaries!$A:$A="??????????"))),IF($C62="","",MIN($C62/40,1)),IF($D62="","",XLOOKUP($D62,FILTER(Dictionaries!$B:$B,Dictionaries!$A:$A="????"),FILTER(Dictionaries!$C:$C,Dictionaries!$A:$A="????"))),IF($E62="","",MIN($E62/120,1)),IF(OR($F62&lt;&gt;"",$G62&lt;&gt;""),1,""),IF($H62="","",MIN($H62/100,1)),IF($L62="","",XLOOKUP($L62,FILTER(Dictionaries!$B:$B,Dictionaries!$A:$A="???_????"),FILTER(Dictionaries!$C:$C,Dictionaries!$A:$A="???_????"))),IF($M62="","",XLOOKUP($M62,FILTER(Dictionaries!$B:$B,Dictionaries!$A:$A="?????"),FILTER(Dictionaries!$C:$C,Dictionaries!$A:$A="?????"))),IF($N62="","",MIN($N62/100,1)),IF($O62="","",XLOOKUP($O62,FILTER(Dictionaries!$B:$B,Dictionaries!$A:$A="??????????"),FILTER(Dictionaries!$C:$C,Dictionaries!$A:$A="??????????"))),IF($P62="","",XLOOKUP($P62,FILTER(Dictionaries!$B:$B,Dictionaries!$A:$A="???????"),FILTER(Dictionaries!$C:$C,Dictionaries!$A:$A="???????"))),IF($U62="","",LET(t,IF(OR($B62="????",$B62="????"),"train","rest"),k,$U62,p,$V62,f,$W62,c,$X62,k_s,IF(t="train",IF(k="","",IFS(AND(k&gt;=1900,k&lt;=2050),1,AND(k&gt;=1850,k&lt;1900),0.7,AND(k&gt;2050,k&lt;=2100),0.7,TRUE,0.2)),IF(k="","",IFS(AND(k&gt;=1700,k&lt;=1850),1,AND(k&gt;=1650,k&lt;1700),0.7,AND(k&gt;1850,k&lt;=1900),0.7,TRUE,0.2))),p_s,IF(t="train",IF(p="","",IFS(AND(p&gt;=125,p&lt;=135),1,AND(p&gt;=115,p&lt;125),0.7,AND(p&gt;135,p&lt;=145),0.7,AND(p&gt;=105,p&lt;115),0.4,AND(p&gt;145,p&lt;=155),0.4,TRUE,0.2)),IF(p="","",IFS(AND(p&gt;=120,p&lt;=130),1,AND(p&gt;=110,p&lt;120),0.7,AND(p&gt;130,p&lt;=140),0.7,AND(p&gt;=100,p&lt;110),0.4,AND(p&gt;140,p&lt;=150),0.4,TRUE,0.2))),f_s,IF(f="","",IFS(AND(f&gt;=55,f&lt;=65),1,AND(f&gt;=50,f&lt;55),0.7,AND(f&gt;65,f&lt;=70),0.7,AND(f&gt;=45,f&lt;50),0.4,AND(f&gt;70,f&lt;=75),0.4,TRUE,0.2)),c_s,IF(t="train",IF(c="","",IFS(AND(c&gt;=180,c&lt;=210),1,AND(c&gt;=160,c&lt;180),0.7,AND(c&gt;210,c&lt;=230),0.7,AND(c&gt;=140,c&lt;160),0.4,AND(c&gt;230,c&lt;=250),0.4,TRUE,0.2)),IF(c="","",IFS(AND(c&gt;=140,c&lt;=170),1,AND(c&gt;=120,c&lt;140),0.7,AND(c&gt;170,c&lt;=190),0.7,AND(c&gt;=100,c&lt;120),0.4,AND(c&gt;190,c&lt;=210),0.4,TRUE,0.2))),AVERAGE(k_s,p_s,f_s,c_s)))),1),""))</f>
        <v/>
      </c>
      <c r="Z62">
        <f>IF($A62="","",TEXTJOIN(", ",TRUE,IF($B62="","??????????",""),IF($C62="","??????",""),IF($D62="","????",""),IF($E62="","??????????",""),IF($F62="","???-?????",""),IF($G62="","???-????",""),IF($H62="","??????",""),IF($L62="","???",""),IF($M62="","?????",""),IF($N62="","??????????????",""),IF($O62="","??????????",""),IF($P62="","???????",""),IF($U62="","???","")))</f>
        <v/>
      </c>
    </row>
    <row r="63">
      <c r="A63" s="2" t="n">
        <v>739709</v>
      </c>
      <c r="J63">
        <f>IF(A63="","",SUMIF(FoodLog!$A:$A,A63,FoodLog!$I:$I))</f>
        <v/>
      </c>
      <c r="K63">
        <f>IF(A63="","",SUMIF(FoodLog!$A:$A,A63,FoodLog!$F:$F))</f>
        <v/>
      </c>
      <c r="L63">
        <f>IF(A63="","",SUMIF(FoodLog!$A:$A,A63,FoodLog!$G:$G))</f>
        <v/>
      </c>
      <c r="M63">
        <f>IF(A63="","",SUMIF(FoodLog!$A:$A,A63,FoodLog!$H:$H))</f>
        <v/>
      </c>
      <c r="N63">
        <f>LET(train,B63,cardio,C63,steps,D63,sleep,E63,reg,F63,prod,I63,kcal,J63,p,K63,w_train,0.22,w_steps,0.18,w_sleep,0.20,w_reg,0.10,w_food,0.18,w_prod,0.12,s_train,IF(train="Верх",1,IF(train="Ноги",1,IF(train="Отдых",0.6,IF(train="Пропустил",0.2,0)))),s_steps,IF(steps="15k+",1,IF(steps="12-15k",0.9,IF(steps="10-12k",0.8,IF(steps="7-10k",0.6,IF(steps="5-7k",0.4,IF(steps="&lt;5k",0.2,0)))))),s_sleep,IF(sleep="&gt;8",0.9,IF(sleep="6-8",1,IF(sleep="&lt;6",0.2,0))),s_reg,IF(reg="Не сбит",1,IF(reg="Сбит",0.3,0)),s_food,IF(AND(kcal&gt;0,p&gt;0),MIN(1, (p/120))*0.6 + MIN(1, MAX(0,1-ABS(kcal-2200)/600))*0.4,0),s_prod,IF(prod="100%",1,IF(prod="75%",0.8,IF(prod="50%",0.6,IF(prod="25%",0.35,IF(prod="0%",0.1,0)))),ROUND(100*(w_train*s_train + w_steps*s_steps + w_sleep*s_sleep + w_reg*s_reg + w_food*s_food + w_prod*s_prod),0))</f>
        <v/>
      </c>
      <c r="O63">
        <f>TEXTJOIN(", ",TRUE,IF(B63="","тренировка",""),IF(D63="","шаги",""),IF(E63="","сон",""),IF(F63="","режим",""),IF(G63="","настроение",""),IF(H63="","энергия",""),IF(I63="","продуктивность",""),IF(J63="","еда (ккал)",""))</f>
        <v/>
      </c>
      <c r="U63">
        <f>IF($A63="","",IF(SUMIF(FoodLog!$A:$A,$A63,FoodLog!$I:$I)=0,"",SUMIF(FoodLog!$A:$A,$A63,FoodLog!$I:$I)))</f>
        <v/>
      </c>
      <c r="V63">
        <f>IF($A63="","",IF(SUMIF(FoodLog!$A:$A,$A63,FoodLog!$F:$F)=0,"",SUMIF(FoodLog!$A:$A,$A63,FoodLog!$F:$F)))</f>
        <v/>
      </c>
      <c r="W63">
        <f>IF($A63="","",IF(SUMIF(FoodLog!$A:$A,$A63,FoodLog!$G:$G)=0,"",SUMIF(FoodLog!$A:$A,$A63,FoodLog!$G:$G)))</f>
        <v/>
      </c>
      <c r="X63">
        <f>IF($A63="","",IF(SUMIF(FoodLog!$A:$A,$A63,FoodLog!$H:$H)=0,"",SUMIF(FoodLog!$A:$A,$A63,FoodLog!$H:$H)))</f>
        <v/>
      </c>
      <c r="Y63">
        <f>IF($A63="","",IFERROR(ROUND(100*AVERAGE(IF($B63="","",XLOOKUP($B63,FILTER(Dictionaries!$B:$B,Dictionaries!$A:$A="??????????"),FILTER(Dictionaries!$C:$C,Dictionaries!$A:$A="??????????"))),IF($C63="","",MIN($C63/40,1)),IF($D63="","",XLOOKUP($D63,FILTER(Dictionaries!$B:$B,Dictionaries!$A:$A="????"),FILTER(Dictionaries!$C:$C,Dictionaries!$A:$A="????"))),IF($E63="","",MIN($E63/120,1)),IF(OR($F63&lt;&gt;"",$G63&lt;&gt;""),1,""),IF($H63="","",MIN($H63/100,1)),IF($L63="","",XLOOKUP($L63,FILTER(Dictionaries!$B:$B,Dictionaries!$A:$A="???_????"),FILTER(Dictionaries!$C:$C,Dictionaries!$A:$A="???_????"))),IF($M63="","",XLOOKUP($M63,FILTER(Dictionaries!$B:$B,Dictionaries!$A:$A="?????"),FILTER(Dictionaries!$C:$C,Dictionaries!$A:$A="?????"))),IF($N63="","",MIN($N63/100,1)),IF($O63="","",XLOOKUP($O63,FILTER(Dictionaries!$B:$B,Dictionaries!$A:$A="??????????"),FILTER(Dictionaries!$C:$C,Dictionaries!$A:$A="??????????"))),IF($P63="","",XLOOKUP($P63,FILTER(Dictionaries!$B:$B,Dictionaries!$A:$A="???????"),FILTER(Dictionaries!$C:$C,Dictionaries!$A:$A="???????"))),IF($U63="","",LET(t,IF(OR($B63="????",$B63="????"),"train","rest"),k,$U63,p,$V63,f,$W63,c,$X63,k_s,IF(t="train",IF(k="","",IFS(AND(k&gt;=1900,k&lt;=2050),1,AND(k&gt;=1850,k&lt;1900),0.7,AND(k&gt;2050,k&lt;=2100),0.7,TRUE,0.2)),IF(k="","",IFS(AND(k&gt;=1700,k&lt;=1850),1,AND(k&gt;=1650,k&lt;1700),0.7,AND(k&gt;1850,k&lt;=1900),0.7,TRUE,0.2))),p_s,IF(t="train",IF(p="","",IFS(AND(p&gt;=125,p&lt;=135),1,AND(p&gt;=115,p&lt;125),0.7,AND(p&gt;135,p&lt;=145),0.7,AND(p&gt;=105,p&lt;115),0.4,AND(p&gt;145,p&lt;=155),0.4,TRUE,0.2)),IF(p="","",IFS(AND(p&gt;=120,p&lt;=130),1,AND(p&gt;=110,p&lt;120),0.7,AND(p&gt;130,p&lt;=140),0.7,AND(p&gt;=100,p&lt;110),0.4,AND(p&gt;140,p&lt;=150),0.4,TRUE,0.2))),f_s,IF(f="","",IFS(AND(f&gt;=55,f&lt;=65),1,AND(f&gt;=50,f&lt;55),0.7,AND(f&gt;65,f&lt;=70),0.7,AND(f&gt;=45,f&lt;50),0.4,AND(f&gt;70,f&lt;=75),0.4,TRUE,0.2)),c_s,IF(t="train",IF(c="","",IFS(AND(c&gt;=180,c&lt;=210),1,AND(c&gt;=160,c&lt;180),0.7,AND(c&gt;210,c&lt;=230),0.7,AND(c&gt;=140,c&lt;160),0.4,AND(c&gt;230,c&lt;=250),0.4,TRUE,0.2)),IF(c="","",IFS(AND(c&gt;=140,c&lt;=170),1,AND(c&gt;=120,c&lt;140),0.7,AND(c&gt;170,c&lt;=190),0.7,AND(c&gt;=100,c&lt;120),0.4,AND(c&gt;190,c&lt;=210),0.4,TRUE,0.2))),AVERAGE(k_s,p_s,f_s,c_s)))),1),""))</f>
        <v/>
      </c>
      <c r="Z63">
        <f>IF($A63="","",TEXTJOIN(", ",TRUE,IF($B63="","??????????",""),IF($C63="","??????",""),IF($D63="","????",""),IF($E63="","??????????",""),IF($F63="","???-?????",""),IF($G63="","???-????",""),IF($H63="","??????",""),IF($L63="","???",""),IF($M63="","?????",""),IF($N63="","??????????????",""),IF($O63="","??????????",""),IF($P63="","???????",""),IF($U63="","???","")))</f>
        <v/>
      </c>
    </row>
    <row r="64">
      <c r="A64" s="2" t="n">
        <v>739710</v>
      </c>
      <c r="J64">
        <f>IF(A64="","",SUMIF(FoodLog!$A:$A,A64,FoodLog!$I:$I))</f>
        <v/>
      </c>
      <c r="K64">
        <f>IF(A64="","",SUMIF(FoodLog!$A:$A,A64,FoodLog!$F:$F))</f>
        <v/>
      </c>
      <c r="L64">
        <f>IF(A64="","",SUMIF(FoodLog!$A:$A,A64,FoodLog!$G:$G))</f>
        <v/>
      </c>
      <c r="M64">
        <f>IF(A64="","",SUMIF(FoodLog!$A:$A,A64,FoodLog!$H:$H))</f>
        <v/>
      </c>
      <c r="N64">
        <f>LET(train,B64,cardio,C64,steps,D64,sleep,E64,reg,F64,prod,I64,kcal,J64,p,K64,w_train,0.22,w_steps,0.18,w_sleep,0.20,w_reg,0.10,w_food,0.18,w_prod,0.12,s_train,IF(train="Верх",1,IF(train="Ноги",1,IF(train="Отдых",0.6,IF(train="Пропустил",0.2,0)))),s_steps,IF(steps="15k+",1,IF(steps="12-15k",0.9,IF(steps="10-12k",0.8,IF(steps="7-10k",0.6,IF(steps="5-7k",0.4,IF(steps="&lt;5k",0.2,0)))))),s_sleep,IF(sleep="&gt;8",0.9,IF(sleep="6-8",1,IF(sleep="&lt;6",0.2,0))),s_reg,IF(reg="Не сбит",1,IF(reg="Сбит",0.3,0)),s_food,IF(AND(kcal&gt;0,p&gt;0),MIN(1, (p/120))*0.6 + MIN(1, MAX(0,1-ABS(kcal-2200)/600))*0.4,0),s_prod,IF(prod="100%",1,IF(prod="75%",0.8,IF(prod="50%",0.6,IF(prod="25%",0.35,IF(prod="0%",0.1,0)))),ROUND(100*(w_train*s_train + w_steps*s_steps + w_sleep*s_sleep + w_reg*s_reg + w_food*s_food + w_prod*s_prod),0))</f>
        <v/>
      </c>
      <c r="O64">
        <f>TEXTJOIN(", ",TRUE,IF(B64="","тренировка",""),IF(D64="","шаги",""),IF(E64="","сон",""),IF(F64="","режим",""),IF(G64="","настроение",""),IF(H64="","энергия",""),IF(I64="","продуктивность",""),IF(J64="","еда (ккал)",""))</f>
        <v/>
      </c>
      <c r="U64">
        <f>IF($A64="","",IF(SUMIF(FoodLog!$A:$A,$A64,FoodLog!$I:$I)=0,"",SUMIF(FoodLog!$A:$A,$A64,FoodLog!$I:$I)))</f>
        <v/>
      </c>
      <c r="V64">
        <f>IF($A64="","",IF(SUMIF(FoodLog!$A:$A,$A64,FoodLog!$F:$F)=0,"",SUMIF(FoodLog!$A:$A,$A64,FoodLog!$F:$F)))</f>
        <v/>
      </c>
      <c r="W64">
        <f>IF($A64="","",IF(SUMIF(FoodLog!$A:$A,$A64,FoodLog!$G:$G)=0,"",SUMIF(FoodLog!$A:$A,$A64,FoodLog!$G:$G)))</f>
        <v/>
      </c>
      <c r="X64">
        <f>IF($A64="","",IF(SUMIF(FoodLog!$A:$A,$A64,FoodLog!$H:$H)=0,"",SUMIF(FoodLog!$A:$A,$A64,FoodLog!$H:$H)))</f>
        <v/>
      </c>
      <c r="Y64">
        <f>IF($A64="","",IFERROR(ROUND(100*AVERAGE(IF($B64="","",XLOOKUP($B64,FILTER(Dictionaries!$B:$B,Dictionaries!$A:$A="??????????"),FILTER(Dictionaries!$C:$C,Dictionaries!$A:$A="??????????"))),IF($C64="","",MIN($C64/40,1)),IF($D64="","",XLOOKUP($D64,FILTER(Dictionaries!$B:$B,Dictionaries!$A:$A="????"),FILTER(Dictionaries!$C:$C,Dictionaries!$A:$A="????"))),IF($E64="","",MIN($E64/120,1)),IF(OR($F64&lt;&gt;"",$G64&lt;&gt;""),1,""),IF($H64="","",MIN($H64/100,1)),IF($L64="","",XLOOKUP($L64,FILTER(Dictionaries!$B:$B,Dictionaries!$A:$A="???_????"),FILTER(Dictionaries!$C:$C,Dictionaries!$A:$A="???_????"))),IF($M64="","",XLOOKUP($M64,FILTER(Dictionaries!$B:$B,Dictionaries!$A:$A="?????"),FILTER(Dictionaries!$C:$C,Dictionaries!$A:$A="?????"))),IF($N64="","",MIN($N64/100,1)),IF($O64="","",XLOOKUP($O64,FILTER(Dictionaries!$B:$B,Dictionaries!$A:$A="??????????"),FILTER(Dictionaries!$C:$C,Dictionaries!$A:$A="??????????"))),IF($P64="","",XLOOKUP($P64,FILTER(Dictionaries!$B:$B,Dictionaries!$A:$A="???????"),FILTER(Dictionaries!$C:$C,Dictionaries!$A:$A="???????"))),IF($U64="","",LET(t,IF(OR($B64="????",$B64="????"),"train","rest"),k,$U64,p,$V64,f,$W64,c,$X64,k_s,IF(t="train",IF(k="","",IFS(AND(k&gt;=1900,k&lt;=2050),1,AND(k&gt;=1850,k&lt;1900),0.7,AND(k&gt;2050,k&lt;=2100),0.7,TRUE,0.2)),IF(k="","",IFS(AND(k&gt;=1700,k&lt;=1850),1,AND(k&gt;=1650,k&lt;1700),0.7,AND(k&gt;1850,k&lt;=1900),0.7,TRUE,0.2))),p_s,IF(t="train",IF(p="","",IFS(AND(p&gt;=125,p&lt;=135),1,AND(p&gt;=115,p&lt;125),0.7,AND(p&gt;135,p&lt;=145),0.7,AND(p&gt;=105,p&lt;115),0.4,AND(p&gt;145,p&lt;=155),0.4,TRUE,0.2)),IF(p="","",IFS(AND(p&gt;=120,p&lt;=130),1,AND(p&gt;=110,p&lt;120),0.7,AND(p&gt;130,p&lt;=140),0.7,AND(p&gt;=100,p&lt;110),0.4,AND(p&gt;140,p&lt;=150),0.4,TRUE,0.2))),f_s,IF(f="","",IFS(AND(f&gt;=55,f&lt;=65),1,AND(f&gt;=50,f&lt;55),0.7,AND(f&gt;65,f&lt;=70),0.7,AND(f&gt;=45,f&lt;50),0.4,AND(f&gt;70,f&lt;=75),0.4,TRUE,0.2)),c_s,IF(t="train",IF(c="","",IFS(AND(c&gt;=180,c&lt;=210),1,AND(c&gt;=160,c&lt;180),0.7,AND(c&gt;210,c&lt;=230),0.7,AND(c&gt;=140,c&lt;160),0.4,AND(c&gt;230,c&lt;=250),0.4,TRUE,0.2)),IF(c="","",IFS(AND(c&gt;=140,c&lt;=170),1,AND(c&gt;=120,c&lt;140),0.7,AND(c&gt;170,c&lt;=190),0.7,AND(c&gt;=100,c&lt;120),0.4,AND(c&gt;190,c&lt;=210),0.4,TRUE,0.2))),AVERAGE(k_s,p_s,f_s,c_s)))),1),""))</f>
        <v/>
      </c>
      <c r="Z64">
        <f>IF($A64="","",TEXTJOIN(", ",TRUE,IF($B64="","??????????",""),IF($C64="","??????",""),IF($D64="","????",""),IF($E64="","??????????",""),IF($F64="","???-?????",""),IF($G64="","???-????",""),IF($H64="","??????",""),IF($L64="","???",""),IF($M64="","?????",""),IF($N64="","??????????????",""),IF($O64="","??????????",""),IF($P64="","???????",""),IF($U64="","???","")))</f>
        <v/>
      </c>
    </row>
    <row r="65">
      <c r="A65" s="2" t="n">
        <v>739711</v>
      </c>
      <c r="J65">
        <f>IF(A65="","",SUMIF(FoodLog!$A:$A,A65,FoodLog!$I:$I))</f>
        <v/>
      </c>
      <c r="K65">
        <f>IF(A65="","",SUMIF(FoodLog!$A:$A,A65,FoodLog!$F:$F))</f>
        <v/>
      </c>
      <c r="L65">
        <f>IF(A65="","",SUMIF(FoodLog!$A:$A,A65,FoodLog!$G:$G))</f>
        <v/>
      </c>
      <c r="M65">
        <f>IF(A65="","",SUMIF(FoodLog!$A:$A,A65,FoodLog!$H:$H))</f>
        <v/>
      </c>
      <c r="N65">
        <f>LET(train,B65,cardio,C65,steps,D65,sleep,E65,reg,F65,prod,I65,kcal,J65,p,K65,w_train,0.22,w_steps,0.18,w_sleep,0.20,w_reg,0.10,w_food,0.18,w_prod,0.12,s_train,IF(train="Верх",1,IF(train="Ноги",1,IF(train="Отдых",0.6,IF(train="Пропустил",0.2,0)))),s_steps,IF(steps="15k+",1,IF(steps="12-15k",0.9,IF(steps="10-12k",0.8,IF(steps="7-10k",0.6,IF(steps="5-7k",0.4,IF(steps="&lt;5k",0.2,0)))))),s_sleep,IF(sleep="&gt;8",0.9,IF(sleep="6-8",1,IF(sleep="&lt;6",0.2,0))),s_reg,IF(reg="Не сбит",1,IF(reg="Сбит",0.3,0)),s_food,IF(AND(kcal&gt;0,p&gt;0),MIN(1, (p/120))*0.6 + MIN(1, MAX(0,1-ABS(kcal-2200)/600))*0.4,0),s_prod,IF(prod="100%",1,IF(prod="75%",0.8,IF(prod="50%",0.6,IF(prod="25%",0.35,IF(prod="0%",0.1,0)))),ROUND(100*(w_train*s_train + w_steps*s_steps + w_sleep*s_sleep + w_reg*s_reg + w_food*s_food + w_prod*s_prod),0))</f>
        <v/>
      </c>
      <c r="O65">
        <f>TEXTJOIN(", ",TRUE,IF(B65="","тренировка",""),IF(D65="","шаги",""),IF(E65="","сон",""),IF(F65="","режим",""),IF(G65="","настроение",""),IF(H65="","энергия",""),IF(I65="","продуктивность",""),IF(J65="","еда (ккал)",""))</f>
        <v/>
      </c>
      <c r="U65">
        <f>IF($A65="","",IF(SUMIF(FoodLog!$A:$A,$A65,FoodLog!$I:$I)=0,"",SUMIF(FoodLog!$A:$A,$A65,FoodLog!$I:$I)))</f>
        <v/>
      </c>
      <c r="V65">
        <f>IF($A65="","",IF(SUMIF(FoodLog!$A:$A,$A65,FoodLog!$F:$F)=0,"",SUMIF(FoodLog!$A:$A,$A65,FoodLog!$F:$F)))</f>
        <v/>
      </c>
      <c r="W65">
        <f>IF($A65="","",IF(SUMIF(FoodLog!$A:$A,$A65,FoodLog!$G:$G)=0,"",SUMIF(FoodLog!$A:$A,$A65,FoodLog!$G:$G)))</f>
        <v/>
      </c>
      <c r="X65">
        <f>IF($A65="","",IF(SUMIF(FoodLog!$A:$A,$A65,FoodLog!$H:$H)=0,"",SUMIF(FoodLog!$A:$A,$A65,FoodLog!$H:$H)))</f>
        <v/>
      </c>
      <c r="Y65">
        <f>IF($A65="","",IFERROR(ROUND(100*AVERAGE(IF($B65="","",XLOOKUP($B65,FILTER(Dictionaries!$B:$B,Dictionaries!$A:$A="??????????"),FILTER(Dictionaries!$C:$C,Dictionaries!$A:$A="??????????"))),IF($C65="","",MIN($C65/40,1)),IF($D65="","",XLOOKUP($D65,FILTER(Dictionaries!$B:$B,Dictionaries!$A:$A="????"),FILTER(Dictionaries!$C:$C,Dictionaries!$A:$A="????"))),IF($E65="","",MIN($E65/120,1)),IF(OR($F65&lt;&gt;"",$G65&lt;&gt;""),1,""),IF($H65="","",MIN($H65/100,1)),IF($L65="","",XLOOKUP($L65,FILTER(Dictionaries!$B:$B,Dictionaries!$A:$A="???_????"),FILTER(Dictionaries!$C:$C,Dictionaries!$A:$A="???_????"))),IF($M65="","",XLOOKUP($M65,FILTER(Dictionaries!$B:$B,Dictionaries!$A:$A="?????"),FILTER(Dictionaries!$C:$C,Dictionaries!$A:$A="?????"))),IF($N65="","",MIN($N65/100,1)),IF($O65="","",XLOOKUP($O65,FILTER(Dictionaries!$B:$B,Dictionaries!$A:$A="??????????"),FILTER(Dictionaries!$C:$C,Dictionaries!$A:$A="??????????"))),IF($P65="","",XLOOKUP($P65,FILTER(Dictionaries!$B:$B,Dictionaries!$A:$A="???????"),FILTER(Dictionaries!$C:$C,Dictionaries!$A:$A="???????"))),IF($U65="","",LET(t,IF(OR($B65="????",$B65="????"),"train","rest"),k,$U65,p,$V65,f,$W65,c,$X65,k_s,IF(t="train",IF(k="","",IFS(AND(k&gt;=1900,k&lt;=2050),1,AND(k&gt;=1850,k&lt;1900),0.7,AND(k&gt;2050,k&lt;=2100),0.7,TRUE,0.2)),IF(k="","",IFS(AND(k&gt;=1700,k&lt;=1850),1,AND(k&gt;=1650,k&lt;1700),0.7,AND(k&gt;1850,k&lt;=1900),0.7,TRUE,0.2))),p_s,IF(t="train",IF(p="","",IFS(AND(p&gt;=125,p&lt;=135),1,AND(p&gt;=115,p&lt;125),0.7,AND(p&gt;135,p&lt;=145),0.7,AND(p&gt;=105,p&lt;115),0.4,AND(p&gt;145,p&lt;=155),0.4,TRUE,0.2)),IF(p="","",IFS(AND(p&gt;=120,p&lt;=130),1,AND(p&gt;=110,p&lt;120),0.7,AND(p&gt;130,p&lt;=140),0.7,AND(p&gt;=100,p&lt;110),0.4,AND(p&gt;140,p&lt;=150),0.4,TRUE,0.2))),f_s,IF(f="","",IFS(AND(f&gt;=55,f&lt;=65),1,AND(f&gt;=50,f&lt;55),0.7,AND(f&gt;65,f&lt;=70),0.7,AND(f&gt;=45,f&lt;50),0.4,AND(f&gt;70,f&lt;=75),0.4,TRUE,0.2)),c_s,IF(t="train",IF(c="","",IFS(AND(c&gt;=180,c&lt;=210),1,AND(c&gt;=160,c&lt;180),0.7,AND(c&gt;210,c&lt;=230),0.7,AND(c&gt;=140,c&lt;160),0.4,AND(c&gt;230,c&lt;=250),0.4,TRUE,0.2)),IF(c="","",IFS(AND(c&gt;=140,c&lt;=170),1,AND(c&gt;=120,c&lt;140),0.7,AND(c&gt;170,c&lt;=190),0.7,AND(c&gt;=100,c&lt;120),0.4,AND(c&gt;190,c&lt;=210),0.4,TRUE,0.2))),AVERAGE(k_s,p_s,f_s,c_s)))),1),""))</f>
        <v/>
      </c>
      <c r="Z65">
        <f>IF($A65="","",TEXTJOIN(", ",TRUE,IF($B65="","??????????",""),IF($C65="","??????",""),IF($D65="","????",""),IF($E65="","??????????",""),IF($F65="","???-?????",""),IF($G65="","???-????",""),IF($H65="","??????",""),IF($L65="","???",""),IF($M65="","?????",""),IF($N65="","??????????????",""),IF($O65="","??????????",""),IF($P65="","???????",""),IF($U65="","???","")))</f>
        <v/>
      </c>
    </row>
    <row r="66">
      <c r="A66" s="2" t="n">
        <v>739712</v>
      </c>
      <c r="J66">
        <f>IF(A66="","",SUMIF(FoodLog!$A:$A,A66,FoodLog!$I:$I))</f>
        <v/>
      </c>
      <c r="K66">
        <f>IF(A66="","",SUMIF(FoodLog!$A:$A,A66,FoodLog!$F:$F))</f>
        <v/>
      </c>
      <c r="L66">
        <f>IF(A66="","",SUMIF(FoodLog!$A:$A,A66,FoodLog!$G:$G))</f>
        <v/>
      </c>
      <c r="M66">
        <f>IF(A66="","",SUMIF(FoodLog!$A:$A,A66,FoodLog!$H:$H))</f>
        <v/>
      </c>
      <c r="N66">
        <f>LET(train,B66,cardio,C66,steps,D66,sleep,E66,reg,F66,prod,I66,kcal,J66,p,K66,w_train,0.22,w_steps,0.18,w_sleep,0.20,w_reg,0.10,w_food,0.18,w_prod,0.12,s_train,IF(train="Верх",1,IF(train="Ноги",1,IF(train="Отдых",0.6,IF(train="Пропустил",0.2,0)))),s_steps,IF(steps="15k+",1,IF(steps="12-15k",0.9,IF(steps="10-12k",0.8,IF(steps="7-10k",0.6,IF(steps="5-7k",0.4,IF(steps="&lt;5k",0.2,0)))))),s_sleep,IF(sleep="&gt;8",0.9,IF(sleep="6-8",1,IF(sleep="&lt;6",0.2,0))),s_reg,IF(reg="Не сбит",1,IF(reg="Сбит",0.3,0)),s_food,IF(AND(kcal&gt;0,p&gt;0),MIN(1, (p/120))*0.6 + MIN(1, MAX(0,1-ABS(kcal-2200)/600))*0.4,0),s_prod,IF(prod="100%",1,IF(prod="75%",0.8,IF(prod="50%",0.6,IF(prod="25%",0.35,IF(prod="0%",0.1,0)))),ROUND(100*(w_train*s_train + w_steps*s_steps + w_sleep*s_sleep + w_reg*s_reg + w_food*s_food + w_prod*s_prod),0))</f>
        <v/>
      </c>
      <c r="O66">
        <f>TEXTJOIN(", ",TRUE,IF(B66="","тренировка",""),IF(D66="","шаги",""),IF(E66="","сон",""),IF(F66="","режим",""),IF(G66="","настроение",""),IF(H66="","энергия",""),IF(I66="","продуктивность",""),IF(J66="","еда (ккал)",""))</f>
        <v/>
      </c>
      <c r="U66">
        <f>IF($A66="","",IF(SUMIF(FoodLog!$A:$A,$A66,FoodLog!$I:$I)=0,"",SUMIF(FoodLog!$A:$A,$A66,FoodLog!$I:$I)))</f>
        <v/>
      </c>
      <c r="V66">
        <f>IF($A66="","",IF(SUMIF(FoodLog!$A:$A,$A66,FoodLog!$F:$F)=0,"",SUMIF(FoodLog!$A:$A,$A66,FoodLog!$F:$F)))</f>
        <v/>
      </c>
      <c r="W66">
        <f>IF($A66="","",IF(SUMIF(FoodLog!$A:$A,$A66,FoodLog!$G:$G)=0,"",SUMIF(FoodLog!$A:$A,$A66,FoodLog!$G:$G)))</f>
        <v/>
      </c>
      <c r="X66">
        <f>IF($A66="","",IF(SUMIF(FoodLog!$A:$A,$A66,FoodLog!$H:$H)=0,"",SUMIF(FoodLog!$A:$A,$A66,FoodLog!$H:$H)))</f>
        <v/>
      </c>
      <c r="Y66">
        <f>IF($A66="","",IFERROR(ROUND(100*AVERAGE(IF($B66="","",XLOOKUP($B66,FILTER(Dictionaries!$B:$B,Dictionaries!$A:$A="??????????"),FILTER(Dictionaries!$C:$C,Dictionaries!$A:$A="??????????"))),IF($C66="","",MIN($C66/40,1)),IF($D66="","",XLOOKUP($D66,FILTER(Dictionaries!$B:$B,Dictionaries!$A:$A="????"),FILTER(Dictionaries!$C:$C,Dictionaries!$A:$A="????"))),IF($E66="","",MIN($E66/120,1)),IF(OR($F66&lt;&gt;"",$G66&lt;&gt;""),1,""),IF($H66="","",MIN($H66/100,1)),IF($L66="","",XLOOKUP($L66,FILTER(Dictionaries!$B:$B,Dictionaries!$A:$A="???_????"),FILTER(Dictionaries!$C:$C,Dictionaries!$A:$A="???_????"))),IF($M66="","",XLOOKUP($M66,FILTER(Dictionaries!$B:$B,Dictionaries!$A:$A="?????"),FILTER(Dictionaries!$C:$C,Dictionaries!$A:$A="?????"))),IF($N66="","",MIN($N66/100,1)),IF($O66="","",XLOOKUP($O66,FILTER(Dictionaries!$B:$B,Dictionaries!$A:$A="??????????"),FILTER(Dictionaries!$C:$C,Dictionaries!$A:$A="??????????"))),IF($P66="","",XLOOKUP($P66,FILTER(Dictionaries!$B:$B,Dictionaries!$A:$A="???????"),FILTER(Dictionaries!$C:$C,Dictionaries!$A:$A="???????"))),IF($U66="","",LET(t,IF(OR($B66="????",$B66="????"),"train","rest"),k,$U66,p,$V66,f,$W66,c,$X66,k_s,IF(t="train",IF(k="","",IFS(AND(k&gt;=1900,k&lt;=2050),1,AND(k&gt;=1850,k&lt;1900),0.7,AND(k&gt;2050,k&lt;=2100),0.7,TRUE,0.2)),IF(k="","",IFS(AND(k&gt;=1700,k&lt;=1850),1,AND(k&gt;=1650,k&lt;1700),0.7,AND(k&gt;1850,k&lt;=1900),0.7,TRUE,0.2))),p_s,IF(t="train",IF(p="","",IFS(AND(p&gt;=125,p&lt;=135),1,AND(p&gt;=115,p&lt;125),0.7,AND(p&gt;135,p&lt;=145),0.7,AND(p&gt;=105,p&lt;115),0.4,AND(p&gt;145,p&lt;=155),0.4,TRUE,0.2)),IF(p="","",IFS(AND(p&gt;=120,p&lt;=130),1,AND(p&gt;=110,p&lt;120),0.7,AND(p&gt;130,p&lt;=140),0.7,AND(p&gt;=100,p&lt;110),0.4,AND(p&gt;140,p&lt;=150),0.4,TRUE,0.2))),f_s,IF(f="","",IFS(AND(f&gt;=55,f&lt;=65),1,AND(f&gt;=50,f&lt;55),0.7,AND(f&gt;65,f&lt;=70),0.7,AND(f&gt;=45,f&lt;50),0.4,AND(f&gt;70,f&lt;=75),0.4,TRUE,0.2)),c_s,IF(t="train",IF(c="","",IFS(AND(c&gt;=180,c&lt;=210),1,AND(c&gt;=160,c&lt;180),0.7,AND(c&gt;210,c&lt;=230),0.7,AND(c&gt;=140,c&lt;160),0.4,AND(c&gt;230,c&lt;=250),0.4,TRUE,0.2)),IF(c="","",IFS(AND(c&gt;=140,c&lt;=170),1,AND(c&gt;=120,c&lt;140),0.7,AND(c&gt;170,c&lt;=190),0.7,AND(c&gt;=100,c&lt;120),0.4,AND(c&gt;190,c&lt;=210),0.4,TRUE,0.2))),AVERAGE(k_s,p_s,f_s,c_s)))),1),""))</f>
        <v/>
      </c>
      <c r="Z66">
        <f>IF($A66="","",TEXTJOIN(", ",TRUE,IF($B66="","??????????",""),IF($C66="","??????",""),IF($D66="","????",""),IF($E66="","??????????",""),IF($F66="","???-?????",""),IF($G66="","???-????",""),IF($H66="","??????",""),IF($L66="","???",""),IF($M66="","?????",""),IF($N66="","??????????????",""),IF($O66="","??????????",""),IF($P66="","???????",""),IF($U66="","???","")))</f>
        <v/>
      </c>
    </row>
    <row r="67">
      <c r="A67" s="2" t="n">
        <v>739713</v>
      </c>
      <c r="J67">
        <f>IF(A67="","",SUMIF(FoodLog!$A:$A,A67,FoodLog!$I:$I))</f>
        <v/>
      </c>
      <c r="K67">
        <f>IF(A67="","",SUMIF(FoodLog!$A:$A,A67,FoodLog!$F:$F))</f>
        <v/>
      </c>
      <c r="L67">
        <f>IF(A67="","",SUMIF(FoodLog!$A:$A,A67,FoodLog!$G:$G))</f>
        <v/>
      </c>
      <c r="M67">
        <f>IF(A67="","",SUMIF(FoodLog!$A:$A,A67,FoodLog!$H:$H))</f>
        <v/>
      </c>
      <c r="N67">
        <f>LET(train,B67,cardio,C67,steps,D67,sleep,E67,reg,F67,prod,I67,kcal,J67,p,K67,w_train,0.22,w_steps,0.18,w_sleep,0.20,w_reg,0.10,w_food,0.18,w_prod,0.12,s_train,IF(train="Верх",1,IF(train="Ноги",1,IF(train="Отдых",0.6,IF(train="Пропустил",0.2,0)))),s_steps,IF(steps="15k+",1,IF(steps="12-15k",0.9,IF(steps="10-12k",0.8,IF(steps="7-10k",0.6,IF(steps="5-7k",0.4,IF(steps="&lt;5k",0.2,0)))))),s_sleep,IF(sleep="&gt;8",0.9,IF(sleep="6-8",1,IF(sleep="&lt;6",0.2,0))),s_reg,IF(reg="Не сбит",1,IF(reg="Сбит",0.3,0)),s_food,IF(AND(kcal&gt;0,p&gt;0),MIN(1, (p/120))*0.6 + MIN(1, MAX(0,1-ABS(kcal-2200)/600))*0.4,0),s_prod,IF(prod="100%",1,IF(prod="75%",0.8,IF(prod="50%",0.6,IF(prod="25%",0.35,IF(prod="0%",0.1,0)))),ROUND(100*(w_train*s_train + w_steps*s_steps + w_sleep*s_sleep + w_reg*s_reg + w_food*s_food + w_prod*s_prod),0))</f>
        <v/>
      </c>
      <c r="O67">
        <f>TEXTJOIN(", ",TRUE,IF(B67="","тренировка",""),IF(D67="","шаги",""),IF(E67="","сон",""),IF(F67="","режим",""),IF(G67="","настроение",""),IF(H67="","энергия",""),IF(I67="","продуктивность",""),IF(J67="","еда (ккал)",""))</f>
        <v/>
      </c>
      <c r="U67">
        <f>IF($A67="","",IF(SUMIF(FoodLog!$A:$A,$A67,FoodLog!$I:$I)=0,"",SUMIF(FoodLog!$A:$A,$A67,FoodLog!$I:$I)))</f>
        <v/>
      </c>
      <c r="V67">
        <f>IF($A67="","",IF(SUMIF(FoodLog!$A:$A,$A67,FoodLog!$F:$F)=0,"",SUMIF(FoodLog!$A:$A,$A67,FoodLog!$F:$F)))</f>
        <v/>
      </c>
      <c r="W67">
        <f>IF($A67="","",IF(SUMIF(FoodLog!$A:$A,$A67,FoodLog!$G:$G)=0,"",SUMIF(FoodLog!$A:$A,$A67,FoodLog!$G:$G)))</f>
        <v/>
      </c>
      <c r="X67">
        <f>IF($A67="","",IF(SUMIF(FoodLog!$A:$A,$A67,FoodLog!$H:$H)=0,"",SUMIF(FoodLog!$A:$A,$A67,FoodLog!$H:$H)))</f>
        <v/>
      </c>
      <c r="Y67">
        <f>IF($A67="","",IFERROR(ROUND(100*AVERAGE(IF($B67="","",XLOOKUP($B67,FILTER(Dictionaries!$B:$B,Dictionaries!$A:$A="??????????"),FILTER(Dictionaries!$C:$C,Dictionaries!$A:$A="??????????"))),IF($C67="","",MIN($C67/40,1)),IF($D67="","",XLOOKUP($D67,FILTER(Dictionaries!$B:$B,Dictionaries!$A:$A="????"),FILTER(Dictionaries!$C:$C,Dictionaries!$A:$A="????"))),IF($E67="","",MIN($E67/120,1)),IF(OR($F67&lt;&gt;"",$G67&lt;&gt;""),1,""),IF($H67="","",MIN($H67/100,1)),IF($L67="","",XLOOKUP($L67,FILTER(Dictionaries!$B:$B,Dictionaries!$A:$A="???_????"),FILTER(Dictionaries!$C:$C,Dictionaries!$A:$A="???_????"))),IF($M67="","",XLOOKUP($M67,FILTER(Dictionaries!$B:$B,Dictionaries!$A:$A="?????"),FILTER(Dictionaries!$C:$C,Dictionaries!$A:$A="?????"))),IF($N67="","",MIN($N67/100,1)),IF($O67="","",XLOOKUP($O67,FILTER(Dictionaries!$B:$B,Dictionaries!$A:$A="??????????"),FILTER(Dictionaries!$C:$C,Dictionaries!$A:$A="??????????"))),IF($P67="","",XLOOKUP($P67,FILTER(Dictionaries!$B:$B,Dictionaries!$A:$A="???????"),FILTER(Dictionaries!$C:$C,Dictionaries!$A:$A="???????"))),IF($U67="","",LET(t,IF(OR($B67="????",$B67="????"),"train","rest"),k,$U67,p,$V67,f,$W67,c,$X67,k_s,IF(t="train",IF(k="","",IFS(AND(k&gt;=1900,k&lt;=2050),1,AND(k&gt;=1850,k&lt;1900),0.7,AND(k&gt;2050,k&lt;=2100),0.7,TRUE,0.2)),IF(k="","",IFS(AND(k&gt;=1700,k&lt;=1850),1,AND(k&gt;=1650,k&lt;1700),0.7,AND(k&gt;1850,k&lt;=1900),0.7,TRUE,0.2))),p_s,IF(t="train",IF(p="","",IFS(AND(p&gt;=125,p&lt;=135),1,AND(p&gt;=115,p&lt;125),0.7,AND(p&gt;135,p&lt;=145),0.7,AND(p&gt;=105,p&lt;115),0.4,AND(p&gt;145,p&lt;=155),0.4,TRUE,0.2)),IF(p="","",IFS(AND(p&gt;=120,p&lt;=130),1,AND(p&gt;=110,p&lt;120),0.7,AND(p&gt;130,p&lt;=140),0.7,AND(p&gt;=100,p&lt;110),0.4,AND(p&gt;140,p&lt;=150),0.4,TRUE,0.2))),f_s,IF(f="","",IFS(AND(f&gt;=55,f&lt;=65),1,AND(f&gt;=50,f&lt;55),0.7,AND(f&gt;65,f&lt;=70),0.7,AND(f&gt;=45,f&lt;50),0.4,AND(f&gt;70,f&lt;=75),0.4,TRUE,0.2)),c_s,IF(t="train",IF(c="","",IFS(AND(c&gt;=180,c&lt;=210),1,AND(c&gt;=160,c&lt;180),0.7,AND(c&gt;210,c&lt;=230),0.7,AND(c&gt;=140,c&lt;160),0.4,AND(c&gt;230,c&lt;=250),0.4,TRUE,0.2)),IF(c="","",IFS(AND(c&gt;=140,c&lt;=170),1,AND(c&gt;=120,c&lt;140),0.7,AND(c&gt;170,c&lt;=190),0.7,AND(c&gt;=100,c&lt;120),0.4,AND(c&gt;190,c&lt;=210),0.4,TRUE,0.2))),AVERAGE(k_s,p_s,f_s,c_s)))),1),""))</f>
        <v/>
      </c>
      <c r="Z67">
        <f>IF($A67="","",TEXTJOIN(", ",TRUE,IF($B67="","??????????",""),IF($C67="","??????",""),IF($D67="","????",""),IF($E67="","??????????",""),IF($F67="","???-?????",""),IF($G67="","???-????",""),IF($H67="","??????",""),IF($L67="","???",""),IF($M67="","?????",""),IF($N67="","??????????????",""),IF($O67="","??????????",""),IF($P67="","???????",""),IF($U67="","???","")))</f>
        <v/>
      </c>
    </row>
    <row r="68">
      <c r="A68" s="2" t="n">
        <v>739714</v>
      </c>
      <c r="J68">
        <f>IF(A68="","",SUMIF(FoodLog!$A:$A,A68,FoodLog!$I:$I))</f>
        <v/>
      </c>
      <c r="K68">
        <f>IF(A68="","",SUMIF(FoodLog!$A:$A,A68,FoodLog!$F:$F))</f>
        <v/>
      </c>
      <c r="L68">
        <f>IF(A68="","",SUMIF(FoodLog!$A:$A,A68,FoodLog!$G:$G))</f>
        <v/>
      </c>
      <c r="M68">
        <f>IF(A68="","",SUMIF(FoodLog!$A:$A,A68,FoodLog!$H:$H))</f>
        <v/>
      </c>
      <c r="N68">
        <f>LET(train,B68,cardio,C68,steps,D68,sleep,E68,reg,F68,prod,I68,kcal,J68,p,K68,w_train,0.22,w_steps,0.18,w_sleep,0.20,w_reg,0.10,w_food,0.18,w_prod,0.12,s_train,IF(train="Верх",1,IF(train="Ноги",1,IF(train="Отдых",0.6,IF(train="Пропустил",0.2,0)))),s_steps,IF(steps="15k+",1,IF(steps="12-15k",0.9,IF(steps="10-12k",0.8,IF(steps="7-10k",0.6,IF(steps="5-7k",0.4,IF(steps="&lt;5k",0.2,0)))))),s_sleep,IF(sleep="&gt;8",0.9,IF(sleep="6-8",1,IF(sleep="&lt;6",0.2,0))),s_reg,IF(reg="Не сбит",1,IF(reg="Сбит",0.3,0)),s_food,IF(AND(kcal&gt;0,p&gt;0),MIN(1, (p/120))*0.6 + MIN(1, MAX(0,1-ABS(kcal-2200)/600))*0.4,0),s_prod,IF(prod="100%",1,IF(prod="75%",0.8,IF(prod="50%",0.6,IF(prod="25%",0.35,IF(prod="0%",0.1,0)))),ROUND(100*(w_train*s_train + w_steps*s_steps + w_sleep*s_sleep + w_reg*s_reg + w_food*s_food + w_prod*s_prod),0))</f>
        <v/>
      </c>
      <c r="O68">
        <f>TEXTJOIN(", ",TRUE,IF(B68="","тренировка",""),IF(D68="","шаги",""),IF(E68="","сон",""),IF(F68="","режим",""),IF(G68="","настроение",""),IF(H68="","энергия",""),IF(I68="","продуктивность",""),IF(J68="","еда (ккал)",""))</f>
        <v/>
      </c>
      <c r="U68">
        <f>IF($A68="","",IF(SUMIF(FoodLog!$A:$A,$A68,FoodLog!$I:$I)=0,"",SUMIF(FoodLog!$A:$A,$A68,FoodLog!$I:$I)))</f>
        <v/>
      </c>
      <c r="V68">
        <f>IF($A68="","",IF(SUMIF(FoodLog!$A:$A,$A68,FoodLog!$F:$F)=0,"",SUMIF(FoodLog!$A:$A,$A68,FoodLog!$F:$F)))</f>
        <v/>
      </c>
      <c r="W68">
        <f>IF($A68="","",IF(SUMIF(FoodLog!$A:$A,$A68,FoodLog!$G:$G)=0,"",SUMIF(FoodLog!$A:$A,$A68,FoodLog!$G:$G)))</f>
        <v/>
      </c>
      <c r="X68">
        <f>IF($A68="","",IF(SUMIF(FoodLog!$A:$A,$A68,FoodLog!$H:$H)=0,"",SUMIF(FoodLog!$A:$A,$A68,FoodLog!$H:$H)))</f>
        <v/>
      </c>
      <c r="Y68">
        <f>IF($A68="","",IFERROR(ROUND(100*AVERAGE(IF($B68="","",XLOOKUP($B68,FILTER(Dictionaries!$B:$B,Dictionaries!$A:$A="??????????"),FILTER(Dictionaries!$C:$C,Dictionaries!$A:$A="??????????"))),IF($C68="","",MIN($C68/40,1)),IF($D68="","",XLOOKUP($D68,FILTER(Dictionaries!$B:$B,Dictionaries!$A:$A="????"),FILTER(Dictionaries!$C:$C,Dictionaries!$A:$A="????"))),IF($E68="","",MIN($E68/120,1)),IF(OR($F68&lt;&gt;"",$G68&lt;&gt;""),1,""),IF($H68="","",MIN($H68/100,1)),IF($L68="","",XLOOKUP($L68,FILTER(Dictionaries!$B:$B,Dictionaries!$A:$A="???_????"),FILTER(Dictionaries!$C:$C,Dictionaries!$A:$A="???_????"))),IF($M68="","",XLOOKUP($M68,FILTER(Dictionaries!$B:$B,Dictionaries!$A:$A="?????"),FILTER(Dictionaries!$C:$C,Dictionaries!$A:$A="?????"))),IF($N68="","",MIN($N68/100,1)),IF($O68="","",XLOOKUP($O68,FILTER(Dictionaries!$B:$B,Dictionaries!$A:$A="??????????"),FILTER(Dictionaries!$C:$C,Dictionaries!$A:$A="??????????"))),IF($P68="","",XLOOKUP($P68,FILTER(Dictionaries!$B:$B,Dictionaries!$A:$A="???????"),FILTER(Dictionaries!$C:$C,Dictionaries!$A:$A="???????"))),IF($U68="","",LET(t,IF(OR($B68="????",$B68="????"),"train","rest"),k,$U68,p,$V68,f,$W68,c,$X68,k_s,IF(t="train",IF(k="","",IFS(AND(k&gt;=1900,k&lt;=2050),1,AND(k&gt;=1850,k&lt;1900),0.7,AND(k&gt;2050,k&lt;=2100),0.7,TRUE,0.2)),IF(k="","",IFS(AND(k&gt;=1700,k&lt;=1850),1,AND(k&gt;=1650,k&lt;1700),0.7,AND(k&gt;1850,k&lt;=1900),0.7,TRUE,0.2))),p_s,IF(t="train",IF(p="","",IFS(AND(p&gt;=125,p&lt;=135),1,AND(p&gt;=115,p&lt;125),0.7,AND(p&gt;135,p&lt;=145),0.7,AND(p&gt;=105,p&lt;115),0.4,AND(p&gt;145,p&lt;=155),0.4,TRUE,0.2)),IF(p="","",IFS(AND(p&gt;=120,p&lt;=130),1,AND(p&gt;=110,p&lt;120),0.7,AND(p&gt;130,p&lt;=140),0.7,AND(p&gt;=100,p&lt;110),0.4,AND(p&gt;140,p&lt;=150),0.4,TRUE,0.2))),f_s,IF(f="","",IFS(AND(f&gt;=55,f&lt;=65),1,AND(f&gt;=50,f&lt;55),0.7,AND(f&gt;65,f&lt;=70),0.7,AND(f&gt;=45,f&lt;50),0.4,AND(f&gt;70,f&lt;=75),0.4,TRUE,0.2)),c_s,IF(t="train",IF(c="","",IFS(AND(c&gt;=180,c&lt;=210),1,AND(c&gt;=160,c&lt;180),0.7,AND(c&gt;210,c&lt;=230),0.7,AND(c&gt;=140,c&lt;160),0.4,AND(c&gt;230,c&lt;=250),0.4,TRUE,0.2)),IF(c="","",IFS(AND(c&gt;=140,c&lt;=170),1,AND(c&gt;=120,c&lt;140),0.7,AND(c&gt;170,c&lt;=190),0.7,AND(c&gt;=100,c&lt;120),0.4,AND(c&gt;190,c&lt;=210),0.4,TRUE,0.2))),AVERAGE(k_s,p_s,f_s,c_s)))),1),""))</f>
        <v/>
      </c>
      <c r="Z68">
        <f>IF($A68="","",TEXTJOIN(", ",TRUE,IF($B68="","??????????",""),IF($C68="","??????",""),IF($D68="","????",""),IF($E68="","??????????",""),IF($F68="","???-?????",""),IF($G68="","???-????",""),IF($H68="","??????",""),IF($L68="","???",""),IF($M68="","?????",""),IF($N68="","??????????????",""),IF($O68="","??????????",""),IF($P68="","???????",""),IF($U68="","???","")))</f>
        <v/>
      </c>
    </row>
    <row r="69">
      <c r="A69" s="2" t="n">
        <v>739715</v>
      </c>
      <c r="J69">
        <f>IF(A69="","",SUMIF(FoodLog!$A:$A,A69,FoodLog!$I:$I))</f>
        <v/>
      </c>
      <c r="K69">
        <f>IF(A69="","",SUMIF(FoodLog!$A:$A,A69,FoodLog!$F:$F))</f>
        <v/>
      </c>
      <c r="L69">
        <f>IF(A69="","",SUMIF(FoodLog!$A:$A,A69,FoodLog!$G:$G))</f>
        <v/>
      </c>
      <c r="M69">
        <f>IF(A69="","",SUMIF(FoodLog!$A:$A,A69,FoodLog!$H:$H))</f>
        <v/>
      </c>
      <c r="N69">
        <f>LET(train,B69,cardio,C69,steps,D69,sleep,E69,reg,F69,prod,I69,kcal,J69,p,K69,w_train,0.22,w_steps,0.18,w_sleep,0.20,w_reg,0.10,w_food,0.18,w_prod,0.12,s_train,IF(train="Верх",1,IF(train="Ноги",1,IF(train="Отдых",0.6,IF(train="Пропустил",0.2,0)))),s_steps,IF(steps="15k+",1,IF(steps="12-15k",0.9,IF(steps="10-12k",0.8,IF(steps="7-10k",0.6,IF(steps="5-7k",0.4,IF(steps="&lt;5k",0.2,0)))))),s_sleep,IF(sleep="&gt;8",0.9,IF(sleep="6-8",1,IF(sleep="&lt;6",0.2,0))),s_reg,IF(reg="Не сбит",1,IF(reg="Сбит",0.3,0)),s_food,IF(AND(kcal&gt;0,p&gt;0),MIN(1, (p/120))*0.6 + MIN(1, MAX(0,1-ABS(kcal-2200)/600))*0.4,0),s_prod,IF(prod="100%",1,IF(prod="75%",0.8,IF(prod="50%",0.6,IF(prod="25%",0.35,IF(prod="0%",0.1,0)))),ROUND(100*(w_train*s_train + w_steps*s_steps + w_sleep*s_sleep + w_reg*s_reg + w_food*s_food + w_prod*s_prod),0))</f>
        <v/>
      </c>
      <c r="O69">
        <f>TEXTJOIN(", ",TRUE,IF(B69="","тренировка",""),IF(D69="","шаги",""),IF(E69="","сон",""),IF(F69="","режим",""),IF(G69="","настроение",""),IF(H69="","энергия",""),IF(I69="","продуктивность",""),IF(J69="","еда (ккал)",""))</f>
        <v/>
      </c>
      <c r="U69">
        <f>IF($A69="","",IF(SUMIF(FoodLog!$A:$A,$A69,FoodLog!$I:$I)=0,"",SUMIF(FoodLog!$A:$A,$A69,FoodLog!$I:$I)))</f>
        <v/>
      </c>
      <c r="V69">
        <f>IF($A69="","",IF(SUMIF(FoodLog!$A:$A,$A69,FoodLog!$F:$F)=0,"",SUMIF(FoodLog!$A:$A,$A69,FoodLog!$F:$F)))</f>
        <v/>
      </c>
      <c r="W69">
        <f>IF($A69="","",IF(SUMIF(FoodLog!$A:$A,$A69,FoodLog!$G:$G)=0,"",SUMIF(FoodLog!$A:$A,$A69,FoodLog!$G:$G)))</f>
        <v/>
      </c>
      <c r="X69">
        <f>IF($A69="","",IF(SUMIF(FoodLog!$A:$A,$A69,FoodLog!$H:$H)=0,"",SUMIF(FoodLog!$A:$A,$A69,FoodLog!$H:$H)))</f>
        <v/>
      </c>
      <c r="Y69">
        <f>IF($A69="","",IFERROR(ROUND(100*AVERAGE(IF($B69="","",XLOOKUP($B69,FILTER(Dictionaries!$B:$B,Dictionaries!$A:$A="??????????"),FILTER(Dictionaries!$C:$C,Dictionaries!$A:$A="??????????"))),IF($C69="","",MIN($C69/40,1)),IF($D69="","",XLOOKUP($D69,FILTER(Dictionaries!$B:$B,Dictionaries!$A:$A="????"),FILTER(Dictionaries!$C:$C,Dictionaries!$A:$A="????"))),IF($E69="","",MIN($E69/120,1)),IF(OR($F69&lt;&gt;"",$G69&lt;&gt;""),1,""),IF($H69="","",MIN($H69/100,1)),IF($L69="","",XLOOKUP($L69,FILTER(Dictionaries!$B:$B,Dictionaries!$A:$A="???_????"),FILTER(Dictionaries!$C:$C,Dictionaries!$A:$A="???_????"))),IF($M69="","",XLOOKUP($M69,FILTER(Dictionaries!$B:$B,Dictionaries!$A:$A="?????"),FILTER(Dictionaries!$C:$C,Dictionaries!$A:$A="?????"))),IF($N69="","",MIN($N69/100,1)),IF($O69="","",XLOOKUP($O69,FILTER(Dictionaries!$B:$B,Dictionaries!$A:$A="??????????"),FILTER(Dictionaries!$C:$C,Dictionaries!$A:$A="??????????"))),IF($P69="","",XLOOKUP($P69,FILTER(Dictionaries!$B:$B,Dictionaries!$A:$A="???????"),FILTER(Dictionaries!$C:$C,Dictionaries!$A:$A="???????"))),IF($U69="","",LET(t,IF(OR($B69="????",$B69="????"),"train","rest"),k,$U69,p,$V69,f,$W69,c,$X69,k_s,IF(t="train",IF(k="","",IFS(AND(k&gt;=1900,k&lt;=2050),1,AND(k&gt;=1850,k&lt;1900),0.7,AND(k&gt;2050,k&lt;=2100),0.7,TRUE,0.2)),IF(k="","",IFS(AND(k&gt;=1700,k&lt;=1850),1,AND(k&gt;=1650,k&lt;1700),0.7,AND(k&gt;1850,k&lt;=1900),0.7,TRUE,0.2))),p_s,IF(t="train",IF(p="","",IFS(AND(p&gt;=125,p&lt;=135),1,AND(p&gt;=115,p&lt;125),0.7,AND(p&gt;135,p&lt;=145),0.7,AND(p&gt;=105,p&lt;115),0.4,AND(p&gt;145,p&lt;=155),0.4,TRUE,0.2)),IF(p="","",IFS(AND(p&gt;=120,p&lt;=130),1,AND(p&gt;=110,p&lt;120),0.7,AND(p&gt;130,p&lt;=140),0.7,AND(p&gt;=100,p&lt;110),0.4,AND(p&gt;140,p&lt;=150),0.4,TRUE,0.2))),f_s,IF(f="","",IFS(AND(f&gt;=55,f&lt;=65),1,AND(f&gt;=50,f&lt;55),0.7,AND(f&gt;65,f&lt;=70),0.7,AND(f&gt;=45,f&lt;50),0.4,AND(f&gt;70,f&lt;=75),0.4,TRUE,0.2)),c_s,IF(t="train",IF(c="","",IFS(AND(c&gt;=180,c&lt;=210),1,AND(c&gt;=160,c&lt;180),0.7,AND(c&gt;210,c&lt;=230),0.7,AND(c&gt;=140,c&lt;160),0.4,AND(c&gt;230,c&lt;=250),0.4,TRUE,0.2)),IF(c="","",IFS(AND(c&gt;=140,c&lt;=170),1,AND(c&gt;=120,c&lt;140),0.7,AND(c&gt;170,c&lt;=190),0.7,AND(c&gt;=100,c&lt;120),0.4,AND(c&gt;190,c&lt;=210),0.4,TRUE,0.2))),AVERAGE(k_s,p_s,f_s,c_s)))),1),""))</f>
        <v/>
      </c>
      <c r="Z69">
        <f>IF($A69="","",TEXTJOIN(", ",TRUE,IF($B69="","??????????",""),IF($C69="","??????",""),IF($D69="","????",""),IF($E69="","??????????",""),IF($F69="","???-?????",""),IF($G69="","???-????",""),IF($H69="","??????",""),IF($L69="","???",""),IF($M69="","?????",""),IF($N69="","??????????????",""),IF($O69="","??????????",""),IF($P69="","???????",""),IF($U69="","???","")))</f>
        <v/>
      </c>
    </row>
    <row r="70">
      <c r="A70" s="2" t="n">
        <v>739716</v>
      </c>
      <c r="J70">
        <f>IF(A70="","",SUMIF(FoodLog!$A:$A,A70,FoodLog!$I:$I))</f>
        <v/>
      </c>
      <c r="K70">
        <f>IF(A70="","",SUMIF(FoodLog!$A:$A,A70,FoodLog!$F:$F))</f>
        <v/>
      </c>
      <c r="L70">
        <f>IF(A70="","",SUMIF(FoodLog!$A:$A,A70,FoodLog!$G:$G))</f>
        <v/>
      </c>
      <c r="M70">
        <f>IF(A70="","",SUMIF(FoodLog!$A:$A,A70,FoodLog!$H:$H))</f>
        <v/>
      </c>
      <c r="N70">
        <f>LET(train,B70,cardio,C70,steps,D70,sleep,E70,reg,F70,prod,I70,kcal,J70,p,K70,w_train,0.22,w_steps,0.18,w_sleep,0.20,w_reg,0.10,w_food,0.18,w_prod,0.12,s_train,IF(train="Верх",1,IF(train="Ноги",1,IF(train="Отдых",0.6,IF(train="Пропустил",0.2,0)))),s_steps,IF(steps="15k+",1,IF(steps="12-15k",0.9,IF(steps="10-12k",0.8,IF(steps="7-10k",0.6,IF(steps="5-7k",0.4,IF(steps="&lt;5k",0.2,0)))))),s_sleep,IF(sleep="&gt;8",0.9,IF(sleep="6-8",1,IF(sleep="&lt;6",0.2,0))),s_reg,IF(reg="Не сбит",1,IF(reg="Сбит",0.3,0)),s_food,IF(AND(kcal&gt;0,p&gt;0),MIN(1, (p/120))*0.6 + MIN(1, MAX(0,1-ABS(kcal-2200)/600))*0.4,0),s_prod,IF(prod="100%",1,IF(prod="75%",0.8,IF(prod="50%",0.6,IF(prod="25%",0.35,IF(prod="0%",0.1,0)))),ROUND(100*(w_train*s_train + w_steps*s_steps + w_sleep*s_sleep + w_reg*s_reg + w_food*s_food + w_prod*s_prod),0))</f>
        <v/>
      </c>
      <c r="O70">
        <f>TEXTJOIN(", ",TRUE,IF(B70="","тренировка",""),IF(D70="","шаги",""),IF(E70="","сон",""),IF(F70="","режим",""),IF(G70="","настроение",""),IF(H70="","энергия",""),IF(I70="","продуктивность",""),IF(J70="","еда (ккал)",""))</f>
        <v/>
      </c>
      <c r="U70">
        <f>IF($A70="","",IF(SUMIF(FoodLog!$A:$A,$A70,FoodLog!$I:$I)=0,"",SUMIF(FoodLog!$A:$A,$A70,FoodLog!$I:$I)))</f>
        <v/>
      </c>
      <c r="V70">
        <f>IF($A70="","",IF(SUMIF(FoodLog!$A:$A,$A70,FoodLog!$F:$F)=0,"",SUMIF(FoodLog!$A:$A,$A70,FoodLog!$F:$F)))</f>
        <v/>
      </c>
      <c r="W70">
        <f>IF($A70="","",IF(SUMIF(FoodLog!$A:$A,$A70,FoodLog!$G:$G)=0,"",SUMIF(FoodLog!$A:$A,$A70,FoodLog!$G:$G)))</f>
        <v/>
      </c>
      <c r="X70">
        <f>IF($A70="","",IF(SUMIF(FoodLog!$A:$A,$A70,FoodLog!$H:$H)=0,"",SUMIF(FoodLog!$A:$A,$A70,FoodLog!$H:$H)))</f>
        <v/>
      </c>
      <c r="Y70">
        <f>IF($A70="","",IFERROR(ROUND(100*AVERAGE(IF($B70="","",XLOOKUP($B70,FILTER(Dictionaries!$B:$B,Dictionaries!$A:$A="??????????"),FILTER(Dictionaries!$C:$C,Dictionaries!$A:$A="??????????"))),IF($C70="","",MIN($C70/40,1)),IF($D70="","",XLOOKUP($D70,FILTER(Dictionaries!$B:$B,Dictionaries!$A:$A="????"),FILTER(Dictionaries!$C:$C,Dictionaries!$A:$A="????"))),IF($E70="","",MIN($E70/120,1)),IF(OR($F70&lt;&gt;"",$G70&lt;&gt;""),1,""),IF($H70="","",MIN($H70/100,1)),IF($L70="","",XLOOKUP($L70,FILTER(Dictionaries!$B:$B,Dictionaries!$A:$A="???_????"),FILTER(Dictionaries!$C:$C,Dictionaries!$A:$A="???_????"))),IF($M70="","",XLOOKUP($M70,FILTER(Dictionaries!$B:$B,Dictionaries!$A:$A="?????"),FILTER(Dictionaries!$C:$C,Dictionaries!$A:$A="?????"))),IF($N70="","",MIN($N70/100,1)),IF($O70="","",XLOOKUP($O70,FILTER(Dictionaries!$B:$B,Dictionaries!$A:$A="??????????"),FILTER(Dictionaries!$C:$C,Dictionaries!$A:$A="??????????"))),IF($P70="","",XLOOKUP($P70,FILTER(Dictionaries!$B:$B,Dictionaries!$A:$A="???????"),FILTER(Dictionaries!$C:$C,Dictionaries!$A:$A="???????"))),IF($U70="","",LET(t,IF(OR($B70="????",$B70="????"),"train","rest"),k,$U70,p,$V70,f,$W70,c,$X70,k_s,IF(t="train",IF(k="","",IFS(AND(k&gt;=1900,k&lt;=2050),1,AND(k&gt;=1850,k&lt;1900),0.7,AND(k&gt;2050,k&lt;=2100),0.7,TRUE,0.2)),IF(k="","",IFS(AND(k&gt;=1700,k&lt;=1850),1,AND(k&gt;=1650,k&lt;1700),0.7,AND(k&gt;1850,k&lt;=1900),0.7,TRUE,0.2))),p_s,IF(t="train",IF(p="","",IFS(AND(p&gt;=125,p&lt;=135),1,AND(p&gt;=115,p&lt;125),0.7,AND(p&gt;135,p&lt;=145),0.7,AND(p&gt;=105,p&lt;115),0.4,AND(p&gt;145,p&lt;=155),0.4,TRUE,0.2)),IF(p="","",IFS(AND(p&gt;=120,p&lt;=130),1,AND(p&gt;=110,p&lt;120),0.7,AND(p&gt;130,p&lt;=140),0.7,AND(p&gt;=100,p&lt;110),0.4,AND(p&gt;140,p&lt;=150),0.4,TRUE,0.2))),f_s,IF(f="","",IFS(AND(f&gt;=55,f&lt;=65),1,AND(f&gt;=50,f&lt;55),0.7,AND(f&gt;65,f&lt;=70),0.7,AND(f&gt;=45,f&lt;50),0.4,AND(f&gt;70,f&lt;=75),0.4,TRUE,0.2)),c_s,IF(t="train",IF(c="","",IFS(AND(c&gt;=180,c&lt;=210),1,AND(c&gt;=160,c&lt;180),0.7,AND(c&gt;210,c&lt;=230),0.7,AND(c&gt;=140,c&lt;160),0.4,AND(c&gt;230,c&lt;=250),0.4,TRUE,0.2)),IF(c="","",IFS(AND(c&gt;=140,c&lt;=170),1,AND(c&gt;=120,c&lt;140),0.7,AND(c&gt;170,c&lt;=190),0.7,AND(c&gt;=100,c&lt;120),0.4,AND(c&gt;190,c&lt;=210),0.4,TRUE,0.2))),AVERAGE(k_s,p_s,f_s,c_s)))),1),""))</f>
        <v/>
      </c>
      <c r="Z70">
        <f>IF($A70="","",TEXTJOIN(", ",TRUE,IF($B70="","??????????",""),IF($C70="","??????",""),IF($D70="","????",""),IF($E70="","??????????",""),IF($F70="","???-?????",""),IF($G70="","???-????",""),IF($H70="","??????",""),IF($L70="","???",""),IF($M70="","?????",""),IF($N70="","??????????????",""),IF($O70="","??????????",""),IF($P70="","???????",""),IF($U70="","???","")))</f>
        <v/>
      </c>
    </row>
    <row r="71">
      <c r="A71" s="2" t="n">
        <v>739717</v>
      </c>
      <c r="J71">
        <f>IF(A71="","",SUMIF(FoodLog!$A:$A,A71,FoodLog!$I:$I))</f>
        <v/>
      </c>
      <c r="K71">
        <f>IF(A71="","",SUMIF(FoodLog!$A:$A,A71,FoodLog!$F:$F))</f>
        <v/>
      </c>
      <c r="L71">
        <f>IF(A71="","",SUMIF(FoodLog!$A:$A,A71,FoodLog!$G:$G))</f>
        <v/>
      </c>
      <c r="M71">
        <f>IF(A71="","",SUMIF(FoodLog!$A:$A,A71,FoodLog!$H:$H))</f>
        <v/>
      </c>
      <c r="N71">
        <f>LET(train,B71,cardio,C71,steps,D71,sleep,E71,reg,F71,prod,I71,kcal,J71,p,K71,w_train,0.22,w_steps,0.18,w_sleep,0.20,w_reg,0.10,w_food,0.18,w_prod,0.12,s_train,IF(train="Верх",1,IF(train="Ноги",1,IF(train="Отдых",0.6,IF(train="Пропустил",0.2,0)))),s_steps,IF(steps="15k+",1,IF(steps="12-15k",0.9,IF(steps="10-12k",0.8,IF(steps="7-10k",0.6,IF(steps="5-7k",0.4,IF(steps="&lt;5k",0.2,0)))))),s_sleep,IF(sleep="&gt;8",0.9,IF(sleep="6-8",1,IF(sleep="&lt;6",0.2,0))),s_reg,IF(reg="Не сбит",1,IF(reg="Сбит",0.3,0)),s_food,IF(AND(kcal&gt;0,p&gt;0),MIN(1, (p/120))*0.6 + MIN(1, MAX(0,1-ABS(kcal-2200)/600))*0.4,0),s_prod,IF(prod="100%",1,IF(prod="75%",0.8,IF(prod="50%",0.6,IF(prod="25%",0.35,IF(prod="0%",0.1,0)))),ROUND(100*(w_train*s_train + w_steps*s_steps + w_sleep*s_sleep + w_reg*s_reg + w_food*s_food + w_prod*s_prod),0))</f>
        <v/>
      </c>
      <c r="O71">
        <f>TEXTJOIN(", ",TRUE,IF(B71="","тренировка",""),IF(D71="","шаги",""),IF(E71="","сон",""),IF(F71="","режим",""),IF(G71="","настроение",""),IF(H71="","энергия",""),IF(I71="","продуктивность",""),IF(J71="","еда (ккал)",""))</f>
        <v/>
      </c>
      <c r="U71">
        <f>IF($A71="","",IF(SUMIF(FoodLog!$A:$A,$A71,FoodLog!$I:$I)=0,"",SUMIF(FoodLog!$A:$A,$A71,FoodLog!$I:$I)))</f>
        <v/>
      </c>
      <c r="V71">
        <f>IF($A71="","",IF(SUMIF(FoodLog!$A:$A,$A71,FoodLog!$F:$F)=0,"",SUMIF(FoodLog!$A:$A,$A71,FoodLog!$F:$F)))</f>
        <v/>
      </c>
      <c r="W71">
        <f>IF($A71="","",IF(SUMIF(FoodLog!$A:$A,$A71,FoodLog!$G:$G)=0,"",SUMIF(FoodLog!$A:$A,$A71,FoodLog!$G:$G)))</f>
        <v/>
      </c>
      <c r="X71">
        <f>IF($A71="","",IF(SUMIF(FoodLog!$A:$A,$A71,FoodLog!$H:$H)=0,"",SUMIF(FoodLog!$A:$A,$A71,FoodLog!$H:$H)))</f>
        <v/>
      </c>
      <c r="Y71">
        <f>IF($A71="","",IFERROR(ROUND(100*AVERAGE(IF($B71="","",XLOOKUP($B71,FILTER(Dictionaries!$B:$B,Dictionaries!$A:$A="??????????"),FILTER(Dictionaries!$C:$C,Dictionaries!$A:$A="??????????"))),IF($C71="","",MIN($C71/40,1)),IF($D71="","",XLOOKUP($D71,FILTER(Dictionaries!$B:$B,Dictionaries!$A:$A="????"),FILTER(Dictionaries!$C:$C,Dictionaries!$A:$A="????"))),IF($E71="","",MIN($E71/120,1)),IF(OR($F71&lt;&gt;"",$G71&lt;&gt;""),1,""),IF($H71="","",MIN($H71/100,1)),IF($L71="","",XLOOKUP($L71,FILTER(Dictionaries!$B:$B,Dictionaries!$A:$A="???_????"),FILTER(Dictionaries!$C:$C,Dictionaries!$A:$A="???_????"))),IF($M71="","",XLOOKUP($M71,FILTER(Dictionaries!$B:$B,Dictionaries!$A:$A="?????"),FILTER(Dictionaries!$C:$C,Dictionaries!$A:$A="?????"))),IF($N71="","",MIN($N71/100,1)),IF($O71="","",XLOOKUP($O71,FILTER(Dictionaries!$B:$B,Dictionaries!$A:$A="??????????"),FILTER(Dictionaries!$C:$C,Dictionaries!$A:$A="??????????"))),IF($P71="","",XLOOKUP($P71,FILTER(Dictionaries!$B:$B,Dictionaries!$A:$A="???????"),FILTER(Dictionaries!$C:$C,Dictionaries!$A:$A="???????"))),IF($U71="","",LET(t,IF(OR($B71="????",$B71="????"),"train","rest"),k,$U71,p,$V71,f,$W71,c,$X71,k_s,IF(t="train",IF(k="","",IFS(AND(k&gt;=1900,k&lt;=2050),1,AND(k&gt;=1850,k&lt;1900),0.7,AND(k&gt;2050,k&lt;=2100),0.7,TRUE,0.2)),IF(k="","",IFS(AND(k&gt;=1700,k&lt;=1850),1,AND(k&gt;=1650,k&lt;1700),0.7,AND(k&gt;1850,k&lt;=1900),0.7,TRUE,0.2))),p_s,IF(t="train",IF(p="","",IFS(AND(p&gt;=125,p&lt;=135),1,AND(p&gt;=115,p&lt;125),0.7,AND(p&gt;135,p&lt;=145),0.7,AND(p&gt;=105,p&lt;115),0.4,AND(p&gt;145,p&lt;=155),0.4,TRUE,0.2)),IF(p="","",IFS(AND(p&gt;=120,p&lt;=130),1,AND(p&gt;=110,p&lt;120),0.7,AND(p&gt;130,p&lt;=140),0.7,AND(p&gt;=100,p&lt;110),0.4,AND(p&gt;140,p&lt;=150),0.4,TRUE,0.2))),f_s,IF(f="","",IFS(AND(f&gt;=55,f&lt;=65),1,AND(f&gt;=50,f&lt;55),0.7,AND(f&gt;65,f&lt;=70),0.7,AND(f&gt;=45,f&lt;50),0.4,AND(f&gt;70,f&lt;=75),0.4,TRUE,0.2)),c_s,IF(t="train",IF(c="","",IFS(AND(c&gt;=180,c&lt;=210),1,AND(c&gt;=160,c&lt;180),0.7,AND(c&gt;210,c&lt;=230),0.7,AND(c&gt;=140,c&lt;160),0.4,AND(c&gt;230,c&lt;=250),0.4,TRUE,0.2)),IF(c="","",IFS(AND(c&gt;=140,c&lt;=170),1,AND(c&gt;=120,c&lt;140),0.7,AND(c&gt;170,c&lt;=190),0.7,AND(c&gt;=100,c&lt;120),0.4,AND(c&gt;190,c&lt;=210),0.4,TRUE,0.2))),AVERAGE(k_s,p_s,f_s,c_s)))),1),""))</f>
        <v/>
      </c>
      <c r="Z71">
        <f>IF($A71="","",TEXTJOIN(", ",TRUE,IF($B71="","??????????",""),IF($C71="","??????",""),IF($D71="","????",""),IF($E71="","??????????",""),IF($F71="","???-?????",""),IF($G71="","???-????",""),IF($H71="","??????",""),IF($L71="","???",""),IF($M71="","?????",""),IF($N71="","??????????????",""),IF($O71="","??????????",""),IF($P71="","???????",""),IF($U71="","???","")))</f>
        <v/>
      </c>
    </row>
    <row r="72">
      <c r="A72" s="2" t="n">
        <v>739718</v>
      </c>
      <c r="J72">
        <f>IF(A72="","",SUMIF(FoodLog!$A:$A,A72,FoodLog!$I:$I))</f>
        <v/>
      </c>
      <c r="K72">
        <f>IF(A72="","",SUMIF(FoodLog!$A:$A,A72,FoodLog!$F:$F))</f>
        <v/>
      </c>
      <c r="L72">
        <f>IF(A72="","",SUMIF(FoodLog!$A:$A,A72,FoodLog!$G:$G))</f>
        <v/>
      </c>
      <c r="M72">
        <f>IF(A72="","",SUMIF(FoodLog!$A:$A,A72,FoodLog!$H:$H))</f>
        <v/>
      </c>
      <c r="N72">
        <f>LET(train,B72,cardio,C72,steps,D72,sleep,E72,reg,F72,prod,I72,kcal,J72,p,K72,w_train,0.22,w_steps,0.18,w_sleep,0.20,w_reg,0.10,w_food,0.18,w_prod,0.12,s_train,IF(train="Верх",1,IF(train="Ноги",1,IF(train="Отдых",0.6,IF(train="Пропустил",0.2,0)))),s_steps,IF(steps="15k+",1,IF(steps="12-15k",0.9,IF(steps="10-12k",0.8,IF(steps="7-10k",0.6,IF(steps="5-7k",0.4,IF(steps="&lt;5k",0.2,0)))))),s_sleep,IF(sleep="&gt;8",0.9,IF(sleep="6-8",1,IF(sleep="&lt;6",0.2,0))),s_reg,IF(reg="Не сбит",1,IF(reg="Сбит",0.3,0)),s_food,IF(AND(kcal&gt;0,p&gt;0),MIN(1, (p/120))*0.6 + MIN(1, MAX(0,1-ABS(kcal-2200)/600))*0.4,0),s_prod,IF(prod="100%",1,IF(prod="75%",0.8,IF(prod="50%",0.6,IF(prod="25%",0.35,IF(prod="0%",0.1,0)))),ROUND(100*(w_train*s_train + w_steps*s_steps + w_sleep*s_sleep + w_reg*s_reg + w_food*s_food + w_prod*s_prod),0))</f>
        <v/>
      </c>
      <c r="O72">
        <f>TEXTJOIN(", ",TRUE,IF(B72="","тренировка",""),IF(D72="","шаги",""),IF(E72="","сон",""),IF(F72="","режим",""),IF(G72="","настроение",""),IF(H72="","энергия",""),IF(I72="","продуктивность",""),IF(J72="","еда (ккал)",""))</f>
        <v/>
      </c>
      <c r="U72">
        <f>IF($A72="","",IF(SUMIF(FoodLog!$A:$A,$A72,FoodLog!$I:$I)=0,"",SUMIF(FoodLog!$A:$A,$A72,FoodLog!$I:$I)))</f>
        <v/>
      </c>
      <c r="V72">
        <f>IF($A72="","",IF(SUMIF(FoodLog!$A:$A,$A72,FoodLog!$F:$F)=0,"",SUMIF(FoodLog!$A:$A,$A72,FoodLog!$F:$F)))</f>
        <v/>
      </c>
      <c r="W72">
        <f>IF($A72="","",IF(SUMIF(FoodLog!$A:$A,$A72,FoodLog!$G:$G)=0,"",SUMIF(FoodLog!$A:$A,$A72,FoodLog!$G:$G)))</f>
        <v/>
      </c>
      <c r="X72">
        <f>IF($A72="","",IF(SUMIF(FoodLog!$A:$A,$A72,FoodLog!$H:$H)=0,"",SUMIF(FoodLog!$A:$A,$A72,FoodLog!$H:$H)))</f>
        <v/>
      </c>
      <c r="Y72">
        <f>IF($A72="","",IFERROR(ROUND(100*AVERAGE(IF($B72="","",XLOOKUP($B72,FILTER(Dictionaries!$B:$B,Dictionaries!$A:$A="??????????"),FILTER(Dictionaries!$C:$C,Dictionaries!$A:$A="??????????"))),IF($C72="","",MIN($C72/40,1)),IF($D72="","",XLOOKUP($D72,FILTER(Dictionaries!$B:$B,Dictionaries!$A:$A="????"),FILTER(Dictionaries!$C:$C,Dictionaries!$A:$A="????"))),IF($E72="","",MIN($E72/120,1)),IF(OR($F72&lt;&gt;"",$G72&lt;&gt;""),1,""),IF($H72="","",MIN($H72/100,1)),IF($L72="","",XLOOKUP($L72,FILTER(Dictionaries!$B:$B,Dictionaries!$A:$A="???_????"),FILTER(Dictionaries!$C:$C,Dictionaries!$A:$A="???_????"))),IF($M72="","",XLOOKUP($M72,FILTER(Dictionaries!$B:$B,Dictionaries!$A:$A="?????"),FILTER(Dictionaries!$C:$C,Dictionaries!$A:$A="?????"))),IF($N72="","",MIN($N72/100,1)),IF($O72="","",XLOOKUP($O72,FILTER(Dictionaries!$B:$B,Dictionaries!$A:$A="??????????"),FILTER(Dictionaries!$C:$C,Dictionaries!$A:$A="??????????"))),IF($P72="","",XLOOKUP($P72,FILTER(Dictionaries!$B:$B,Dictionaries!$A:$A="???????"),FILTER(Dictionaries!$C:$C,Dictionaries!$A:$A="???????"))),IF($U72="","",LET(t,IF(OR($B72="????",$B72="????"),"train","rest"),k,$U72,p,$V72,f,$W72,c,$X72,k_s,IF(t="train",IF(k="","",IFS(AND(k&gt;=1900,k&lt;=2050),1,AND(k&gt;=1850,k&lt;1900),0.7,AND(k&gt;2050,k&lt;=2100),0.7,TRUE,0.2)),IF(k="","",IFS(AND(k&gt;=1700,k&lt;=1850),1,AND(k&gt;=1650,k&lt;1700),0.7,AND(k&gt;1850,k&lt;=1900),0.7,TRUE,0.2))),p_s,IF(t="train",IF(p="","",IFS(AND(p&gt;=125,p&lt;=135),1,AND(p&gt;=115,p&lt;125),0.7,AND(p&gt;135,p&lt;=145),0.7,AND(p&gt;=105,p&lt;115),0.4,AND(p&gt;145,p&lt;=155),0.4,TRUE,0.2)),IF(p="","",IFS(AND(p&gt;=120,p&lt;=130),1,AND(p&gt;=110,p&lt;120),0.7,AND(p&gt;130,p&lt;=140),0.7,AND(p&gt;=100,p&lt;110),0.4,AND(p&gt;140,p&lt;=150),0.4,TRUE,0.2))),f_s,IF(f="","",IFS(AND(f&gt;=55,f&lt;=65),1,AND(f&gt;=50,f&lt;55),0.7,AND(f&gt;65,f&lt;=70),0.7,AND(f&gt;=45,f&lt;50),0.4,AND(f&gt;70,f&lt;=75),0.4,TRUE,0.2)),c_s,IF(t="train",IF(c="","",IFS(AND(c&gt;=180,c&lt;=210),1,AND(c&gt;=160,c&lt;180),0.7,AND(c&gt;210,c&lt;=230),0.7,AND(c&gt;=140,c&lt;160),0.4,AND(c&gt;230,c&lt;=250),0.4,TRUE,0.2)),IF(c="","",IFS(AND(c&gt;=140,c&lt;=170),1,AND(c&gt;=120,c&lt;140),0.7,AND(c&gt;170,c&lt;=190),0.7,AND(c&gt;=100,c&lt;120),0.4,AND(c&gt;190,c&lt;=210),0.4,TRUE,0.2))),AVERAGE(k_s,p_s,f_s,c_s)))),1),""))</f>
        <v/>
      </c>
      <c r="Z72">
        <f>IF($A72="","",TEXTJOIN(", ",TRUE,IF($B72="","??????????",""),IF($C72="","??????",""),IF($D72="","????",""),IF($E72="","??????????",""),IF($F72="","???-?????",""),IF($G72="","???-????",""),IF($H72="","??????",""),IF($L72="","???",""),IF($M72="","?????",""),IF($N72="","??????????????",""),IF($O72="","??????????",""),IF($P72="","???????",""),IF($U72="","???","")))</f>
        <v/>
      </c>
    </row>
    <row r="73">
      <c r="A73" s="2" t="n">
        <v>739719</v>
      </c>
      <c r="J73">
        <f>IF(A73="","",SUMIF(FoodLog!$A:$A,A73,FoodLog!$I:$I))</f>
        <v/>
      </c>
      <c r="K73">
        <f>IF(A73="","",SUMIF(FoodLog!$A:$A,A73,FoodLog!$F:$F))</f>
        <v/>
      </c>
      <c r="L73">
        <f>IF(A73="","",SUMIF(FoodLog!$A:$A,A73,FoodLog!$G:$G))</f>
        <v/>
      </c>
      <c r="M73">
        <f>IF(A73="","",SUMIF(FoodLog!$A:$A,A73,FoodLog!$H:$H))</f>
        <v/>
      </c>
      <c r="N73">
        <f>LET(train,B73,cardio,C73,steps,D73,sleep,E73,reg,F73,prod,I73,kcal,J73,p,K73,w_train,0.22,w_steps,0.18,w_sleep,0.20,w_reg,0.10,w_food,0.18,w_prod,0.12,s_train,IF(train="Верх",1,IF(train="Ноги",1,IF(train="Отдых",0.6,IF(train="Пропустил",0.2,0)))),s_steps,IF(steps="15k+",1,IF(steps="12-15k",0.9,IF(steps="10-12k",0.8,IF(steps="7-10k",0.6,IF(steps="5-7k",0.4,IF(steps="&lt;5k",0.2,0)))))),s_sleep,IF(sleep="&gt;8",0.9,IF(sleep="6-8",1,IF(sleep="&lt;6",0.2,0))),s_reg,IF(reg="Не сбит",1,IF(reg="Сбит",0.3,0)),s_food,IF(AND(kcal&gt;0,p&gt;0),MIN(1, (p/120))*0.6 + MIN(1, MAX(0,1-ABS(kcal-2200)/600))*0.4,0),s_prod,IF(prod="100%",1,IF(prod="75%",0.8,IF(prod="50%",0.6,IF(prod="25%",0.35,IF(prod="0%",0.1,0)))),ROUND(100*(w_train*s_train + w_steps*s_steps + w_sleep*s_sleep + w_reg*s_reg + w_food*s_food + w_prod*s_prod),0))</f>
        <v/>
      </c>
      <c r="O73">
        <f>TEXTJOIN(", ",TRUE,IF(B73="","тренировка",""),IF(D73="","шаги",""),IF(E73="","сон",""),IF(F73="","режим",""),IF(G73="","настроение",""),IF(H73="","энергия",""),IF(I73="","продуктивность",""),IF(J73="","еда (ккал)",""))</f>
        <v/>
      </c>
      <c r="U73">
        <f>IF($A73="","",IF(SUMIF(FoodLog!$A:$A,$A73,FoodLog!$I:$I)=0,"",SUMIF(FoodLog!$A:$A,$A73,FoodLog!$I:$I)))</f>
        <v/>
      </c>
      <c r="V73">
        <f>IF($A73="","",IF(SUMIF(FoodLog!$A:$A,$A73,FoodLog!$F:$F)=0,"",SUMIF(FoodLog!$A:$A,$A73,FoodLog!$F:$F)))</f>
        <v/>
      </c>
      <c r="W73">
        <f>IF($A73="","",IF(SUMIF(FoodLog!$A:$A,$A73,FoodLog!$G:$G)=0,"",SUMIF(FoodLog!$A:$A,$A73,FoodLog!$G:$G)))</f>
        <v/>
      </c>
      <c r="X73">
        <f>IF($A73="","",IF(SUMIF(FoodLog!$A:$A,$A73,FoodLog!$H:$H)=0,"",SUMIF(FoodLog!$A:$A,$A73,FoodLog!$H:$H)))</f>
        <v/>
      </c>
      <c r="Y73">
        <f>IF($A73="","",IFERROR(ROUND(100*AVERAGE(IF($B73="","",XLOOKUP($B73,FILTER(Dictionaries!$B:$B,Dictionaries!$A:$A="??????????"),FILTER(Dictionaries!$C:$C,Dictionaries!$A:$A="??????????"))),IF($C73="","",MIN($C73/40,1)),IF($D73="","",XLOOKUP($D73,FILTER(Dictionaries!$B:$B,Dictionaries!$A:$A="????"),FILTER(Dictionaries!$C:$C,Dictionaries!$A:$A="????"))),IF($E73="","",MIN($E73/120,1)),IF(OR($F73&lt;&gt;"",$G73&lt;&gt;""),1,""),IF($H73="","",MIN($H73/100,1)),IF($L73="","",XLOOKUP($L73,FILTER(Dictionaries!$B:$B,Dictionaries!$A:$A="???_????"),FILTER(Dictionaries!$C:$C,Dictionaries!$A:$A="???_????"))),IF($M73="","",XLOOKUP($M73,FILTER(Dictionaries!$B:$B,Dictionaries!$A:$A="?????"),FILTER(Dictionaries!$C:$C,Dictionaries!$A:$A="?????"))),IF($N73="","",MIN($N73/100,1)),IF($O73="","",XLOOKUP($O73,FILTER(Dictionaries!$B:$B,Dictionaries!$A:$A="??????????"),FILTER(Dictionaries!$C:$C,Dictionaries!$A:$A="??????????"))),IF($P73="","",XLOOKUP($P73,FILTER(Dictionaries!$B:$B,Dictionaries!$A:$A="???????"),FILTER(Dictionaries!$C:$C,Dictionaries!$A:$A="???????"))),IF($U73="","",LET(t,IF(OR($B73="????",$B73="????"),"train","rest"),k,$U73,p,$V73,f,$W73,c,$X73,k_s,IF(t="train",IF(k="","",IFS(AND(k&gt;=1900,k&lt;=2050),1,AND(k&gt;=1850,k&lt;1900),0.7,AND(k&gt;2050,k&lt;=2100),0.7,TRUE,0.2)),IF(k="","",IFS(AND(k&gt;=1700,k&lt;=1850),1,AND(k&gt;=1650,k&lt;1700),0.7,AND(k&gt;1850,k&lt;=1900),0.7,TRUE,0.2))),p_s,IF(t="train",IF(p="","",IFS(AND(p&gt;=125,p&lt;=135),1,AND(p&gt;=115,p&lt;125),0.7,AND(p&gt;135,p&lt;=145),0.7,AND(p&gt;=105,p&lt;115),0.4,AND(p&gt;145,p&lt;=155),0.4,TRUE,0.2)),IF(p="","",IFS(AND(p&gt;=120,p&lt;=130),1,AND(p&gt;=110,p&lt;120),0.7,AND(p&gt;130,p&lt;=140),0.7,AND(p&gt;=100,p&lt;110),0.4,AND(p&gt;140,p&lt;=150),0.4,TRUE,0.2))),f_s,IF(f="","",IFS(AND(f&gt;=55,f&lt;=65),1,AND(f&gt;=50,f&lt;55),0.7,AND(f&gt;65,f&lt;=70),0.7,AND(f&gt;=45,f&lt;50),0.4,AND(f&gt;70,f&lt;=75),0.4,TRUE,0.2)),c_s,IF(t="train",IF(c="","",IFS(AND(c&gt;=180,c&lt;=210),1,AND(c&gt;=160,c&lt;180),0.7,AND(c&gt;210,c&lt;=230),0.7,AND(c&gt;=140,c&lt;160),0.4,AND(c&gt;230,c&lt;=250),0.4,TRUE,0.2)),IF(c="","",IFS(AND(c&gt;=140,c&lt;=170),1,AND(c&gt;=120,c&lt;140),0.7,AND(c&gt;170,c&lt;=190),0.7,AND(c&gt;=100,c&lt;120),0.4,AND(c&gt;190,c&lt;=210),0.4,TRUE,0.2))),AVERAGE(k_s,p_s,f_s,c_s)))),1),""))</f>
        <v/>
      </c>
      <c r="Z73">
        <f>IF($A73="","",TEXTJOIN(", ",TRUE,IF($B73="","??????????",""),IF($C73="","??????",""),IF($D73="","????",""),IF($E73="","??????????",""),IF($F73="","???-?????",""),IF($G73="","???-????",""),IF($H73="","??????",""),IF($L73="","???",""),IF($M73="","?????",""),IF($N73="","??????????????",""),IF($O73="","??????????",""),IF($P73="","???????",""),IF($U73="","???","")))</f>
        <v/>
      </c>
    </row>
    <row r="74">
      <c r="A74" s="2" t="n">
        <v>739720</v>
      </c>
      <c r="J74">
        <f>IF(A74="","",SUMIF(FoodLog!$A:$A,A74,FoodLog!$I:$I))</f>
        <v/>
      </c>
      <c r="K74">
        <f>IF(A74="","",SUMIF(FoodLog!$A:$A,A74,FoodLog!$F:$F))</f>
        <v/>
      </c>
      <c r="L74">
        <f>IF(A74="","",SUMIF(FoodLog!$A:$A,A74,FoodLog!$G:$G))</f>
        <v/>
      </c>
      <c r="M74">
        <f>IF(A74="","",SUMIF(FoodLog!$A:$A,A74,FoodLog!$H:$H))</f>
        <v/>
      </c>
      <c r="N74">
        <f>LET(train,B74,cardio,C74,steps,D74,sleep,E74,reg,F74,prod,I74,kcal,J74,p,K74,w_train,0.22,w_steps,0.18,w_sleep,0.20,w_reg,0.10,w_food,0.18,w_prod,0.12,s_train,IF(train="Верх",1,IF(train="Ноги",1,IF(train="Отдых",0.6,IF(train="Пропустил",0.2,0)))),s_steps,IF(steps="15k+",1,IF(steps="12-15k",0.9,IF(steps="10-12k",0.8,IF(steps="7-10k",0.6,IF(steps="5-7k",0.4,IF(steps="&lt;5k",0.2,0)))))),s_sleep,IF(sleep="&gt;8",0.9,IF(sleep="6-8",1,IF(sleep="&lt;6",0.2,0))),s_reg,IF(reg="Не сбит",1,IF(reg="Сбит",0.3,0)),s_food,IF(AND(kcal&gt;0,p&gt;0),MIN(1, (p/120))*0.6 + MIN(1, MAX(0,1-ABS(kcal-2200)/600))*0.4,0),s_prod,IF(prod="100%",1,IF(prod="75%",0.8,IF(prod="50%",0.6,IF(prod="25%",0.35,IF(prod="0%",0.1,0)))),ROUND(100*(w_train*s_train + w_steps*s_steps + w_sleep*s_sleep + w_reg*s_reg + w_food*s_food + w_prod*s_prod),0))</f>
        <v/>
      </c>
      <c r="O74">
        <f>TEXTJOIN(", ",TRUE,IF(B74="","тренировка",""),IF(D74="","шаги",""),IF(E74="","сон",""),IF(F74="","режим",""),IF(G74="","настроение",""),IF(H74="","энергия",""),IF(I74="","продуктивность",""),IF(J74="","еда (ккал)",""))</f>
        <v/>
      </c>
      <c r="U74">
        <f>IF($A74="","",IF(SUMIF(FoodLog!$A:$A,$A74,FoodLog!$I:$I)=0,"",SUMIF(FoodLog!$A:$A,$A74,FoodLog!$I:$I)))</f>
        <v/>
      </c>
      <c r="V74">
        <f>IF($A74="","",IF(SUMIF(FoodLog!$A:$A,$A74,FoodLog!$F:$F)=0,"",SUMIF(FoodLog!$A:$A,$A74,FoodLog!$F:$F)))</f>
        <v/>
      </c>
      <c r="W74">
        <f>IF($A74="","",IF(SUMIF(FoodLog!$A:$A,$A74,FoodLog!$G:$G)=0,"",SUMIF(FoodLog!$A:$A,$A74,FoodLog!$G:$G)))</f>
        <v/>
      </c>
      <c r="X74">
        <f>IF($A74="","",IF(SUMIF(FoodLog!$A:$A,$A74,FoodLog!$H:$H)=0,"",SUMIF(FoodLog!$A:$A,$A74,FoodLog!$H:$H)))</f>
        <v/>
      </c>
      <c r="Y74">
        <f>IF($A74="","",IFERROR(ROUND(100*AVERAGE(IF($B74="","",XLOOKUP($B74,FILTER(Dictionaries!$B:$B,Dictionaries!$A:$A="??????????"),FILTER(Dictionaries!$C:$C,Dictionaries!$A:$A="??????????"))),IF($C74="","",MIN($C74/40,1)),IF($D74="","",XLOOKUP($D74,FILTER(Dictionaries!$B:$B,Dictionaries!$A:$A="????"),FILTER(Dictionaries!$C:$C,Dictionaries!$A:$A="????"))),IF($E74="","",MIN($E74/120,1)),IF(OR($F74&lt;&gt;"",$G74&lt;&gt;""),1,""),IF($H74="","",MIN($H74/100,1)),IF($L74="","",XLOOKUP($L74,FILTER(Dictionaries!$B:$B,Dictionaries!$A:$A="???_????"),FILTER(Dictionaries!$C:$C,Dictionaries!$A:$A="???_????"))),IF($M74="","",XLOOKUP($M74,FILTER(Dictionaries!$B:$B,Dictionaries!$A:$A="?????"),FILTER(Dictionaries!$C:$C,Dictionaries!$A:$A="?????"))),IF($N74="","",MIN($N74/100,1)),IF($O74="","",XLOOKUP($O74,FILTER(Dictionaries!$B:$B,Dictionaries!$A:$A="??????????"),FILTER(Dictionaries!$C:$C,Dictionaries!$A:$A="??????????"))),IF($P74="","",XLOOKUP($P74,FILTER(Dictionaries!$B:$B,Dictionaries!$A:$A="???????"),FILTER(Dictionaries!$C:$C,Dictionaries!$A:$A="???????"))),IF($U74="","",LET(t,IF(OR($B74="????",$B74="????"),"train","rest"),k,$U74,p,$V74,f,$W74,c,$X74,k_s,IF(t="train",IF(k="","",IFS(AND(k&gt;=1900,k&lt;=2050),1,AND(k&gt;=1850,k&lt;1900),0.7,AND(k&gt;2050,k&lt;=2100),0.7,TRUE,0.2)),IF(k="","",IFS(AND(k&gt;=1700,k&lt;=1850),1,AND(k&gt;=1650,k&lt;1700),0.7,AND(k&gt;1850,k&lt;=1900),0.7,TRUE,0.2))),p_s,IF(t="train",IF(p="","",IFS(AND(p&gt;=125,p&lt;=135),1,AND(p&gt;=115,p&lt;125),0.7,AND(p&gt;135,p&lt;=145),0.7,AND(p&gt;=105,p&lt;115),0.4,AND(p&gt;145,p&lt;=155),0.4,TRUE,0.2)),IF(p="","",IFS(AND(p&gt;=120,p&lt;=130),1,AND(p&gt;=110,p&lt;120),0.7,AND(p&gt;130,p&lt;=140),0.7,AND(p&gt;=100,p&lt;110),0.4,AND(p&gt;140,p&lt;=150),0.4,TRUE,0.2))),f_s,IF(f="","",IFS(AND(f&gt;=55,f&lt;=65),1,AND(f&gt;=50,f&lt;55),0.7,AND(f&gt;65,f&lt;=70),0.7,AND(f&gt;=45,f&lt;50),0.4,AND(f&gt;70,f&lt;=75),0.4,TRUE,0.2)),c_s,IF(t="train",IF(c="","",IFS(AND(c&gt;=180,c&lt;=210),1,AND(c&gt;=160,c&lt;180),0.7,AND(c&gt;210,c&lt;=230),0.7,AND(c&gt;=140,c&lt;160),0.4,AND(c&gt;230,c&lt;=250),0.4,TRUE,0.2)),IF(c="","",IFS(AND(c&gt;=140,c&lt;=170),1,AND(c&gt;=120,c&lt;140),0.7,AND(c&gt;170,c&lt;=190),0.7,AND(c&gt;=100,c&lt;120),0.4,AND(c&gt;190,c&lt;=210),0.4,TRUE,0.2))),AVERAGE(k_s,p_s,f_s,c_s)))),1),""))</f>
        <v/>
      </c>
      <c r="Z74">
        <f>IF($A74="","",TEXTJOIN(", ",TRUE,IF($B74="","??????????",""),IF($C74="","??????",""),IF($D74="","????",""),IF($E74="","??????????",""),IF($F74="","???-?????",""),IF($G74="","???-????",""),IF($H74="","??????",""),IF($L74="","???",""),IF($M74="","?????",""),IF($N74="","??????????????",""),IF($O74="","??????????",""),IF($P74="","???????",""),IF($U74="","???","")))</f>
        <v/>
      </c>
    </row>
    <row r="75">
      <c r="A75" s="2" t="n">
        <v>739721</v>
      </c>
      <c r="J75">
        <f>IF(A75="","",SUMIF(FoodLog!$A:$A,A75,FoodLog!$I:$I))</f>
        <v/>
      </c>
      <c r="K75">
        <f>IF(A75="","",SUMIF(FoodLog!$A:$A,A75,FoodLog!$F:$F))</f>
        <v/>
      </c>
      <c r="L75">
        <f>IF(A75="","",SUMIF(FoodLog!$A:$A,A75,FoodLog!$G:$G))</f>
        <v/>
      </c>
      <c r="M75">
        <f>IF(A75="","",SUMIF(FoodLog!$A:$A,A75,FoodLog!$H:$H))</f>
        <v/>
      </c>
      <c r="N75">
        <f>LET(train,B75,cardio,C75,steps,D75,sleep,E75,reg,F75,prod,I75,kcal,J75,p,K75,w_train,0.22,w_steps,0.18,w_sleep,0.20,w_reg,0.10,w_food,0.18,w_prod,0.12,s_train,IF(train="Верх",1,IF(train="Ноги",1,IF(train="Отдых",0.6,IF(train="Пропустил",0.2,0)))),s_steps,IF(steps="15k+",1,IF(steps="12-15k",0.9,IF(steps="10-12k",0.8,IF(steps="7-10k",0.6,IF(steps="5-7k",0.4,IF(steps="&lt;5k",0.2,0)))))),s_sleep,IF(sleep="&gt;8",0.9,IF(sleep="6-8",1,IF(sleep="&lt;6",0.2,0))),s_reg,IF(reg="Не сбит",1,IF(reg="Сбит",0.3,0)),s_food,IF(AND(kcal&gt;0,p&gt;0),MIN(1, (p/120))*0.6 + MIN(1, MAX(0,1-ABS(kcal-2200)/600))*0.4,0),s_prod,IF(prod="100%",1,IF(prod="75%",0.8,IF(prod="50%",0.6,IF(prod="25%",0.35,IF(prod="0%",0.1,0)))),ROUND(100*(w_train*s_train + w_steps*s_steps + w_sleep*s_sleep + w_reg*s_reg + w_food*s_food + w_prod*s_prod),0))</f>
        <v/>
      </c>
      <c r="O75">
        <f>TEXTJOIN(", ",TRUE,IF(B75="","тренировка",""),IF(D75="","шаги",""),IF(E75="","сон",""),IF(F75="","режим",""),IF(G75="","настроение",""),IF(H75="","энергия",""),IF(I75="","продуктивность",""),IF(J75="","еда (ккал)",""))</f>
        <v/>
      </c>
      <c r="U75">
        <f>IF($A75="","",IF(SUMIF(FoodLog!$A:$A,$A75,FoodLog!$I:$I)=0,"",SUMIF(FoodLog!$A:$A,$A75,FoodLog!$I:$I)))</f>
        <v/>
      </c>
      <c r="V75">
        <f>IF($A75="","",IF(SUMIF(FoodLog!$A:$A,$A75,FoodLog!$F:$F)=0,"",SUMIF(FoodLog!$A:$A,$A75,FoodLog!$F:$F)))</f>
        <v/>
      </c>
      <c r="W75">
        <f>IF($A75="","",IF(SUMIF(FoodLog!$A:$A,$A75,FoodLog!$G:$G)=0,"",SUMIF(FoodLog!$A:$A,$A75,FoodLog!$G:$G)))</f>
        <v/>
      </c>
      <c r="X75">
        <f>IF($A75="","",IF(SUMIF(FoodLog!$A:$A,$A75,FoodLog!$H:$H)=0,"",SUMIF(FoodLog!$A:$A,$A75,FoodLog!$H:$H)))</f>
        <v/>
      </c>
      <c r="Y75">
        <f>IF($A75="","",IFERROR(ROUND(100*AVERAGE(IF($B75="","",XLOOKUP($B75,FILTER(Dictionaries!$B:$B,Dictionaries!$A:$A="??????????"),FILTER(Dictionaries!$C:$C,Dictionaries!$A:$A="??????????"))),IF($C75="","",MIN($C75/40,1)),IF($D75="","",XLOOKUP($D75,FILTER(Dictionaries!$B:$B,Dictionaries!$A:$A="????"),FILTER(Dictionaries!$C:$C,Dictionaries!$A:$A="????"))),IF($E75="","",MIN($E75/120,1)),IF(OR($F75&lt;&gt;"",$G75&lt;&gt;""),1,""),IF($H75="","",MIN($H75/100,1)),IF($L75="","",XLOOKUP($L75,FILTER(Dictionaries!$B:$B,Dictionaries!$A:$A="???_????"),FILTER(Dictionaries!$C:$C,Dictionaries!$A:$A="???_????"))),IF($M75="","",XLOOKUP($M75,FILTER(Dictionaries!$B:$B,Dictionaries!$A:$A="?????"),FILTER(Dictionaries!$C:$C,Dictionaries!$A:$A="?????"))),IF($N75="","",MIN($N75/100,1)),IF($O75="","",XLOOKUP($O75,FILTER(Dictionaries!$B:$B,Dictionaries!$A:$A="??????????"),FILTER(Dictionaries!$C:$C,Dictionaries!$A:$A="??????????"))),IF($P75="","",XLOOKUP($P75,FILTER(Dictionaries!$B:$B,Dictionaries!$A:$A="???????"),FILTER(Dictionaries!$C:$C,Dictionaries!$A:$A="???????"))),IF($U75="","",LET(t,IF(OR($B75="????",$B75="????"),"train","rest"),k,$U75,p,$V75,f,$W75,c,$X75,k_s,IF(t="train",IF(k="","",IFS(AND(k&gt;=1900,k&lt;=2050),1,AND(k&gt;=1850,k&lt;1900),0.7,AND(k&gt;2050,k&lt;=2100),0.7,TRUE,0.2)),IF(k="","",IFS(AND(k&gt;=1700,k&lt;=1850),1,AND(k&gt;=1650,k&lt;1700),0.7,AND(k&gt;1850,k&lt;=1900),0.7,TRUE,0.2))),p_s,IF(t="train",IF(p="","",IFS(AND(p&gt;=125,p&lt;=135),1,AND(p&gt;=115,p&lt;125),0.7,AND(p&gt;135,p&lt;=145),0.7,AND(p&gt;=105,p&lt;115),0.4,AND(p&gt;145,p&lt;=155),0.4,TRUE,0.2)),IF(p="","",IFS(AND(p&gt;=120,p&lt;=130),1,AND(p&gt;=110,p&lt;120),0.7,AND(p&gt;130,p&lt;=140),0.7,AND(p&gt;=100,p&lt;110),0.4,AND(p&gt;140,p&lt;=150),0.4,TRUE,0.2))),f_s,IF(f="","",IFS(AND(f&gt;=55,f&lt;=65),1,AND(f&gt;=50,f&lt;55),0.7,AND(f&gt;65,f&lt;=70),0.7,AND(f&gt;=45,f&lt;50),0.4,AND(f&gt;70,f&lt;=75),0.4,TRUE,0.2)),c_s,IF(t="train",IF(c="","",IFS(AND(c&gt;=180,c&lt;=210),1,AND(c&gt;=160,c&lt;180),0.7,AND(c&gt;210,c&lt;=230),0.7,AND(c&gt;=140,c&lt;160),0.4,AND(c&gt;230,c&lt;=250),0.4,TRUE,0.2)),IF(c="","",IFS(AND(c&gt;=140,c&lt;=170),1,AND(c&gt;=120,c&lt;140),0.7,AND(c&gt;170,c&lt;=190),0.7,AND(c&gt;=100,c&lt;120),0.4,AND(c&gt;190,c&lt;=210),0.4,TRUE,0.2))),AVERAGE(k_s,p_s,f_s,c_s)))),1),""))</f>
        <v/>
      </c>
      <c r="Z75">
        <f>IF($A75="","",TEXTJOIN(", ",TRUE,IF($B75="","??????????",""),IF($C75="","??????",""),IF($D75="","????",""),IF($E75="","??????????",""),IF($F75="","???-?????",""),IF($G75="","???-????",""),IF($H75="","??????",""),IF($L75="","???",""),IF($M75="","?????",""),IF($N75="","??????????????",""),IF($O75="","??????????",""),IF($P75="","???????",""),IF($U75="","???","")))</f>
        <v/>
      </c>
    </row>
    <row r="76">
      <c r="A76" s="2" t="n">
        <v>739722</v>
      </c>
      <c r="J76">
        <f>IF(A76="","",SUMIF(FoodLog!$A:$A,A76,FoodLog!$I:$I))</f>
        <v/>
      </c>
      <c r="K76">
        <f>IF(A76="","",SUMIF(FoodLog!$A:$A,A76,FoodLog!$F:$F))</f>
        <v/>
      </c>
      <c r="L76">
        <f>IF(A76="","",SUMIF(FoodLog!$A:$A,A76,FoodLog!$G:$G))</f>
        <v/>
      </c>
      <c r="M76">
        <f>IF(A76="","",SUMIF(FoodLog!$A:$A,A76,FoodLog!$H:$H))</f>
        <v/>
      </c>
      <c r="N76">
        <f>LET(train,B76,cardio,C76,steps,D76,sleep,E76,reg,F76,prod,I76,kcal,J76,p,K76,w_train,0.22,w_steps,0.18,w_sleep,0.20,w_reg,0.10,w_food,0.18,w_prod,0.12,s_train,IF(train="Верх",1,IF(train="Ноги",1,IF(train="Отдых",0.6,IF(train="Пропустил",0.2,0)))),s_steps,IF(steps="15k+",1,IF(steps="12-15k",0.9,IF(steps="10-12k",0.8,IF(steps="7-10k",0.6,IF(steps="5-7k",0.4,IF(steps="&lt;5k",0.2,0)))))),s_sleep,IF(sleep="&gt;8",0.9,IF(sleep="6-8",1,IF(sleep="&lt;6",0.2,0))),s_reg,IF(reg="Не сбит",1,IF(reg="Сбит",0.3,0)),s_food,IF(AND(kcal&gt;0,p&gt;0),MIN(1, (p/120))*0.6 + MIN(1, MAX(0,1-ABS(kcal-2200)/600))*0.4,0),s_prod,IF(prod="100%",1,IF(prod="75%",0.8,IF(prod="50%",0.6,IF(prod="25%",0.35,IF(prod="0%",0.1,0)))),ROUND(100*(w_train*s_train + w_steps*s_steps + w_sleep*s_sleep + w_reg*s_reg + w_food*s_food + w_prod*s_prod),0))</f>
        <v/>
      </c>
      <c r="O76">
        <f>TEXTJOIN(", ",TRUE,IF(B76="","тренировка",""),IF(D76="","шаги",""),IF(E76="","сон",""),IF(F76="","режим",""),IF(G76="","настроение",""),IF(H76="","энергия",""),IF(I76="","продуктивность",""),IF(J76="","еда (ккал)",""))</f>
        <v/>
      </c>
      <c r="U76">
        <f>IF($A76="","",IF(SUMIF(FoodLog!$A:$A,$A76,FoodLog!$I:$I)=0,"",SUMIF(FoodLog!$A:$A,$A76,FoodLog!$I:$I)))</f>
        <v/>
      </c>
      <c r="V76">
        <f>IF($A76="","",IF(SUMIF(FoodLog!$A:$A,$A76,FoodLog!$F:$F)=0,"",SUMIF(FoodLog!$A:$A,$A76,FoodLog!$F:$F)))</f>
        <v/>
      </c>
      <c r="W76">
        <f>IF($A76="","",IF(SUMIF(FoodLog!$A:$A,$A76,FoodLog!$G:$G)=0,"",SUMIF(FoodLog!$A:$A,$A76,FoodLog!$G:$G)))</f>
        <v/>
      </c>
      <c r="X76">
        <f>IF($A76="","",IF(SUMIF(FoodLog!$A:$A,$A76,FoodLog!$H:$H)=0,"",SUMIF(FoodLog!$A:$A,$A76,FoodLog!$H:$H)))</f>
        <v/>
      </c>
      <c r="Y76">
        <f>IF($A76="","",IFERROR(ROUND(100*AVERAGE(IF($B76="","",XLOOKUP($B76,FILTER(Dictionaries!$B:$B,Dictionaries!$A:$A="??????????"),FILTER(Dictionaries!$C:$C,Dictionaries!$A:$A="??????????"))),IF($C76="","",MIN($C76/40,1)),IF($D76="","",XLOOKUP($D76,FILTER(Dictionaries!$B:$B,Dictionaries!$A:$A="????"),FILTER(Dictionaries!$C:$C,Dictionaries!$A:$A="????"))),IF($E76="","",MIN($E76/120,1)),IF(OR($F76&lt;&gt;"",$G76&lt;&gt;""),1,""),IF($H76="","",MIN($H76/100,1)),IF($L76="","",XLOOKUP($L76,FILTER(Dictionaries!$B:$B,Dictionaries!$A:$A="???_????"),FILTER(Dictionaries!$C:$C,Dictionaries!$A:$A="???_????"))),IF($M76="","",XLOOKUP($M76,FILTER(Dictionaries!$B:$B,Dictionaries!$A:$A="?????"),FILTER(Dictionaries!$C:$C,Dictionaries!$A:$A="?????"))),IF($N76="","",MIN($N76/100,1)),IF($O76="","",XLOOKUP($O76,FILTER(Dictionaries!$B:$B,Dictionaries!$A:$A="??????????"),FILTER(Dictionaries!$C:$C,Dictionaries!$A:$A="??????????"))),IF($P76="","",XLOOKUP($P76,FILTER(Dictionaries!$B:$B,Dictionaries!$A:$A="???????"),FILTER(Dictionaries!$C:$C,Dictionaries!$A:$A="???????"))),IF($U76="","",LET(t,IF(OR($B76="????",$B76="????"),"train","rest"),k,$U76,p,$V76,f,$W76,c,$X76,k_s,IF(t="train",IF(k="","",IFS(AND(k&gt;=1900,k&lt;=2050),1,AND(k&gt;=1850,k&lt;1900),0.7,AND(k&gt;2050,k&lt;=2100),0.7,TRUE,0.2)),IF(k="","",IFS(AND(k&gt;=1700,k&lt;=1850),1,AND(k&gt;=1650,k&lt;1700),0.7,AND(k&gt;1850,k&lt;=1900),0.7,TRUE,0.2))),p_s,IF(t="train",IF(p="","",IFS(AND(p&gt;=125,p&lt;=135),1,AND(p&gt;=115,p&lt;125),0.7,AND(p&gt;135,p&lt;=145),0.7,AND(p&gt;=105,p&lt;115),0.4,AND(p&gt;145,p&lt;=155),0.4,TRUE,0.2)),IF(p="","",IFS(AND(p&gt;=120,p&lt;=130),1,AND(p&gt;=110,p&lt;120),0.7,AND(p&gt;130,p&lt;=140),0.7,AND(p&gt;=100,p&lt;110),0.4,AND(p&gt;140,p&lt;=150),0.4,TRUE,0.2))),f_s,IF(f="","",IFS(AND(f&gt;=55,f&lt;=65),1,AND(f&gt;=50,f&lt;55),0.7,AND(f&gt;65,f&lt;=70),0.7,AND(f&gt;=45,f&lt;50),0.4,AND(f&gt;70,f&lt;=75),0.4,TRUE,0.2)),c_s,IF(t="train",IF(c="","",IFS(AND(c&gt;=180,c&lt;=210),1,AND(c&gt;=160,c&lt;180),0.7,AND(c&gt;210,c&lt;=230),0.7,AND(c&gt;=140,c&lt;160),0.4,AND(c&gt;230,c&lt;=250),0.4,TRUE,0.2)),IF(c="","",IFS(AND(c&gt;=140,c&lt;=170),1,AND(c&gt;=120,c&lt;140),0.7,AND(c&gt;170,c&lt;=190),0.7,AND(c&gt;=100,c&lt;120),0.4,AND(c&gt;190,c&lt;=210),0.4,TRUE,0.2))),AVERAGE(k_s,p_s,f_s,c_s)))),1),""))</f>
        <v/>
      </c>
      <c r="Z76">
        <f>IF($A76="","",TEXTJOIN(", ",TRUE,IF($B76="","??????????",""),IF($C76="","??????",""),IF($D76="","????",""),IF($E76="","??????????",""),IF($F76="","???-?????",""),IF($G76="","???-????",""),IF($H76="","??????",""),IF($L76="","???",""),IF($M76="","?????",""),IF($N76="","??????????????",""),IF($O76="","??????????",""),IF($P76="","???????",""),IF($U76="","???","")))</f>
        <v/>
      </c>
    </row>
    <row r="77">
      <c r="A77" s="2" t="n">
        <v>739723</v>
      </c>
      <c r="J77">
        <f>IF(A77="","",SUMIF(FoodLog!$A:$A,A77,FoodLog!$I:$I))</f>
        <v/>
      </c>
      <c r="K77">
        <f>IF(A77="","",SUMIF(FoodLog!$A:$A,A77,FoodLog!$F:$F))</f>
        <v/>
      </c>
      <c r="L77">
        <f>IF(A77="","",SUMIF(FoodLog!$A:$A,A77,FoodLog!$G:$G))</f>
        <v/>
      </c>
      <c r="M77">
        <f>IF(A77="","",SUMIF(FoodLog!$A:$A,A77,FoodLog!$H:$H))</f>
        <v/>
      </c>
      <c r="N77">
        <f>LET(train,B77,cardio,C77,steps,D77,sleep,E77,reg,F77,prod,I77,kcal,J77,p,K77,w_train,0.22,w_steps,0.18,w_sleep,0.20,w_reg,0.10,w_food,0.18,w_prod,0.12,s_train,IF(train="Верх",1,IF(train="Ноги",1,IF(train="Отдых",0.6,IF(train="Пропустил",0.2,0)))),s_steps,IF(steps="15k+",1,IF(steps="12-15k",0.9,IF(steps="10-12k",0.8,IF(steps="7-10k",0.6,IF(steps="5-7k",0.4,IF(steps="&lt;5k",0.2,0)))))),s_sleep,IF(sleep="&gt;8",0.9,IF(sleep="6-8",1,IF(sleep="&lt;6",0.2,0))),s_reg,IF(reg="Не сбит",1,IF(reg="Сбит",0.3,0)),s_food,IF(AND(kcal&gt;0,p&gt;0),MIN(1, (p/120))*0.6 + MIN(1, MAX(0,1-ABS(kcal-2200)/600))*0.4,0),s_prod,IF(prod="100%",1,IF(prod="75%",0.8,IF(prod="50%",0.6,IF(prod="25%",0.35,IF(prod="0%",0.1,0)))),ROUND(100*(w_train*s_train + w_steps*s_steps + w_sleep*s_sleep + w_reg*s_reg + w_food*s_food + w_prod*s_prod),0))</f>
        <v/>
      </c>
      <c r="O77">
        <f>TEXTJOIN(", ",TRUE,IF(B77="","тренировка",""),IF(D77="","шаги",""),IF(E77="","сон",""),IF(F77="","режим",""),IF(G77="","настроение",""),IF(H77="","энергия",""),IF(I77="","продуктивность",""),IF(J77="","еда (ккал)",""))</f>
        <v/>
      </c>
      <c r="U77">
        <f>IF($A77="","",IF(SUMIF(FoodLog!$A:$A,$A77,FoodLog!$I:$I)=0,"",SUMIF(FoodLog!$A:$A,$A77,FoodLog!$I:$I)))</f>
        <v/>
      </c>
      <c r="V77">
        <f>IF($A77="","",IF(SUMIF(FoodLog!$A:$A,$A77,FoodLog!$F:$F)=0,"",SUMIF(FoodLog!$A:$A,$A77,FoodLog!$F:$F)))</f>
        <v/>
      </c>
      <c r="W77">
        <f>IF($A77="","",IF(SUMIF(FoodLog!$A:$A,$A77,FoodLog!$G:$G)=0,"",SUMIF(FoodLog!$A:$A,$A77,FoodLog!$G:$G)))</f>
        <v/>
      </c>
      <c r="X77">
        <f>IF($A77="","",IF(SUMIF(FoodLog!$A:$A,$A77,FoodLog!$H:$H)=0,"",SUMIF(FoodLog!$A:$A,$A77,FoodLog!$H:$H)))</f>
        <v/>
      </c>
      <c r="Y77">
        <f>IF($A77="","",IFERROR(ROUND(100*AVERAGE(IF($B77="","",XLOOKUP($B77,FILTER(Dictionaries!$B:$B,Dictionaries!$A:$A="??????????"),FILTER(Dictionaries!$C:$C,Dictionaries!$A:$A="??????????"))),IF($C77="","",MIN($C77/40,1)),IF($D77="","",XLOOKUP($D77,FILTER(Dictionaries!$B:$B,Dictionaries!$A:$A="????"),FILTER(Dictionaries!$C:$C,Dictionaries!$A:$A="????"))),IF($E77="","",MIN($E77/120,1)),IF(OR($F77&lt;&gt;"",$G77&lt;&gt;""),1,""),IF($H77="","",MIN($H77/100,1)),IF($L77="","",XLOOKUP($L77,FILTER(Dictionaries!$B:$B,Dictionaries!$A:$A="???_????"),FILTER(Dictionaries!$C:$C,Dictionaries!$A:$A="???_????"))),IF($M77="","",XLOOKUP($M77,FILTER(Dictionaries!$B:$B,Dictionaries!$A:$A="?????"),FILTER(Dictionaries!$C:$C,Dictionaries!$A:$A="?????"))),IF($N77="","",MIN($N77/100,1)),IF($O77="","",XLOOKUP($O77,FILTER(Dictionaries!$B:$B,Dictionaries!$A:$A="??????????"),FILTER(Dictionaries!$C:$C,Dictionaries!$A:$A="??????????"))),IF($P77="","",XLOOKUP($P77,FILTER(Dictionaries!$B:$B,Dictionaries!$A:$A="???????"),FILTER(Dictionaries!$C:$C,Dictionaries!$A:$A="???????"))),IF($U77="","",LET(t,IF(OR($B77="????",$B77="????"),"train","rest"),k,$U77,p,$V77,f,$W77,c,$X77,k_s,IF(t="train",IF(k="","",IFS(AND(k&gt;=1900,k&lt;=2050),1,AND(k&gt;=1850,k&lt;1900),0.7,AND(k&gt;2050,k&lt;=2100),0.7,TRUE,0.2)),IF(k="","",IFS(AND(k&gt;=1700,k&lt;=1850),1,AND(k&gt;=1650,k&lt;1700),0.7,AND(k&gt;1850,k&lt;=1900),0.7,TRUE,0.2))),p_s,IF(t="train",IF(p="","",IFS(AND(p&gt;=125,p&lt;=135),1,AND(p&gt;=115,p&lt;125),0.7,AND(p&gt;135,p&lt;=145),0.7,AND(p&gt;=105,p&lt;115),0.4,AND(p&gt;145,p&lt;=155),0.4,TRUE,0.2)),IF(p="","",IFS(AND(p&gt;=120,p&lt;=130),1,AND(p&gt;=110,p&lt;120),0.7,AND(p&gt;130,p&lt;=140),0.7,AND(p&gt;=100,p&lt;110),0.4,AND(p&gt;140,p&lt;=150),0.4,TRUE,0.2))),f_s,IF(f="","",IFS(AND(f&gt;=55,f&lt;=65),1,AND(f&gt;=50,f&lt;55),0.7,AND(f&gt;65,f&lt;=70),0.7,AND(f&gt;=45,f&lt;50),0.4,AND(f&gt;70,f&lt;=75),0.4,TRUE,0.2)),c_s,IF(t="train",IF(c="","",IFS(AND(c&gt;=180,c&lt;=210),1,AND(c&gt;=160,c&lt;180),0.7,AND(c&gt;210,c&lt;=230),0.7,AND(c&gt;=140,c&lt;160),0.4,AND(c&gt;230,c&lt;=250),0.4,TRUE,0.2)),IF(c="","",IFS(AND(c&gt;=140,c&lt;=170),1,AND(c&gt;=120,c&lt;140),0.7,AND(c&gt;170,c&lt;=190),0.7,AND(c&gt;=100,c&lt;120),0.4,AND(c&gt;190,c&lt;=210),0.4,TRUE,0.2))),AVERAGE(k_s,p_s,f_s,c_s)))),1),""))</f>
        <v/>
      </c>
      <c r="Z77">
        <f>IF($A77="","",TEXTJOIN(", ",TRUE,IF($B77="","??????????",""),IF($C77="","??????",""),IF($D77="","????",""),IF($E77="","??????????",""),IF($F77="","???-?????",""),IF($G77="","???-????",""),IF($H77="","??????",""),IF($L77="","???",""),IF($M77="","?????",""),IF($N77="","??????????????",""),IF($O77="","??????????",""),IF($P77="","???????",""),IF($U77="","???","")))</f>
        <v/>
      </c>
    </row>
    <row r="78">
      <c r="A78" s="2" t="n">
        <v>739724</v>
      </c>
      <c r="J78">
        <f>IF(A78="","",SUMIF(FoodLog!$A:$A,A78,FoodLog!$I:$I))</f>
        <v/>
      </c>
      <c r="K78">
        <f>IF(A78="","",SUMIF(FoodLog!$A:$A,A78,FoodLog!$F:$F))</f>
        <v/>
      </c>
      <c r="L78">
        <f>IF(A78="","",SUMIF(FoodLog!$A:$A,A78,FoodLog!$G:$G))</f>
        <v/>
      </c>
      <c r="M78">
        <f>IF(A78="","",SUMIF(FoodLog!$A:$A,A78,FoodLog!$H:$H))</f>
        <v/>
      </c>
      <c r="N78">
        <f>LET(train,B78,cardio,C78,steps,D78,sleep,E78,reg,F78,prod,I78,kcal,J78,p,K78,w_train,0.22,w_steps,0.18,w_sleep,0.20,w_reg,0.10,w_food,0.18,w_prod,0.12,s_train,IF(train="Верх",1,IF(train="Ноги",1,IF(train="Отдых",0.6,IF(train="Пропустил",0.2,0)))),s_steps,IF(steps="15k+",1,IF(steps="12-15k",0.9,IF(steps="10-12k",0.8,IF(steps="7-10k",0.6,IF(steps="5-7k",0.4,IF(steps="&lt;5k",0.2,0)))))),s_sleep,IF(sleep="&gt;8",0.9,IF(sleep="6-8",1,IF(sleep="&lt;6",0.2,0))),s_reg,IF(reg="Не сбит",1,IF(reg="Сбит",0.3,0)),s_food,IF(AND(kcal&gt;0,p&gt;0),MIN(1, (p/120))*0.6 + MIN(1, MAX(0,1-ABS(kcal-2200)/600))*0.4,0),s_prod,IF(prod="100%",1,IF(prod="75%",0.8,IF(prod="50%",0.6,IF(prod="25%",0.35,IF(prod="0%",0.1,0)))),ROUND(100*(w_train*s_train + w_steps*s_steps + w_sleep*s_sleep + w_reg*s_reg + w_food*s_food + w_prod*s_prod),0))</f>
        <v/>
      </c>
      <c r="O78">
        <f>TEXTJOIN(", ",TRUE,IF(B78="","тренировка",""),IF(D78="","шаги",""),IF(E78="","сон",""),IF(F78="","режим",""),IF(G78="","настроение",""),IF(H78="","энергия",""),IF(I78="","продуктивность",""),IF(J78="","еда (ккал)",""))</f>
        <v/>
      </c>
      <c r="U78">
        <f>IF($A78="","",IF(SUMIF(FoodLog!$A:$A,$A78,FoodLog!$I:$I)=0,"",SUMIF(FoodLog!$A:$A,$A78,FoodLog!$I:$I)))</f>
        <v/>
      </c>
      <c r="V78">
        <f>IF($A78="","",IF(SUMIF(FoodLog!$A:$A,$A78,FoodLog!$F:$F)=0,"",SUMIF(FoodLog!$A:$A,$A78,FoodLog!$F:$F)))</f>
        <v/>
      </c>
      <c r="W78">
        <f>IF($A78="","",IF(SUMIF(FoodLog!$A:$A,$A78,FoodLog!$G:$G)=0,"",SUMIF(FoodLog!$A:$A,$A78,FoodLog!$G:$G)))</f>
        <v/>
      </c>
      <c r="X78">
        <f>IF($A78="","",IF(SUMIF(FoodLog!$A:$A,$A78,FoodLog!$H:$H)=0,"",SUMIF(FoodLog!$A:$A,$A78,FoodLog!$H:$H)))</f>
        <v/>
      </c>
      <c r="Y78">
        <f>IF($A78="","",IFERROR(ROUND(100*AVERAGE(IF($B78="","",XLOOKUP($B78,FILTER(Dictionaries!$B:$B,Dictionaries!$A:$A="??????????"),FILTER(Dictionaries!$C:$C,Dictionaries!$A:$A="??????????"))),IF($C78="","",MIN($C78/40,1)),IF($D78="","",XLOOKUP($D78,FILTER(Dictionaries!$B:$B,Dictionaries!$A:$A="????"),FILTER(Dictionaries!$C:$C,Dictionaries!$A:$A="????"))),IF($E78="","",MIN($E78/120,1)),IF(OR($F78&lt;&gt;"",$G78&lt;&gt;""),1,""),IF($H78="","",MIN($H78/100,1)),IF($L78="","",XLOOKUP($L78,FILTER(Dictionaries!$B:$B,Dictionaries!$A:$A="???_????"),FILTER(Dictionaries!$C:$C,Dictionaries!$A:$A="???_????"))),IF($M78="","",XLOOKUP($M78,FILTER(Dictionaries!$B:$B,Dictionaries!$A:$A="?????"),FILTER(Dictionaries!$C:$C,Dictionaries!$A:$A="?????"))),IF($N78="","",MIN($N78/100,1)),IF($O78="","",XLOOKUP($O78,FILTER(Dictionaries!$B:$B,Dictionaries!$A:$A="??????????"),FILTER(Dictionaries!$C:$C,Dictionaries!$A:$A="??????????"))),IF($P78="","",XLOOKUP($P78,FILTER(Dictionaries!$B:$B,Dictionaries!$A:$A="???????"),FILTER(Dictionaries!$C:$C,Dictionaries!$A:$A="???????"))),IF($U78="","",LET(t,IF(OR($B78="????",$B78="????"),"train","rest"),k,$U78,p,$V78,f,$W78,c,$X78,k_s,IF(t="train",IF(k="","",IFS(AND(k&gt;=1900,k&lt;=2050),1,AND(k&gt;=1850,k&lt;1900),0.7,AND(k&gt;2050,k&lt;=2100),0.7,TRUE,0.2)),IF(k="","",IFS(AND(k&gt;=1700,k&lt;=1850),1,AND(k&gt;=1650,k&lt;1700),0.7,AND(k&gt;1850,k&lt;=1900),0.7,TRUE,0.2))),p_s,IF(t="train",IF(p="","",IFS(AND(p&gt;=125,p&lt;=135),1,AND(p&gt;=115,p&lt;125),0.7,AND(p&gt;135,p&lt;=145),0.7,AND(p&gt;=105,p&lt;115),0.4,AND(p&gt;145,p&lt;=155),0.4,TRUE,0.2)),IF(p="","",IFS(AND(p&gt;=120,p&lt;=130),1,AND(p&gt;=110,p&lt;120),0.7,AND(p&gt;130,p&lt;=140),0.7,AND(p&gt;=100,p&lt;110),0.4,AND(p&gt;140,p&lt;=150),0.4,TRUE,0.2))),f_s,IF(f="","",IFS(AND(f&gt;=55,f&lt;=65),1,AND(f&gt;=50,f&lt;55),0.7,AND(f&gt;65,f&lt;=70),0.7,AND(f&gt;=45,f&lt;50),0.4,AND(f&gt;70,f&lt;=75),0.4,TRUE,0.2)),c_s,IF(t="train",IF(c="","",IFS(AND(c&gt;=180,c&lt;=210),1,AND(c&gt;=160,c&lt;180),0.7,AND(c&gt;210,c&lt;=230),0.7,AND(c&gt;=140,c&lt;160),0.4,AND(c&gt;230,c&lt;=250),0.4,TRUE,0.2)),IF(c="","",IFS(AND(c&gt;=140,c&lt;=170),1,AND(c&gt;=120,c&lt;140),0.7,AND(c&gt;170,c&lt;=190),0.7,AND(c&gt;=100,c&lt;120),0.4,AND(c&gt;190,c&lt;=210),0.4,TRUE,0.2))),AVERAGE(k_s,p_s,f_s,c_s)))),1),""))</f>
        <v/>
      </c>
      <c r="Z78">
        <f>IF($A78="","",TEXTJOIN(", ",TRUE,IF($B78="","??????????",""),IF($C78="","??????",""),IF($D78="","????",""),IF($E78="","??????????",""),IF($F78="","???-?????",""),IF($G78="","???-????",""),IF($H78="","??????",""),IF($L78="","???",""),IF($M78="","?????",""),IF($N78="","??????????????",""),IF($O78="","??????????",""),IF($P78="","???????",""),IF($U78="","???","")))</f>
        <v/>
      </c>
    </row>
    <row r="79">
      <c r="A79" s="2" t="n">
        <v>739725</v>
      </c>
      <c r="J79">
        <f>IF(A79="","",SUMIF(FoodLog!$A:$A,A79,FoodLog!$I:$I))</f>
        <v/>
      </c>
      <c r="K79">
        <f>IF(A79="","",SUMIF(FoodLog!$A:$A,A79,FoodLog!$F:$F))</f>
        <v/>
      </c>
      <c r="L79">
        <f>IF(A79="","",SUMIF(FoodLog!$A:$A,A79,FoodLog!$G:$G))</f>
        <v/>
      </c>
      <c r="M79">
        <f>IF(A79="","",SUMIF(FoodLog!$A:$A,A79,FoodLog!$H:$H))</f>
        <v/>
      </c>
      <c r="N79">
        <f>LET(train,B79,cardio,C79,steps,D79,sleep,E79,reg,F79,prod,I79,kcal,J79,p,K79,w_train,0.22,w_steps,0.18,w_sleep,0.20,w_reg,0.10,w_food,0.18,w_prod,0.12,s_train,IF(train="Верх",1,IF(train="Ноги",1,IF(train="Отдых",0.6,IF(train="Пропустил",0.2,0)))),s_steps,IF(steps="15k+",1,IF(steps="12-15k",0.9,IF(steps="10-12k",0.8,IF(steps="7-10k",0.6,IF(steps="5-7k",0.4,IF(steps="&lt;5k",0.2,0)))))),s_sleep,IF(sleep="&gt;8",0.9,IF(sleep="6-8",1,IF(sleep="&lt;6",0.2,0))),s_reg,IF(reg="Не сбит",1,IF(reg="Сбит",0.3,0)),s_food,IF(AND(kcal&gt;0,p&gt;0),MIN(1, (p/120))*0.6 + MIN(1, MAX(0,1-ABS(kcal-2200)/600))*0.4,0),s_prod,IF(prod="100%",1,IF(prod="75%",0.8,IF(prod="50%",0.6,IF(prod="25%",0.35,IF(prod="0%",0.1,0)))),ROUND(100*(w_train*s_train + w_steps*s_steps + w_sleep*s_sleep + w_reg*s_reg + w_food*s_food + w_prod*s_prod),0))</f>
        <v/>
      </c>
      <c r="O79">
        <f>TEXTJOIN(", ",TRUE,IF(B79="","тренировка",""),IF(D79="","шаги",""),IF(E79="","сон",""),IF(F79="","режим",""),IF(G79="","настроение",""),IF(H79="","энергия",""),IF(I79="","продуктивность",""),IF(J79="","еда (ккал)",""))</f>
        <v/>
      </c>
      <c r="U79">
        <f>IF($A79="","",IF(SUMIF(FoodLog!$A:$A,$A79,FoodLog!$I:$I)=0,"",SUMIF(FoodLog!$A:$A,$A79,FoodLog!$I:$I)))</f>
        <v/>
      </c>
      <c r="V79">
        <f>IF($A79="","",IF(SUMIF(FoodLog!$A:$A,$A79,FoodLog!$F:$F)=0,"",SUMIF(FoodLog!$A:$A,$A79,FoodLog!$F:$F)))</f>
        <v/>
      </c>
      <c r="W79">
        <f>IF($A79="","",IF(SUMIF(FoodLog!$A:$A,$A79,FoodLog!$G:$G)=0,"",SUMIF(FoodLog!$A:$A,$A79,FoodLog!$G:$G)))</f>
        <v/>
      </c>
      <c r="X79">
        <f>IF($A79="","",IF(SUMIF(FoodLog!$A:$A,$A79,FoodLog!$H:$H)=0,"",SUMIF(FoodLog!$A:$A,$A79,FoodLog!$H:$H)))</f>
        <v/>
      </c>
      <c r="Y79">
        <f>IF($A79="","",IFERROR(ROUND(100*AVERAGE(IF($B79="","",XLOOKUP($B79,FILTER(Dictionaries!$B:$B,Dictionaries!$A:$A="??????????"),FILTER(Dictionaries!$C:$C,Dictionaries!$A:$A="??????????"))),IF($C79="","",MIN($C79/40,1)),IF($D79="","",XLOOKUP($D79,FILTER(Dictionaries!$B:$B,Dictionaries!$A:$A="????"),FILTER(Dictionaries!$C:$C,Dictionaries!$A:$A="????"))),IF($E79="","",MIN($E79/120,1)),IF(OR($F79&lt;&gt;"",$G79&lt;&gt;""),1,""),IF($H79="","",MIN($H79/100,1)),IF($L79="","",XLOOKUP($L79,FILTER(Dictionaries!$B:$B,Dictionaries!$A:$A="???_????"),FILTER(Dictionaries!$C:$C,Dictionaries!$A:$A="???_????"))),IF($M79="","",XLOOKUP($M79,FILTER(Dictionaries!$B:$B,Dictionaries!$A:$A="?????"),FILTER(Dictionaries!$C:$C,Dictionaries!$A:$A="?????"))),IF($N79="","",MIN($N79/100,1)),IF($O79="","",XLOOKUP($O79,FILTER(Dictionaries!$B:$B,Dictionaries!$A:$A="??????????"),FILTER(Dictionaries!$C:$C,Dictionaries!$A:$A="??????????"))),IF($P79="","",XLOOKUP($P79,FILTER(Dictionaries!$B:$B,Dictionaries!$A:$A="???????"),FILTER(Dictionaries!$C:$C,Dictionaries!$A:$A="???????"))),IF($U79="","",LET(t,IF(OR($B79="????",$B79="????"),"train","rest"),k,$U79,p,$V79,f,$W79,c,$X79,k_s,IF(t="train",IF(k="","",IFS(AND(k&gt;=1900,k&lt;=2050),1,AND(k&gt;=1850,k&lt;1900),0.7,AND(k&gt;2050,k&lt;=2100),0.7,TRUE,0.2)),IF(k="","",IFS(AND(k&gt;=1700,k&lt;=1850),1,AND(k&gt;=1650,k&lt;1700),0.7,AND(k&gt;1850,k&lt;=1900),0.7,TRUE,0.2))),p_s,IF(t="train",IF(p="","",IFS(AND(p&gt;=125,p&lt;=135),1,AND(p&gt;=115,p&lt;125),0.7,AND(p&gt;135,p&lt;=145),0.7,AND(p&gt;=105,p&lt;115),0.4,AND(p&gt;145,p&lt;=155),0.4,TRUE,0.2)),IF(p="","",IFS(AND(p&gt;=120,p&lt;=130),1,AND(p&gt;=110,p&lt;120),0.7,AND(p&gt;130,p&lt;=140),0.7,AND(p&gt;=100,p&lt;110),0.4,AND(p&gt;140,p&lt;=150),0.4,TRUE,0.2))),f_s,IF(f="","",IFS(AND(f&gt;=55,f&lt;=65),1,AND(f&gt;=50,f&lt;55),0.7,AND(f&gt;65,f&lt;=70),0.7,AND(f&gt;=45,f&lt;50),0.4,AND(f&gt;70,f&lt;=75),0.4,TRUE,0.2)),c_s,IF(t="train",IF(c="","",IFS(AND(c&gt;=180,c&lt;=210),1,AND(c&gt;=160,c&lt;180),0.7,AND(c&gt;210,c&lt;=230),0.7,AND(c&gt;=140,c&lt;160),0.4,AND(c&gt;230,c&lt;=250),0.4,TRUE,0.2)),IF(c="","",IFS(AND(c&gt;=140,c&lt;=170),1,AND(c&gt;=120,c&lt;140),0.7,AND(c&gt;170,c&lt;=190),0.7,AND(c&gt;=100,c&lt;120),0.4,AND(c&gt;190,c&lt;=210),0.4,TRUE,0.2))),AVERAGE(k_s,p_s,f_s,c_s)))),1),""))</f>
        <v/>
      </c>
      <c r="Z79">
        <f>IF($A79="","",TEXTJOIN(", ",TRUE,IF($B79="","??????????",""),IF($C79="","??????",""),IF($D79="","????",""),IF($E79="","??????????",""),IF($F79="","???-?????",""),IF($G79="","???-????",""),IF($H79="","??????",""),IF($L79="","???",""),IF($M79="","?????",""),IF($N79="","??????????????",""),IF($O79="","??????????",""),IF($P79="","???????",""),IF($U79="","???","")))</f>
        <v/>
      </c>
    </row>
    <row r="80">
      <c r="A80" s="2" t="n">
        <v>739726</v>
      </c>
      <c r="J80">
        <f>IF(A80="","",SUMIF(FoodLog!$A:$A,A80,FoodLog!$I:$I))</f>
        <v/>
      </c>
      <c r="K80">
        <f>IF(A80="","",SUMIF(FoodLog!$A:$A,A80,FoodLog!$F:$F))</f>
        <v/>
      </c>
      <c r="L80">
        <f>IF(A80="","",SUMIF(FoodLog!$A:$A,A80,FoodLog!$G:$G))</f>
        <v/>
      </c>
      <c r="M80">
        <f>IF(A80="","",SUMIF(FoodLog!$A:$A,A80,FoodLog!$H:$H))</f>
        <v/>
      </c>
      <c r="N80">
        <f>LET(train,B80,cardio,C80,steps,D80,sleep,E80,reg,F80,prod,I80,kcal,J80,p,K80,w_train,0.22,w_steps,0.18,w_sleep,0.20,w_reg,0.10,w_food,0.18,w_prod,0.12,s_train,IF(train="Верх",1,IF(train="Ноги",1,IF(train="Отдых",0.6,IF(train="Пропустил",0.2,0)))),s_steps,IF(steps="15k+",1,IF(steps="12-15k",0.9,IF(steps="10-12k",0.8,IF(steps="7-10k",0.6,IF(steps="5-7k",0.4,IF(steps="&lt;5k",0.2,0)))))),s_sleep,IF(sleep="&gt;8",0.9,IF(sleep="6-8",1,IF(sleep="&lt;6",0.2,0))),s_reg,IF(reg="Не сбит",1,IF(reg="Сбит",0.3,0)),s_food,IF(AND(kcal&gt;0,p&gt;0),MIN(1, (p/120))*0.6 + MIN(1, MAX(0,1-ABS(kcal-2200)/600))*0.4,0),s_prod,IF(prod="100%",1,IF(prod="75%",0.8,IF(prod="50%",0.6,IF(prod="25%",0.35,IF(prod="0%",0.1,0)))),ROUND(100*(w_train*s_train + w_steps*s_steps + w_sleep*s_sleep + w_reg*s_reg + w_food*s_food + w_prod*s_prod),0))</f>
        <v/>
      </c>
      <c r="O80">
        <f>TEXTJOIN(", ",TRUE,IF(B80="","тренировка",""),IF(D80="","шаги",""),IF(E80="","сон",""),IF(F80="","режим",""),IF(G80="","настроение",""),IF(H80="","энергия",""),IF(I80="","продуктивность",""),IF(J80="","еда (ккал)",""))</f>
        <v/>
      </c>
      <c r="U80">
        <f>IF($A80="","",IF(SUMIF(FoodLog!$A:$A,$A80,FoodLog!$I:$I)=0,"",SUMIF(FoodLog!$A:$A,$A80,FoodLog!$I:$I)))</f>
        <v/>
      </c>
      <c r="V80">
        <f>IF($A80="","",IF(SUMIF(FoodLog!$A:$A,$A80,FoodLog!$F:$F)=0,"",SUMIF(FoodLog!$A:$A,$A80,FoodLog!$F:$F)))</f>
        <v/>
      </c>
      <c r="W80">
        <f>IF($A80="","",IF(SUMIF(FoodLog!$A:$A,$A80,FoodLog!$G:$G)=0,"",SUMIF(FoodLog!$A:$A,$A80,FoodLog!$G:$G)))</f>
        <v/>
      </c>
      <c r="X80">
        <f>IF($A80="","",IF(SUMIF(FoodLog!$A:$A,$A80,FoodLog!$H:$H)=0,"",SUMIF(FoodLog!$A:$A,$A80,FoodLog!$H:$H)))</f>
        <v/>
      </c>
      <c r="Y80">
        <f>IF($A80="","",IFERROR(ROUND(100*AVERAGE(IF($B80="","",XLOOKUP($B80,FILTER(Dictionaries!$B:$B,Dictionaries!$A:$A="??????????"),FILTER(Dictionaries!$C:$C,Dictionaries!$A:$A="??????????"))),IF($C80="","",MIN($C80/40,1)),IF($D80="","",XLOOKUP($D80,FILTER(Dictionaries!$B:$B,Dictionaries!$A:$A="????"),FILTER(Dictionaries!$C:$C,Dictionaries!$A:$A="????"))),IF($E80="","",MIN($E80/120,1)),IF(OR($F80&lt;&gt;"",$G80&lt;&gt;""),1,""),IF($H80="","",MIN($H80/100,1)),IF($L80="","",XLOOKUP($L80,FILTER(Dictionaries!$B:$B,Dictionaries!$A:$A="???_????"),FILTER(Dictionaries!$C:$C,Dictionaries!$A:$A="???_????"))),IF($M80="","",XLOOKUP($M80,FILTER(Dictionaries!$B:$B,Dictionaries!$A:$A="?????"),FILTER(Dictionaries!$C:$C,Dictionaries!$A:$A="?????"))),IF($N80="","",MIN($N80/100,1)),IF($O80="","",XLOOKUP($O80,FILTER(Dictionaries!$B:$B,Dictionaries!$A:$A="??????????"),FILTER(Dictionaries!$C:$C,Dictionaries!$A:$A="??????????"))),IF($P80="","",XLOOKUP($P80,FILTER(Dictionaries!$B:$B,Dictionaries!$A:$A="???????"),FILTER(Dictionaries!$C:$C,Dictionaries!$A:$A="???????"))),IF($U80="","",LET(t,IF(OR($B80="????",$B80="????"),"train","rest"),k,$U80,p,$V80,f,$W80,c,$X80,k_s,IF(t="train",IF(k="","",IFS(AND(k&gt;=1900,k&lt;=2050),1,AND(k&gt;=1850,k&lt;1900),0.7,AND(k&gt;2050,k&lt;=2100),0.7,TRUE,0.2)),IF(k="","",IFS(AND(k&gt;=1700,k&lt;=1850),1,AND(k&gt;=1650,k&lt;1700),0.7,AND(k&gt;1850,k&lt;=1900),0.7,TRUE,0.2))),p_s,IF(t="train",IF(p="","",IFS(AND(p&gt;=125,p&lt;=135),1,AND(p&gt;=115,p&lt;125),0.7,AND(p&gt;135,p&lt;=145),0.7,AND(p&gt;=105,p&lt;115),0.4,AND(p&gt;145,p&lt;=155),0.4,TRUE,0.2)),IF(p="","",IFS(AND(p&gt;=120,p&lt;=130),1,AND(p&gt;=110,p&lt;120),0.7,AND(p&gt;130,p&lt;=140),0.7,AND(p&gt;=100,p&lt;110),0.4,AND(p&gt;140,p&lt;=150),0.4,TRUE,0.2))),f_s,IF(f="","",IFS(AND(f&gt;=55,f&lt;=65),1,AND(f&gt;=50,f&lt;55),0.7,AND(f&gt;65,f&lt;=70),0.7,AND(f&gt;=45,f&lt;50),0.4,AND(f&gt;70,f&lt;=75),0.4,TRUE,0.2)),c_s,IF(t="train",IF(c="","",IFS(AND(c&gt;=180,c&lt;=210),1,AND(c&gt;=160,c&lt;180),0.7,AND(c&gt;210,c&lt;=230),0.7,AND(c&gt;=140,c&lt;160),0.4,AND(c&gt;230,c&lt;=250),0.4,TRUE,0.2)),IF(c="","",IFS(AND(c&gt;=140,c&lt;=170),1,AND(c&gt;=120,c&lt;140),0.7,AND(c&gt;170,c&lt;=190),0.7,AND(c&gt;=100,c&lt;120),0.4,AND(c&gt;190,c&lt;=210),0.4,TRUE,0.2))),AVERAGE(k_s,p_s,f_s,c_s)))),1),""))</f>
        <v/>
      </c>
      <c r="Z80">
        <f>IF($A80="","",TEXTJOIN(", ",TRUE,IF($B80="","??????????",""),IF($C80="","??????",""),IF($D80="","????",""),IF($E80="","??????????",""),IF($F80="","???-?????",""),IF($G80="","???-????",""),IF($H80="","??????",""),IF($L80="","???",""),IF($M80="","?????",""),IF($N80="","??????????????",""),IF($O80="","??????????",""),IF($P80="","???????",""),IF($U80="","???","")))</f>
        <v/>
      </c>
    </row>
    <row r="81">
      <c r="A81" s="2" t="n">
        <v>739727</v>
      </c>
      <c r="J81">
        <f>IF(A81="","",SUMIF(FoodLog!$A:$A,A81,FoodLog!$I:$I))</f>
        <v/>
      </c>
      <c r="K81">
        <f>IF(A81="","",SUMIF(FoodLog!$A:$A,A81,FoodLog!$F:$F))</f>
        <v/>
      </c>
      <c r="L81">
        <f>IF(A81="","",SUMIF(FoodLog!$A:$A,A81,FoodLog!$G:$G))</f>
        <v/>
      </c>
      <c r="M81">
        <f>IF(A81="","",SUMIF(FoodLog!$A:$A,A81,FoodLog!$H:$H))</f>
        <v/>
      </c>
      <c r="N81">
        <f>LET(train,B81,cardio,C81,steps,D81,sleep,E81,reg,F81,prod,I81,kcal,J81,p,K81,w_train,0.22,w_steps,0.18,w_sleep,0.20,w_reg,0.10,w_food,0.18,w_prod,0.12,s_train,IF(train="Верх",1,IF(train="Ноги",1,IF(train="Отдых",0.6,IF(train="Пропустил",0.2,0)))),s_steps,IF(steps="15k+",1,IF(steps="12-15k",0.9,IF(steps="10-12k",0.8,IF(steps="7-10k",0.6,IF(steps="5-7k",0.4,IF(steps="&lt;5k",0.2,0)))))),s_sleep,IF(sleep="&gt;8",0.9,IF(sleep="6-8",1,IF(sleep="&lt;6",0.2,0))),s_reg,IF(reg="Не сбит",1,IF(reg="Сбит",0.3,0)),s_food,IF(AND(kcal&gt;0,p&gt;0),MIN(1, (p/120))*0.6 + MIN(1, MAX(0,1-ABS(kcal-2200)/600))*0.4,0),s_prod,IF(prod="100%",1,IF(prod="75%",0.8,IF(prod="50%",0.6,IF(prod="25%",0.35,IF(prod="0%",0.1,0)))),ROUND(100*(w_train*s_train + w_steps*s_steps + w_sleep*s_sleep + w_reg*s_reg + w_food*s_food + w_prod*s_prod),0))</f>
        <v/>
      </c>
      <c r="O81">
        <f>TEXTJOIN(", ",TRUE,IF(B81="","тренировка",""),IF(D81="","шаги",""),IF(E81="","сон",""),IF(F81="","режим",""),IF(G81="","настроение",""),IF(H81="","энергия",""),IF(I81="","продуктивность",""),IF(J81="","еда (ккал)",""))</f>
        <v/>
      </c>
      <c r="U81">
        <f>IF($A81="","",IF(SUMIF(FoodLog!$A:$A,$A81,FoodLog!$I:$I)=0,"",SUMIF(FoodLog!$A:$A,$A81,FoodLog!$I:$I)))</f>
        <v/>
      </c>
      <c r="V81">
        <f>IF($A81="","",IF(SUMIF(FoodLog!$A:$A,$A81,FoodLog!$F:$F)=0,"",SUMIF(FoodLog!$A:$A,$A81,FoodLog!$F:$F)))</f>
        <v/>
      </c>
      <c r="W81">
        <f>IF($A81="","",IF(SUMIF(FoodLog!$A:$A,$A81,FoodLog!$G:$G)=0,"",SUMIF(FoodLog!$A:$A,$A81,FoodLog!$G:$G)))</f>
        <v/>
      </c>
      <c r="X81">
        <f>IF($A81="","",IF(SUMIF(FoodLog!$A:$A,$A81,FoodLog!$H:$H)=0,"",SUMIF(FoodLog!$A:$A,$A81,FoodLog!$H:$H)))</f>
        <v/>
      </c>
      <c r="Y81">
        <f>IF($A81="","",IFERROR(ROUND(100*AVERAGE(IF($B81="","",XLOOKUP($B81,FILTER(Dictionaries!$B:$B,Dictionaries!$A:$A="??????????"),FILTER(Dictionaries!$C:$C,Dictionaries!$A:$A="??????????"))),IF($C81="","",MIN($C81/40,1)),IF($D81="","",XLOOKUP($D81,FILTER(Dictionaries!$B:$B,Dictionaries!$A:$A="????"),FILTER(Dictionaries!$C:$C,Dictionaries!$A:$A="????"))),IF($E81="","",MIN($E81/120,1)),IF(OR($F81&lt;&gt;"",$G81&lt;&gt;""),1,""),IF($H81="","",MIN($H81/100,1)),IF($L81="","",XLOOKUP($L81,FILTER(Dictionaries!$B:$B,Dictionaries!$A:$A="???_????"),FILTER(Dictionaries!$C:$C,Dictionaries!$A:$A="???_????"))),IF($M81="","",XLOOKUP($M81,FILTER(Dictionaries!$B:$B,Dictionaries!$A:$A="?????"),FILTER(Dictionaries!$C:$C,Dictionaries!$A:$A="?????"))),IF($N81="","",MIN($N81/100,1)),IF($O81="","",XLOOKUP($O81,FILTER(Dictionaries!$B:$B,Dictionaries!$A:$A="??????????"),FILTER(Dictionaries!$C:$C,Dictionaries!$A:$A="??????????"))),IF($P81="","",XLOOKUP($P81,FILTER(Dictionaries!$B:$B,Dictionaries!$A:$A="???????"),FILTER(Dictionaries!$C:$C,Dictionaries!$A:$A="???????"))),IF($U81="","",LET(t,IF(OR($B81="????",$B81="????"),"train","rest"),k,$U81,p,$V81,f,$W81,c,$X81,k_s,IF(t="train",IF(k="","",IFS(AND(k&gt;=1900,k&lt;=2050),1,AND(k&gt;=1850,k&lt;1900),0.7,AND(k&gt;2050,k&lt;=2100),0.7,TRUE,0.2)),IF(k="","",IFS(AND(k&gt;=1700,k&lt;=1850),1,AND(k&gt;=1650,k&lt;1700),0.7,AND(k&gt;1850,k&lt;=1900),0.7,TRUE,0.2))),p_s,IF(t="train",IF(p="","",IFS(AND(p&gt;=125,p&lt;=135),1,AND(p&gt;=115,p&lt;125),0.7,AND(p&gt;135,p&lt;=145),0.7,AND(p&gt;=105,p&lt;115),0.4,AND(p&gt;145,p&lt;=155),0.4,TRUE,0.2)),IF(p="","",IFS(AND(p&gt;=120,p&lt;=130),1,AND(p&gt;=110,p&lt;120),0.7,AND(p&gt;130,p&lt;=140),0.7,AND(p&gt;=100,p&lt;110),0.4,AND(p&gt;140,p&lt;=150),0.4,TRUE,0.2))),f_s,IF(f="","",IFS(AND(f&gt;=55,f&lt;=65),1,AND(f&gt;=50,f&lt;55),0.7,AND(f&gt;65,f&lt;=70),0.7,AND(f&gt;=45,f&lt;50),0.4,AND(f&gt;70,f&lt;=75),0.4,TRUE,0.2)),c_s,IF(t="train",IF(c="","",IFS(AND(c&gt;=180,c&lt;=210),1,AND(c&gt;=160,c&lt;180),0.7,AND(c&gt;210,c&lt;=230),0.7,AND(c&gt;=140,c&lt;160),0.4,AND(c&gt;230,c&lt;=250),0.4,TRUE,0.2)),IF(c="","",IFS(AND(c&gt;=140,c&lt;=170),1,AND(c&gt;=120,c&lt;140),0.7,AND(c&gt;170,c&lt;=190),0.7,AND(c&gt;=100,c&lt;120),0.4,AND(c&gt;190,c&lt;=210),0.4,TRUE,0.2))),AVERAGE(k_s,p_s,f_s,c_s)))),1),""))</f>
        <v/>
      </c>
      <c r="Z81">
        <f>IF($A81="","",TEXTJOIN(", ",TRUE,IF($B81="","??????????",""),IF($C81="","??????",""),IF($D81="","????",""),IF($E81="","??????????",""),IF($F81="","???-?????",""),IF($G81="","???-????",""),IF($H81="","??????",""),IF($L81="","???",""),IF($M81="","?????",""),IF($N81="","??????????????",""),IF($O81="","??????????",""),IF($P81="","???????",""),IF($U81="","???","")))</f>
        <v/>
      </c>
    </row>
    <row r="82">
      <c r="A82" s="2" t="n">
        <v>739728</v>
      </c>
      <c r="J82">
        <f>IF(A82="","",SUMIF(FoodLog!$A:$A,A82,FoodLog!$I:$I))</f>
        <v/>
      </c>
      <c r="K82">
        <f>IF(A82="","",SUMIF(FoodLog!$A:$A,A82,FoodLog!$F:$F))</f>
        <v/>
      </c>
      <c r="L82">
        <f>IF(A82="","",SUMIF(FoodLog!$A:$A,A82,FoodLog!$G:$G))</f>
        <v/>
      </c>
      <c r="M82">
        <f>IF(A82="","",SUMIF(FoodLog!$A:$A,A82,FoodLog!$H:$H))</f>
        <v/>
      </c>
      <c r="N82">
        <f>LET(train,B82,cardio,C82,steps,D82,sleep,E82,reg,F82,prod,I82,kcal,J82,p,K82,w_train,0.22,w_steps,0.18,w_sleep,0.20,w_reg,0.10,w_food,0.18,w_prod,0.12,s_train,IF(train="Верх",1,IF(train="Ноги",1,IF(train="Отдых",0.6,IF(train="Пропустил",0.2,0)))),s_steps,IF(steps="15k+",1,IF(steps="12-15k",0.9,IF(steps="10-12k",0.8,IF(steps="7-10k",0.6,IF(steps="5-7k",0.4,IF(steps="&lt;5k",0.2,0)))))),s_sleep,IF(sleep="&gt;8",0.9,IF(sleep="6-8",1,IF(sleep="&lt;6",0.2,0))),s_reg,IF(reg="Не сбит",1,IF(reg="Сбит",0.3,0)),s_food,IF(AND(kcal&gt;0,p&gt;0),MIN(1, (p/120))*0.6 + MIN(1, MAX(0,1-ABS(kcal-2200)/600))*0.4,0),s_prod,IF(prod="100%",1,IF(prod="75%",0.8,IF(prod="50%",0.6,IF(prod="25%",0.35,IF(prod="0%",0.1,0)))),ROUND(100*(w_train*s_train + w_steps*s_steps + w_sleep*s_sleep + w_reg*s_reg + w_food*s_food + w_prod*s_prod),0))</f>
        <v/>
      </c>
      <c r="O82">
        <f>TEXTJOIN(", ",TRUE,IF(B82="","тренировка",""),IF(D82="","шаги",""),IF(E82="","сон",""),IF(F82="","режим",""),IF(G82="","настроение",""),IF(H82="","энергия",""),IF(I82="","продуктивность",""),IF(J82="","еда (ккал)",""))</f>
        <v/>
      </c>
      <c r="U82">
        <f>IF($A82="","",IF(SUMIF(FoodLog!$A:$A,$A82,FoodLog!$I:$I)=0,"",SUMIF(FoodLog!$A:$A,$A82,FoodLog!$I:$I)))</f>
        <v/>
      </c>
      <c r="V82">
        <f>IF($A82="","",IF(SUMIF(FoodLog!$A:$A,$A82,FoodLog!$F:$F)=0,"",SUMIF(FoodLog!$A:$A,$A82,FoodLog!$F:$F)))</f>
        <v/>
      </c>
      <c r="W82">
        <f>IF($A82="","",IF(SUMIF(FoodLog!$A:$A,$A82,FoodLog!$G:$G)=0,"",SUMIF(FoodLog!$A:$A,$A82,FoodLog!$G:$G)))</f>
        <v/>
      </c>
      <c r="X82">
        <f>IF($A82="","",IF(SUMIF(FoodLog!$A:$A,$A82,FoodLog!$H:$H)=0,"",SUMIF(FoodLog!$A:$A,$A82,FoodLog!$H:$H)))</f>
        <v/>
      </c>
      <c r="Y82">
        <f>IF($A82="","",IFERROR(ROUND(100*AVERAGE(IF($B82="","",XLOOKUP($B82,FILTER(Dictionaries!$B:$B,Dictionaries!$A:$A="??????????"),FILTER(Dictionaries!$C:$C,Dictionaries!$A:$A="??????????"))),IF($C82="","",MIN($C82/40,1)),IF($D82="","",XLOOKUP($D82,FILTER(Dictionaries!$B:$B,Dictionaries!$A:$A="????"),FILTER(Dictionaries!$C:$C,Dictionaries!$A:$A="????"))),IF($E82="","",MIN($E82/120,1)),IF(OR($F82&lt;&gt;"",$G82&lt;&gt;""),1,""),IF($H82="","",MIN($H82/100,1)),IF($L82="","",XLOOKUP($L82,FILTER(Dictionaries!$B:$B,Dictionaries!$A:$A="???_????"),FILTER(Dictionaries!$C:$C,Dictionaries!$A:$A="???_????"))),IF($M82="","",XLOOKUP($M82,FILTER(Dictionaries!$B:$B,Dictionaries!$A:$A="?????"),FILTER(Dictionaries!$C:$C,Dictionaries!$A:$A="?????"))),IF($N82="","",MIN($N82/100,1)),IF($O82="","",XLOOKUP($O82,FILTER(Dictionaries!$B:$B,Dictionaries!$A:$A="??????????"),FILTER(Dictionaries!$C:$C,Dictionaries!$A:$A="??????????"))),IF($P82="","",XLOOKUP($P82,FILTER(Dictionaries!$B:$B,Dictionaries!$A:$A="???????"),FILTER(Dictionaries!$C:$C,Dictionaries!$A:$A="???????"))),IF($U82="","",LET(t,IF(OR($B82="????",$B82="????"),"train","rest"),k,$U82,p,$V82,f,$W82,c,$X82,k_s,IF(t="train",IF(k="","",IFS(AND(k&gt;=1900,k&lt;=2050),1,AND(k&gt;=1850,k&lt;1900),0.7,AND(k&gt;2050,k&lt;=2100),0.7,TRUE,0.2)),IF(k="","",IFS(AND(k&gt;=1700,k&lt;=1850),1,AND(k&gt;=1650,k&lt;1700),0.7,AND(k&gt;1850,k&lt;=1900),0.7,TRUE,0.2))),p_s,IF(t="train",IF(p="","",IFS(AND(p&gt;=125,p&lt;=135),1,AND(p&gt;=115,p&lt;125),0.7,AND(p&gt;135,p&lt;=145),0.7,AND(p&gt;=105,p&lt;115),0.4,AND(p&gt;145,p&lt;=155),0.4,TRUE,0.2)),IF(p="","",IFS(AND(p&gt;=120,p&lt;=130),1,AND(p&gt;=110,p&lt;120),0.7,AND(p&gt;130,p&lt;=140),0.7,AND(p&gt;=100,p&lt;110),0.4,AND(p&gt;140,p&lt;=150),0.4,TRUE,0.2))),f_s,IF(f="","",IFS(AND(f&gt;=55,f&lt;=65),1,AND(f&gt;=50,f&lt;55),0.7,AND(f&gt;65,f&lt;=70),0.7,AND(f&gt;=45,f&lt;50),0.4,AND(f&gt;70,f&lt;=75),0.4,TRUE,0.2)),c_s,IF(t="train",IF(c="","",IFS(AND(c&gt;=180,c&lt;=210),1,AND(c&gt;=160,c&lt;180),0.7,AND(c&gt;210,c&lt;=230),0.7,AND(c&gt;=140,c&lt;160),0.4,AND(c&gt;230,c&lt;=250),0.4,TRUE,0.2)),IF(c="","",IFS(AND(c&gt;=140,c&lt;=170),1,AND(c&gt;=120,c&lt;140),0.7,AND(c&gt;170,c&lt;=190),0.7,AND(c&gt;=100,c&lt;120),0.4,AND(c&gt;190,c&lt;=210),0.4,TRUE,0.2))),AVERAGE(k_s,p_s,f_s,c_s)))),1),""))</f>
        <v/>
      </c>
      <c r="Z82">
        <f>IF($A82="","",TEXTJOIN(", ",TRUE,IF($B82="","??????????",""),IF($C82="","??????",""),IF($D82="","????",""),IF($E82="","??????????",""),IF($F82="","???-?????",""),IF($G82="","???-????",""),IF($H82="","??????",""),IF($L82="","???",""),IF($M82="","?????",""),IF($N82="","??????????????",""),IF($O82="","??????????",""),IF($P82="","???????",""),IF($U82="","???","")))</f>
        <v/>
      </c>
    </row>
    <row r="83">
      <c r="A83" s="2" t="n">
        <v>739729</v>
      </c>
      <c r="J83">
        <f>IF(A83="","",SUMIF(FoodLog!$A:$A,A83,FoodLog!$I:$I))</f>
        <v/>
      </c>
      <c r="K83">
        <f>IF(A83="","",SUMIF(FoodLog!$A:$A,A83,FoodLog!$F:$F))</f>
        <v/>
      </c>
      <c r="L83">
        <f>IF(A83="","",SUMIF(FoodLog!$A:$A,A83,FoodLog!$G:$G))</f>
        <v/>
      </c>
      <c r="M83">
        <f>IF(A83="","",SUMIF(FoodLog!$A:$A,A83,FoodLog!$H:$H))</f>
        <v/>
      </c>
      <c r="N83">
        <f>LET(train,B83,cardio,C83,steps,D83,sleep,E83,reg,F83,prod,I83,kcal,J83,p,K83,w_train,0.22,w_steps,0.18,w_sleep,0.20,w_reg,0.10,w_food,0.18,w_prod,0.12,s_train,IF(train="Верх",1,IF(train="Ноги",1,IF(train="Отдых",0.6,IF(train="Пропустил",0.2,0)))),s_steps,IF(steps="15k+",1,IF(steps="12-15k",0.9,IF(steps="10-12k",0.8,IF(steps="7-10k",0.6,IF(steps="5-7k",0.4,IF(steps="&lt;5k",0.2,0)))))),s_sleep,IF(sleep="&gt;8",0.9,IF(sleep="6-8",1,IF(sleep="&lt;6",0.2,0))),s_reg,IF(reg="Не сбит",1,IF(reg="Сбит",0.3,0)),s_food,IF(AND(kcal&gt;0,p&gt;0),MIN(1, (p/120))*0.6 + MIN(1, MAX(0,1-ABS(kcal-2200)/600))*0.4,0),s_prod,IF(prod="100%",1,IF(prod="75%",0.8,IF(prod="50%",0.6,IF(prod="25%",0.35,IF(prod="0%",0.1,0)))),ROUND(100*(w_train*s_train + w_steps*s_steps + w_sleep*s_sleep + w_reg*s_reg + w_food*s_food + w_prod*s_prod),0))</f>
        <v/>
      </c>
      <c r="O83">
        <f>TEXTJOIN(", ",TRUE,IF(B83="","тренировка",""),IF(D83="","шаги",""),IF(E83="","сон",""),IF(F83="","режим",""),IF(G83="","настроение",""),IF(H83="","энергия",""),IF(I83="","продуктивность",""),IF(J83="","еда (ккал)",""))</f>
        <v/>
      </c>
      <c r="U83">
        <f>IF($A83="","",IF(SUMIF(FoodLog!$A:$A,$A83,FoodLog!$I:$I)=0,"",SUMIF(FoodLog!$A:$A,$A83,FoodLog!$I:$I)))</f>
        <v/>
      </c>
      <c r="V83">
        <f>IF($A83="","",IF(SUMIF(FoodLog!$A:$A,$A83,FoodLog!$F:$F)=0,"",SUMIF(FoodLog!$A:$A,$A83,FoodLog!$F:$F)))</f>
        <v/>
      </c>
      <c r="W83">
        <f>IF($A83="","",IF(SUMIF(FoodLog!$A:$A,$A83,FoodLog!$G:$G)=0,"",SUMIF(FoodLog!$A:$A,$A83,FoodLog!$G:$G)))</f>
        <v/>
      </c>
      <c r="X83">
        <f>IF($A83="","",IF(SUMIF(FoodLog!$A:$A,$A83,FoodLog!$H:$H)=0,"",SUMIF(FoodLog!$A:$A,$A83,FoodLog!$H:$H)))</f>
        <v/>
      </c>
      <c r="Y83">
        <f>IF($A83="","",IFERROR(ROUND(100*AVERAGE(IF($B83="","",XLOOKUP($B83,FILTER(Dictionaries!$B:$B,Dictionaries!$A:$A="??????????"),FILTER(Dictionaries!$C:$C,Dictionaries!$A:$A="??????????"))),IF($C83="","",MIN($C83/40,1)),IF($D83="","",XLOOKUP($D83,FILTER(Dictionaries!$B:$B,Dictionaries!$A:$A="????"),FILTER(Dictionaries!$C:$C,Dictionaries!$A:$A="????"))),IF($E83="","",MIN($E83/120,1)),IF(OR($F83&lt;&gt;"",$G83&lt;&gt;""),1,""),IF($H83="","",MIN($H83/100,1)),IF($L83="","",XLOOKUP($L83,FILTER(Dictionaries!$B:$B,Dictionaries!$A:$A="???_????"),FILTER(Dictionaries!$C:$C,Dictionaries!$A:$A="???_????"))),IF($M83="","",XLOOKUP($M83,FILTER(Dictionaries!$B:$B,Dictionaries!$A:$A="?????"),FILTER(Dictionaries!$C:$C,Dictionaries!$A:$A="?????"))),IF($N83="","",MIN($N83/100,1)),IF($O83="","",XLOOKUP($O83,FILTER(Dictionaries!$B:$B,Dictionaries!$A:$A="??????????"),FILTER(Dictionaries!$C:$C,Dictionaries!$A:$A="??????????"))),IF($P83="","",XLOOKUP($P83,FILTER(Dictionaries!$B:$B,Dictionaries!$A:$A="???????"),FILTER(Dictionaries!$C:$C,Dictionaries!$A:$A="???????"))),IF($U83="","",LET(t,IF(OR($B83="????",$B83="????"),"train","rest"),k,$U83,p,$V83,f,$W83,c,$X83,k_s,IF(t="train",IF(k="","",IFS(AND(k&gt;=1900,k&lt;=2050),1,AND(k&gt;=1850,k&lt;1900),0.7,AND(k&gt;2050,k&lt;=2100),0.7,TRUE,0.2)),IF(k="","",IFS(AND(k&gt;=1700,k&lt;=1850),1,AND(k&gt;=1650,k&lt;1700),0.7,AND(k&gt;1850,k&lt;=1900),0.7,TRUE,0.2))),p_s,IF(t="train",IF(p="","",IFS(AND(p&gt;=125,p&lt;=135),1,AND(p&gt;=115,p&lt;125),0.7,AND(p&gt;135,p&lt;=145),0.7,AND(p&gt;=105,p&lt;115),0.4,AND(p&gt;145,p&lt;=155),0.4,TRUE,0.2)),IF(p="","",IFS(AND(p&gt;=120,p&lt;=130),1,AND(p&gt;=110,p&lt;120),0.7,AND(p&gt;130,p&lt;=140),0.7,AND(p&gt;=100,p&lt;110),0.4,AND(p&gt;140,p&lt;=150),0.4,TRUE,0.2))),f_s,IF(f="","",IFS(AND(f&gt;=55,f&lt;=65),1,AND(f&gt;=50,f&lt;55),0.7,AND(f&gt;65,f&lt;=70),0.7,AND(f&gt;=45,f&lt;50),0.4,AND(f&gt;70,f&lt;=75),0.4,TRUE,0.2)),c_s,IF(t="train",IF(c="","",IFS(AND(c&gt;=180,c&lt;=210),1,AND(c&gt;=160,c&lt;180),0.7,AND(c&gt;210,c&lt;=230),0.7,AND(c&gt;=140,c&lt;160),0.4,AND(c&gt;230,c&lt;=250),0.4,TRUE,0.2)),IF(c="","",IFS(AND(c&gt;=140,c&lt;=170),1,AND(c&gt;=120,c&lt;140),0.7,AND(c&gt;170,c&lt;=190),0.7,AND(c&gt;=100,c&lt;120),0.4,AND(c&gt;190,c&lt;=210),0.4,TRUE,0.2))),AVERAGE(k_s,p_s,f_s,c_s)))),1),""))</f>
        <v/>
      </c>
      <c r="Z83">
        <f>IF($A83="","",TEXTJOIN(", ",TRUE,IF($B83="","??????????",""),IF($C83="","??????",""),IF($D83="","????",""),IF($E83="","??????????",""),IF($F83="","???-?????",""),IF($G83="","???-????",""),IF($H83="","??????",""),IF($L83="","???",""),IF($M83="","?????",""),IF($N83="","??????????????",""),IF($O83="","??????????",""),IF($P83="","???????",""),IF($U83="","???","")))</f>
        <v/>
      </c>
    </row>
    <row r="84">
      <c r="A84" s="2" t="n">
        <v>739730</v>
      </c>
      <c r="J84">
        <f>IF(A84="","",SUMIF(FoodLog!$A:$A,A84,FoodLog!$I:$I))</f>
        <v/>
      </c>
      <c r="K84">
        <f>IF(A84="","",SUMIF(FoodLog!$A:$A,A84,FoodLog!$F:$F))</f>
        <v/>
      </c>
      <c r="L84">
        <f>IF(A84="","",SUMIF(FoodLog!$A:$A,A84,FoodLog!$G:$G))</f>
        <v/>
      </c>
      <c r="M84">
        <f>IF(A84="","",SUMIF(FoodLog!$A:$A,A84,FoodLog!$H:$H))</f>
        <v/>
      </c>
      <c r="N84">
        <f>LET(train,B84,cardio,C84,steps,D84,sleep,E84,reg,F84,prod,I84,kcal,J84,p,K84,w_train,0.22,w_steps,0.18,w_sleep,0.20,w_reg,0.10,w_food,0.18,w_prod,0.12,s_train,IF(train="Верх",1,IF(train="Ноги",1,IF(train="Отдых",0.6,IF(train="Пропустил",0.2,0)))),s_steps,IF(steps="15k+",1,IF(steps="12-15k",0.9,IF(steps="10-12k",0.8,IF(steps="7-10k",0.6,IF(steps="5-7k",0.4,IF(steps="&lt;5k",0.2,0)))))),s_sleep,IF(sleep="&gt;8",0.9,IF(sleep="6-8",1,IF(sleep="&lt;6",0.2,0))),s_reg,IF(reg="Не сбит",1,IF(reg="Сбит",0.3,0)),s_food,IF(AND(kcal&gt;0,p&gt;0),MIN(1, (p/120))*0.6 + MIN(1, MAX(0,1-ABS(kcal-2200)/600))*0.4,0),s_prod,IF(prod="100%",1,IF(prod="75%",0.8,IF(prod="50%",0.6,IF(prod="25%",0.35,IF(prod="0%",0.1,0)))),ROUND(100*(w_train*s_train + w_steps*s_steps + w_sleep*s_sleep + w_reg*s_reg + w_food*s_food + w_prod*s_prod),0))</f>
        <v/>
      </c>
      <c r="O84">
        <f>TEXTJOIN(", ",TRUE,IF(B84="","тренировка",""),IF(D84="","шаги",""),IF(E84="","сон",""),IF(F84="","режим",""),IF(G84="","настроение",""),IF(H84="","энергия",""),IF(I84="","продуктивность",""),IF(J84="","еда (ккал)",""))</f>
        <v/>
      </c>
      <c r="U84">
        <f>IF($A84="","",IF(SUMIF(FoodLog!$A:$A,$A84,FoodLog!$I:$I)=0,"",SUMIF(FoodLog!$A:$A,$A84,FoodLog!$I:$I)))</f>
        <v/>
      </c>
      <c r="V84">
        <f>IF($A84="","",IF(SUMIF(FoodLog!$A:$A,$A84,FoodLog!$F:$F)=0,"",SUMIF(FoodLog!$A:$A,$A84,FoodLog!$F:$F)))</f>
        <v/>
      </c>
      <c r="W84">
        <f>IF($A84="","",IF(SUMIF(FoodLog!$A:$A,$A84,FoodLog!$G:$G)=0,"",SUMIF(FoodLog!$A:$A,$A84,FoodLog!$G:$G)))</f>
        <v/>
      </c>
      <c r="X84">
        <f>IF($A84="","",IF(SUMIF(FoodLog!$A:$A,$A84,FoodLog!$H:$H)=0,"",SUMIF(FoodLog!$A:$A,$A84,FoodLog!$H:$H)))</f>
        <v/>
      </c>
      <c r="Y84">
        <f>IF($A84="","",IFERROR(ROUND(100*AVERAGE(IF($B84="","",XLOOKUP($B84,FILTER(Dictionaries!$B:$B,Dictionaries!$A:$A="??????????"),FILTER(Dictionaries!$C:$C,Dictionaries!$A:$A="??????????"))),IF($C84="","",MIN($C84/40,1)),IF($D84="","",XLOOKUP($D84,FILTER(Dictionaries!$B:$B,Dictionaries!$A:$A="????"),FILTER(Dictionaries!$C:$C,Dictionaries!$A:$A="????"))),IF($E84="","",MIN($E84/120,1)),IF(OR($F84&lt;&gt;"",$G84&lt;&gt;""),1,""),IF($H84="","",MIN($H84/100,1)),IF($L84="","",XLOOKUP($L84,FILTER(Dictionaries!$B:$B,Dictionaries!$A:$A="???_????"),FILTER(Dictionaries!$C:$C,Dictionaries!$A:$A="???_????"))),IF($M84="","",XLOOKUP($M84,FILTER(Dictionaries!$B:$B,Dictionaries!$A:$A="?????"),FILTER(Dictionaries!$C:$C,Dictionaries!$A:$A="?????"))),IF($N84="","",MIN($N84/100,1)),IF($O84="","",XLOOKUP($O84,FILTER(Dictionaries!$B:$B,Dictionaries!$A:$A="??????????"),FILTER(Dictionaries!$C:$C,Dictionaries!$A:$A="??????????"))),IF($P84="","",XLOOKUP($P84,FILTER(Dictionaries!$B:$B,Dictionaries!$A:$A="???????"),FILTER(Dictionaries!$C:$C,Dictionaries!$A:$A="???????"))),IF($U84="","",LET(t,IF(OR($B84="????",$B84="????"),"train","rest"),k,$U84,p,$V84,f,$W84,c,$X84,k_s,IF(t="train",IF(k="","",IFS(AND(k&gt;=1900,k&lt;=2050),1,AND(k&gt;=1850,k&lt;1900),0.7,AND(k&gt;2050,k&lt;=2100),0.7,TRUE,0.2)),IF(k="","",IFS(AND(k&gt;=1700,k&lt;=1850),1,AND(k&gt;=1650,k&lt;1700),0.7,AND(k&gt;1850,k&lt;=1900),0.7,TRUE,0.2))),p_s,IF(t="train",IF(p="","",IFS(AND(p&gt;=125,p&lt;=135),1,AND(p&gt;=115,p&lt;125),0.7,AND(p&gt;135,p&lt;=145),0.7,AND(p&gt;=105,p&lt;115),0.4,AND(p&gt;145,p&lt;=155),0.4,TRUE,0.2)),IF(p="","",IFS(AND(p&gt;=120,p&lt;=130),1,AND(p&gt;=110,p&lt;120),0.7,AND(p&gt;130,p&lt;=140),0.7,AND(p&gt;=100,p&lt;110),0.4,AND(p&gt;140,p&lt;=150),0.4,TRUE,0.2))),f_s,IF(f="","",IFS(AND(f&gt;=55,f&lt;=65),1,AND(f&gt;=50,f&lt;55),0.7,AND(f&gt;65,f&lt;=70),0.7,AND(f&gt;=45,f&lt;50),0.4,AND(f&gt;70,f&lt;=75),0.4,TRUE,0.2)),c_s,IF(t="train",IF(c="","",IFS(AND(c&gt;=180,c&lt;=210),1,AND(c&gt;=160,c&lt;180),0.7,AND(c&gt;210,c&lt;=230),0.7,AND(c&gt;=140,c&lt;160),0.4,AND(c&gt;230,c&lt;=250),0.4,TRUE,0.2)),IF(c="","",IFS(AND(c&gt;=140,c&lt;=170),1,AND(c&gt;=120,c&lt;140),0.7,AND(c&gt;170,c&lt;=190),0.7,AND(c&gt;=100,c&lt;120),0.4,AND(c&gt;190,c&lt;=210),0.4,TRUE,0.2))),AVERAGE(k_s,p_s,f_s,c_s)))),1),""))</f>
        <v/>
      </c>
      <c r="Z84">
        <f>IF($A84="","",TEXTJOIN(", ",TRUE,IF($B84="","??????????",""),IF($C84="","??????",""),IF($D84="","????",""),IF($E84="","??????????",""),IF($F84="","???-?????",""),IF($G84="","???-????",""),IF($H84="","??????",""),IF($L84="","???",""),IF($M84="","?????",""),IF($N84="","??????????????",""),IF($O84="","??????????",""),IF($P84="","???????",""),IF($U84="","???","")))</f>
        <v/>
      </c>
    </row>
    <row r="85">
      <c r="A85" s="2" t="n">
        <v>739731</v>
      </c>
      <c r="J85">
        <f>IF(A85="","",SUMIF(FoodLog!$A:$A,A85,FoodLog!$I:$I))</f>
        <v/>
      </c>
      <c r="K85">
        <f>IF(A85="","",SUMIF(FoodLog!$A:$A,A85,FoodLog!$F:$F))</f>
        <v/>
      </c>
      <c r="L85">
        <f>IF(A85="","",SUMIF(FoodLog!$A:$A,A85,FoodLog!$G:$G))</f>
        <v/>
      </c>
      <c r="M85">
        <f>IF(A85="","",SUMIF(FoodLog!$A:$A,A85,FoodLog!$H:$H))</f>
        <v/>
      </c>
      <c r="N85">
        <f>LET(train,B85,cardio,C85,steps,D85,sleep,E85,reg,F85,prod,I85,kcal,J85,p,K85,w_train,0.22,w_steps,0.18,w_sleep,0.20,w_reg,0.10,w_food,0.18,w_prod,0.12,s_train,IF(train="Верх",1,IF(train="Ноги",1,IF(train="Отдых",0.6,IF(train="Пропустил",0.2,0)))),s_steps,IF(steps="15k+",1,IF(steps="12-15k",0.9,IF(steps="10-12k",0.8,IF(steps="7-10k",0.6,IF(steps="5-7k",0.4,IF(steps="&lt;5k",0.2,0)))))),s_sleep,IF(sleep="&gt;8",0.9,IF(sleep="6-8",1,IF(sleep="&lt;6",0.2,0))),s_reg,IF(reg="Не сбит",1,IF(reg="Сбит",0.3,0)),s_food,IF(AND(kcal&gt;0,p&gt;0),MIN(1, (p/120))*0.6 + MIN(1, MAX(0,1-ABS(kcal-2200)/600))*0.4,0),s_prod,IF(prod="100%",1,IF(prod="75%",0.8,IF(prod="50%",0.6,IF(prod="25%",0.35,IF(prod="0%",0.1,0)))),ROUND(100*(w_train*s_train + w_steps*s_steps + w_sleep*s_sleep + w_reg*s_reg + w_food*s_food + w_prod*s_prod),0))</f>
        <v/>
      </c>
      <c r="O85">
        <f>TEXTJOIN(", ",TRUE,IF(B85="","тренировка",""),IF(D85="","шаги",""),IF(E85="","сон",""),IF(F85="","режим",""),IF(G85="","настроение",""),IF(H85="","энергия",""),IF(I85="","продуктивность",""),IF(J85="","еда (ккал)",""))</f>
        <v/>
      </c>
      <c r="U85">
        <f>IF($A85="","",IF(SUMIF(FoodLog!$A:$A,$A85,FoodLog!$I:$I)=0,"",SUMIF(FoodLog!$A:$A,$A85,FoodLog!$I:$I)))</f>
        <v/>
      </c>
      <c r="V85">
        <f>IF($A85="","",IF(SUMIF(FoodLog!$A:$A,$A85,FoodLog!$F:$F)=0,"",SUMIF(FoodLog!$A:$A,$A85,FoodLog!$F:$F)))</f>
        <v/>
      </c>
      <c r="W85">
        <f>IF($A85="","",IF(SUMIF(FoodLog!$A:$A,$A85,FoodLog!$G:$G)=0,"",SUMIF(FoodLog!$A:$A,$A85,FoodLog!$G:$G)))</f>
        <v/>
      </c>
      <c r="X85">
        <f>IF($A85="","",IF(SUMIF(FoodLog!$A:$A,$A85,FoodLog!$H:$H)=0,"",SUMIF(FoodLog!$A:$A,$A85,FoodLog!$H:$H)))</f>
        <v/>
      </c>
      <c r="Y85">
        <f>IF($A85="","",IFERROR(ROUND(100*AVERAGE(IF($B85="","",XLOOKUP($B85,FILTER(Dictionaries!$B:$B,Dictionaries!$A:$A="??????????"),FILTER(Dictionaries!$C:$C,Dictionaries!$A:$A="??????????"))),IF($C85="","",MIN($C85/40,1)),IF($D85="","",XLOOKUP($D85,FILTER(Dictionaries!$B:$B,Dictionaries!$A:$A="????"),FILTER(Dictionaries!$C:$C,Dictionaries!$A:$A="????"))),IF($E85="","",MIN($E85/120,1)),IF(OR($F85&lt;&gt;"",$G85&lt;&gt;""),1,""),IF($H85="","",MIN($H85/100,1)),IF($L85="","",XLOOKUP($L85,FILTER(Dictionaries!$B:$B,Dictionaries!$A:$A="???_????"),FILTER(Dictionaries!$C:$C,Dictionaries!$A:$A="???_????"))),IF($M85="","",XLOOKUP($M85,FILTER(Dictionaries!$B:$B,Dictionaries!$A:$A="?????"),FILTER(Dictionaries!$C:$C,Dictionaries!$A:$A="?????"))),IF($N85="","",MIN($N85/100,1)),IF($O85="","",XLOOKUP($O85,FILTER(Dictionaries!$B:$B,Dictionaries!$A:$A="??????????"),FILTER(Dictionaries!$C:$C,Dictionaries!$A:$A="??????????"))),IF($P85="","",XLOOKUP($P85,FILTER(Dictionaries!$B:$B,Dictionaries!$A:$A="???????"),FILTER(Dictionaries!$C:$C,Dictionaries!$A:$A="???????"))),IF($U85="","",LET(t,IF(OR($B85="????",$B85="????"),"train","rest"),k,$U85,p,$V85,f,$W85,c,$X85,k_s,IF(t="train",IF(k="","",IFS(AND(k&gt;=1900,k&lt;=2050),1,AND(k&gt;=1850,k&lt;1900),0.7,AND(k&gt;2050,k&lt;=2100),0.7,TRUE,0.2)),IF(k="","",IFS(AND(k&gt;=1700,k&lt;=1850),1,AND(k&gt;=1650,k&lt;1700),0.7,AND(k&gt;1850,k&lt;=1900),0.7,TRUE,0.2))),p_s,IF(t="train",IF(p="","",IFS(AND(p&gt;=125,p&lt;=135),1,AND(p&gt;=115,p&lt;125),0.7,AND(p&gt;135,p&lt;=145),0.7,AND(p&gt;=105,p&lt;115),0.4,AND(p&gt;145,p&lt;=155),0.4,TRUE,0.2)),IF(p="","",IFS(AND(p&gt;=120,p&lt;=130),1,AND(p&gt;=110,p&lt;120),0.7,AND(p&gt;130,p&lt;=140),0.7,AND(p&gt;=100,p&lt;110),0.4,AND(p&gt;140,p&lt;=150),0.4,TRUE,0.2))),f_s,IF(f="","",IFS(AND(f&gt;=55,f&lt;=65),1,AND(f&gt;=50,f&lt;55),0.7,AND(f&gt;65,f&lt;=70),0.7,AND(f&gt;=45,f&lt;50),0.4,AND(f&gt;70,f&lt;=75),0.4,TRUE,0.2)),c_s,IF(t="train",IF(c="","",IFS(AND(c&gt;=180,c&lt;=210),1,AND(c&gt;=160,c&lt;180),0.7,AND(c&gt;210,c&lt;=230),0.7,AND(c&gt;=140,c&lt;160),0.4,AND(c&gt;230,c&lt;=250),0.4,TRUE,0.2)),IF(c="","",IFS(AND(c&gt;=140,c&lt;=170),1,AND(c&gt;=120,c&lt;140),0.7,AND(c&gt;170,c&lt;=190),0.7,AND(c&gt;=100,c&lt;120),0.4,AND(c&gt;190,c&lt;=210),0.4,TRUE,0.2))),AVERAGE(k_s,p_s,f_s,c_s)))),1),""))</f>
        <v/>
      </c>
      <c r="Z85">
        <f>IF($A85="","",TEXTJOIN(", ",TRUE,IF($B85="","??????????",""),IF($C85="","??????",""),IF($D85="","????",""),IF($E85="","??????????",""),IF($F85="","???-?????",""),IF($G85="","???-????",""),IF($H85="","??????",""),IF($L85="","???",""),IF($M85="","?????",""),IF($N85="","??????????????",""),IF($O85="","??????????",""),IF($P85="","???????",""),IF($U85="","???","")))</f>
        <v/>
      </c>
    </row>
    <row r="86">
      <c r="A86" s="2" t="n">
        <v>739732</v>
      </c>
      <c r="J86">
        <f>IF(A86="","",SUMIF(FoodLog!$A:$A,A86,FoodLog!$I:$I))</f>
        <v/>
      </c>
      <c r="K86">
        <f>IF(A86="","",SUMIF(FoodLog!$A:$A,A86,FoodLog!$F:$F))</f>
        <v/>
      </c>
      <c r="L86">
        <f>IF(A86="","",SUMIF(FoodLog!$A:$A,A86,FoodLog!$G:$G))</f>
        <v/>
      </c>
      <c r="M86">
        <f>IF(A86="","",SUMIF(FoodLog!$A:$A,A86,FoodLog!$H:$H))</f>
        <v/>
      </c>
      <c r="N86">
        <f>LET(train,B86,cardio,C86,steps,D86,sleep,E86,reg,F86,prod,I86,kcal,J86,p,K86,w_train,0.22,w_steps,0.18,w_sleep,0.20,w_reg,0.10,w_food,0.18,w_prod,0.12,s_train,IF(train="Верх",1,IF(train="Ноги",1,IF(train="Отдых",0.6,IF(train="Пропустил",0.2,0)))),s_steps,IF(steps="15k+",1,IF(steps="12-15k",0.9,IF(steps="10-12k",0.8,IF(steps="7-10k",0.6,IF(steps="5-7k",0.4,IF(steps="&lt;5k",0.2,0)))))),s_sleep,IF(sleep="&gt;8",0.9,IF(sleep="6-8",1,IF(sleep="&lt;6",0.2,0))),s_reg,IF(reg="Не сбит",1,IF(reg="Сбит",0.3,0)),s_food,IF(AND(kcal&gt;0,p&gt;0),MIN(1, (p/120))*0.6 + MIN(1, MAX(0,1-ABS(kcal-2200)/600))*0.4,0),s_prod,IF(prod="100%",1,IF(prod="75%",0.8,IF(prod="50%",0.6,IF(prod="25%",0.35,IF(prod="0%",0.1,0)))),ROUND(100*(w_train*s_train + w_steps*s_steps + w_sleep*s_sleep + w_reg*s_reg + w_food*s_food + w_prod*s_prod),0))</f>
        <v/>
      </c>
      <c r="O86">
        <f>TEXTJOIN(", ",TRUE,IF(B86="","тренировка",""),IF(D86="","шаги",""),IF(E86="","сон",""),IF(F86="","режим",""),IF(G86="","настроение",""),IF(H86="","энергия",""),IF(I86="","продуктивность",""),IF(J86="","еда (ккал)",""))</f>
        <v/>
      </c>
      <c r="U86">
        <f>IF($A86="","",IF(SUMIF(FoodLog!$A:$A,$A86,FoodLog!$I:$I)=0,"",SUMIF(FoodLog!$A:$A,$A86,FoodLog!$I:$I)))</f>
        <v/>
      </c>
      <c r="V86">
        <f>IF($A86="","",IF(SUMIF(FoodLog!$A:$A,$A86,FoodLog!$F:$F)=0,"",SUMIF(FoodLog!$A:$A,$A86,FoodLog!$F:$F)))</f>
        <v/>
      </c>
      <c r="W86">
        <f>IF($A86="","",IF(SUMIF(FoodLog!$A:$A,$A86,FoodLog!$G:$G)=0,"",SUMIF(FoodLog!$A:$A,$A86,FoodLog!$G:$G)))</f>
        <v/>
      </c>
      <c r="X86">
        <f>IF($A86="","",IF(SUMIF(FoodLog!$A:$A,$A86,FoodLog!$H:$H)=0,"",SUMIF(FoodLog!$A:$A,$A86,FoodLog!$H:$H)))</f>
        <v/>
      </c>
      <c r="Y86">
        <f>IF($A86="","",IFERROR(ROUND(100*AVERAGE(IF($B86="","",XLOOKUP($B86,FILTER(Dictionaries!$B:$B,Dictionaries!$A:$A="??????????"),FILTER(Dictionaries!$C:$C,Dictionaries!$A:$A="??????????"))),IF($C86="","",MIN($C86/40,1)),IF($D86="","",XLOOKUP($D86,FILTER(Dictionaries!$B:$B,Dictionaries!$A:$A="????"),FILTER(Dictionaries!$C:$C,Dictionaries!$A:$A="????"))),IF($E86="","",MIN($E86/120,1)),IF(OR($F86&lt;&gt;"",$G86&lt;&gt;""),1,""),IF($H86="","",MIN($H86/100,1)),IF($L86="","",XLOOKUP($L86,FILTER(Dictionaries!$B:$B,Dictionaries!$A:$A="???_????"),FILTER(Dictionaries!$C:$C,Dictionaries!$A:$A="???_????"))),IF($M86="","",XLOOKUP($M86,FILTER(Dictionaries!$B:$B,Dictionaries!$A:$A="?????"),FILTER(Dictionaries!$C:$C,Dictionaries!$A:$A="?????"))),IF($N86="","",MIN($N86/100,1)),IF($O86="","",XLOOKUP($O86,FILTER(Dictionaries!$B:$B,Dictionaries!$A:$A="??????????"),FILTER(Dictionaries!$C:$C,Dictionaries!$A:$A="??????????"))),IF($P86="","",XLOOKUP($P86,FILTER(Dictionaries!$B:$B,Dictionaries!$A:$A="???????"),FILTER(Dictionaries!$C:$C,Dictionaries!$A:$A="???????"))),IF($U86="","",LET(t,IF(OR($B86="????",$B86="????"),"train","rest"),k,$U86,p,$V86,f,$W86,c,$X86,k_s,IF(t="train",IF(k="","",IFS(AND(k&gt;=1900,k&lt;=2050),1,AND(k&gt;=1850,k&lt;1900),0.7,AND(k&gt;2050,k&lt;=2100),0.7,TRUE,0.2)),IF(k="","",IFS(AND(k&gt;=1700,k&lt;=1850),1,AND(k&gt;=1650,k&lt;1700),0.7,AND(k&gt;1850,k&lt;=1900),0.7,TRUE,0.2))),p_s,IF(t="train",IF(p="","",IFS(AND(p&gt;=125,p&lt;=135),1,AND(p&gt;=115,p&lt;125),0.7,AND(p&gt;135,p&lt;=145),0.7,AND(p&gt;=105,p&lt;115),0.4,AND(p&gt;145,p&lt;=155),0.4,TRUE,0.2)),IF(p="","",IFS(AND(p&gt;=120,p&lt;=130),1,AND(p&gt;=110,p&lt;120),0.7,AND(p&gt;130,p&lt;=140),0.7,AND(p&gt;=100,p&lt;110),0.4,AND(p&gt;140,p&lt;=150),0.4,TRUE,0.2))),f_s,IF(f="","",IFS(AND(f&gt;=55,f&lt;=65),1,AND(f&gt;=50,f&lt;55),0.7,AND(f&gt;65,f&lt;=70),0.7,AND(f&gt;=45,f&lt;50),0.4,AND(f&gt;70,f&lt;=75),0.4,TRUE,0.2)),c_s,IF(t="train",IF(c="","",IFS(AND(c&gt;=180,c&lt;=210),1,AND(c&gt;=160,c&lt;180),0.7,AND(c&gt;210,c&lt;=230),0.7,AND(c&gt;=140,c&lt;160),0.4,AND(c&gt;230,c&lt;=250),0.4,TRUE,0.2)),IF(c="","",IFS(AND(c&gt;=140,c&lt;=170),1,AND(c&gt;=120,c&lt;140),0.7,AND(c&gt;170,c&lt;=190),0.7,AND(c&gt;=100,c&lt;120),0.4,AND(c&gt;190,c&lt;=210),0.4,TRUE,0.2))),AVERAGE(k_s,p_s,f_s,c_s)))),1),""))</f>
        <v/>
      </c>
      <c r="Z86">
        <f>IF($A86="","",TEXTJOIN(", ",TRUE,IF($B86="","??????????",""),IF($C86="","??????",""),IF($D86="","????",""),IF($E86="","??????????",""),IF($F86="","???-?????",""),IF($G86="","???-????",""),IF($H86="","??????",""),IF($L86="","???",""),IF($M86="","?????",""),IF($N86="","??????????????",""),IF($O86="","??????????",""),IF($P86="","???????",""),IF($U86="","???","")))</f>
        <v/>
      </c>
    </row>
    <row r="87">
      <c r="A87" s="2" t="n">
        <v>739733</v>
      </c>
      <c r="J87">
        <f>IF(A87="","",SUMIF(FoodLog!$A:$A,A87,FoodLog!$I:$I))</f>
        <v/>
      </c>
      <c r="K87">
        <f>IF(A87="","",SUMIF(FoodLog!$A:$A,A87,FoodLog!$F:$F))</f>
        <v/>
      </c>
      <c r="L87">
        <f>IF(A87="","",SUMIF(FoodLog!$A:$A,A87,FoodLog!$G:$G))</f>
        <v/>
      </c>
      <c r="M87">
        <f>IF(A87="","",SUMIF(FoodLog!$A:$A,A87,FoodLog!$H:$H))</f>
        <v/>
      </c>
      <c r="N87">
        <f>LET(train,B87,cardio,C87,steps,D87,sleep,E87,reg,F87,prod,I87,kcal,J87,p,K87,w_train,0.22,w_steps,0.18,w_sleep,0.20,w_reg,0.10,w_food,0.18,w_prod,0.12,s_train,IF(train="Верх",1,IF(train="Ноги",1,IF(train="Отдых",0.6,IF(train="Пропустил",0.2,0)))),s_steps,IF(steps="15k+",1,IF(steps="12-15k",0.9,IF(steps="10-12k",0.8,IF(steps="7-10k",0.6,IF(steps="5-7k",0.4,IF(steps="&lt;5k",0.2,0)))))),s_sleep,IF(sleep="&gt;8",0.9,IF(sleep="6-8",1,IF(sleep="&lt;6",0.2,0))),s_reg,IF(reg="Не сбит",1,IF(reg="Сбит",0.3,0)),s_food,IF(AND(kcal&gt;0,p&gt;0),MIN(1, (p/120))*0.6 + MIN(1, MAX(0,1-ABS(kcal-2200)/600))*0.4,0),s_prod,IF(prod="100%",1,IF(prod="75%",0.8,IF(prod="50%",0.6,IF(prod="25%",0.35,IF(prod="0%",0.1,0)))),ROUND(100*(w_train*s_train + w_steps*s_steps + w_sleep*s_sleep + w_reg*s_reg + w_food*s_food + w_prod*s_prod),0))</f>
        <v/>
      </c>
      <c r="O87">
        <f>TEXTJOIN(", ",TRUE,IF(B87="","тренировка",""),IF(D87="","шаги",""),IF(E87="","сон",""),IF(F87="","режим",""),IF(G87="","настроение",""),IF(H87="","энергия",""),IF(I87="","продуктивность",""),IF(J87="","еда (ккал)",""))</f>
        <v/>
      </c>
      <c r="U87">
        <f>IF($A87="","",IF(SUMIF(FoodLog!$A:$A,$A87,FoodLog!$I:$I)=0,"",SUMIF(FoodLog!$A:$A,$A87,FoodLog!$I:$I)))</f>
        <v/>
      </c>
      <c r="V87">
        <f>IF($A87="","",IF(SUMIF(FoodLog!$A:$A,$A87,FoodLog!$F:$F)=0,"",SUMIF(FoodLog!$A:$A,$A87,FoodLog!$F:$F)))</f>
        <v/>
      </c>
      <c r="W87">
        <f>IF($A87="","",IF(SUMIF(FoodLog!$A:$A,$A87,FoodLog!$G:$G)=0,"",SUMIF(FoodLog!$A:$A,$A87,FoodLog!$G:$G)))</f>
        <v/>
      </c>
      <c r="X87">
        <f>IF($A87="","",IF(SUMIF(FoodLog!$A:$A,$A87,FoodLog!$H:$H)=0,"",SUMIF(FoodLog!$A:$A,$A87,FoodLog!$H:$H)))</f>
        <v/>
      </c>
      <c r="Y87">
        <f>IF($A87="","",IFERROR(ROUND(100*AVERAGE(IF($B87="","",XLOOKUP($B87,FILTER(Dictionaries!$B:$B,Dictionaries!$A:$A="??????????"),FILTER(Dictionaries!$C:$C,Dictionaries!$A:$A="??????????"))),IF($C87="","",MIN($C87/40,1)),IF($D87="","",XLOOKUP($D87,FILTER(Dictionaries!$B:$B,Dictionaries!$A:$A="????"),FILTER(Dictionaries!$C:$C,Dictionaries!$A:$A="????"))),IF($E87="","",MIN($E87/120,1)),IF(OR($F87&lt;&gt;"",$G87&lt;&gt;""),1,""),IF($H87="","",MIN($H87/100,1)),IF($L87="","",XLOOKUP($L87,FILTER(Dictionaries!$B:$B,Dictionaries!$A:$A="???_????"),FILTER(Dictionaries!$C:$C,Dictionaries!$A:$A="???_????"))),IF($M87="","",XLOOKUP($M87,FILTER(Dictionaries!$B:$B,Dictionaries!$A:$A="?????"),FILTER(Dictionaries!$C:$C,Dictionaries!$A:$A="?????"))),IF($N87="","",MIN($N87/100,1)),IF($O87="","",XLOOKUP($O87,FILTER(Dictionaries!$B:$B,Dictionaries!$A:$A="??????????"),FILTER(Dictionaries!$C:$C,Dictionaries!$A:$A="??????????"))),IF($P87="","",XLOOKUP($P87,FILTER(Dictionaries!$B:$B,Dictionaries!$A:$A="???????"),FILTER(Dictionaries!$C:$C,Dictionaries!$A:$A="???????"))),IF($U87="","",LET(t,IF(OR($B87="????",$B87="????"),"train","rest"),k,$U87,p,$V87,f,$W87,c,$X87,k_s,IF(t="train",IF(k="","",IFS(AND(k&gt;=1900,k&lt;=2050),1,AND(k&gt;=1850,k&lt;1900),0.7,AND(k&gt;2050,k&lt;=2100),0.7,TRUE,0.2)),IF(k="","",IFS(AND(k&gt;=1700,k&lt;=1850),1,AND(k&gt;=1650,k&lt;1700),0.7,AND(k&gt;1850,k&lt;=1900),0.7,TRUE,0.2))),p_s,IF(t="train",IF(p="","",IFS(AND(p&gt;=125,p&lt;=135),1,AND(p&gt;=115,p&lt;125),0.7,AND(p&gt;135,p&lt;=145),0.7,AND(p&gt;=105,p&lt;115),0.4,AND(p&gt;145,p&lt;=155),0.4,TRUE,0.2)),IF(p="","",IFS(AND(p&gt;=120,p&lt;=130),1,AND(p&gt;=110,p&lt;120),0.7,AND(p&gt;130,p&lt;=140),0.7,AND(p&gt;=100,p&lt;110),0.4,AND(p&gt;140,p&lt;=150),0.4,TRUE,0.2))),f_s,IF(f="","",IFS(AND(f&gt;=55,f&lt;=65),1,AND(f&gt;=50,f&lt;55),0.7,AND(f&gt;65,f&lt;=70),0.7,AND(f&gt;=45,f&lt;50),0.4,AND(f&gt;70,f&lt;=75),0.4,TRUE,0.2)),c_s,IF(t="train",IF(c="","",IFS(AND(c&gt;=180,c&lt;=210),1,AND(c&gt;=160,c&lt;180),0.7,AND(c&gt;210,c&lt;=230),0.7,AND(c&gt;=140,c&lt;160),0.4,AND(c&gt;230,c&lt;=250),0.4,TRUE,0.2)),IF(c="","",IFS(AND(c&gt;=140,c&lt;=170),1,AND(c&gt;=120,c&lt;140),0.7,AND(c&gt;170,c&lt;=190),0.7,AND(c&gt;=100,c&lt;120),0.4,AND(c&gt;190,c&lt;=210),0.4,TRUE,0.2))),AVERAGE(k_s,p_s,f_s,c_s)))),1),""))</f>
        <v/>
      </c>
      <c r="Z87">
        <f>IF($A87="","",TEXTJOIN(", ",TRUE,IF($B87="","??????????",""),IF($C87="","??????",""),IF($D87="","????",""),IF($E87="","??????????",""),IF($F87="","???-?????",""),IF($G87="","???-????",""),IF($H87="","??????",""),IF($L87="","???",""),IF($M87="","?????",""),IF($N87="","??????????????",""),IF($O87="","??????????",""),IF($P87="","???????",""),IF($U87="","???","")))</f>
        <v/>
      </c>
    </row>
    <row r="88">
      <c r="A88" s="2" t="n">
        <v>739734</v>
      </c>
      <c r="J88">
        <f>IF(A88="","",SUMIF(FoodLog!$A:$A,A88,FoodLog!$I:$I))</f>
        <v/>
      </c>
      <c r="K88">
        <f>IF(A88="","",SUMIF(FoodLog!$A:$A,A88,FoodLog!$F:$F))</f>
        <v/>
      </c>
      <c r="L88">
        <f>IF(A88="","",SUMIF(FoodLog!$A:$A,A88,FoodLog!$G:$G))</f>
        <v/>
      </c>
      <c r="M88">
        <f>IF(A88="","",SUMIF(FoodLog!$A:$A,A88,FoodLog!$H:$H))</f>
        <v/>
      </c>
      <c r="N88">
        <f>LET(train,B88,cardio,C88,steps,D88,sleep,E88,reg,F88,prod,I88,kcal,J88,p,K88,w_train,0.22,w_steps,0.18,w_sleep,0.20,w_reg,0.10,w_food,0.18,w_prod,0.12,s_train,IF(train="Верх",1,IF(train="Ноги",1,IF(train="Отдых",0.6,IF(train="Пропустил",0.2,0)))),s_steps,IF(steps="15k+",1,IF(steps="12-15k",0.9,IF(steps="10-12k",0.8,IF(steps="7-10k",0.6,IF(steps="5-7k",0.4,IF(steps="&lt;5k",0.2,0)))))),s_sleep,IF(sleep="&gt;8",0.9,IF(sleep="6-8",1,IF(sleep="&lt;6",0.2,0))),s_reg,IF(reg="Не сбит",1,IF(reg="Сбит",0.3,0)),s_food,IF(AND(kcal&gt;0,p&gt;0),MIN(1, (p/120))*0.6 + MIN(1, MAX(0,1-ABS(kcal-2200)/600))*0.4,0),s_prod,IF(prod="100%",1,IF(prod="75%",0.8,IF(prod="50%",0.6,IF(prod="25%",0.35,IF(prod="0%",0.1,0)))),ROUND(100*(w_train*s_train + w_steps*s_steps + w_sleep*s_sleep + w_reg*s_reg + w_food*s_food + w_prod*s_prod),0))</f>
        <v/>
      </c>
      <c r="O88">
        <f>TEXTJOIN(", ",TRUE,IF(B88="","тренировка",""),IF(D88="","шаги",""),IF(E88="","сон",""),IF(F88="","режим",""),IF(G88="","настроение",""),IF(H88="","энергия",""),IF(I88="","продуктивность",""),IF(J88="","еда (ккал)",""))</f>
        <v/>
      </c>
      <c r="U88">
        <f>IF($A88="","",IF(SUMIF(FoodLog!$A:$A,$A88,FoodLog!$I:$I)=0,"",SUMIF(FoodLog!$A:$A,$A88,FoodLog!$I:$I)))</f>
        <v/>
      </c>
      <c r="V88">
        <f>IF($A88="","",IF(SUMIF(FoodLog!$A:$A,$A88,FoodLog!$F:$F)=0,"",SUMIF(FoodLog!$A:$A,$A88,FoodLog!$F:$F)))</f>
        <v/>
      </c>
      <c r="W88">
        <f>IF($A88="","",IF(SUMIF(FoodLog!$A:$A,$A88,FoodLog!$G:$G)=0,"",SUMIF(FoodLog!$A:$A,$A88,FoodLog!$G:$G)))</f>
        <v/>
      </c>
      <c r="X88">
        <f>IF($A88="","",IF(SUMIF(FoodLog!$A:$A,$A88,FoodLog!$H:$H)=0,"",SUMIF(FoodLog!$A:$A,$A88,FoodLog!$H:$H)))</f>
        <v/>
      </c>
      <c r="Y88">
        <f>IF($A88="","",IFERROR(ROUND(100*AVERAGE(IF($B88="","",XLOOKUP($B88,FILTER(Dictionaries!$B:$B,Dictionaries!$A:$A="??????????"),FILTER(Dictionaries!$C:$C,Dictionaries!$A:$A="??????????"))),IF($C88="","",MIN($C88/40,1)),IF($D88="","",XLOOKUP($D88,FILTER(Dictionaries!$B:$B,Dictionaries!$A:$A="????"),FILTER(Dictionaries!$C:$C,Dictionaries!$A:$A="????"))),IF($E88="","",MIN($E88/120,1)),IF(OR($F88&lt;&gt;"",$G88&lt;&gt;""),1,""),IF($H88="","",MIN($H88/100,1)),IF($L88="","",XLOOKUP($L88,FILTER(Dictionaries!$B:$B,Dictionaries!$A:$A="???_????"),FILTER(Dictionaries!$C:$C,Dictionaries!$A:$A="???_????"))),IF($M88="","",XLOOKUP($M88,FILTER(Dictionaries!$B:$B,Dictionaries!$A:$A="?????"),FILTER(Dictionaries!$C:$C,Dictionaries!$A:$A="?????"))),IF($N88="","",MIN($N88/100,1)),IF($O88="","",XLOOKUP($O88,FILTER(Dictionaries!$B:$B,Dictionaries!$A:$A="??????????"),FILTER(Dictionaries!$C:$C,Dictionaries!$A:$A="??????????"))),IF($P88="","",XLOOKUP($P88,FILTER(Dictionaries!$B:$B,Dictionaries!$A:$A="???????"),FILTER(Dictionaries!$C:$C,Dictionaries!$A:$A="???????"))),IF($U88="","",LET(t,IF(OR($B88="????",$B88="????"),"train","rest"),k,$U88,p,$V88,f,$W88,c,$X88,k_s,IF(t="train",IF(k="","",IFS(AND(k&gt;=1900,k&lt;=2050),1,AND(k&gt;=1850,k&lt;1900),0.7,AND(k&gt;2050,k&lt;=2100),0.7,TRUE,0.2)),IF(k="","",IFS(AND(k&gt;=1700,k&lt;=1850),1,AND(k&gt;=1650,k&lt;1700),0.7,AND(k&gt;1850,k&lt;=1900),0.7,TRUE,0.2))),p_s,IF(t="train",IF(p="","",IFS(AND(p&gt;=125,p&lt;=135),1,AND(p&gt;=115,p&lt;125),0.7,AND(p&gt;135,p&lt;=145),0.7,AND(p&gt;=105,p&lt;115),0.4,AND(p&gt;145,p&lt;=155),0.4,TRUE,0.2)),IF(p="","",IFS(AND(p&gt;=120,p&lt;=130),1,AND(p&gt;=110,p&lt;120),0.7,AND(p&gt;130,p&lt;=140),0.7,AND(p&gt;=100,p&lt;110),0.4,AND(p&gt;140,p&lt;=150),0.4,TRUE,0.2))),f_s,IF(f="","",IFS(AND(f&gt;=55,f&lt;=65),1,AND(f&gt;=50,f&lt;55),0.7,AND(f&gt;65,f&lt;=70),0.7,AND(f&gt;=45,f&lt;50),0.4,AND(f&gt;70,f&lt;=75),0.4,TRUE,0.2)),c_s,IF(t="train",IF(c="","",IFS(AND(c&gt;=180,c&lt;=210),1,AND(c&gt;=160,c&lt;180),0.7,AND(c&gt;210,c&lt;=230),0.7,AND(c&gt;=140,c&lt;160),0.4,AND(c&gt;230,c&lt;=250),0.4,TRUE,0.2)),IF(c="","",IFS(AND(c&gt;=140,c&lt;=170),1,AND(c&gt;=120,c&lt;140),0.7,AND(c&gt;170,c&lt;=190),0.7,AND(c&gt;=100,c&lt;120),0.4,AND(c&gt;190,c&lt;=210),0.4,TRUE,0.2))),AVERAGE(k_s,p_s,f_s,c_s)))),1),""))</f>
        <v/>
      </c>
      <c r="Z88">
        <f>IF($A88="","",TEXTJOIN(", ",TRUE,IF($B88="","??????????",""),IF($C88="","??????",""),IF($D88="","????",""),IF($E88="","??????????",""),IF($F88="","???-?????",""),IF($G88="","???-????",""),IF($H88="","??????",""),IF($L88="","???",""),IF($M88="","?????",""),IF($N88="","??????????????",""),IF($O88="","??????????",""),IF($P88="","???????",""),IF($U88="","???","")))</f>
        <v/>
      </c>
    </row>
    <row r="89">
      <c r="A89" s="2" t="n">
        <v>739735</v>
      </c>
      <c r="J89">
        <f>IF(A89="","",SUMIF(FoodLog!$A:$A,A89,FoodLog!$I:$I))</f>
        <v/>
      </c>
      <c r="K89">
        <f>IF(A89="","",SUMIF(FoodLog!$A:$A,A89,FoodLog!$F:$F))</f>
        <v/>
      </c>
      <c r="L89">
        <f>IF(A89="","",SUMIF(FoodLog!$A:$A,A89,FoodLog!$G:$G))</f>
        <v/>
      </c>
      <c r="M89">
        <f>IF(A89="","",SUMIF(FoodLog!$A:$A,A89,FoodLog!$H:$H))</f>
        <v/>
      </c>
      <c r="N89">
        <f>LET(train,B89,cardio,C89,steps,D89,sleep,E89,reg,F89,prod,I89,kcal,J89,p,K89,w_train,0.22,w_steps,0.18,w_sleep,0.20,w_reg,0.10,w_food,0.18,w_prod,0.12,s_train,IF(train="Верх",1,IF(train="Ноги",1,IF(train="Отдых",0.6,IF(train="Пропустил",0.2,0)))),s_steps,IF(steps="15k+",1,IF(steps="12-15k",0.9,IF(steps="10-12k",0.8,IF(steps="7-10k",0.6,IF(steps="5-7k",0.4,IF(steps="&lt;5k",0.2,0)))))),s_sleep,IF(sleep="&gt;8",0.9,IF(sleep="6-8",1,IF(sleep="&lt;6",0.2,0))),s_reg,IF(reg="Не сбит",1,IF(reg="Сбит",0.3,0)),s_food,IF(AND(kcal&gt;0,p&gt;0),MIN(1, (p/120))*0.6 + MIN(1, MAX(0,1-ABS(kcal-2200)/600))*0.4,0),s_prod,IF(prod="100%",1,IF(prod="75%",0.8,IF(prod="50%",0.6,IF(prod="25%",0.35,IF(prod="0%",0.1,0)))),ROUND(100*(w_train*s_train + w_steps*s_steps + w_sleep*s_sleep + w_reg*s_reg + w_food*s_food + w_prod*s_prod),0))</f>
        <v/>
      </c>
      <c r="O89">
        <f>TEXTJOIN(", ",TRUE,IF(B89="","тренировка",""),IF(D89="","шаги",""),IF(E89="","сон",""),IF(F89="","режим",""),IF(G89="","настроение",""),IF(H89="","энергия",""),IF(I89="","продуктивность",""),IF(J89="","еда (ккал)",""))</f>
        <v/>
      </c>
      <c r="U89">
        <f>IF($A89="","",IF(SUMIF(FoodLog!$A:$A,$A89,FoodLog!$I:$I)=0,"",SUMIF(FoodLog!$A:$A,$A89,FoodLog!$I:$I)))</f>
        <v/>
      </c>
      <c r="V89">
        <f>IF($A89="","",IF(SUMIF(FoodLog!$A:$A,$A89,FoodLog!$F:$F)=0,"",SUMIF(FoodLog!$A:$A,$A89,FoodLog!$F:$F)))</f>
        <v/>
      </c>
      <c r="W89">
        <f>IF($A89="","",IF(SUMIF(FoodLog!$A:$A,$A89,FoodLog!$G:$G)=0,"",SUMIF(FoodLog!$A:$A,$A89,FoodLog!$G:$G)))</f>
        <v/>
      </c>
      <c r="X89">
        <f>IF($A89="","",IF(SUMIF(FoodLog!$A:$A,$A89,FoodLog!$H:$H)=0,"",SUMIF(FoodLog!$A:$A,$A89,FoodLog!$H:$H)))</f>
        <v/>
      </c>
      <c r="Y89">
        <f>IF($A89="","",IFERROR(ROUND(100*AVERAGE(IF($B89="","",XLOOKUP($B89,FILTER(Dictionaries!$B:$B,Dictionaries!$A:$A="??????????"),FILTER(Dictionaries!$C:$C,Dictionaries!$A:$A="??????????"))),IF($C89="","",MIN($C89/40,1)),IF($D89="","",XLOOKUP($D89,FILTER(Dictionaries!$B:$B,Dictionaries!$A:$A="????"),FILTER(Dictionaries!$C:$C,Dictionaries!$A:$A="????"))),IF($E89="","",MIN($E89/120,1)),IF(OR($F89&lt;&gt;"",$G89&lt;&gt;""),1,""),IF($H89="","",MIN($H89/100,1)),IF($L89="","",XLOOKUP($L89,FILTER(Dictionaries!$B:$B,Dictionaries!$A:$A="???_????"),FILTER(Dictionaries!$C:$C,Dictionaries!$A:$A="???_????"))),IF($M89="","",XLOOKUP($M89,FILTER(Dictionaries!$B:$B,Dictionaries!$A:$A="?????"),FILTER(Dictionaries!$C:$C,Dictionaries!$A:$A="?????"))),IF($N89="","",MIN($N89/100,1)),IF($O89="","",XLOOKUP($O89,FILTER(Dictionaries!$B:$B,Dictionaries!$A:$A="??????????"),FILTER(Dictionaries!$C:$C,Dictionaries!$A:$A="??????????"))),IF($P89="","",XLOOKUP($P89,FILTER(Dictionaries!$B:$B,Dictionaries!$A:$A="???????"),FILTER(Dictionaries!$C:$C,Dictionaries!$A:$A="???????"))),IF($U89="","",LET(t,IF(OR($B89="????",$B89="????"),"train","rest"),k,$U89,p,$V89,f,$W89,c,$X89,k_s,IF(t="train",IF(k="","",IFS(AND(k&gt;=1900,k&lt;=2050),1,AND(k&gt;=1850,k&lt;1900),0.7,AND(k&gt;2050,k&lt;=2100),0.7,TRUE,0.2)),IF(k="","",IFS(AND(k&gt;=1700,k&lt;=1850),1,AND(k&gt;=1650,k&lt;1700),0.7,AND(k&gt;1850,k&lt;=1900),0.7,TRUE,0.2))),p_s,IF(t="train",IF(p="","",IFS(AND(p&gt;=125,p&lt;=135),1,AND(p&gt;=115,p&lt;125),0.7,AND(p&gt;135,p&lt;=145),0.7,AND(p&gt;=105,p&lt;115),0.4,AND(p&gt;145,p&lt;=155),0.4,TRUE,0.2)),IF(p="","",IFS(AND(p&gt;=120,p&lt;=130),1,AND(p&gt;=110,p&lt;120),0.7,AND(p&gt;130,p&lt;=140),0.7,AND(p&gt;=100,p&lt;110),0.4,AND(p&gt;140,p&lt;=150),0.4,TRUE,0.2))),f_s,IF(f="","",IFS(AND(f&gt;=55,f&lt;=65),1,AND(f&gt;=50,f&lt;55),0.7,AND(f&gt;65,f&lt;=70),0.7,AND(f&gt;=45,f&lt;50),0.4,AND(f&gt;70,f&lt;=75),0.4,TRUE,0.2)),c_s,IF(t="train",IF(c="","",IFS(AND(c&gt;=180,c&lt;=210),1,AND(c&gt;=160,c&lt;180),0.7,AND(c&gt;210,c&lt;=230),0.7,AND(c&gt;=140,c&lt;160),0.4,AND(c&gt;230,c&lt;=250),0.4,TRUE,0.2)),IF(c="","",IFS(AND(c&gt;=140,c&lt;=170),1,AND(c&gt;=120,c&lt;140),0.7,AND(c&gt;170,c&lt;=190),0.7,AND(c&gt;=100,c&lt;120),0.4,AND(c&gt;190,c&lt;=210),0.4,TRUE,0.2))),AVERAGE(k_s,p_s,f_s,c_s)))),1),""))</f>
        <v/>
      </c>
      <c r="Z89">
        <f>IF($A89="","",TEXTJOIN(", ",TRUE,IF($B89="","??????????",""),IF($C89="","??????",""),IF($D89="","????",""),IF($E89="","??????????",""),IF($F89="","???-?????",""),IF($G89="","???-????",""),IF($H89="","??????",""),IF($L89="","???",""),IF($M89="","?????",""),IF($N89="","??????????????",""),IF($O89="","??????????",""),IF($P89="","???????",""),IF($U89="","???","")))</f>
        <v/>
      </c>
    </row>
    <row r="90">
      <c r="A90" s="2" t="n">
        <v>739736</v>
      </c>
      <c r="J90">
        <f>IF(A90="","",SUMIF(FoodLog!$A:$A,A90,FoodLog!$I:$I))</f>
        <v/>
      </c>
      <c r="K90">
        <f>IF(A90="","",SUMIF(FoodLog!$A:$A,A90,FoodLog!$F:$F))</f>
        <v/>
      </c>
      <c r="L90">
        <f>IF(A90="","",SUMIF(FoodLog!$A:$A,A90,FoodLog!$G:$G))</f>
        <v/>
      </c>
      <c r="M90">
        <f>IF(A90="","",SUMIF(FoodLog!$A:$A,A90,FoodLog!$H:$H))</f>
        <v/>
      </c>
      <c r="N90">
        <f>LET(train,B90,cardio,C90,steps,D90,sleep,E90,reg,F90,prod,I90,kcal,J90,p,K90,w_train,0.22,w_steps,0.18,w_sleep,0.20,w_reg,0.10,w_food,0.18,w_prod,0.12,s_train,IF(train="Верх",1,IF(train="Ноги",1,IF(train="Отдых",0.6,IF(train="Пропустил",0.2,0)))),s_steps,IF(steps="15k+",1,IF(steps="12-15k",0.9,IF(steps="10-12k",0.8,IF(steps="7-10k",0.6,IF(steps="5-7k",0.4,IF(steps="&lt;5k",0.2,0)))))),s_sleep,IF(sleep="&gt;8",0.9,IF(sleep="6-8",1,IF(sleep="&lt;6",0.2,0))),s_reg,IF(reg="Не сбит",1,IF(reg="Сбит",0.3,0)),s_food,IF(AND(kcal&gt;0,p&gt;0),MIN(1, (p/120))*0.6 + MIN(1, MAX(0,1-ABS(kcal-2200)/600))*0.4,0),s_prod,IF(prod="100%",1,IF(prod="75%",0.8,IF(prod="50%",0.6,IF(prod="25%",0.35,IF(prod="0%",0.1,0)))),ROUND(100*(w_train*s_train + w_steps*s_steps + w_sleep*s_sleep + w_reg*s_reg + w_food*s_food + w_prod*s_prod),0))</f>
        <v/>
      </c>
      <c r="O90">
        <f>TEXTJOIN(", ",TRUE,IF(B90="","тренировка",""),IF(D90="","шаги",""),IF(E90="","сон",""),IF(F90="","режим",""),IF(G90="","настроение",""),IF(H90="","энергия",""),IF(I90="","продуктивность",""),IF(J90="","еда (ккал)",""))</f>
        <v/>
      </c>
      <c r="U90">
        <f>IF($A90="","",IF(SUMIF(FoodLog!$A:$A,$A90,FoodLog!$I:$I)=0,"",SUMIF(FoodLog!$A:$A,$A90,FoodLog!$I:$I)))</f>
        <v/>
      </c>
      <c r="V90">
        <f>IF($A90="","",IF(SUMIF(FoodLog!$A:$A,$A90,FoodLog!$F:$F)=0,"",SUMIF(FoodLog!$A:$A,$A90,FoodLog!$F:$F)))</f>
        <v/>
      </c>
      <c r="W90">
        <f>IF($A90="","",IF(SUMIF(FoodLog!$A:$A,$A90,FoodLog!$G:$G)=0,"",SUMIF(FoodLog!$A:$A,$A90,FoodLog!$G:$G)))</f>
        <v/>
      </c>
      <c r="X90">
        <f>IF($A90="","",IF(SUMIF(FoodLog!$A:$A,$A90,FoodLog!$H:$H)=0,"",SUMIF(FoodLog!$A:$A,$A90,FoodLog!$H:$H)))</f>
        <v/>
      </c>
      <c r="Y90">
        <f>IF($A90="","",IFERROR(ROUND(100*AVERAGE(IF($B90="","",XLOOKUP($B90,FILTER(Dictionaries!$B:$B,Dictionaries!$A:$A="??????????"),FILTER(Dictionaries!$C:$C,Dictionaries!$A:$A="??????????"))),IF($C90="","",MIN($C90/40,1)),IF($D90="","",XLOOKUP($D90,FILTER(Dictionaries!$B:$B,Dictionaries!$A:$A="????"),FILTER(Dictionaries!$C:$C,Dictionaries!$A:$A="????"))),IF($E90="","",MIN($E90/120,1)),IF(OR($F90&lt;&gt;"",$G90&lt;&gt;""),1,""),IF($H90="","",MIN($H90/100,1)),IF($L90="","",XLOOKUP($L90,FILTER(Dictionaries!$B:$B,Dictionaries!$A:$A="???_????"),FILTER(Dictionaries!$C:$C,Dictionaries!$A:$A="???_????"))),IF($M90="","",XLOOKUP($M90,FILTER(Dictionaries!$B:$B,Dictionaries!$A:$A="?????"),FILTER(Dictionaries!$C:$C,Dictionaries!$A:$A="?????"))),IF($N90="","",MIN($N90/100,1)),IF($O90="","",XLOOKUP($O90,FILTER(Dictionaries!$B:$B,Dictionaries!$A:$A="??????????"),FILTER(Dictionaries!$C:$C,Dictionaries!$A:$A="??????????"))),IF($P90="","",XLOOKUP($P90,FILTER(Dictionaries!$B:$B,Dictionaries!$A:$A="???????"),FILTER(Dictionaries!$C:$C,Dictionaries!$A:$A="???????"))),IF($U90="","",LET(t,IF(OR($B90="????",$B90="????"),"train","rest"),k,$U90,p,$V90,f,$W90,c,$X90,k_s,IF(t="train",IF(k="","",IFS(AND(k&gt;=1900,k&lt;=2050),1,AND(k&gt;=1850,k&lt;1900),0.7,AND(k&gt;2050,k&lt;=2100),0.7,TRUE,0.2)),IF(k="","",IFS(AND(k&gt;=1700,k&lt;=1850),1,AND(k&gt;=1650,k&lt;1700),0.7,AND(k&gt;1850,k&lt;=1900),0.7,TRUE,0.2))),p_s,IF(t="train",IF(p="","",IFS(AND(p&gt;=125,p&lt;=135),1,AND(p&gt;=115,p&lt;125),0.7,AND(p&gt;135,p&lt;=145),0.7,AND(p&gt;=105,p&lt;115),0.4,AND(p&gt;145,p&lt;=155),0.4,TRUE,0.2)),IF(p="","",IFS(AND(p&gt;=120,p&lt;=130),1,AND(p&gt;=110,p&lt;120),0.7,AND(p&gt;130,p&lt;=140),0.7,AND(p&gt;=100,p&lt;110),0.4,AND(p&gt;140,p&lt;=150),0.4,TRUE,0.2))),f_s,IF(f="","",IFS(AND(f&gt;=55,f&lt;=65),1,AND(f&gt;=50,f&lt;55),0.7,AND(f&gt;65,f&lt;=70),0.7,AND(f&gt;=45,f&lt;50),0.4,AND(f&gt;70,f&lt;=75),0.4,TRUE,0.2)),c_s,IF(t="train",IF(c="","",IFS(AND(c&gt;=180,c&lt;=210),1,AND(c&gt;=160,c&lt;180),0.7,AND(c&gt;210,c&lt;=230),0.7,AND(c&gt;=140,c&lt;160),0.4,AND(c&gt;230,c&lt;=250),0.4,TRUE,0.2)),IF(c="","",IFS(AND(c&gt;=140,c&lt;=170),1,AND(c&gt;=120,c&lt;140),0.7,AND(c&gt;170,c&lt;=190),0.7,AND(c&gt;=100,c&lt;120),0.4,AND(c&gt;190,c&lt;=210),0.4,TRUE,0.2))),AVERAGE(k_s,p_s,f_s,c_s)))),1),""))</f>
        <v/>
      </c>
      <c r="Z90">
        <f>IF($A90="","",TEXTJOIN(", ",TRUE,IF($B90="","??????????",""),IF($C90="","??????",""),IF($D90="","????",""),IF($E90="","??????????",""),IF($F90="","???-?????",""),IF($G90="","???-????",""),IF($H90="","??????",""),IF($L90="","???",""),IF($M90="","?????",""),IF($N90="","??????????????",""),IF($O90="","??????????",""),IF($P90="","???????",""),IF($U90="","???","")))</f>
        <v/>
      </c>
    </row>
    <row r="91">
      <c r="A91" s="2" t="n">
        <v>739737</v>
      </c>
      <c r="J91">
        <f>IF(A91="","",SUMIF(FoodLog!$A:$A,A91,FoodLog!$I:$I))</f>
        <v/>
      </c>
      <c r="K91">
        <f>IF(A91="","",SUMIF(FoodLog!$A:$A,A91,FoodLog!$F:$F))</f>
        <v/>
      </c>
      <c r="L91">
        <f>IF(A91="","",SUMIF(FoodLog!$A:$A,A91,FoodLog!$G:$G))</f>
        <v/>
      </c>
      <c r="M91">
        <f>IF(A91="","",SUMIF(FoodLog!$A:$A,A91,FoodLog!$H:$H))</f>
        <v/>
      </c>
      <c r="N91">
        <f>LET(train,B91,cardio,C91,steps,D91,sleep,E91,reg,F91,prod,I91,kcal,J91,p,K91,w_train,0.22,w_steps,0.18,w_sleep,0.20,w_reg,0.10,w_food,0.18,w_prod,0.12,s_train,IF(train="Верх",1,IF(train="Ноги",1,IF(train="Отдых",0.6,IF(train="Пропустил",0.2,0)))),s_steps,IF(steps="15k+",1,IF(steps="12-15k",0.9,IF(steps="10-12k",0.8,IF(steps="7-10k",0.6,IF(steps="5-7k",0.4,IF(steps="&lt;5k",0.2,0)))))),s_sleep,IF(sleep="&gt;8",0.9,IF(sleep="6-8",1,IF(sleep="&lt;6",0.2,0))),s_reg,IF(reg="Не сбит",1,IF(reg="Сбит",0.3,0)),s_food,IF(AND(kcal&gt;0,p&gt;0),MIN(1, (p/120))*0.6 + MIN(1, MAX(0,1-ABS(kcal-2200)/600))*0.4,0),s_prod,IF(prod="100%",1,IF(prod="75%",0.8,IF(prod="50%",0.6,IF(prod="25%",0.35,IF(prod="0%",0.1,0)))),ROUND(100*(w_train*s_train + w_steps*s_steps + w_sleep*s_sleep + w_reg*s_reg + w_food*s_food + w_prod*s_prod),0))</f>
        <v/>
      </c>
      <c r="O91">
        <f>TEXTJOIN(", ",TRUE,IF(B91="","тренировка",""),IF(D91="","шаги",""),IF(E91="","сон",""),IF(F91="","режим",""),IF(G91="","настроение",""),IF(H91="","энергия",""),IF(I91="","продуктивность",""),IF(J91="","еда (ккал)",""))</f>
        <v/>
      </c>
      <c r="U91">
        <f>IF($A91="","",IF(SUMIF(FoodLog!$A:$A,$A91,FoodLog!$I:$I)=0,"",SUMIF(FoodLog!$A:$A,$A91,FoodLog!$I:$I)))</f>
        <v/>
      </c>
      <c r="V91">
        <f>IF($A91="","",IF(SUMIF(FoodLog!$A:$A,$A91,FoodLog!$F:$F)=0,"",SUMIF(FoodLog!$A:$A,$A91,FoodLog!$F:$F)))</f>
        <v/>
      </c>
      <c r="W91">
        <f>IF($A91="","",IF(SUMIF(FoodLog!$A:$A,$A91,FoodLog!$G:$G)=0,"",SUMIF(FoodLog!$A:$A,$A91,FoodLog!$G:$G)))</f>
        <v/>
      </c>
      <c r="X91">
        <f>IF($A91="","",IF(SUMIF(FoodLog!$A:$A,$A91,FoodLog!$H:$H)=0,"",SUMIF(FoodLog!$A:$A,$A91,FoodLog!$H:$H)))</f>
        <v/>
      </c>
      <c r="Y91">
        <f>IF($A91="","",IFERROR(ROUND(100*AVERAGE(IF($B91="","",XLOOKUP($B91,FILTER(Dictionaries!$B:$B,Dictionaries!$A:$A="??????????"),FILTER(Dictionaries!$C:$C,Dictionaries!$A:$A="??????????"))),IF($C91="","",MIN($C91/40,1)),IF($D91="","",XLOOKUP($D91,FILTER(Dictionaries!$B:$B,Dictionaries!$A:$A="????"),FILTER(Dictionaries!$C:$C,Dictionaries!$A:$A="????"))),IF($E91="","",MIN($E91/120,1)),IF(OR($F91&lt;&gt;"",$G91&lt;&gt;""),1,""),IF($H91="","",MIN($H91/100,1)),IF($L91="","",XLOOKUP($L91,FILTER(Dictionaries!$B:$B,Dictionaries!$A:$A="???_????"),FILTER(Dictionaries!$C:$C,Dictionaries!$A:$A="???_????"))),IF($M91="","",XLOOKUP($M91,FILTER(Dictionaries!$B:$B,Dictionaries!$A:$A="?????"),FILTER(Dictionaries!$C:$C,Dictionaries!$A:$A="?????"))),IF($N91="","",MIN($N91/100,1)),IF($O91="","",XLOOKUP($O91,FILTER(Dictionaries!$B:$B,Dictionaries!$A:$A="??????????"),FILTER(Dictionaries!$C:$C,Dictionaries!$A:$A="??????????"))),IF($P91="","",XLOOKUP($P91,FILTER(Dictionaries!$B:$B,Dictionaries!$A:$A="???????"),FILTER(Dictionaries!$C:$C,Dictionaries!$A:$A="???????"))),IF($U91="","",LET(t,IF(OR($B91="????",$B91="????"),"train","rest"),k,$U91,p,$V91,f,$W91,c,$X91,k_s,IF(t="train",IF(k="","",IFS(AND(k&gt;=1900,k&lt;=2050),1,AND(k&gt;=1850,k&lt;1900),0.7,AND(k&gt;2050,k&lt;=2100),0.7,TRUE,0.2)),IF(k="","",IFS(AND(k&gt;=1700,k&lt;=1850),1,AND(k&gt;=1650,k&lt;1700),0.7,AND(k&gt;1850,k&lt;=1900),0.7,TRUE,0.2))),p_s,IF(t="train",IF(p="","",IFS(AND(p&gt;=125,p&lt;=135),1,AND(p&gt;=115,p&lt;125),0.7,AND(p&gt;135,p&lt;=145),0.7,AND(p&gt;=105,p&lt;115),0.4,AND(p&gt;145,p&lt;=155),0.4,TRUE,0.2)),IF(p="","",IFS(AND(p&gt;=120,p&lt;=130),1,AND(p&gt;=110,p&lt;120),0.7,AND(p&gt;130,p&lt;=140),0.7,AND(p&gt;=100,p&lt;110),0.4,AND(p&gt;140,p&lt;=150),0.4,TRUE,0.2))),f_s,IF(f="","",IFS(AND(f&gt;=55,f&lt;=65),1,AND(f&gt;=50,f&lt;55),0.7,AND(f&gt;65,f&lt;=70),0.7,AND(f&gt;=45,f&lt;50),0.4,AND(f&gt;70,f&lt;=75),0.4,TRUE,0.2)),c_s,IF(t="train",IF(c="","",IFS(AND(c&gt;=180,c&lt;=210),1,AND(c&gt;=160,c&lt;180),0.7,AND(c&gt;210,c&lt;=230),0.7,AND(c&gt;=140,c&lt;160),0.4,AND(c&gt;230,c&lt;=250),0.4,TRUE,0.2)),IF(c="","",IFS(AND(c&gt;=140,c&lt;=170),1,AND(c&gt;=120,c&lt;140),0.7,AND(c&gt;170,c&lt;=190),0.7,AND(c&gt;=100,c&lt;120),0.4,AND(c&gt;190,c&lt;=210),0.4,TRUE,0.2))),AVERAGE(k_s,p_s,f_s,c_s)))),1),""))</f>
        <v/>
      </c>
      <c r="Z91">
        <f>IF($A91="","",TEXTJOIN(", ",TRUE,IF($B91="","??????????",""),IF($C91="","??????",""),IF($D91="","????",""),IF($E91="","??????????",""),IF($F91="","???-?????",""),IF($G91="","???-????",""),IF($H91="","??????",""),IF($L91="","???",""),IF($M91="","?????",""),IF($N91="","??????????????",""),IF($O91="","??????????",""),IF($P91="","???????",""),IF($U91="","???","")))</f>
        <v/>
      </c>
    </row>
    <row r="92">
      <c r="U92">
        <f>IF($A92="","",IF(SUMIF(FoodLog!$A:$A,$A92,FoodLog!$I:$I)=0,"",SUMIF(FoodLog!$A:$A,$A92,FoodLog!$I:$I)))</f>
        <v/>
      </c>
      <c r="V92">
        <f>IF($A92="","",IF(SUMIF(FoodLog!$A:$A,$A92,FoodLog!$F:$F)=0,"",SUMIF(FoodLog!$A:$A,$A92,FoodLog!$F:$F)))</f>
        <v/>
      </c>
      <c r="W92">
        <f>IF($A92="","",IF(SUMIF(FoodLog!$A:$A,$A92,FoodLog!$G:$G)=0,"",SUMIF(FoodLog!$A:$A,$A92,FoodLog!$G:$G)))</f>
        <v/>
      </c>
      <c r="X92">
        <f>IF($A92="","",IF(SUMIF(FoodLog!$A:$A,$A92,FoodLog!$H:$H)=0,"",SUMIF(FoodLog!$A:$A,$A92,FoodLog!$H:$H)))</f>
        <v/>
      </c>
      <c r="Y92">
        <f>IF($A92="","",IFERROR(ROUND(100*AVERAGE(IF($B92="","",XLOOKUP($B92,FILTER(Dictionaries!$B:$B,Dictionaries!$A:$A="??????????"),FILTER(Dictionaries!$C:$C,Dictionaries!$A:$A="??????????"))),IF($C92="","",MIN($C92/40,1)),IF($D92="","",XLOOKUP($D92,FILTER(Dictionaries!$B:$B,Dictionaries!$A:$A="????"),FILTER(Dictionaries!$C:$C,Dictionaries!$A:$A="????"))),IF($E92="","",MIN($E92/120,1)),IF(OR($F92&lt;&gt;"",$G92&lt;&gt;""),1,""),IF($H92="","",MIN($H92/100,1)),IF($L92="","",XLOOKUP($L92,FILTER(Dictionaries!$B:$B,Dictionaries!$A:$A="???_????"),FILTER(Dictionaries!$C:$C,Dictionaries!$A:$A="???_????"))),IF($M92="","",XLOOKUP($M92,FILTER(Dictionaries!$B:$B,Dictionaries!$A:$A="?????"),FILTER(Dictionaries!$C:$C,Dictionaries!$A:$A="?????"))),IF($N92="","",MIN($N92/100,1)),IF($O92="","",XLOOKUP($O92,FILTER(Dictionaries!$B:$B,Dictionaries!$A:$A="??????????"),FILTER(Dictionaries!$C:$C,Dictionaries!$A:$A="??????????"))),IF($P92="","",XLOOKUP($P92,FILTER(Dictionaries!$B:$B,Dictionaries!$A:$A="???????"),FILTER(Dictionaries!$C:$C,Dictionaries!$A:$A="???????"))),IF($U92="","",LET(t,IF(OR($B92="????",$B92="????"),"train","rest"),k,$U92,p,$V92,f,$W92,c,$X92,k_s,IF(t="train",IF(k="","",IFS(AND(k&gt;=1900,k&lt;=2050),1,AND(k&gt;=1850,k&lt;1900),0.7,AND(k&gt;2050,k&lt;=2100),0.7,TRUE,0.2)),IF(k="","",IFS(AND(k&gt;=1700,k&lt;=1850),1,AND(k&gt;=1650,k&lt;1700),0.7,AND(k&gt;1850,k&lt;=1900),0.7,TRUE,0.2))),p_s,IF(t="train",IF(p="","",IFS(AND(p&gt;=125,p&lt;=135),1,AND(p&gt;=115,p&lt;125),0.7,AND(p&gt;135,p&lt;=145),0.7,AND(p&gt;=105,p&lt;115),0.4,AND(p&gt;145,p&lt;=155),0.4,TRUE,0.2)),IF(p="","",IFS(AND(p&gt;=120,p&lt;=130),1,AND(p&gt;=110,p&lt;120),0.7,AND(p&gt;130,p&lt;=140),0.7,AND(p&gt;=100,p&lt;110),0.4,AND(p&gt;140,p&lt;=150),0.4,TRUE,0.2))),f_s,IF(f="","",IFS(AND(f&gt;=55,f&lt;=65),1,AND(f&gt;=50,f&lt;55),0.7,AND(f&gt;65,f&lt;=70),0.7,AND(f&gt;=45,f&lt;50),0.4,AND(f&gt;70,f&lt;=75),0.4,TRUE,0.2)),c_s,IF(t="train",IF(c="","",IFS(AND(c&gt;=180,c&lt;=210),1,AND(c&gt;=160,c&lt;180),0.7,AND(c&gt;210,c&lt;=230),0.7,AND(c&gt;=140,c&lt;160),0.4,AND(c&gt;230,c&lt;=250),0.4,TRUE,0.2)),IF(c="","",IFS(AND(c&gt;=140,c&lt;=170),1,AND(c&gt;=120,c&lt;140),0.7,AND(c&gt;170,c&lt;=190),0.7,AND(c&gt;=100,c&lt;120),0.4,AND(c&gt;190,c&lt;=210),0.4,TRUE,0.2))),AVERAGE(k_s,p_s,f_s,c_s)))),1),""))</f>
        <v/>
      </c>
      <c r="Z92">
        <f>IF($A92="","",TEXTJOIN(", ",TRUE,IF($B92="","??????????",""),IF($C92="","??????",""),IF($D92="","????",""),IF($E92="","??????????",""),IF($F92="","???-?????",""),IF($G92="","???-????",""),IF($H92="","??????",""),IF($L92="","???",""),IF($M92="","?????",""),IF($N92="","??????????????",""),IF($O92="","??????????",""),IF($P92="","???????",""),IF($U92="","???","")))</f>
        <v/>
      </c>
    </row>
    <row r="93">
      <c r="U93">
        <f>IF($A93="","",IF(SUMIF(FoodLog!$A:$A,$A93,FoodLog!$I:$I)=0,"",SUMIF(FoodLog!$A:$A,$A93,FoodLog!$I:$I)))</f>
        <v/>
      </c>
      <c r="V93">
        <f>IF($A93="","",IF(SUMIF(FoodLog!$A:$A,$A93,FoodLog!$F:$F)=0,"",SUMIF(FoodLog!$A:$A,$A93,FoodLog!$F:$F)))</f>
        <v/>
      </c>
      <c r="W93">
        <f>IF($A93="","",IF(SUMIF(FoodLog!$A:$A,$A93,FoodLog!$G:$G)=0,"",SUMIF(FoodLog!$A:$A,$A93,FoodLog!$G:$G)))</f>
        <v/>
      </c>
      <c r="X93">
        <f>IF($A93="","",IF(SUMIF(FoodLog!$A:$A,$A93,FoodLog!$H:$H)=0,"",SUMIF(FoodLog!$A:$A,$A93,FoodLog!$H:$H)))</f>
        <v/>
      </c>
      <c r="Y93">
        <f>IF($A93="","",IFERROR(ROUND(100*AVERAGE(IF($B93="","",XLOOKUP($B93,FILTER(Dictionaries!$B:$B,Dictionaries!$A:$A="??????????"),FILTER(Dictionaries!$C:$C,Dictionaries!$A:$A="??????????"))),IF($C93="","",MIN($C93/40,1)),IF($D93="","",XLOOKUP($D93,FILTER(Dictionaries!$B:$B,Dictionaries!$A:$A="????"),FILTER(Dictionaries!$C:$C,Dictionaries!$A:$A="????"))),IF($E93="","",MIN($E93/120,1)),IF(OR($F93&lt;&gt;"",$G93&lt;&gt;""),1,""),IF($H93="","",MIN($H93/100,1)),IF($L93="","",XLOOKUP($L93,FILTER(Dictionaries!$B:$B,Dictionaries!$A:$A="???_????"),FILTER(Dictionaries!$C:$C,Dictionaries!$A:$A="???_????"))),IF($M93="","",XLOOKUP($M93,FILTER(Dictionaries!$B:$B,Dictionaries!$A:$A="?????"),FILTER(Dictionaries!$C:$C,Dictionaries!$A:$A="?????"))),IF($N93="","",MIN($N93/100,1)),IF($O93="","",XLOOKUP($O93,FILTER(Dictionaries!$B:$B,Dictionaries!$A:$A="??????????"),FILTER(Dictionaries!$C:$C,Dictionaries!$A:$A="??????????"))),IF($P93="","",XLOOKUP($P93,FILTER(Dictionaries!$B:$B,Dictionaries!$A:$A="???????"),FILTER(Dictionaries!$C:$C,Dictionaries!$A:$A="???????"))),IF($U93="","",LET(t,IF(OR($B93="????",$B93="????"),"train","rest"),k,$U93,p,$V93,f,$W93,c,$X93,k_s,IF(t="train",IF(k="","",IFS(AND(k&gt;=1900,k&lt;=2050),1,AND(k&gt;=1850,k&lt;1900),0.7,AND(k&gt;2050,k&lt;=2100),0.7,TRUE,0.2)),IF(k="","",IFS(AND(k&gt;=1700,k&lt;=1850),1,AND(k&gt;=1650,k&lt;1700),0.7,AND(k&gt;1850,k&lt;=1900),0.7,TRUE,0.2))),p_s,IF(t="train",IF(p="","",IFS(AND(p&gt;=125,p&lt;=135),1,AND(p&gt;=115,p&lt;125),0.7,AND(p&gt;135,p&lt;=145),0.7,AND(p&gt;=105,p&lt;115),0.4,AND(p&gt;145,p&lt;=155),0.4,TRUE,0.2)),IF(p="","",IFS(AND(p&gt;=120,p&lt;=130),1,AND(p&gt;=110,p&lt;120),0.7,AND(p&gt;130,p&lt;=140),0.7,AND(p&gt;=100,p&lt;110),0.4,AND(p&gt;140,p&lt;=150),0.4,TRUE,0.2))),f_s,IF(f="","",IFS(AND(f&gt;=55,f&lt;=65),1,AND(f&gt;=50,f&lt;55),0.7,AND(f&gt;65,f&lt;=70),0.7,AND(f&gt;=45,f&lt;50),0.4,AND(f&gt;70,f&lt;=75),0.4,TRUE,0.2)),c_s,IF(t="train",IF(c="","",IFS(AND(c&gt;=180,c&lt;=210),1,AND(c&gt;=160,c&lt;180),0.7,AND(c&gt;210,c&lt;=230),0.7,AND(c&gt;=140,c&lt;160),0.4,AND(c&gt;230,c&lt;=250),0.4,TRUE,0.2)),IF(c="","",IFS(AND(c&gt;=140,c&lt;=170),1,AND(c&gt;=120,c&lt;140),0.7,AND(c&gt;170,c&lt;=190),0.7,AND(c&gt;=100,c&lt;120),0.4,AND(c&gt;190,c&lt;=210),0.4,TRUE,0.2))),AVERAGE(k_s,p_s,f_s,c_s)))),1),""))</f>
        <v/>
      </c>
      <c r="Z93">
        <f>IF($A93="","",TEXTJOIN(", ",TRUE,IF($B93="","??????????",""),IF($C93="","??????",""),IF($D93="","????",""),IF($E93="","??????????",""),IF($F93="","???-?????",""),IF($G93="","???-????",""),IF($H93="","??????",""),IF($L93="","???",""),IF($M93="","?????",""),IF($N93="","??????????????",""),IF($O93="","??????????",""),IF($P93="","???????",""),IF($U93="","???","")))</f>
        <v/>
      </c>
    </row>
    <row r="94">
      <c r="U94">
        <f>IF($A94="","",IF(SUMIF(FoodLog!$A:$A,$A94,FoodLog!$I:$I)=0,"",SUMIF(FoodLog!$A:$A,$A94,FoodLog!$I:$I)))</f>
        <v/>
      </c>
      <c r="V94">
        <f>IF($A94="","",IF(SUMIF(FoodLog!$A:$A,$A94,FoodLog!$F:$F)=0,"",SUMIF(FoodLog!$A:$A,$A94,FoodLog!$F:$F)))</f>
        <v/>
      </c>
      <c r="W94">
        <f>IF($A94="","",IF(SUMIF(FoodLog!$A:$A,$A94,FoodLog!$G:$G)=0,"",SUMIF(FoodLog!$A:$A,$A94,FoodLog!$G:$G)))</f>
        <v/>
      </c>
      <c r="X94">
        <f>IF($A94="","",IF(SUMIF(FoodLog!$A:$A,$A94,FoodLog!$H:$H)=0,"",SUMIF(FoodLog!$A:$A,$A94,FoodLog!$H:$H)))</f>
        <v/>
      </c>
      <c r="Y94">
        <f>IF($A94="","",IFERROR(ROUND(100*AVERAGE(IF($B94="","",XLOOKUP($B94,FILTER(Dictionaries!$B:$B,Dictionaries!$A:$A="??????????"),FILTER(Dictionaries!$C:$C,Dictionaries!$A:$A="??????????"))),IF($C94="","",MIN($C94/40,1)),IF($D94="","",XLOOKUP($D94,FILTER(Dictionaries!$B:$B,Dictionaries!$A:$A="????"),FILTER(Dictionaries!$C:$C,Dictionaries!$A:$A="????"))),IF($E94="","",MIN($E94/120,1)),IF(OR($F94&lt;&gt;"",$G94&lt;&gt;""),1,""),IF($H94="","",MIN($H94/100,1)),IF($L94="","",XLOOKUP($L94,FILTER(Dictionaries!$B:$B,Dictionaries!$A:$A="???_????"),FILTER(Dictionaries!$C:$C,Dictionaries!$A:$A="???_????"))),IF($M94="","",XLOOKUP($M94,FILTER(Dictionaries!$B:$B,Dictionaries!$A:$A="?????"),FILTER(Dictionaries!$C:$C,Dictionaries!$A:$A="?????"))),IF($N94="","",MIN($N94/100,1)),IF($O94="","",XLOOKUP($O94,FILTER(Dictionaries!$B:$B,Dictionaries!$A:$A="??????????"),FILTER(Dictionaries!$C:$C,Dictionaries!$A:$A="??????????"))),IF($P94="","",XLOOKUP($P94,FILTER(Dictionaries!$B:$B,Dictionaries!$A:$A="???????"),FILTER(Dictionaries!$C:$C,Dictionaries!$A:$A="???????"))),IF($U94="","",LET(t,IF(OR($B94="????",$B94="????"),"train","rest"),k,$U94,p,$V94,f,$W94,c,$X94,k_s,IF(t="train",IF(k="","",IFS(AND(k&gt;=1900,k&lt;=2050),1,AND(k&gt;=1850,k&lt;1900),0.7,AND(k&gt;2050,k&lt;=2100),0.7,TRUE,0.2)),IF(k="","",IFS(AND(k&gt;=1700,k&lt;=1850),1,AND(k&gt;=1650,k&lt;1700),0.7,AND(k&gt;1850,k&lt;=1900),0.7,TRUE,0.2))),p_s,IF(t="train",IF(p="","",IFS(AND(p&gt;=125,p&lt;=135),1,AND(p&gt;=115,p&lt;125),0.7,AND(p&gt;135,p&lt;=145),0.7,AND(p&gt;=105,p&lt;115),0.4,AND(p&gt;145,p&lt;=155),0.4,TRUE,0.2)),IF(p="","",IFS(AND(p&gt;=120,p&lt;=130),1,AND(p&gt;=110,p&lt;120),0.7,AND(p&gt;130,p&lt;=140),0.7,AND(p&gt;=100,p&lt;110),0.4,AND(p&gt;140,p&lt;=150),0.4,TRUE,0.2))),f_s,IF(f="","",IFS(AND(f&gt;=55,f&lt;=65),1,AND(f&gt;=50,f&lt;55),0.7,AND(f&gt;65,f&lt;=70),0.7,AND(f&gt;=45,f&lt;50),0.4,AND(f&gt;70,f&lt;=75),0.4,TRUE,0.2)),c_s,IF(t="train",IF(c="","",IFS(AND(c&gt;=180,c&lt;=210),1,AND(c&gt;=160,c&lt;180),0.7,AND(c&gt;210,c&lt;=230),0.7,AND(c&gt;=140,c&lt;160),0.4,AND(c&gt;230,c&lt;=250),0.4,TRUE,0.2)),IF(c="","",IFS(AND(c&gt;=140,c&lt;=170),1,AND(c&gt;=120,c&lt;140),0.7,AND(c&gt;170,c&lt;=190),0.7,AND(c&gt;=100,c&lt;120),0.4,AND(c&gt;190,c&lt;=210),0.4,TRUE,0.2))),AVERAGE(k_s,p_s,f_s,c_s)))),1),""))</f>
        <v/>
      </c>
      <c r="Z94">
        <f>IF($A94="","",TEXTJOIN(", ",TRUE,IF($B94="","??????????",""),IF($C94="","??????",""),IF($D94="","????",""),IF($E94="","??????????",""),IF($F94="","???-?????",""),IF($G94="","???-????",""),IF($H94="","??????",""),IF($L94="","???",""),IF($M94="","?????",""),IF($N94="","??????????????",""),IF($O94="","??????????",""),IF($P94="","???????",""),IF($U94="","???","")))</f>
        <v/>
      </c>
    </row>
    <row r="95">
      <c r="U95">
        <f>IF($A95="","",IF(SUMIF(FoodLog!$A:$A,$A95,FoodLog!$I:$I)=0,"",SUMIF(FoodLog!$A:$A,$A95,FoodLog!$I:$I)))</f>
        <v/>
      </c>
      <c r="V95">
        <f>IF($A95="","",IF(SUMIF(FoodLog!$A:$A,$A95,FoodLog!$F:$F)=0,"",SUMIF(FoodLog!$A:$A,$A95,FoodLog!$F:$F)))</f>
        <v/>
      </c>
      <c r="W95">
        <f>IF($A95="","",IF(SUMIF(FoodLog!$A:$A,$A95,FoodLog!$G:$G)=0,"",SUMIF(FoodLog!$A:$A,$A95,FoodLog!$G:$G)))</f>
        <v/>
      </c>
      <c r="X95">
        <f>IF($A95="","",IF(SUMIF(FoodLog!$A:$A,$A95,FoodLog!$H:$H)=0,"",SUMIF(FoodLog!$A:$A,$A95,FoodLog!$H:$H)))</f>
        <v/>
      </c>
      <c r="Y95">
        <f>IF($A95="","",IFERROR(ROUND(100*AVERAGE(IF($B95="","",XLOOKUP($B95,FILTER(Dictionaries!$B:$B,Dictionaries!$A:$A="??????????"),FILTER(Dictionaries!$C:$C,Dictionaries!$A:$A="??????????"))),IF($C95="","",MIN($C95/40,1)),IF($D95="","",XLOOKUP($D95,FILTER(Dictionaries!$B:$B,Dictionaries!$A:$A="????"),FILTER(Dictionaries!$C:$C,Dictionaries!$A:$A="????"))),IF($E95="","",MIN($E95/120,1)),IF(OR($F95&lt;&gt;"",$G95&lt;&gt;""),1,""),IF($H95="","",MIN($H95/100,1)),IF($L95="","",XLOOKUP($L95,FILTER(Dictionaries!$B:$B,Dictionaries!$A:$A="???_????"),FILTER(Dictionaries!$C:$C,Dictionaries!$A:$A="???_????"))),IF($M95="","",XLOOKUP($M95,FILTER(Dictionaries!$B:$B,Dictionaries!$A:$A="?????"),FILTER(Dictionaries!$C:$C,Dictionaries!$A:$A="?????"))),IF($N95="","",MIN($N95/100,1)),IF($O95="","",XLOOKUP($O95,FILTER(Dictionaries!$B:$B,Dictionaries!$A:$A="??????????"),FILTER(Dictionaries!$C:$C,Dictionaries!$A:$A="??????????"))),IF($P95="","",XLOOKUP($P95,FILTER(Dictionaries!$B:$B,Dictionaries!$A:$A="???????"),FILTER(Dictionaries!$C:$C,Dictionaries!$A:$A="???????"))),IF($U95="","",LET(t,IF(OR($B95="????",$B95="????"),"train","rest"),k,$U95,p,$V95,f,$W95,c,$X95,k_s,IF(t="train",IF(k="","",IFS(AND(k&gt;=1900,k&lt;=2050),1,AND(k&gt;=1850,k&lt;1900),0.7,AND(k&gt;2050,k&lt;=2100),0.7,TRUE,0.2)),IF(k="","",IFS(AND(k&gt;=1700,k&lt;=1850),1,AND(k&gt;=1650,k&lt;1700),0.7,AND(k&gt;1850,k&lt;=1900),0.7,TRUE,0.2))),p_s,IF(t="train",IF(p="","",IFS(AND(p&gt;=125,p&lt;=135),1,AND(p&gt;=115,p&lt;125),0.7,AND(p&gt;135,p&lt;=145),0.7,AND(p&gt;=105,p&lt;115),0.4,AND(p&gt;145,p&lt;=155),0.4,TRUE,0.2)),IF(p="","",IFS(AND(p&gt;=120,p&lt;=130),1,AND(p&gt;=110,p&lt;120),0.7,AND(p&gt;130,p&lt;=140),0.7,AND(p&gt;=100,p&lt;110),0.4,AND(p&gt;140,p&lt;=150),0.4,TRUE,0.2))),f_s,IF(f="","",IFS(AND(f&gt;=55,f&lt;=65),1,AND(f&gt;=50,f&lt;55),0.7,AND(f&gt;65,f&lt;=70),0.7,AND(f&gt;=45,f&lt;50),0.4,AND(f&gt;70,f&lt;=75),0.4,TRUE,0.2)),c_s,IF(t="train",IF(c="","",IFS(AND(c&gt;=180,c&lt;=210),1,AND(c&gt;=160,c&lt;180),0.7,AND(c&gt;210,c&lt;=230),0.7,AND(c&gt;=140,c&lt;160),0.4,AND(c&gt;230,c&lt;=250),0.4,TRUE,0.2)),IF(c="","",IFS(AND(c&gt;=140,c&lt;=170),1,AND(c&gt;=120,c&lt;140),0.7,AND(c&gt;170,c&lt;=190),0.7,AND(c&gt;=100,c&lt;120),0.4,AND(c&gt;190,c&lt;=210),0.4,TRUE,0.2))),AVERAGE(k_s,p_s,f_s,c_s)))),1),""))</f>
        <v/>
      </c>
      <c r="Z95">
        <f>IF($A95="","",TEXTJOIN(", ",TRUE,IF($B95="","??????????",""),IF($C95="","??????",""),IF($D95="","????",""),IF($E95="","??????????",""),IF($F95="","???-?????",""),IF($G95="","???-????",""),IF($H95="","??????",""),IF($L95="","???",""),IF($M95="","?????",""),IF($N95="","??????????????",""),IF($O95="","??????????",""),IF($P95="","???????",""),IF($U95="","???","")))</f>
        <v/>
      </c>
    </row>
    <row r="96">
      <c r="U96">
        <f>IF($A96="","",IF(SUMIF(FoodLog!$A:$A,$A96,FoodLog!$I:$I)=0,"",SUMIF(FoodLog!$A:$A,$A96,FoodLog!$I:$I)))</f>
        <v/>
      </c>
      <c r="V96">
        <f>IF($A96="","",IF(SUMIF(FoodLog!$A:$A,$A96,FoodLog!$F:$F)=0,"",SUMIF(FoodLog!$A:$A,$A96,FoodLog!$F:$F)))</f>
        <v/>
      </c>
      <c r="W96">
        <f>IF($A96="","",IF(SUMIF(FoodLog!$A:$A,$A96,FoodLog!$G:$G)=0,"",SUMIF(FoodLog!$A:$A,$A96,FoodLog!$G:$G)))</f>
        <v/>
      </c>
      <c r="X96">
        <f>IF($A96="","",IF(SUMIF(FoodLog!$A:$A,$A96,FoodLog!$H:$H)=0,"",SUMIF(FoodLog!$A:$A,$A96,FoodLog!$H:$H)))</f>
        <v/>
      </c>
      <c r="Y96">
        <f>IF($A96="","",IFERROR(ROUND(100*AVERAGE(IF($B96="","",XLOOKUP($B96,FILTER(Dictionaries!$B:$B,Dictionaries!$A:$A="??????????"),FILTER(Dictionaries!$C:$C,Dictionaries!$A:$A="??????????"))),IF($C96="","",MIN($C96/40,1)),IF($D96="","",XLOOKUP($D96,FILTER(Dictionaries!$B:$B,Dictionaries!$A:$A="????"),FILTER(Dictionaries!$C:$C,Dictionaries!$A:$A="????"))),IF($E96="","",MIN($E96/120,1)),IF(OR($F96&lt;&gt;"",$G96&lt;&gt;""),1,""),IF($H96="","",MIN($H96/100,1)),IF($L96="","",XLOOKUP($L96,FILTER(Dictionaries!$B:$B,Dictionaries!$A:$A="???_????"),FILTER(Dictionaries!$C:$C,Dictionaries!$A:$A="???_????"))),IF($M96="","",XLOOKUP($M96,FILTER(Dictionaries!$B:$B,Dictionaries!$A:$A="?????"),FILTER(Dictionaries!$C:$C,Dictionaries!$A:$A="?????"))),IF($N96="","",MIN($N96/100,1)),IF($O96="","",XLOOKUP($O96,FILTER(Dictionaries!$B:$B,Dictionaries!$A:$A="??????????"),FILTER(Dictionaries!$C:$C,Dictionaries!$A:$A="??????????"))),IF($P96="","",XLOOKUP($P96,FILTER(Dictionaries!$B:$B,Dictionaries!$A:$A="???????"),FILTER(Dictionaries!$C:$C,Dictionaries!$A:$A="???????"))),IF($U96="","",LET(t,IF(OR($B96="????",$B96="????"),"train","rest"),k,$U96,p,$V96,f,$W96,c,$X96,k_s,IF(t="train",IF(k="","",IFS(AND(k&gt;=1900,k&lt;=2050),1,AND(k&gt;=1850,k&lt;1900),0.7,AND(k&gt;2050,k&lt;=2100),0.7,TRUE,0.2)),IF(k="","",IFS(AND(k&gt;=1700,k&lt;=1850),1,AND(k&gt;=1650,k&lt;1700),0.7,AND(k&gt;1850,k&lt;=1900),0.7,TRUE,0.2))),p_s,IF(t="train",IF(p="","",IFS(AND(p&gt;=125,p&lt;=135),1,AND(p&gt;=115,p&lt;125),0.7,AND(p&gt;135,p&lt;=145),0.7,AND(p&gt;=105,p&lt;115),0.4,AND(p&gt;145,p&lt;=155),0.4,TRUE,0.2)),IF(p="","",IFS(AND(p&gt;=120,p&lt;=130),1,AND(p&gt;=110,p&lt;120),0.7,AND(p&gt;130,p&lt;=140),0.7,AND(p&gt;=100,p&lt;110),0.4,AND(p&gt;140,p&lt;=150),0.4,TRUE,0.2))),f_s,IF(f="","",IFS(AND(f&gt;=55,f&lt;=65),1,AND(f&gt;=50,f&lt;55),0.7,AND(f&gt;65,f&lt;=70),0.7,AND(f&gt;=45,f&lt;50),0.4,AND(f&gt;70,f&lt;=75),0.4,TRUE,0.2)),c_s,IF(t="train",IF(c="","",IFS(AND(c&gt;=180,c&lt;=210),1,AND(c&gt;=160,c&lt;180),0.7,AND(c&gt;210,c&lt;=230),0.7,AND(c&gt;=140,c&lt;160),0.4,AND(c&gt;230,c&lt;=250),0.4,TRUE,0.2)),IF(c="","",IFS(AND(c&gt;=140,c&lt;=170),1,AND(c&gt;=120,c&lt;140),0.7,AND(c&gt;170,c&lt;=190),0.7,AND(c&gt;=100,c&lt;120),0.4,AND(c&gt;190,c&lt;=210),0.4,TRUE,0.2))),AVERAGE(k_s,p_s,f_s,c_s)))),1),""))</f>
        <v/>
      </c>
      <c r="Z96">
        <f>IF($A96="","",TEXTJOIN(", ",TRUE,IF($B96="","??????????",""),IF($C96="","??????",""),IF($D96="","????",""),IF($E96="","??????????",""),IF($F96="","???-?????",""),IF($G96="","???-????",""),IF($H96="","??????",""),IF($L96="","???",""),IF($M96="","?????",""),IF($N96="","??????????????",""),IF($O96="","??????????",""),IF($P96="","???????",""),IF($U96="","???","")))</f>
        <v/>
      </c>
    </row>
    <row r="97">
      <c r="U97">
        <f>IF($A97="","",IF(SUMIF(FoodLog!$A:$A,$A97,FoodLog!$I:$I)=0,"",SUMIF(FoodLog!$A:$A,$A97,FoodLog!$I:$I)))</f>
        <v/>
      </c>
      <c r="V97">
        <f>IF($A97="","",IF(SUMIF(FoodLog!$A:$A,$A97,FoodLog!$F:$F)=0,"",SUMIF(FoodLog!$A:$A,$A97,FoodLog!$F:$F)))</f>
        <v/>
      </c>
      <c r="W97">
        <f>IF($A97="","",IF(SUMIF(FoodLog!$A:$A,$A97,FoodLog!$G:$G)=0,"",SUMIF(FoodLog!$A:$A,$A97,FoodLog!$G:$G)))</f>
        <v/>
      </c>
      <c r="X97">
        <f>IF($A97="","",IF(SUMIF(FoodLog!$A:$A,$A97,FoodLog!$H:$H)=0,"",SUMIF(FoodLog!$A:$A,$A97,FoodLog!$H:$H)))</f>
        <v/>
      </c>
      <c r="Y97">
        <f>IF($A97="","",IFERROR(ROUND(100*AVERAGE(IF($B97="","",XLOOKUP($B97,FILTER(Dictionaries!$B:$B,Dictionaries!$A:$A="??????????"),FILTER(Dictionaries!$C:$C,Dictionaries!$A:$A="??????????"))),IF($C97="","",MIN($C97/40,1)),IF($D97="","",XLOOKUP($D97,FILTER(Dictionaries!$B:$B,Dictionaries!$A:$A="????"),FILTER(Dictionaries!$C:$C,Dictionaries!$A:$A="????"))),IF($E97="","",MIN($E97/120,1)),IF(OR($F97&lt;&gt;"",$G97&lt;&gt;""),1,""),IF($H97="","",MIN($H97/100,1)),IF($L97="","",XLOOKUP($L97,FILTER(Dictionaries!$B:$B,Dictionaries!$A:$A="???_????"),FILTER(Dictionaries!$C:$C,Dictionaries!$A:$A="???_????"))),IF($M97="","",XLOOKUP($M97,FILTER(Dictionaries!$B:$B,Dictionaries!$A:$A="?????"),FILTER(Dictionaries!$C:$C,Dictionaries!$A:$A="?????"))),IF($N97="","",MIN($N97/100,1)),IF($O97="","",XLOOKUP($O97,FILTER(Dictionaries!$B:$B,Dictionaries!$A:$A="??????????"),FILTER(Dictionaries!$C:$C,Dictionaries!$A:$A="??????????"))),IF($P97="","",XLOOKUP($P97,FILTER(Dictionaries!$B:$B,Dictionaries!$A:$A="???????"),FILTER(Dictionaries!$C:$C,Dictionaries!$A:$A="???????"))),IF($U97="","",LET(t,IF(OR($B97="????",$B97="????"),"train","rest"),k,$U97,p,$V97,f,$W97,c,$X97,k_s,IF(t="train",IF(k="","",IFS(AND(k&gt;=1900,k&lt;=2050),1,AND(k&gt;=1850,k&lt;1900),0.7,AND(k&gt;2050,k&lt;=2100),0.7,TRUE,0.2)),IF(k="","",IFS(AND(k&gt;=1700,k&lt;=1850),1,AND(k&gt;=1650,k&lt;1700),0.7,AND(k&gt;1850,k&lt;=1900),0.7,TRUE,0.2))),p_s,IF(t="train",IF(p="","",IFS(AND(p&gt;=125,p&lt;=135),1,AND(p&gt;=115,p&lt;125),0.7,AND(p&gt;135,p&lt;=145),0.7,AND(p&gt;=105,p&lt;115),0.4,AND(p&gt;145,p&lt;=155),0.4,TRUE,0.2)),IF(p="","",IFS(AND(p&gt;=120,p&lt;=130),1,AND(p&gt;=110,p&lt;120),0.7,AND(p&gt;130,p&lt;=140),0.7,AND(p&gt;=100,p&lt;110),0.4,AND(p&gt;140,p&lt;=150),0.4,TRUE,0.2))),f_s,IF(f="","",IFS(AND(f&gt;=55,f&lt;=65),1,AND(f&gt;=50,f&lt;55),0.7,AND(f&gt;65,f&lt;=70),0.7,AND(f&gt;=45,f&lt;50),0.4,AND(f&gt;70,f&lt;=75),0.4,TRUE,0.2)),c_s,IF(t="train",IF(c="","",IFS(AND(c&gt;=180,c&lt;=210),1,AND(c&gt;=160,c&lt;180),0.7,AND(c&gt;210,c&lt;=230),0.7,AND(c&gt;=140,c&lt;160),0.4,AND(c&gt;230,c&lt;=250),0.4,TRUE,0.2)),IF(c="","",IFS(AND(c&gt;=140,c&lt;=170),1,AND(c&gt;=120,c&lt;140),0.7,AND(c&gt;170,c&lt;=190),0.7,AND(c&gt;=100,c&lt;120),0.4,AND(c&gt;190,c&lt;=210),0.4,TRUE,0.2))),AVERAGE(k_s,p_s,f_s,c_s)))),1),""))</f>
        <v/>
      </c>
      <c r="Z97">
        <f>IF($A97="","",TEXTJOIN(", ",TRUE,IF($B97="","??????????",""),IF($C97="","??????",""),IF($D97="","????",""),IF($E97="","??????????",""),IF($F97="","???-?????",""),IF($G97="","???-????",""),IF($H97="","??????",""),IF($L97="","???",""),IF($M97="","?????",""),IF($N97="","??????????????",""),IF($O97="","??????????",""),IF($P97="","???????",""),IF($U97="","???","")))</f>
        <v/>
      </c>
    </row>
    <row r="98">
      <c r="U98">
        <f>IF($A98="","",IF(SUMIF(FoodLog!$A:$A,$A98,FoodLog!$I:$I)=0,"",SUMIF(FoodLog!$A:$A,$A98,FoodLog!$I:$I)))</f>
        <v/>
      </c>
      <c r="V98">
        <f>IF($A98="","",IF(SUMIF(FoodLog!$A:$A,$A98,FoodLog!$F:$F)=0,"",SUMIF(FoodLog!$A:$A,$A98,FoodLog!$F:$F)))</f>
        <v/>
      </c>
      <c r="W98">
        <f>IF($A98="","",IF(SUMIF(FoodLog!$A:$A,$A98,FoodLog!$G:$G)=0,"",SUMIF(FoodLog!$A:$A,$A98,FoodLog!$G:$G)))</f>
        <v/>
      </c>
      <c r="X98">
        <f>IF($A98="","",IF(SUMIF(FoodLog!$A:$A,$A98,FoodLog!$H:$H)=0,"",SUMIF(FoodLog!$A:$A,$A98,FoodLog!$H:$H)))</f>
        <v/>
      </c>
      <c r="Y98">
        <f>IF($A98="","",IFERROR(ROUND(100*AVERAGE(IF($B98="","",XLOOKUP($B98,FILTER(Dictionaries!$B:$B,Dictionaries!$A:$A="??????????"),FILTER(Dictionaries!$C:$C,Dictionaries!$A:$A="??????????"))),IF($C98="","",MIN($C98/40,1)),IF($D98="","",XLOOKUP($D98,FILTER(Dictionaries!$B:$B,Dictionaries!$A:$A="????"),FILTER(Dictionaries!$C:$C,Dictionaries!$A:$A="????"))),IF($E98="","",MIN($E98/120,1)),IF(OR($F98&lt;&gt;"",$G98&lt;&gt;""),1,""),IF($H98="","",MIN($H98/100,1)),IF($L98="","",XLOOKUP($L98,FILTER(Dictionaries!$B:$B,Dictionaries!$A:$A="???_????"),FILTER(Dictionaries!$C:$C,Dictionaries!$A:$A="???_????"))),IF($M98="","",XLOOKUP($M98,FILTER(Dictionaries!$B:$B,Dictionaries!$A:$A="?????"),FILTER(Dictionaries!$C:$C,Dictionaries!$A:$A="?????"))),IF($N98="","",MIN($N98/100,1)),IF($O98="","",XLOOKUP($O98,FILTER(Dictionaries!$B:$B,Dictionaries!$A:$A="??????????"),FILTER(Dictionaries!$C:$C,Dictionaries!$A:$A="??????????"))),IF($P98="","",XLOOKUP($P98,FILTER(Dictionaries!$B:$B,Dictionaries!$A:$A="???????"),FILTER(Dictionaries!$C:$C,Dictionaries!$A:$A="???????"))),IF($U98="","",LET(t,IF(OR($B98="????",$B98="????"),"train","rest"),k,$U98,p,$V98,f,$W98,c,$X98,k_s,IF(t="train",IF(k="","",IFS(AND(k&gt;=1900,k&lt;=2050),1,AND(k&gt;=1850,k&lt;1900),0.7,AND(k&gt;2050,k&lt;=2100),0.7,TRUE,0.2)),IF(k="","",IFS(AND(k&gt;=1700,k&lt;=1850),1,AND(k&gt;=1650,k&lt;1700),0.7,AND(k&gt;1850,k&lt;=1900),0.7,TRUE,0.2))),p_s,IF(t="train",IF(p="","",IFS(AND(p&gt;=125,p&lt;=135),1,AND(p&gt;=115,p&lt;125),0.7,AND(p&gt;135,p&lt;=145),0.7,AND(p&gt;=105,p&lt;115),0.4,AND(p&gt;145,p&lt;=155),0.4,TRUE,0.2)),IF(p="","",IFS(AND(p&gt;=120,p&lt;=130),1,AND(p&gt;=110,p&lt;120),0.7,AND(p&gt;130,p&lt;=140),0.7,AND(p&gt;=100,p&lt;110),0.4,AND(p&gt;140,p&lt;=150),0.4,TRUE,0.2))),f_s,IF(f="","",IFS(AND(f&gt;=55,f&lt;=65),1,AND(f&gt;=50,f&lt;55),0.7,AND(f&gt;65,f&lt;=70),0.7,AND(f&gt;=45,f&lt;50),0.4,AND(f&gt;70,f&lt;=75),0.4,TRUE,0.2)),c_s,IF(t="train",IF(c="","",IFS(AND(c&gt;=180,c&lt;=210),1,AND(c&gt;=160,c&lt;180),0.7,AND(c&gt;210,c&lt;=230),0.7,AND(c&gt;=140,c&lt;160),0.4,AND(c&gt;230,c&lt;=250),0.4,TRUE,0.2)),IF(c="","",IFS(AND(c&gt;=140,c&lt;=170),1,AND(c&gt;=120,c&lt;140),0.7,AND(c&gt;170,c&lt;=190),0.7,AND(c&gt;=100,c&lt;120),0.4,AND(c&gt;190,c&lt;=210),0.4,TRUE,0.2))),AVERAGE(k_s,p_s,f_s,c_s)))),1),""))</f>
        <v/>
      </c>
      <c r="Z98">
        <f>IF($A98="","",TEXTJOIN(", ",TRUE,IF($B98="","??????????",""),IF($C98="","??????",""),IF($D98="","????",""),IF($E98="","??????????",""),IF($F98="","???-?????",""),IF($G98="","???-????",""),IF($H98="","??????",""),IF($L98="","???",""),IF($M98="","?????",""),IF($N98="","??????????????",""),IF($O98="","??????????",""),IF($P98="","???????",""),IF($U98="","???","")))</f>
        <v/>
      </c>
    </row>
    <row r="99">
      <c r="U99">
        <f>IF($A99="","",IF(SUMIF(FoodLog!$A:$A,$A99,FoodLog!$I:$I)=0,"",SUMIF(FoodLog!$A:$A,$A99,FoodLog!$I:$I)))</f>
        <v/>
      </c>
      <c r="V99">
        <f>IF($A99="","",IF(SUMIF(FoodLog!$A:$A,$A99,FoodLog!$F:$F)=0,"",SUMIF(FoodLog!$A:$A,$A99,FoodLog!$F:$F)))</f>
        <v/>
      </c>
      <c r="W99">
        <f>IF($A99="","",IF(SUMIF(FoodLog!$A:$A,$A99,FoodLog!$G:$G)=0,"",SUMIF(FoodLog!$A:$A,$A99,FoodLog!$G:$G)))</f>
        <v/>
      </c>
      <c r="X99">
        <f>IF($A99="","",IF(SUMIF(FoodLog!$A:$A,$A99,FoodLog!$H:$H)=0,"",SUMIF(FoodLog!$A:$A,$A99,FoodLog!$H:$H)))</f>
        <v/>
      </c>
      <c r="Y99">
        <f>IF($A99="","",IFERROR(ROUND(100*AVERAGE(IF($B99="","",XLOOKUP($B99,FILTER(Dictionaries!$B:$B,Dictionaries!$A:$A="??????????"),FILTER(Dictionaries!$C:$C,Dictionaries!$A:$A="??????????"))),IF($C99="","",MIN($C99/40,1)),IF($D99="","",XLOOKUP($D99,FILTER(Dictionaries!$B:$B,Dictionaries!$A:$A="????"),FILTER(Dictionaries!$C:$C,Dictionaries!$A:$A="????"))),IF($E99="","",MIN($E99/120,1)),IF(OR($F99&lt;&gt;"",$G99&lt;&gt;""),1,""),IF($H99="","",MIN($H99/100,1)),IF($L99="","",XLOOKUP($L99,FILTER(Dictionaries!$B:$B,Dictionaries!$A:$A="???_????"),FILTER(Dictionaries!$C:$C,Dictionaries!$A:$A="???_????"))),IF($M99="","",XLOOKUP($M99,FILTER(Dictionaries!$B:$B,Dictionaries!$A:$A="?????"),FILTER(Dictionaries!$C:$C,Dictionaries!$A:$A="?????"))),IF($N99="","",MIN($N99/100,1)),IF($O99="","",XLOOKUP($O99,FILTER(Dictionaries!$B:$B,Dictionaries!$A:$A="??????????"),FILTER(Dictionaries!$C:$C,Dictionaries!$A:$A="??????????"))),IF($P99="","",XLOOKUP($P99,FILTER(Dictionaries!$B:$B,Dictionaries!$A:$A="???????"),FILTER(Dictionaries!$C:$C,Dictionaries!$A:$A="???????"))),IF($U99="","",LET(t,IF(OR($B99="????",$B99="????"),"train","rest"),k,$U99,p,$V99,f,$W99,c,$X99,k_s,IF(t="train",IF(k="","",IFS(AND(k&gt;=1900,k&lt;=2050),1,AND(k&gt;=1850,k&lt;1900),0.7,AND(k&gt;2050,k&lt;=2100),0.7,TRUE,0.2)),IF(k="","",IFS(AND(k&gt;=1700,k&lt;=1850),1,AND(k&gt;=1650,k&lt;1700),0.7,AND(k&gt;1850,k&lt;=1900),0.7,TRUE,0.2))),p_s,IF(t="train",IF(p="","",IFS(AND(p&gt;=125,p&lt;=135),1,AND(p&gt;=115,p&lt;125),0.7,AND(p&gt;135,p&lt;=145),0.7,AND(p&gt;=105,p&lt;115),0.4,AND(p&gt;145,p&lt;=155),0.4,TRUE,0.2)),IF(p="","",IFS(AND(p&gt;=120,p&lt;=130),1,AND(p&gt;=110,p&lt;120),0.7,AND(p&gt;130,p&lt;=140),0.7,AND(p&gt;=100,p&lt;110),0.4,AND(p&gt;140,p&lt;=150),0.4,TRUE,0.2))),f_s,IF(f="","",IFS(AND(f&gt;=55,f&lt;=65),1,AND(f&gt;=50,f&lt;55),0.7,AND(f&gt;65,f&lt;=70),0.7,AND(f&gt;=45,f&lt;50),0.4,AND(f&gt;70,f&lt;=75),0.4,TRUE,0.2)),c_s,IF(t="train",IF(c="","",IFS(AND(c&gt;=180,c&lt;=210),1,AND(c&gt;=160,c&lt;180),0.7,AND(c&gt;210,c&lt;=230),0.7,AND(c&gt;=140,c&lt;160),0.4,AND(c&gt;230,c&lt;=250),0.4,TRUE,0.2)),IF(c="","",IFS(AND(c&gt;=140,c&lt;=170),1,AND(c&gt;=120,c&lt;140),0.7,AND(c&gt;170,c&lt;=190),0.7,AND(c&gt;=100,c&lt;120),0.4,AND(c&gt;190,c&lt;=210),0.4,TRUE,0.2))),AVERAGE(k_s,p_s,f_s,c_s)))),1),""))</f>
        <v/>
      </c>
      <c r="Z99">
        <f>IF($A99="","",TEXTJOIN(", ",TRUE,IF($B99="","??????????",""),IF($C99="","??????",""),IF($D99="","????",""),IF($E99="","??????????",""),IF($F99="","???-?????",""),IF($G99="","???-????",""),IF($H99="","??????",""),IF($L99="","???",""),IF($M99="","?????",""),IF($N99="","??????????????",""),IF($O99="","??????????",""),IF($P99="","???????",""),IF($U99="","???","")))</f>
        <v/>
      </c>
    </row>
    <row r="100">
      <c r="U100">
        <f>IF($A100="","",IF(SUMIF(FoodLog!$A:$A,$A100,FoodLog!$I:$I)=0,"",SUMIF(FoodLog!$A:$A,$A100,FoodLog!$I:$I)))</f>
        <v/>
      </c>
      <c r="V100">
        <f>IF($A100="","",IF(SUMIF(FoodLog!$A:$A,$A100,FoodLog!$F:$F)=0,"",SUMIF(FoodLog!$A:$A,$A100,FoodLog!$F:$F)))</f>
        <v/>
      </c>
      <c r="W100">
        <f>IF($A100="","",IF(SUMIF(FoodLog!$A:$A,$A100,FoodLog!$G:$G)=0,"",SUMIF(FoodLog!$A:$A,$A100,FoodLog!$G:$G)))</f>
        <v/>
      </c>
      <c r="X100">
        <f>IF($A100="","",IF(SUMIF(FoodLog!$A:$A,$A100,FoodLog!$H:$H)=0,"",SUMIF(FoodLog!$A:$A,$A100,FoodLog!$H:$H)))</f>
        <v/>
      </c>
      <c r="Y100">
        <f>IF($A100="","",IFERROR(ROUND(100*AVERAGE(IF($B100="","",XLOOKUP($B100,FILTER(Dictionaries!$B:$B,Dictionaries!$A:$A="??????????"),FILTER(Dictionaries!$C:$C,Dictionaries!$A:$A="??????????"))),IF($C100="","",MIN($C100/40,1)),IF($D100="","",XLOOKUP($D100,FILTER(Dictionaries!$B:$B,Dictionaries!$A:$A="????"),FILTER(Dictionaries!$C:$C,Dictionaries!$A:$A="????"))),IF($E100="","",MIN($E100/120,1)),IF(OR($F100&lt;&gt;"",$G100&lt;&gt;""),1,""),IF($H100="","",MIN($H100/100,1)),IF($L100="","",XLOOKUP($L100,FILTER(Dictionaries!$B:$B,Dictionaries!$A:$A="???_????"),FILTER(Dictionaries!$C:$C,Dictionaries!$A:$A="???_????"))),IF($M100="","",XLOOKUP($M100,FILTER(Dictionaries!$B:$B,Dictionaries!$A:$A="?????"),FILTER(Dictionaries!$C:$C,Dictionaries!$A:$A="?????"))),IF($N100="","",MIN($N100/100,1)),IF($O100="","",XLOOKUP($O100,FILTER(Dictionaries!$B:$B,Dictionaries!$A:$A="??????????"),FILTER(Dictionaries!$C:$C,Dictionaries!$A:$A="??????????"))),IF($P100="","",XLOOKUP($P100,FILTER(Dictionaries!$B:$B,Dictionaries!$A:$A="???????"),FILTER(Dictionaries!$C:$C,Dictionaries!$A:$A="???????"))),IF($U100="","",LET(t,IF(OR($B100="????",$B100="????"),"train","rest"),k,$U100,p,$V100,f,$W100,c,$X100,k_s,IF(t="train",IF(k="","",IFS(AND(k&gt;=1900,k&lt;=2050),1,AND(k&gt;=1850,k&lt;1900),0.7,AND(k&gt;2050,k&lt;=2100),0.7,TRUE,0.2)),IF(k="","",IFS(AND(k&gt;=1700,k&lt;=1850),1,AND(k&gt;=1650,k&lt;1700),0.7,AND(k&gt;1850,k&lt;=1900),0.7,TRUE,0.2))),p_s,IF(t="train",IF(p="","",IFS(AND(p&gt;=125,p&lt;=135),1,AND(p&gt;=115,p&lt;125),0.7,AND(p&gt;135,p&lt;=145),0.7,AND(p&gt;=105,p&lt;115),0.4,AND(p&gt;145,p&lt;=155),0.4,TRUE,0.2)),IF(p="","",IFS(AND(p&gt;=120,p&lt;=130),1,AND(p&gt;=110,p&lt;120),0.7,AND(p&gt;130,p&lt;=140),0.7,AND(p&gt;=100,p&lt;110),0.4,AND(p&gt;140,p&lt;=150),0.4,TRUE,0.2))),f_s,IF(f="","",IFS(AND(f&gt;=55,f&lt;=65),1,AND(f&gt;=50,f&lt;55),0.7,AND(f&gt;65,f&lt;=70),0.7,AND(f&gt;=45,f&lt;50),0.4,AND(f&gt;70,f&lt;=75),0.4,TRUE,0.2)),c_s,IF(t="train",IF(c="","",IFS(AND(c&gt;=180,c&lt;=210),1,AND(c&gt;=160,c&lt;180),0.7,AND(c&gt;210,c&lt;=230),0.7,AND(c&gt;=140,c&lt;160),0.4,AND(c&gt;230,c&lt;=250),0.4,TRUE,0.2)),IF(c="","",IFS(AND(c&gt;=140,c&lt;=170),1,AND(c&gt;=120,c&lt;140),0.7,AND(c&gt;170,c&lt;=190),0.7,AND(c&gt;=100,c&lt;120),0.4,AND(c&gt;190,c&lt;=210),0.4,TRUE,0.2))),AVERAGE(k_s,p_s,f_s,c_s)))),1),""))</f>
        <v/>
      </c>
      <c r="Z100">
        <f>IF($A100="","",TEXTJOIN(", ",TRUE,IF($B100="","??????????",""),IF($C100="","??????",""),IF($D100="","????",""),IF($E100="","??????????",""),IF($F100="","???-?????",""),IF($G100="","???-????",""),IF($H100="","??????",""),IF($L100="","???",""),IF($M100="","?????",""),IF($N100="","??????????????",""),IF($O100="","??????????",""),IF($P100="","???????",""),IF($U100="","???","")))</f>
        <v/>
      </c>
    </row>
    <row r="101">
      <c r="U101">
        <f>IF($A101="","",IF(SUMIF(FoodLog!$A:$A,$A101,FoodLog!$I:$I)=0,"",SUMIF(FoodLog!$A:$A,$A101,FoodLog!$I:$I)))</f>
        <v/>
      </c>
      <c r="V101">
        <f>IF($A101="","",IF(SUMIF(FoodLog!$A:$A,$A101,FoodLog!$F:$F)=0,"",SUMIF(FoodLog!$A:$A,$A101,FoodLog!$F:$F)))</f>
        <v/>
      </c>
      <c r="W101">
        <f>IF($A101="","",IF(SUMIF(FoodLog!$A:$A,$A101,FoodLog!$G:$G)=0,"",SUMIF(FoodLog!$A:$A,$A101,FoodLog!$G:$G)))</f>
        <v/>
      </c>
      <c r="X101">
        <f>IF($A101="","",IF(SUMIF(FoodLog!$A:$A,$A101,FoodLog!$H:$H)=0,"",SUMIF(FoodLog!$A:$A,$A101,FoodLog!$H:$H)))</f>
        <v/>
      </c>
      <c r="Y101">
        <f>IF($A101="","",IFERROR(ROUND(100*AVERAGE(IF($B101="","",XLOOKUP($B101,FILTER(Dictionaries!$B:$B,Dictionaries!$A:$A="??????????"),FILTER(Dictionaries!$C:$C,Dictionaries!$A:$A="??????????"))),IF($C101="","",MIN($C101/40,1)),IF($D101="","",XLOOKUP($D101,FILTER(Dictionaries!$B:$B,Dictionaries!$A:$A="????"),FILTER(Dictionaries!$C:$C,Dictionaries!$A:$A="????"))),IF($E101="","",MIN($E101/120,1)),IF(OR($F101&lt;&gt;"",$G101&lt;&gt;""),1,""),IF($H101="","",MIN($H101/100,1)),IF($L101="","",XLOOKUP($L101,FILTER(Dictionaries!$B:$B,Dictionaries!$A:$A="???_????"),FILTER(Dictionaries!$C:$C,Dictionaries!$A:$A="???_????"))),IF($M101="","",XLOOKUP($M101,FILTER(Dictionaries!$B:$B,Dictionaries!$A:$A="?????"),FILTER(Dictionaries!$C:$C,Dictionaries!$A:$A="?????"))),IF($N101="","",MIN($N101/100,1)),IF($O101="","",XLOOKUP($O101,FILTER(Dictionaries!$B:$B,Dictionaries!$A:$A="??????????"),FILTER(Dictionaries!$C:$C,Dictionaries!$A:$A="??????????"))),IF($P101="","",XLOOKUP($P101,FILTER(Dictionaries!$B:$B,Dictionaries!$A:$A="???????"),FILTER(Dictionaries!$C:$C,Dictionaries!$A:$A="???????"))),IF($U101="","",LET(t,IF(OR($B101="????",$B101="????"),"train","rest"),k,$U101,p,$V101,f,$W101,c,$X101,k_s,IF(t="train",IF(k="","",IFS(AND(k&gt;=1900,k&lt;=2050),1,AND(k&gt;=1850,k&lt;1900),0.7,AND(k&gt;2050,k&lt;=2100),0.7,TRUE,0.2)),IF(k="","",IFS(AND(k&gt;=1700,k&lt;=1850),1,AND(k&gt;=1650,k&lt;1700),0.7,AND(k&gt;1850,k&lt;=1900),0.7,TRUE,0.2))),p_s,IF(t="train",IF(p="","",IFS(AND(p&gt;=125,p&lt;=135),1,AND(p&gt;=115,p&lt;125),0.7,AND(p&gt;135,p&lt;=145),0.7,AND(p&gt;=105,p&lt;115),0.4,AND(p&gt;145,p&lt;=155),0.4,TRUE,0.2)),IF(p="","",IFS(AND(p&gt;=120,p&lt;=130),1,AND(p&gt;=110,p&lt;120),0.7,AND(p&gt;130,p&lt;=140),0.7,AND(p&gt;=100,p&lt;110),0.4,AND(p&gt;140,p&lt;=150),0.4,TRUE,0.2))),f_s,IF(f="","",IFS(AND(f&gt;=55,f&lt;=65),1,AND(f&gt;=50,f&lt;55),0.7,AND(f&gt;65,f&lt;=70),0.7,AND(f&gt;=45,f&lt;50),0.4,AND(f&gt;70,f&lt;=75),0.4,TRUE,0.2)),c_s,IF(t="train",IF(c="","",IFS(AND(c&gt;=180,c&lt;=210),1,AND(c&gt;=160,c&lt;180),0.7,AND(c&gt;210,c&lt;=230),0.7,AND(c&gt;=140,c&lt;160),0.4,AND(c&gt;230,c&lt;=250),0.4,TRUE,0.2)),IF(c="","",IFS(AND(c&gt;=140,c&lt;=170),1,AND(c&gt;=120,c&lt;140),0.7,AND(c&gt;170,c&lt;=190),0.7,AND(c&gt;=100,c&lt;120),0.4,AND(c&gt;190,c&lt;=210),0.4,TRUE,0.2))),AVERAGE(k_s,p_s,f_s,c_s)))),1),""))</f>
        <v/>
      </c>
      <c r="Z101">
        <f>IF($A101="","",TEXTJOIN(", ",TRUE,IF($B101="","??????????",""),IF($C101="","??????",""),IF($D101="","????",""),IF($E101="","??????????",""),IF($F101="","???-?????",""),IF($G101="","???-????",""),IF($H101="","??????",""),IF($L101="","???",""),IF($M101="","?????",""),IF($N101="","??????????????",""),IF($O101="","??????????",""),IF($P101="","???????",""),IF($U101="","???","")))</f>
        <v/>
      </c>
    </row>
    <row r="102">
      <c r="U102">
        <f>IF($A102="","",IF(SUMIF(FoodLog!$A:$A,$A102,FoodLog!$I:$I)=0,"",SUMIF(FoodLog!$A:$A,$A102,FoodLog!$I:$I)))</f>
        <v/>
      </c>
      <c r="V102">
        <f>IF($A102="","",IF(SUMIF(FoodLog!$A:$A,$A102,FoodLog!$F:$F)=0,"",SUMIF(FoodLog!$A:$A,$A102,FoodLog!$F:$F)))</f>
        <v/>
      </c>
      <c r="W102">
        <f>IF($A102="","",IF(SUMIF(FoodLog!$A:$A,$A102,FoodLog!$G:$G)=0,"",SUMIF(FoodLog!$A:$A,$A102,FoodLog!$G:$G)))</f>
        <v/>
      </c>
      <c r="X102">
        <f>IF($A102="","",IF(SUMIF(FoodLog!$A:$A,$A102,FoodLog!$H:$H)=0,"",SUMIF(FoodLog!$A:$A,$A102,FoodLog!$H:$H)))</f>
        <v/>
      </c>
      <c r="Y102">
        <f>IF($A102="","",IFERROR(ROUND(100*AVERAGE(IF($B102="","",XLOOKUP($B102,FILTER(Dictionaries!$B:$B,Dictionaries!$A:$A="??????????"),FILTER(Dictionaries!$C:$C,Dictionaries!$A:$A="??????????"))),IF($C102="","",MIN($C102/40,1)),IF($D102="","",XLOOKUP($D102,FILTER(Dictionaries!$B:$B,Dictionaries!$A:$A="????"),FILTER(Dictionaries!$C:$C,Dictionaries!$A:$A="????"))),IF($E102="","",MIN($E102/120,1)),IF(OR($F102&lt;&gt;"",$G102&lt;&gt;""),1,""),IF($H102="","",MIN($H102/100,1)),IF($L102="","",XLOOKUP($L102,FILTER(Dictionaries!$B:$B,Dictionaries!$A:$A="???_????"),FILTER(Dictionaries!$C:$C,Dictionaries!$A:$A="???_????"))),IF($M102="","",XLOOKUP($M102,FILTER(Dictionaries!$B:$B,Dictionaries!$A:$A="?????"),FILTER(Dictionaries!$C:$C,Dictionaries!$A:$A="?????"))),IF($N102="","",MIN($N102/100,1)),IF($O102="","",XLOOKUP($O102,FILTER(Dictionaries!$B:$B,Dictionaries!$A:$A="??????????"),FILTER(Dictionaries!$C:$C,Dictionaries!$A:$A="??????????"))),IF($P102="","",XLOOKUP($P102,FILTER(Dictionaries!$B:$B,Dictionaries!$A:$A="???????"),FILTER(Dictionaries!$C:$C,Dictionaries!$A:$A="???????"))),IF($U102="","",LET(t,IF(OR($B102="????",$B102="????"),"train","rest"),k,$U102,p,$V102,f,$W102,c,$X102,k_s,IF(t="train",IF(k="","",IFS(AND(k&gt;=1900,k&lt;=2050),1,AND(k&gt;=1850,k&lt;1900),0.7,AND(k&gt;2050,k&lt;=2100),0.7,TRUE,0.2)),IF(k="","",IFS(AND(k&gt;=1700,k&lt;=1850),1,AND(k&gt;=1650,k&lt;1700),0.7,AND(k&gt;1850,k&lt;=1900),0.7,TRUE,0.2))),p_s,IF(t="train",IF(p="","",IFS(AND(p&gt;=125,p&lt;=135),1,AND(p&gt;=115,p&lt;125),0.7,AND(p&gt;135,p&lt;=145),0.7,AND(p&gt;=105,p&lt;115),0.4,AND(p&gt;145,p&lt;=155),0.4,TRUE,0.2)),IF(p="","",IFS(AND(p&gt;=120,p&lt;=130),1,AND(p&gt;=110,p&lt;120),0.7,AND(p&gt;130,p&lt;=140),0.7,AND(p&gt;=100,p&lt;110),0.4,AND(p&gt;140,p&lt;=150),0.4,TRUE,0.2))),f_s,IF(f="","",IFS(AND(f&gt;=55,f&lt;=65),1,AND(f&gt;=50,f&lt;55),0.7,AND(f&gt;65,f&lt;=70),0.7,AND(f&gt;=45,f&lt;50),0.4,AND(f&gt;70,f&lt;=75),0.4,TRUE,0.2)),c_s,IF(t="train",IF(c="","",IFS(AND(c&gt;=180,c&lt;=210),1,AND(c&gt;=160,c&lt;180),0.7,AND(c&gt;210,c&lt;=230),0.7,AND(c&gt;=140,c&lt;160),0.4,AND(c&gt;230,c&lt;=250),0.4,TRUE,0.2)),IF(c="","",IFS(AND(c&gt;=140,c&lt;=170),1,AND(c&gt;=120,c&lt;140),0.7,AND(c&gt;170,c&lt;=190),0.7,AND(c&gt;=100,c&lt;120),0.4,AND(c&gt;190,c&lt;=210),0.4,TRUE,0.2))),AVERAGE(k_s,p_s,f_s,c_s)))),1),""))</f>
        <v/>
      </c>
      <c r="Z102">
        <f>IF($A102="","",TEXTJOIN(", ",TRUE,IF($B102="","??????????",""),IF($C102="","??????",""),IF($D102="","????",""),IF($E102="","??????????",""),IF($F102="","???-?????",""),IF($G102="","???-????",""),IF($H102="","??????",""),IF($L102="","???",""),IF($M102="","?????",""),IF($N102="","??????????????",""),IF($O102="","??????????",""),IF($P102="","???????",""),IF($U102="","???","")))</f>
        <v/>
      </c>
    </row>
    <row r="103">
      <c r="U103">
        <f>IF($A103="","",IF(SUMIF(FoodLog!$A:$A,$A103,FoodLog!$I:$I)=0,"",SUMIF(FoodLog!$A:$A,$A103,FoodLog!$I:$I)))</f>
        <v/>
      </c>
      <c r="V103">
        <f>IF($A103="","",IF(SUMIF(FoodLog!$A:$A,$A103,FoodLog!$F:$F)=0,"",SUMIF(FoodLog!$A:$A,$A103,FoodLog!$F:$F)))</f>
        <v/>
      </c>
      <c r="W103">
        <f>IF($A103="","",IF(SUMIF(FoodLog!$A:$A,$A103,FoodLog!$G:$G)=0,"",SUMIF(FoodLog!$A:$A,$A103,FoodLog!$G:$G)))</f>
        <v/>
      </c>
      <c r="X103">
        <f>IF($A103="","",IF(SUMIF(FoodLog!$A:$A,$A103,FoodLog!$H:$H)=0,"",SUMIF(FoodLog!$A:$A,$A103,FoodLog!$H:$H)))</f>
        <v/>
      </c>
      <c r="Y103">
        <f>IF($A103="","",IFERROR(ROUND(100*AVERAGE(IF($B103="","",XLOOKUP($B103,FILTER(Dictionaries!$B:$B,Dictionaries!$A:$A="??????????"),FILTER(Dictionaries!$C:$C,Dictionaries!$A:$A="??????????"))),IF($C103="","",MIN($C103/40,1)),IF($D103="","",XLOOKUP($D103,FILTER(Dictionaries!$B:$B,Dictionaries!$A:$A="????"),FILTER(Dictionaries!$C:$C,Dictionaries!$A:$A="????"))),IF($E103="","",MIN($E103/120,1)),IF(OR($F103&lt;&gt;"",$G103&lt;&gt;""),1,""),IF($H103="","",MIN($H103/100,1)),IF($L103="","",XLOOKUP($L103,FILTER(Dictionaries!$B:$B,Dictionaries!$A:$A="???_????"),FILTER(Dictionaries!$C:$C,Dictionaries!$A:$A="???_????"))),IF($M103="","",XLOOKUP($M103,FILTER(Dictionaries!$B:$B,Dictionaries!$A:$A="?????"),FILTER(Dictionaries!$C:$C,Dictionaries!$A:$A="?????"))),IF($N103="","",MIN($N103/100,1)),IF($O103="","",XLOOKUP($O103,FILTER(Dictionaries!$B:$B,Dictionaries!$A:$A="??????????"),FILTER(Dictionaries!$C:$C,Dictionaries!$A:$A="??????????"))),IF($P103="","",XLOOKUP($P103,FILTER(Dictionaries!$B:$B,Dictionaries!$A:$A="???????"),FILTER(Dictionaries!$C:$C,Dictionaries!$A:$A="???????"))),IF($U103="","",LET(t,IF(OR($B103="????",$B103="????"),"train","rest"),k,$U103,p,$V103,f,$W103,c,$X103,k_s,IF(t="train",IF(k="","",IFS(AND(k&gt;=1900,k&lt;=2050),1,AND(k&gt;=1850,k&lt;1900),0.7,AND(k&gt;2050,k&lt;=2100),0.7,TRUE,0.2)),IF(k="","",IFS(AND(k&gt;=1700,k&lt;=1850),1,AND(k&gt;=1650,k&lt;1700),0.7,AND(k&gt;1850,k&lt;=1900),0.7,TRUE,0.2))),p_s,IF(t="train",IF(p="","",IFS(AND(p&gt;=125,p&lt;=135),1,AND(p&gt;=115,p&lt;125),0.7,AND(p&gt;135,p&lt;=145),0.7,AND(p&gt;=105,p&lt;115),0.4,AND(p&gt;145,p&lt;=155),0.4,TRUE,0.2)),IF(p="","",IFS(AND(p&gt;=120,p&lt;=130),1,AND(p&gt;=110,p&lt;120),0.7,AND(p&gt;130,p&lt;=140),0.7,AND(p&gt;=100,p&lt;110),0.4,AND(p&gt;140,p&lt;=150),0.4,TRUE,0.2))),f_s,IF(f="","",IFS(AND(f&gt;=55,f&lt;=65),1,AND(f&gt;=50,f&lt;55),0.7,AND(f&gt;65,f&lt;=70),0.7,AND(f&gt;=45,f&lt;50),0.4,AND(f&gt;70,f&lt;=75),0.4,TRUE,0.2)),c_s,IF(t="train",IF(c="","",IFS(AND(c&gt;=180,c&lt;=210),1,AND(c&gt;=160,c&lt;180),0.7,AND(c&gt;210,c&lt;=230),0.7,AND(c&gt;=140,c&lt;160),0.4,AND(c&gt;230,c&lt;=250),0.4,TRUE,0.2)),IF(c="","",IFS(AND(c&gt;=140,c&lt;=170),1,AND(c&gt;=120,c&lt;140),0.7,AND(c&gt;170,c&lt;=190),0.7,AND(c&gt;=100,c&lt;120),0.4,AND(c&gt;190,c&lt;=210),0.4,TRUE,0.2))),AVERAGE(k_s,p_s,f_s,c_s)))),1),""))</f>
        <v/>
      </c>
      <c r="Z103">
        <f>IF($A103="","",TEXTJOIN(", ",TRUE,IF($B103="","??????????",""),IF($C103="","??????",""),IF($D103="","????",""),IF($E103="","??????????",""),IF($F103="","???-?????",""),IF($G103="","???-????",""),IF($H103="","??????",""),IF($L103="","???",""),IF($M103="","?????",""),IF($N103="","??????????????",""),IF($O103="","??????????",""),IF($P103="","???????",""),IF($U103="","???","")))</f>
        <v/>
      </c>
    </row>
    <row r="104">
      <c r="U104">
        <f>IF($A104="","",IF(SUMIF(FoodLog!$A:$A,$A104,FoodLog!$I:$I)=0,"",SUMIF(FoodLog!$A:$A,$A104,FoodLog!$I:$I)))</f>
        <v/>
      </c>
      <c r="V104">
        <f>IF($A104="","",IF(SUMIF(FoodLog!$A:$A,$A104,FoodLog!$F:$F)=0,"",SUMIF(FoodLog!$A:$A,$A104,FoodLog!$F:$F)))</f>
        <v/>
      </c>
      <c r="W104">
        <f>IF($A104="","",IF(SUMIF(FoodLog!$A:$A,$A104,FoodLog!$G:$G)=0,"",SUMIF(FoodLog!$A:$A,$A104,FoodLog!$G:$G)))</f>
        <v/>
      </c>
      <c r="X104">
        <f>IF($A104="","",IF(SUMIF(FoodLog!$A:$A,$A104,FoodLog!$H:$H)=0,"",SUMIF(FoodLog!$A:$A,$A104,FoodLog!$H:$H)))</f>
        <v/>
      </c>
      <c r="Y104">
        <f>IF($A104="","",IFERROR(ROUND(100*AVERAGE(IF($B104="","",XLOOKUP($B104,FILTER(Dictionaries!$B:$B,Dictionaries!$A:$A="??????????"),FILTER(Dictionaries!$C:$C,Dictionaries!$A:$A="??????????"))),IF($C104="","",MIN($C104/40,1)),IF($D104="","",XLOOKUP($D104,FILTER(Dictionaries!$B:$B,Dictionaries!$A:$A="????"),FILTER(Dictionaries!$C:$C,Dictionaries!$A:$A="????"))),IF($E104="","",MIN($E104/120,1)),IF(OR($F104&lt;&gt;"",$G104&lt;&gt;""),1,""),IF($H104="","",MIN($H104/100,1)),IF($L104="","",XLOOKUP($L104,FILTER(Dictionaries!$B:$B,Dictionaries!$A:$A="???_????"),FILTER(Dictionaries!$C:$C,Dictionaries!$A:$A="???_????"))),IF($M104="","",XLOOKUP($M104,FILTER(Dictionaries!$B:$B,Dictionaries!$A:$A="?????"),FILTER(Dictionaries!$C:$C,Dictionaries!$A:$A="?????"))),IF($N104="","",MIN($N104/100,1)),IF($O104="","",XLOOKUP($O104,FILTER(Dictionaries!$B:$B,Dictionaries!$A:$A="??????????"),FILTER(Dictionaries!$C:$C,Dictionaries!$A:$A="??????????"))),IF($P104="","",XLOOKUP($P104,FILTER(Dictionaries!$B:$B,Dictionaries!$A:$A="???????"),FILTER(Dictionaries!$C:$C,Dictionaries!$A:$A="???????"))),IF($U104="","",LET(t,IF(OR($B104="????",$B104="????"),"train","rest"),k,$U104,p,$V104,f,$W104,c,$X104,k_s,IF(t="train",IF(k="","",IFS(AND(k&gt;=1900,k&lt;=2050),1,AND(k&gt;=1850,k&lt;1900),0.7,AND(k&gt;2050,k&lt;=2100),0.7,TRUE,0.2)),IF(k="","",IFS(AND(k&gt;=1700,k&lt;=1850),1,AND(k&gt;=1650,k&lt;1700),0.7,AND(k&gt;1850,k&lt;=1900),0.7,TRUE,0.2))),p_s,IF(t="train",IF(p="","",IFS(AND(p&gt;=125,p&lt;=135),1,AND(p&gt;=115,p&lt;125),0.7,AND(p&gt;135,p&lt;=145),0.7,AND(p&gt;=105,p&lt;115),0.4,AND(p&gt;145,p&lt;=155),0.4,TRUE,0.2)),IF(p="","",IFS(AND(p&gt;=120,p&lt;=130),1,AND(p&gt;=110,p&lt;120),0.7,AND(p&gt;130,p&lt;=140),0.7,AND(p&gt;=100,p&lt;110),0.4,AND(p&gt;140,p&lt;=150),0.4,TRUE,0.2))),f_s,IF(f="","",IFS(AND(f&gt;=55,f&lt;=65),1,AND(f&gt;=50,f&lt;55),0.7,AND(f&gt;65,f&lt;=70),0.7,AND(f&gt;=45,f&lt;50),0.4,AND(f&gt;70,f&lt;=75),0.4,TRUE,0.2)),c_s,IF(t="train",IF(c="","",IFS(AND(c&gt;=180,c&lt;=210),1,AND(c&gt;=160,c&lt;180),0.7,AND(c&gt;210,c&lt;=230),0.7,AND(c&gt;=140,c&lt;160),0.4,AND(c&gt;230,c&lt;=250),0.4,TRUE,0.2)),IF(c="","",IFS(AND(c&gt;=140,c&lt;=170),1,AND(c&gt;=120,c&lt;140),0.7,AND(c&gt;170,c&lt;=190),0.7,AND(c&gt;=100,c&lt;120),0.4,AND(c&gt;190,c&lt;=210),0.4,TRUE,0.2))),AVERAGE(k_s,p_s,f_s,c_s)))),1),""))</f>
        <v/>
      </c>
      <c r="Z104">
        <f>IF($A104="","",TEXTJOIN(", ",TRUE,IF($B104="","??????????",""),IF($C104="","??????",""),IF($D104="","????",""),IF($E104="","??????????",""),IF($F104="","???-?????",""),IF($G104="","???-????",""),IF($H104="","??????",""),IF($L104="","???",""),IF($M104="","?????",""),IF($N104="","??????????????",""),IF($O104="","??????????",""),IF($P104="","???????",""),IF($U104="","???","")))</f>
        <v/>
      </c>
    </row>
    <row r="105">
      <c r="U105">
        <f>IF($A105="","",IF(SUMIF(FoodLog!$A:$A,$A105,FoodLog!$I:$I)=0,"",SUMIF(FoodLog!$A:$A,$A105,FoodLog!$I:$I)))</f>
        <v/>
      </c>
      <c r="V105">
        <f>IF($A105="","",IF(SUMIF(FoodLog!$A:$A,$A105,FoodLog!$F:$F)=0,"",SUMIF(FoodLog!$A:$A,$A105,FoodLog!$F:$F)))</f>
        <v/>
      </c>
      <c r="W105">
        <f>IF($A105="","",IF(SUMIF(FoodLog!$A:$A,$A105,FoodLog!$G:$G)=0,"",SUMIF(FoodLog!$A:$A,$A105,FoodLog!$G:$G)))</f>
        <v/>
      </c>
      <c r="X105">
        <f>IF($A105="","",IF(SUMIF(FoodLog!$A:$A,$A105,FoodLog!$H:$H)=0,"",SUMIF(FoodLog!$A:$A,$A105,FoodLog!$H:$H)))</f>
        <v/>
      </c>
      <c r="Y105">
        <f>IF($A105="","",IFERROR(ROUND(100*AVERAGE(IF($B105="","",XLOOKUP($B105,FILTER(Dictionaries!$B:$B,Dictionaries!$A:$A="??????????"),FILTER(Dictionaries!$C:$C,Dictionaries!$A:$A="??????????"))),IF($C105="","",MIN($C105/40,1)),IF($D105="","",XLOOKUP($D105,FILTER(Dictionaries!$B:$B,Dictionaries!$A:$A="????"),FILTER(Dictionaries!$C:$C,Dictionaries!$A:$A="????"))),IF($E105="","",MIN($E105/120,1)),IF(OR($F105&lt;&gt;"",$G105&lt;&gt;""),1,""),IF($H105="","",MIN($H105/100,1)),IF($L105="","",XLOOKUP($L105,FILTER(Dictionaries!$B:$B,Dictionaries!$A:$A="???_????"),FILTER(Dictionaries!$C:$C,Dictionaries!$A:$A="???_????"))),IF($M105="","",XLOOKUP($M105,FILTER(Dictionaries!$B:$B,Dictionaries!$A:$A="?????"),FILTER(Dictionaries!$C:$C,Dictionaries!$A:$A="?????"))),IF($N105="","",MIN($N105/100,1)),IF($O105="","",XLOOKUP($O105,FILTER(Dictionaries!$B:$B,Dictionaries!$A:$A="??????????"),FILTER(Dictionaries!$C:$C,Dictionaries!$A:$A="??????????"))),IF($P105="","",XLOOKUP($P105,FILTER(Dictionaries!$B:$B,Dictionaries!$A:$A="???????"),FILTER(Dictionaries!$C:$C,Dictionaries!$A:$A="???????"))),IF($U105="","",LET(t,IF(OR($B105="????",$B105="????"),"train","rest"),k,$U105,p,$V105,f,$W105,c,$X105,k_s,IF(t="train",IF(k="","",IFS(AND(k&gt;=1900,k&lt;=2050),1,AND(k&gt;=1850,k&lt;1900),0.7,AND(k&gt;2050,k&lt;=2100),0.7,TRUE,0.2)),IF(k="","",IFS(AND(k&gt;=1700,k&lt;=1850),1,AND(k&gt;=1650,k&lt;1700),0.7,AND(k&gt;1850,k&lt;=1900),0.7,TRUE,0.2))),p_s,IF(t="train",IF(p="","",IFS(AND(p&gt;=125,p&lt;=135),1,AND(p&gt;=115,p&lt;125),0.7,AND(p&gt;135,p&lt;=145),0.7,AND(p&gt;=105,p&lt;115),0.4,AND(p&gt;145,p&lt;=155),0.4,TRUE,0.2)),IF(p="","",IFS(AND(p&gt;=120,p&lt;=130),1,AND(p&gt;=110,p&lt;120),0.7,AND(p&gt;130,p&lt;=140),0.7,AND(p&gt;=100,p&lt;110),0.4,AND(p&gt;140,p&lt;=150),0.4,TRUE,0.2))),f_s,IF(f="","",IFS(AND(f&gt;=55,f&lt;=65),1,AND(f&gt;=50,f&lt;55),0.7,AND(f&gt;65,f&lt;=70),0.7,AND(f&gt;=45,f&lt;50),0.4,AND(f&gt;70,f&lt;=75),0.4,TRUE,0.2)),c_s,IF(t="train",IF(c="","",IFS(AND(c&gt;=180,c&lt;=210),1,AND(c&gt;=160,c&lt;180),0.7,AND(c&gt;210,c&lt;=230),0.7,AND(c&gt;=140,c&lt;160),0.4,AND(c&gt;230,c&lt;=250),0.4,TRUE,0.2)),IF(c="","",IFS(AND(c&gt;=140,c&lt;=170),1,AND(c&gt;=120,c&lt;140),0.7,AND(c&gt;170,c&lt;=190),0.7,AND(c&gt;=100,c&lt;120),0.4,AND(c&gt;190,c&lt;=210),0.4,TRUE,0.2))),AVERAGE(k_s,p_s,f_s,c_s)))),1),""))</f>
        <v/>
      </c>
      <c r="Z105">
        <f>IF($A105="","",TEXTJOIN(", ",TRUE,IF($B105="","??????????",""),IF($C105="","??????",""),IF($D105="","????",""),IF($E105="","??????????",""),IF($F105="","???-?????",""),IF($G105="","???-????",""),IF($H105="","??????",""),IF($L105="","???",""),IF($M105="","?????",""),IF($N105="","??????????????",""),IF($O105="","??????????",""),IF($P105="","???????",""),IF($U105="","???","")))</f>
        <v/>
      </c>
    </row>
    <row r="106">
      <c r="U106">
        <f>IF($A106="","",IF(SUMIF(FoodLog!$A:$A,$A106,FoodLog!$I:$I)=0,"",SUMIF(FoodLog!$A:$A,$A106,FoodLog!$I:$I)))</f>
        <v/>
      </c>
      <c r="V106">
        <f>IF($A106="","",IF(SUMIF(FoodLog!$A:$A,$A106,FoodLog!$F:$F)=0,"",SUMIF(FoodLog!$A:$A,$A106,FoodLog!$F:$F)))</f>
        <v/>
      </c>
      <c r="W106">
        <f>IF($A106="","",IF(SUMIF(FoodLog!$A:$A,$A106,FoodLog!$G:$G)=0,"",SUMIF(FoodLog!$A:$A,$A106,FoodLog!$G:$G)))</f>
        <v/>
      </c>
      <c r="X106">
        <f>IF($A106="","",IF(SUMIF(FoodLog!$A:$A,$A106,FoodLog!$H:$H)=0,"",SUMIF(FoodLog!$A:$A,$A106,FoodLog!$H:$H)))</f>
        <v/>
      </c>
      <c r="Y106">
        <f>IF($A106="","",IFERROR(ROUND(100*AVERAGE(IF($B106="","",XLOOKUP($B106,FILTER(Dictionaries!$B:$B,Dictionaries!$A:$A="??????????"),FILTER(Dictionaries!$C:$C,Dictionaries!$A:$A="??????????"))),IF($C106="","",MIN($C106/40,1)),IF($D106="","",XLOOKUP($D106,FILTER(Dictionaries!$B:$B,Dictionaries!$A:$A="????"),FILTER(Dictionaries!$C:$C,Dictionaries!$A:$A="????"))),IF($E106="","",MIN($E106/120,1)),IF(OR($F106&lt;&gt;"",$G106&lt;&gt;""),1,""),IF($H106="","",MIN($H106/100,1)),IF($L106="","",XLOOKUP($L106,FILTER(Dictionaries!$B:$B,Dictionaries!$A:$A="???_????"),FILTER(Dictionaries!$C:$C,Dictionaries!$A:$A="???_????"))),IF($M106="","",XLOOKUP($M106,FILTER(Dictionaries!$B:$B,Dictionaries!$A:$A="?????"),FILTER(Dictionaries!$C:$C,Dictionaries!$A:$A="?????"))),IF($N106="","",MIN($N106/100,1)),IF($O106="","",XLOOKUP($O106,FILTER(Dictionaries!$B:$B,Dictionaries!$A:$A="??????????"),FILTER(Dictionaries!$C:$C,Dictionaries!$A:$A="??????????"))),IF($P106="","",XLOOKUP($P106,FILTER(Dictionaries!$B:$B,Dictionaries!$A:$A="???????"),FILTER(Dictionaries!$C:$C,Dictionaries!$A:$A="???????"))),IF($U106="","",LET(t,IF(OR($B106="????",$B106="????"),"train","rest"),k,$U106,p,$V106,f,$W106,c,$X106,k_s,IF(t="train",IF(k="","",IFS(AND(k&gt;=1900,k&lt;=2050),1,AND(k&gt;=1850,k&lt;1900),0.7,AND(k&gt;2050,k&lt;=2100),0.7,TRUE,0.2)),IF(k="","",IFS(AND(k&gt;=1700,k&lt;=1850),1,AND(k&gt;=1650,k&lt;1700),0.7,AND(k&gt;1850,k&lt;=1900),0.7,TRUE,0.2))),p_s,IF(t="train",IF(p="","",IFS(AND(p&gt;=125,p&lt;=135),1,AND(p&gt;=115,p&lt;125),0.7,AND(p&gt;135,p&lt;=145),0.7,AND(p&gt;=105,p&lt;115),0.4,AND(p&gt;145,p&lt;=155),0.4,TRUE,0.2)),IF(p="","",IFS(AND(p&gt;=120,p&lt;=130),1,AND(p&gt;=110,p&lt;120),0.7,AND(p&gt;130,p&lt;=140),0.7,AND(p&gt;=100,p&lt;110),0.4,AND(p&gt;140,p&lt;=150),0.4,TRUE,0.2))),f_s,IF(f="","",IFS(AND(f&gt;=55,f&lt;=65),1,AND(f&gt;=50,f&lt;55),0.7,AND(f&gt;65,f&lt;=70),0.7,AND(f&gt;=45,f&lt;50),0.4,AND(f&gt;70,f&lt;=75),0.4,TRUE,0.2)),c_s,IF(t="train",IF(c="","",IFS(AND(c&gt;=180,c&lt;=210),1,AND(c&gt;=160,c&lt;180),0.7,AND(c&gt;210,c&lt;=230),0.7,AND(c&gt;=140,c&lt;160),0.4,AND(c&gt;230,c&lt;=250),0.4,TRUE,0.2)),IF(c="","",IFS(AND(c&gt;=140,c&lt;=170),1,AND(c&gt;=120,c&lt;140),0.7,AND(c&gt;170,c&lt;=190),0.7,AND(c&gt;=100,c&lt;120),0.4,AND(c&gt;190,c&lt;=210),0.4,TRUE,0.2))),AVERAGE(k_s,p_s,f_s,c_s)))),1),""))</f>
        <v/>
      </c>
      <c r="Z106">
        <f>IF($A106="","",TEXTJOIN(", ",TRUE,IF($B106="","??????????",""),IF($C106="","??????",""),IF($D106="","????",""),IF($E106="","??????????",""),IF($F106="","???-?????",""),IF($G106="","???-????",""),IF($H106="","??????",""),IF($L106="","???",""),IF($M106="","?????",""),IF($N106="","??????????????",""),IF($O106="","??????????",""),IF($P106="","???????",""),IF($U106="","???","")))</f>
        <v/>
      </c>
    </row>
    <row r="107">
      <c r="U107">
        <f>IF($A107="","",IF(SUMIF(FoodLog!$A:$A,$A107,FoodLog!$I:$I)=0,"",SUMIF(FoodLog!$A:$A,$A107,FoodLog!$I:$I)))</f>
        <v/>
      </c>
      <c r="V107">
        <f>IF($A107="","",IF(SUMIF(FoodLog!$A:$A,$A107,FoodLog!$F:$F)=0,"",SUMIF(FoodLog!$A:$A,$A107,FoodLog!$F:$F)))</f>
        <v/>
      </c>
      <c r="W107">
        <f>IF($A107="","",IF(SUMIF(FoodLog!$A:$A,$A107,FoodLog!$G:$G)=0,"",SUMIF(FoodLog!$A:$A,$A107,FoodLog!$G:$G)))</f>
        <v/>
      </c>
      <c r="X107">
        <f>IF($A107="","",IF(SUMIF(FoodLog!$A:$A,$A107,FoodLog!$H:$H)=0,"",SUMIF(FoodLog!$A:$A,$A107,FoodLog!$H:$H)))</f>
        <v/>
      </c>
      <c r="Y107">
        <f>IF($A107="","",IFERROR(ROUND(100*AVERAGE(IF($B107="","",XLOOKUP($B107,FILTER(Dictionaries!$B:$B,Dictionaries!$A:$A="??????????"),FILTER(Dictionaries!$C:$C,Dictionaries!$A:$A="??????????"))),IF($C107="","",MIN($C107/40,1)),IF($D107="","",XLOOKUP($D107,FILTER(Dictionaries!$B:$B,Dictionaries!$A:$A="????"),FILTER(Dictionaries!$C:$C,Dictionaries!$A:$A="????"))),IF($E107="","",MIN($E107/120,1)),IF(OR($F107&lt;&gt;"",$G107&lt;&gt;""),1,""),IF($H107="","",MIN($H107/100,1)),IF($L107="","",XLOOKUP($L107,FILTER(Dictionaries!$B:$B,Dictionaries!$A:$A="???_????"),FILTER(Dictionaries!$C:$C,Dictionaries!$A:$A="???_????"))),IF($M107="","",XLOOKUP($M107,FILTER(Dictionaries!$B:$B,Dictionaries!$A:$A="?????"),FILTER(Dictionaries!$C:$C,Dictionaries!$A:$A="?????"))),IF($N107="","",MIN($N107/100,1)),IF($O107="","",XLOOKUP($O107,FILTER(Dictionaries!$B:$B,Dictionaries!$A:$A="??????????"),FILTER(Dictionaries!$C:$C,Dictionaries!$A:$A="??????????"))),IF($P107="","",XLOOKUP($P107,FILTER(Dictionaries!$B:$B,Dictionaries!$A:$A="???????"),FILTER(Dictionaries!$C:$C,Dictionaries!$A:$A="???????"))),IF($U107="","",LET(t,IF(OR($B107="????",$B107="????"),"train","rest"),k,$U107,p,$V107,f,$W107,c,$X107,k_s,IF(t="train",IF(k="","",IFS(AND(k&gt;=1900,k&lt;=2050),1,AND(k&gt;=1850,k&lt;1900),0.7,AND(k&gt;2050,k&lt;=2100),0.7,TRUE,0.2)),IF(k="","",IFS(AND(k&gt;=1700,k&lt;=1850),1,AND(k&gt;=1650,k&lt;1700),0.7,AND(k&gt;1850,k&lt;=1900),0.7,TRUE,0.2))),p_s,IF(t="train",IF(p="","",IFS(AND(p&gt;=125,p&lt;=135),1,AND(p&gt;=115,p&lt;125),0.7,AND(p&gt;135,p&lt;=145),0.7,AND(p&gt;=105,p&lt;115),0.4,AND(p&gt;145,p&lt;=155),0.4,TRUE,0.2)),IF(p="","",IFS(AND(p&gt;=120,p&lt;=130),1,AND(p&gt;=110,p&lt;120),0.7,AND(p&gt;130,p&lt;=140),0.7,AND(p&gt;=100,p&lt;110),0.4,AND(p&gt;140,p&lt;=150),0.4,TRUE,0.2))),f_s,IF(f="","",IFS(AND(f&gt;=55,f&lt;=65),1,AND(f&gt;=50,f&lt;55),0.7,AND(f&gt;65,f&lt;=70),0.7,AND(f&gt;=45,f&lt;50),0.4,AND(f&gt;70,f&lt;=75),0.4,TRUE,0.2)),c_s,IF(t="train",IF(c="","",IFS(AND(c&gt;=180,c&lt;=210),1,AND(c&gt;=160,c&lt;180),0.7,AND(c&gt;210,c&lt;=230),0.7,AND(c&gt;=140,c&lt;160),0.4,AND(c&gt;230,c&lt;=250),0.4,TRUE,0.2)),IF(c="","",IFS(AND(c&gt;=140,c&lt;=170),1,AND(c&gt;=120,c&lt;140),0.7,AND(c&gt;170,c&lt;=190),0.7,AND(c&gt;=100,c&lt;120),0.4,AND(c&gt;190,c&lt;=210),0.4,TRUE,0.2))),AVERAGE(k_s,p_s,f_s,c_s)))),1),""))</f>
        <v/>
      </c>
      <c r="Z107">
        <f>IF($A107="","",TEXTJOIN(", ",TRUE,IF($B107="","??????????",""),IF($C107="","??????",""),IF($D107="","????",""),IF($E107="","??????????",""),IF($F107="","???-?????",""),IF($G107="","???-????",""),IF($H107="","??????",""),IF($L107="","???",""),IF($M107="","?????",""),IF($N107="","??????????????",""),IF($O107="","??????????",""),IF($P107="","???????",""),IF($U107="","???","")))</f>
        <v/>
      </c>
    </row>
    <row r="108">
      <c r="U108">
        <f>IF($A108="","",IF(SUMIF(FoodLog!$A:$A,$A108,FoodLog!$I:$I)=0,"",SUMIF(FoodLog!$A:$A,$A108,FoodLog!$I:$I)))</f>
        <v/>
      </c>
      <c r="V108">
        <f>IF($A108="","",IF(SUMIF(FoodLog!$A:$A,$A108,FoodLog!$F:$F)=0,"",SUMIF(FoodLog!$A:$A,$A108,FoodLog!$F:$F)))</f>
        <v/>
      </c>
      <c r="W108">
        <f>IF($A108="","",IF(SUMIF(FoodLog!$A:$A,$A108,FoodLog!$G:$G)=0,"",SUMIF(FoodLog!$A:$A,$A108,FoodLog!$G:$G)))</f>
        <v/>
      </c>
      <c r="X108">
        <f>IF($A108="","",IF(SUMIF(FoodLog!$A:$A,$A108,FoodLog!$H:$H)=0,"",SUMIF(FoodLog!$A:$A,$A108,FoodLog!$H:$H)))</f>
        <v/>
      </c>
      <c r="Y108">
        <f>IF($A108="","",IFERROR(ROUND(100*AVERAGE(IF($B108="","",XLOOKUP($B108,FILTER(Dictionaries!$B:$B,Dictionaries!$A:$A="??????????"),FILTER(Dictionaries!$C:$C,Dictionaries!$A:$A="??????????"))),IF($C108="","",MIN($C108/40,1)),IF($D108="","",XLOOKUP($D108,FILTER(Dictionaries!$B:$B,Dictionaries!$A:$A="????"),FILTER(Dictionaries!$C:$C,Dictionaries!$A:$A="????"))),IF($E108="","",MIN($E108/120,1)),IF(OR($F108&lt;&gt;"",$G108&lt;&gt;""),1,""),IF($H108="","",MIN($H108/100,1)),IF($L108="","",XLOOKUP($L108,FILTER(Dictionaries!$B:$B,Dictionaries!$A:$A="???_????"),FILTER(Dictionaries!$C:$C,Dictionaries!$A:$A="???_????"))),IF($M108="","",XLOOKUP($M108,FILTER(Dictionaries!$B:$B,Dictionaries!$A:$A="?????"),FILTER(Dictionaries!$C:$C,Dictionaries!$A:$A="?????"))),IF($N108="","",MIN($N108/100,1)),IF($O108="","",XLOOKUP($O108,FILTER(Dictionaries!$B:$B,Dictionaries!$A:$A="??????????"),FILTER(Dictionaries!$C:$C,Dictionaries!$A:$A="??????????"))),IF($P108="","",XLOOKUP($P108,FILTER(Dictionaries!$B:$B,Dictionaries!$A:$A="???????"),FILTER(Dictionaries!$C:$C,Dictionaries!$A:$A="???????"))),IF($U108="","",LET(t,IF(OR($B108="????",$B108="????"),"train","rest"),k,$U108,p,$V108,f,$W108,c,$X108,k_s,IF(t="train",IF(k="","",IFS(AND(k&gt;=1900,k&lt;=2050),1,AND(k&gt;=1850,k&lt;1900),0.7,AND(k&gt;2050,k&lt;=2100),0.7,TRUE,0.2)),IF(k="","",IFS(AND(k&gt;=1700,k&lt;=1850),1,AND(k&gt;=1650,k&lt;1700),0.7,AND(k&gt;1850,k&lt;=1900),0.7,TRUE,0.2))),p_s,IF(t="train",IF(p="","",IFS(AND(p&gt;=125,p&lt;=135),1,AND(p&gt;=115,p&lt;125),0.7,AND(p&gt;135,p&lt;=145),0.7,AND(p&gt;=105,p&lt;115),0.4,AND(p&gt;145,p&lt;=155),0.4,TRUE,0.2)),IF(p="","",IFS(AND(p&gt;=120,p&lt;=130),1,AND(p&gt;=110,p&lt;120),0.7,AND(p&gt;130,p&lt;=140),0.7,AND(p&gt;=100,p&lt;110),0.4,AND(p&gt;140,p&lt;=150),0.4,TRUE,0.2))),f_s,IF(f="","",IFS(AND(f&gt;=55,f&lt;=65),1,AND(f&gt;=50,f&lt;55),0.7,AND(f&gt;65,f&lt;=70),0.7,AND(f&gt;=45,f&lt;50),0.4,AND(f&gt;70,f&lt;=75),0.4,TRUE,0.2)),c_s,IF(t="train",IF(c="","",IFS(AND(c&gt;=180,c&lt;=210),1,AND(c&gt;=160,c&lt;180),0.7,AND(c&gt;210,c&lt;=230),0.7,AND(c&gt;=140,c&lt;160),0.4,AND(c&gt;230,c&lt;=250),0.4,TRUE,0.2)),IF(c="","",IFS(AND(c&gt;=140,c&lt;=170),1,AND(c&gt;=120,c&lt;140),0.7,AND(c&gt;170,c&lt;=190),0.7,AND(c&gt;=100,c&lt;120),0.4,AND(c&gt;190,c&lt;=210),0.4,TRUE,0.2))),AVERAGE(k_s,p_s,f_s,c_s)))),1),""))</f>
        <v/>
      </c>
      <c r="Z108">
        <f>IF($A108="","",TEXTJOIN(", ",TRUE,IF($B108="","??????????",""),IF($C108="","??????",""),IF($D108="","????",""),IF($E108="","??????????",""),IF($F108="","???-?????",""),IF($G108="","???-????",""),IF($H108="","??????",""),IF($L108="","???",""),IF($M108="","?????",""),IF($N108="","??????????????",""),IF($O108="","??????????",""),IF($P108="","???????",""),IF($U108="","???","")))</f>
        <v/>
      </c>
    </row>
    <row r="109">
      <c r="U109">
        <f>IF($A109="","",IF(SUMIF(FoodLog!$A:$A,$A109,FoodLog!$I:$I)=0,"",SUMIF(FoodLog!$A:$A,$A109,FoodLog!$I:$I)))</f>
        <v/>
      </c>
      <c r="V109">
        <f>IF($A109="","",IF(SUMIF(FoodLog!$A:$A,$A109,FoodLog!$F:$F)=0,"",SUMIF(FoodLog!$A:$A,$A109,FoodLog!$F:$F)))</f>
        <v/>
      </c>
      <c r="W109">
        <f>IF($A109="","",IF(SUMIF(FoodLog!$A:$A,$A109,FoodLog!$G:$G)=0,"",SUMIF(FoodLog!$A:$A,$A109,FoodLog!$G:$G)))</f>
        <v/>
      </c>
      <c r="X109">
        <f>IF($A109="","",IF(SUMIF(FoodLog!$A:$A,$A109,FoodLog!$H:$H)=0,"",SUMIF(FoodLog!$A:$A,$A109,FoodLog!$H:$H)))</f>
        <v/>
      </c>
      <c r="Y109">
        <f>IF($A109="","",IFERROR(ROUND(100*AVERAGE(IF($B109="","",XLOOKUP($B109,FILTER(Dictionaries!$B:$B,Dictionaries!$A:$A="??????????"),FILTER(Dictionaries!$C:$C,Dictionaries!$A:$A="??????????"))),IF($C109="","",MIN($C109/40,1)),IF($D109="","",XLOOKUP($D109,FILTER(Dictionaries!$B:$B,Dictionaries!$A:$A="????"),FILTER(Dictionaries!$C:$C,Dictionaries!$A:$A="????"))),IF($E109="","",MIN($E109/120,1)),IF(OR($F109&lt;&gt;"",$G109&lt;&gt;""),1,""),IF($H109="","",MIN($H109/100,1)),IF($L109="","",XLOOKUP($L109,FILTER(Dictionaries!$B:$B,Dictionaries!$A:$A="???_????"),FILTER(Dictionaries!$C:$C,Dictionaries!$A:$A="???_????"))),IF($M109="","",XLOOKUP($M109,FILTER(Dictionaries!$B:$B,Dictionaries!$A:$A="?????"),FILTER(Dictionaries!$C:$C,Dictionaries!$A:$A="?????"))),IF($N109="","",MIN($N109/100,1)),IF($O109="","",XLOOKUP($O109,FILTER(Dictionaries!$B:$B,Dictionaries!$A:$A="??????????"),FILTER(Dictionaries!$C:$C,Dictionaries!$A:$A="??????????"))),IF($P109="","",XLOOKUP($P109,FILTER(Dictionaries!$B:$B,Dictionaries!$A:$A="???????"),FILTER(Dictionaries!$C:$C,Dictionaries!$A:$A="???????"))),IF($U109="","",LET(t,IF(OR($B109="????",$B109="????"),"train","rest"),k,$U109,p,$V109,f,$W109,c,$X109,k_s,IF(t="train",IF(k="","",IFS(AND(k&gt;=1900,k&lt;=2050),1,AND(k&gt;=1850,k&lt;1900),0.7,AND(k&gt;2050,k&lt;=2100),0.7,TRUE,0.2)),IF(k="","",IFS(AND(k&gt;=1700,k&lt;=1850),1,AND(k&gt;=1650,k&lt;1700),0.7,AND(k&gt;1850,k&lt;=1900),0.7,TRUE,0.2))),p_s,IF(t="train",IF(p="","",IFS(AND(p&gt;=125,p&lt;=135),1,AND(p&gt;=115,p&lt;125),0.7,AND(p&gt;135,p&lt;=145),0.7,AND(p&gt;=105,p&lt;115),0.4,AND(p&gt;145,p&lt;=155),0.4,TRUE,0.2)),IF(p="","",IFS(AND(p&gt;=120,p&lt;=130),1,AND(p&gt;=110,p&lt;120),0.7,AND(p&gt;130,p&lt;=140),0.7,AND(p&gt;=100,p&lt;110),0.4,AND(p&gt;140,p&lt;=150),0.4,TRUE,0.2))),f_s,IF(f="","",IFS(AND(f&gt;=55,f&lt;=65),1,AND(f&gt;=50,f&lt;55),0.7,AND(f&gt;65,f&lt;=70),0.7,AND(f&gt;=45,f&lt;50),0.4,AND(f&gt;70,f&lt;=75),0.4,TRUE,0.2)),c_s,IF(t="train",IF(c="","",IFS(AND(c&gt;=180,c&lt;=210),1,AND(c&gt;=160,c&lt;180),0.7,AND(c&gt;210,c&lt;=230),0.7,AND(c&gt;=140,c&lt;160),0.4,AND(c&gt;230,c&lt;=250),0.4,TRUE,0.2)),IF(c="","",IFS(AND(c&gt;=140,c&lt;=170),1,AND(c&gt;=120,c&lt;140),0.7,AND(c&gt;170,c&lt;=190),0.7,AND(c&gt;=100,c&lt;120),0.4,AND(c&gt;190,c&lt;=210),0.4,TRUE,0.2))),AVERAGE(k_s,p_s,f_s,c_s)))),1),""))</f>
        <v/>
      </c>
      <c r="Z109">
        <f>IF($A109="","",TEXTJOIN(", ",TRUE,IF($B109="","??????????",""),IF($C109="","??????",""),IF($D109="","????",""),IF($E109="","??????????",""),IF($F109="","???-?????",""),IF($G109="","???-????",""),IF($H109="","??????",""),IF($L109="","???",""),IF($M109="","?????",""),IF($N109="","??????????????",""),IF($O109="","??????????",""),IF($P109="","???????",""),IF($U109="","???","")))</f>
        <v/>
      </c>
    </row>
    <row r="110">
      <c r="U110">
        <f>IF($A110="","",IF(SUMIF(FoodLog!$A:$A,$A110,FoodLog!$I:$I)=0,"",SUMIF(FoodLog!$A:$A,$A110,FoodLog!$I:$I)))</f>
        <v/>
      </c>
      <c r="V110">
        <f>IF($A110="","",IF(SUMIF(FoodLog!$A:$A,$A110,FoodLog!$F:$F)=0,"",SUMIF(FoodLog!$A:$A,$A110,FoodLog!$F:$F)))</f>
        <v/>
      </c>
      <c r="W110">
        <f>IF($A110="","",IF(SUMIF(FoodLog!$A:$A,$A110,FoodLog!$G:$G)=0,"",SUMIF(FoodLog!$A:$A,$A110,FoodLog!$G:$G)))</f>
        <v/>
      </c>
      <c r="X110">
        <f>IF($A110="","",IF(SUMIF(FoodLog!$A:$A,$A110,FoodLog!$H:$H)=0,"",SUMIF(FoodLog!$A:$A,$A110,FoodLog!$H:$H)))</f>
        <v/>
      </c>
      <c r="Y110">
        <f>IF($A110="","",IFERROR(ROUND(100*AVERAGE(IF($B110="","",XLOOKUP($B110,FILTER(Dictionaries!$B:$B,Dictionaries!$A:$A="??????????"),FILTER(Dictionaries!$C:$C,Dictionaries!$A:$A="??????????"))),IF($C110="","",MIN($C110/40,1)),IF($D110="","",XLOOKUP($D110,FILTER(Dictionaries!$B:$B,Dictionaries!$A:$A="????"),FILTER(Dictionaries!$C:$C,Dictionaries!$A:$A="????"))),IF($E110="","",MIN($E110/120,1)),IF(OR($F110&lt;&gt;"",$G110&lt;&gt;""),1,""),IF($H110="","",MIN($H110/100,1)),IF($L110="","",XLOOKUP($L110,FILTER(Dictionaries!$B:$B,Dictionaries!$A:$A="???_????"),FILTER(Dictionaries!$C:$C,Dictionaries!$A:$A="???_????"))),IF($M110="","",XLOOKUP($M110,FILTER(Dictionaries!$B:$B,Dictionaries!$A:$A="?????"),FILTER(Dictionaries!$C:$C,Dictionaries!$A:$A="?????"))),IF($N110="","",MIN($N110/100,1)),IF($O110="","",XLOOKUP($O110,FILTER(Dictionaries!$B:$B,Dictionaries!$A:$A="??????????"),FILTER(Dictionaries!$C:$C,Dictionaries!$A:$A="??????????"))),IF($P110="","",XLOOKUP($P110,FILTER(Dictionaries!$B:$B,Dictionaries!$A:$A="???????"),FILTER(Dictionaries!$C:$C,Dictionaries!$A:$A="???????"))),IF($U110="","",LET(t,IF(OR($B110="????",$B110="????"),"train","rest"),k,$U110,p,$V110,f,$W110,c,$X110,k_s,IF(t="train",IF(k="","",IFS(AND(k&gt;=1900,k&lt;=2050),1,AND(k&gt;=1850,k&lt;1900),0.7,AND(k&gt;2050,k&lt;=2100),0.7,TRUE,0.2)),IF(k="","",IFS(AND(k&gt;=1700,k&lt;=1850),1,AND(k&gt;=1650,k&lt;1700),0.7,AND(k&gt;1850,k&lt;=1900),0.7,TRUE,0.2))),p_s,IF(t="train",IF(p="","",IFS(AND(p&gt;=125,p&lt;=135),1,AND(p&gt;=115,p&lt;125),0.7,AND(p&gt;135,p&lt;=145),0.7,AND(p&gt;=105,p&lt;115),0.4,AND(p&gt;145,p&lt;=155),0.4,TRUE,0.2)),IF(p="","",IFS(AND(p&gt;=120,p&lt;=130),1,AND(p&gt;=110,p&lt;120),0.7,AND(p&gt;130,p&lt;=140),0.7,AND(p&gt;=100,p&lt;110),0.4,AND(p&gt;140,p&lt;=150),0.4,TRUE,0.2))),f_s,IF(f="","",IFS(AND(f&gt;=55,f&lt;=65),1,AND(f&gt;=50,f&lt;55),0.7,AND(f&gt;65,f&lt;=70),0.7,AND(f&gt;=45,f&lt;50),0.4,AND(f&gt;70,f&lt;=75),0.4,TRUE,0.2)),c_s,IF(t="train",IF(c="","",IFS(AND(c&gt;=180,c&lt;=210),1,AND(c&gt;=160,c&lt;180),0.7,AND(c&gt;210,c&lt;=230),0.7,AND(c&gt;=140,c&lt;160),0.4,AND(c&gt;230,c&lt;=250),0.4,TRUE,0.2)),IF(c="","",IFS(AND(c&gt;=140,c&lt;=170),1,AND(c&gt;=120,c&lt;140),0.7,AND(c&gt;170,c&lt;=190),0.7,AND(c&gt;=100,c&lt;120),0.4,AND(c&gt;190,c&lt;=210),0.4,TRUE,0.2))),AVERAGE(k_s,p_s,f_s,c_s)))),1),""))</f>
        <v/>
      </c>
      <c r="Z110">
        <f>IF($A110="","",TEXTJOIN(", ",TRUE,IF($B110="","??????????",""),IF($C110="","??????",""),IF($D110="","????",""),IF($E110="","??????????",""),IF($F110="","???-?????",""),IF($G110="","???-????",""),IF($H110="","??????",""),IF($L110="","???",""),IF($M110="","?????",""),IF($N110="","??????????????",""),IF($O110="","??????????",""),IF($P110="","???????",""),IF($U110="","???","")))</f>
        <v/>
      </c>
    </row>
    <row r="111">
      <c r="U111">
        <f>IF($A111="","",IF(SUMIF(FoodLog!$A:$A,$A111,FoodLog!$I:$I)=0,"",SUMIF(FoodLog!$A:$A,$A111,FoodLog!$I:$I)))</f>
        <v/>
      </c>
      <c r="V111">
        <f>IF($A111="","",IF(SUMIF(FoodLog!$A:$A,$A111,FoodLog!$F:$F)=0,"",SUMIF(FoodLog!$A:$A,$A111,FoodLog!$F:$F)))</f>
        <v/>
      </c>
      <c r="W111">
        <f>IF($A111="","",IF(SUMIF(FoodLog!$A:$A,$A111,FoodLog!$G:$G)=0,"",SUMIF(FoodLog!$A:$A,$A111,FoodLog!$G:$G)))</f>
        <v/>
      </c>
      <c r="X111">
        <f>IF($A111="","",IF(SUMIF(FoodLog!$A:$A,$A111,FoodLog!$H:$H)=0,"",SUMIF(FoodLog!$A:$A,$A111,FoodLog!$H:$H)))</f>
        <v/>
      </c>
      <c r="Y111">
        <f>IF($A111="","",IFERROR(ROUND(100*AVERAGE(IF($B111="","",XLOOKUP($B111,FILTER(Dictionaries!$B:$B,Dictionaries!$A:$A="??????????"),FILTER(Dictionaries!$C:$C,Dictionaries!$A:$A="??????????"))),IF($C111="","",MIN($C111/40,1)),IF($D111="","",XLOOKUP($D111,FILTER(Dictionaries!$B:$B,Dictionaries!$A:$A="????"),FILTER(Dictionaries!$C:$C,Dictionaries!$A:$A="????"))),IF($E111="","",MIN($E111/120,1)),IF(OR($F111&lt;&gt;"",$G111&lt;&gt;""),1,""),IF($H111="","",MIN($H111/100,1)),IF($L111="","",XLOOKUP($L111,FILTER(Dictionaries!$B:$B,Dictionaries!$A:$A="???_????"),FILTER(Dictionaries!$C:$C,Dictionaries!$A:$A="???_????"))),IF($M111="","",XLOOKUP($M111,FILTER(Dictionaries!$B:$B,Dictionaries!$A:$A="?????"),FILTER(Dictionaries!$C:$C,Dictionaries!$A:$A="?????"))),IF($N111="","",MIN($N111/100,1)),IF($O111="","",XLOOKUP($O111,FILTER(Dictionaries!$B:$B,Dictionaries!$A:$A="??????????"),FILTER(Dictionaries!$C:$C,Dictionaries!$A:$A="??????????"))),IF($P111="","",XLOOKUP($P111,FILTER(Dictionaries!$B:$B,Dictionaries!$A:$A="???????"),FILTER(Dictionaries!$C:$C,Dictionaries!$A:$A="???????"))),IF($U111="","",LET(t,IF(OR($B111="????",$B111="????"),"train","rest"),k,$U111,p,$V111,f,$W111,c,$X111,k_s,IF(t="train",IF(k="","",IFS(AND(k&gt;=1900,k&lt;=2050),1,AND(k&gt;=1850,k&lt;1900),0.7,AND(k&gt;2050,k&lt;=2100),0.7,TRUE,0.2)),IF(k="","",IFS(AND(k&gt;=1700,k&lt;=1850),1,AND(k&gt;=1650,k&lt;1700),0.7,AND(k&gt;1850,k&lt;=1900),0.7,TRUE,0.2))),p_s,IF(t="train",IF(p="","",IFS(AND(p&gt;=125,p&lt;=135),1,AND(p&gt;=115,p&lt;125),0.7,AND(p&gt;135,p&lt;=145),0.7,AND(p&gt;=105,p&lt;115),0.4,AND(p&gt;145,p&lt;=155),0.4,TRUE,0.2)),IF(p="","",IFS(AND(p&gt;=120,p&lt;=130),1,AND(p&gt;=110,p&lt;120),0.7,AND(p&gt;130,p&lt;=140),0.7,AND(p&gt;=100,p&lt;110),0.4,AND(p&gt;140,p&lt;=150),0.4,TRUE,0.2))),f_s,IF(f="","",IFS(AND(f&gt;=55,f&lt;=65),1,AND(f&gt;=50,f&lt;55),0.7,AND(f&gt;65,f&lt;=70),0.7,AND(f&gt;=45,f&lt;50),0.4,AND(f&gt;70,f&lt;=75),0.4,TRUE,0.2)),c_s,IF(t="train",IF(c="","",IFS(AND(c&gt;=180,c&lt;=210),1,AND(c&gt;=160,c&lt;180),0.7,AND(c&gt;210,c&lt;=230),0.7,AND(c&gt;=140,c&lt;160),0.4,AND(c&gt;230,c&lt;=250),0.4,TRUE,0.2)),IF(c="","",IFS(AND(c&gt;=140,c&lt;=170),1,AND(c&gt;=120,c&lt;140),0.7,AND(c&gt;170,c&lt;=190),0.7,AND(c&gt;=100,c&lt;120),0.4,AND(c&gt;190,c&lt;=210),0.4,TRUE,0.2))),AVERAGE(k_s,p_s,f_s,c_s)))),1),""))</f>
        <v/>
      </c>
      <c r="Z111">
        <f>IF($A111="","",TEXTJOIN(", ",TRUE,IF($B111="","??????????",""),IF($C111="","??????",""),IF($D111="","????",""),IF($E111="","??????????",""),IF($F111="","???-?????",""),IF($G111="","???-????",""),IF($H111="","??????",""),IF($L111="","???",""),IF($M111="","?????",""),IF($N111="","??????????????",""),IF($O111="","??????????",""),IF($P111="","???????",""),IF($U111="","???","")))</f>
        <v/>
      </c>
    </row>
    <row r="112">
      <c r="U112">
        <f>IF($A112="","",IF(SUMIF(FoodLog!$A:$A,$A112,FoodLog!$I:$I)=0,"",SUMIF(FoodLog!$A:$A,$A112,FoodLog!$I:$I)))</f>
        <v/>
      </c>
      <c r="V112">
        <f>IF($A112="","",IF(SUMIF(FoodLog!$A:$A,$A112,FoodLog!$F:$F)=0,"",SUMIF(FoodLog!$A:$A,$A112,FoodLog!$F:$F)))</f>
        <v/>
      </c>
      <c r="W112">
        <f>IF($A112="","",IF(SUMIF(FoodLog!$A:$A,$A112,FoodLog!$G:$G)=0,"",SUMIF(FoodLog!$A:$A,$A112,FoodLog!$G:$G)))</f>
        <v/>
      </c>
      <c r="X112">
        <f>IF($A112="","",IF(SUMIF(FoodLog!$A:$A,$A112,FoodLog!$H:$H)=0,"",SUMIF(FoodLog!$A:$A,$A112,FoodLog!$H:$H)))</f>
        <v/>
      </c>
      <c r="Y112">
        <f>IF($A112="","",IFERROR(ROUND(100*AVERAGE(IF($B112="","",XLOOKUP($B112,FILTER(Dictionaries!$B:$B,Dictionaries!$A:$A="??????????"),FILTER(Dictionaries!$C:$C,Dictionaries!$A:$A="??????????"))),IF($C112="","",MIN($C112/40,1)),IF($D112="","",XLOOKUP($D112,FILTER(Dictionaries!$B:$B,Dictionaries!$A:$A="????"),FILTER(Dictionaries!$C:$C,Dictionaries!$A:$A="????"))),IF($E112="","",MIN($E112/120,1)),IF(OR($F112&lt;&gt;"",$G112&lt;&gt;""),1,""),IF($H112="","",MIN($H112/100,1)),IF($L112="","",XLOOKUP($L112,FILTER(Dictionaries!$B:$B,Dictionaries!$A:$A="???_????"),FILTER(Dictionaries!$C:$C,Dictionaries!$A:$A="???_????"))),IF($M112="","",XLOOKUP($M112,FILTER(Dictionaries!$B:$B,Dictionaries!$A:$A="?????"),FILTER(Dictionaries!$C:$C,Dictionaries!$A:$A="?????"))),IF($N112="","",MIN($N112/100,1)),IF($O112="","",XLOOKUP($O112,FILTER(Dictionaries!$B:$B,Dictionaries!$A:$A="??????????"),FILTER(Dictionaries!$C:$C,Dictionaries!$A:$A="??????????"))),IF($P112="","",XLOOKUP($P112,FILTER(Dictionaries!$B:$B,Dictionaries!$A:$A="???????"),FILTER(Dictionaries!$C:$C,Dictionaries!$A:$A="???????"))),IF($U112="","",LET(t,IF(OR($B112="????",$B112="????"),"train","rest"),k,$U112,p,$V112,f,$W112,c,$X112,k_s,IF(t="train",IF(k="","",IFS(AND(k&gt;=1900,k&lt;=2050),1,AND(k&gt;=1850,k&lt;1900),0.7,AND(k&gt;2050,k&lt;=2100),0.7,TRUE,0.2)),IF(k="","",IFS(AND(k&gt;=1700,k&lt;=1850),1,AND(k&gt;=1650,k&lt;1700),0.7,AND(k&gt;1850,k&lt;=1900),0.7,TRUE,0.2))),p_s,IF(t="train",IF(p="","",IFS(AND(p&gt;=125,p&lt;=135),1,AND(p&gt;=115,p&lt;125),0.7,AND(p&gt;135,p&lt;=145),0.7,AND(p&gt;=105,p&lt;115),0.4,AND(p&gt;145,p&lt;=155),0.4,TRUE,0.2)),IF(p="","",IFS(AND(p&gt;=120,p&lt;=130),1,AND(p&gt;=110,p&lt;120),0.7,AND(p&gt;130,p&lt;=140),0.7,AND(p&gt;=100,p&lt;110),0.4,AND(p&gt;140,p&lt;=150),0.4,TRUE,0.2))),f_s,IF(f="","",IFS(AND(f&gt;=55,f&lt;=65),1,AND(f&gt;=50,f&lt;55),0.7,AND(f&gt;65,f&lt;=70),0.7,AND(f&gt;=45,f&lt;50),0.4,AND(f&gt;70,f&lt;=75),0.4,TRUE,0.2)),c_s,IF(t="train",IF(c="","",IFS(AND(c&gt;=180,c&lt;=210),1,AND(c&gt;=160,c&lt;180),0.7,AND(c&gt;210,c&lt;=230),0.7,AND(c&gt;=140,c&lt;160),0.4,AND(c&gt;230,c&lt;=250),0.4,TRUE,0.2)),IF(c="","",IFS(AND(c&gt;=140,c&lt;=170),1,AND(c&gt;=120,c&lt;140),0.7,AND(c&gt;170,c&lt;=190),0.7,AND(c&gt;=100,c&lt;120),0.4,AND(c&gt;190,c&lt;=210),0.4,TRUE,0.2))),AVERAGE(k_s,p_s,f_s,c_s)))),1),""))</f>
        <v/>
      </c>
      <c r="Z112">
        <f>IF($A112="","",TEXTJOIN(", ",TRUE,IF($B112="","??????????",""),IF($C112="","??????",""),IF($D112="","????",""),IF($E112="","??????????",""),IF($F112="","???-?????",""),IF($G112="","???-????",""),IF($H112="","??????",""),IF($L112="","???",""),IF($M112="","?????",""),IF($N112="","??????????????",""),IF($O112="","??????????",""),IF($P112="","???????",""),IF($U112="","???","")))</f>
        <v/>
      </c>
    </row>
    <row r="113">
      <c r="U113">
        <f>IF($A113="","",IF(SUMIF(FoodLog!$A:$A,$A113,FoodLog!$I:$I)=0,"",SUMIF(FoodLog!$A:$A,$A113,FoodLog!$I:$I)))</f>
        <v/>
      </c>
      <c r="V113">
        <f>IF($A113="","",IF(SUMIF(FoodLog!$A:$A,$A113,FoodLog!$F:$F)=0,"",SUMIF(FoodLog!$A:$A,$A113,FoodLog!$F:$F)))</f>
        <v/>
      </c>
      <c r="W113">
        <f>IF($A113="","",IF(SUMIF(FoodLog!$A:$A,$A113,FoodLog!$G:$G)=0,"",SUMIF(FoodLog!$A:$A,$A113,FoodLog!$G:$G)))</f>
        <v/>
      </c>
      <c r="X113">
        <f>IF($A113="","",IF(SUMIF(FoodLog!$A:$A,$A113,FoodLog!$H:$H)=0,"",SUMIF(FoodLog!$A:$A,$A113,FoodLog!$H:$H)))</f>
        <v/>
      </c>
      <c r="Y113">
        <f>IF($A113="","",IFERROR(ROUND(100*AVERAGE(IF($B113="","",XLOOKUP($B113,FILTER(Dictionaries!$B:$B,Dictionaries!$A:$A="??????????"),FILTER(Dictionaries!$C:$C,Dictionaries!$A:$A="??????????"))),IF($C113="","",MIN($C113/40,1)),IF($D113="","",XLOOKUP($D113,FILTER(Dictionaries!$B:$B,Dictionaries!$A:$A="????"),FILTER(Dictionaries!$C:$C,Dictionaries!$A:$A="????"))),IF($E113="","",MIN($E113/120,1)),IF(OR($F113&lt;&gt;"",$G113&lt;&gt;""),1,""),IF($H113="","",MIN($H113/100,1)),IF($L113="","",XLOOKUP($L113,FILTER(Dictionaries!$B:$B,Dictionaries!$A:$A="???_????"),FILTER(Dictionaries!$C:$C,Dictionaries!$A:$A="???_????"))),IF($M113="","",XLOOKUP($M113,FILTER(Dictionaries!$B:$B,Dictionaries!$A:$A="?????"),FILTER(Dictionaries!$C:$C,Dictionaries!$A:$A="?????"))),IF($N113="","",MIN($N113/100,1)),IF($O113="","",XLOOKUP($O113,FILTER(Dictionaries!$B:$B,Dictionaries!$A:$A="??????????"),FILTER(Dictionaries!$C:$C,Dictionaries!$A:$A="??????????"))),IF($P113="","",XLOOKUP($P113,FILTER(Dictionaries!$B:$B,Dictionaries!$A:$A="???????"),FILTER(Dictionaries!$C:$C,Dictionaries!$A:$A="???????"))),IF($U113="","",LET(t,IF(OR($B113="????",$B113="????"),"train","rest"),k,$U113,p,$V113,f,$W113,c,$X113,k_s,IF(t="train",IF(k="","",IFS(AND(k&gt;=1900,k&lt;=2050),1,AND(k&gt;=1850,k&lt;1900),0.7,AND(k&gt;2050,k&lt;=2100),0.7,TRUE,0.2)),IF(k="","",IFS(AND(k&gt;=1700,k&lt;=1850),1,AND(k&gt;=1650,k&lt;1700),0.7,AND(k&gt;1850,k&lt;=1900),0.7,TRUE,0.2))),p_s,IF(t="train",IF(p="","",IFS(AND(p&gt;=125,p&lt;=135),1,AND(p&gt;=115,p&lt;125),0.7,AND(p&gt;135,p&lt;=145),0.7,AND(p&gt;=105,p&lt;115),0.4,AND(p&gt;145,p&lt;=155),0.4,TRUE,0.2)),IF(p="","",IFS(AND(p&gt;=120,p&lt;=130),1,AND(p&gt;=110,p&lt;120),0.7,AND(p&gt;130,p&lt;=140),0.7,AND(p&gt;=100,p&lt;110),0.4,AND(p&gt;140,p&lt;=150),0.4,TRUE,0.2))),f_s,IF(f="","",IFS(AND(f&gt;=55,f&lt;=65),1,AND(f&gt;=50,f&lt;55),0.7,AND(f&gt;65,f&lt;=70),0.7,AND(f&gt;=45,f&lt;50),0.4,AND(f&gt;70,f&lt;=75),0.4,TRUE,0.2)),c_s,IF(t="train",IF(c="","",IFS(AND(c&gt;=180,c&lt;=210),1,AND(c&gt;=160,c&lt;180),0.7,AND(c&gt;210,c&lt;=230),0.7,AND(c&gt;=140,c&lt;160),0.4,AND(c&gt;230,c&lt;=250),0.4,TRUE,0.2)),IF(c="","",IFS(AND(c&gt;=140,c&lt;=170),1,AND(c&gt;=120,c&lt;140),0.7,AND(c&gt;170,c&lt;=190),0.7,AND(c&gt;=100,c&lt;120),0.4,AND(c&gt;190,c&lt;=210),0.4,TRUE,0.2))),AVERAGE(k_s,p_s,f_s,c_s)))),1),""))</f>
        <v/>
      </c>
      <c r="Z113">
        <f>IF($A113="","",TEXTJOIN(", ",TRUE,IF($B113="","??????????",""),IF($C113="","??????",""),IF($D113="","????",""),IF($E113="","??????????",""),IF($F113="","???-?????",""),IF($G113="","???-????",""),IF($H113="","??????",""),IF($L113="","???",""),IF($M113="","?????",""),IF($N113="","??????????????",""),IF($O113="","??????????",""),IF($P113="","???????",""),IF($U113="","???","")))</f>
        <v/>
      </c>
    </row>
    <row r="114">
      <c r="U114">
        <f>IF($A114="","",IF(SUMIF(FoodLog!$A:$A,$A114,FoodLog!$I:$I)=0,"",SUMIF(FoodLog!$A:$A,$A114,FoodLog!$I:$I)))</f>
        <v/>
      </c>
      <c r="V114">
        <f>IF($A114="","",IF(SUMIF(FoodLog!$A:$A,$A114,FoodLog!$F:$F)=0,"",SUMIF(FoodLog!$A:$A,$A114,FoodLog!$F:$F)))</f>
        <v/>
      </c>
      <c r="W114">
        <f>IF($A114="","",IF(SUMIF(FoodLog!$A:$A,$A114,FoodLog!$G:$G)=0,"",SUMIF(FoodLog!$A:$A,$A114,FoodLog!$G:$G)))</f>
        <v/>
      </c>
      <c r="X114">
        <f>IF($A114="","",IF(SUMIF(FoodLog!$A:$A,$A114,FoodLog!$H:$H)=0,"",SUMIF(FoodLog!$A:$A,$A114,FoodLog!$H:$H)))</f>
        <v/>
      </c>
      <c r="Y114">
        <f>IF($A114="","",IFERROR(ROUND(100*AVERAGE(IF($B114="","",XLOOKUP($B114,FILTER(Dictionaries!$B:$B,Dictionaries!$A:$A="??????????"),FILTER(Dictionaries!$C:$C,Dictionaries!$A:$A="??????????"))),IF($C114="","",MIN($C114/40,1)),IF($D114="","",XLOOKUP($D114,FILTER(Dictionaries!$B:$B,Dictionaries!$A:$A="????"),FILTER(Dictionaries!$C:$C,Dictionaries!$A:$A="????"))),IF($E114="","",MIN($E114/120,1)),IF(OR($F114&lt;&gt;"",$G114&lt;&gt;""),1,""),IF($H114="","",MIN($H114/100,1)),IF($L114="","",XLOOKUP($L114,FILTER(Dictionaries!$B:$B,Dictionaries!$A:$A="???_????"),FILTER(Dictionaries!$C:$C,Dictionaries!$A:$A="???_????"))),IF($M114="","",XLOOKUP($M114,FILTER(Dictionaries!$B:$B,Dictionaries!$A:$A="?????"),FILTER(Dictionaries!$C:$C,Dictionaries!$A:$A="?????"))),IF($N114="","",MIN($N114/100,1)),IF($O114="","",XLOOKUP($O114,FILTER(Dictionaries!$B:$B,Dictionaries!$A:$A="??????????"),FILTER(Dictionaries!$C:$C,Dictionaries!$A:$A="??????????"))),IF($P114="","",XLOOKUP($P114,FILTER(Dictionaries!$B:$B,Dictionaries!$A:$A="???????"),FILTER(Dictionaries!$C:$C,Dictionaries!$A:$A="???????"))),IF($U114="","",LET(t,IF(OR($B114="????",$B114="????"),"train","rest"),k,$U114,p,$V114,f,$W114,c,$X114,k_s,IF(t="train",IF(k="","",IFS(AND(k&gt;=1900,k&lt;=2050),1,AND(k&gt;=1850,k&lt;1900),0.7,AND(k&gt;2050,k&lt;=2100),0.7,TRUE,0.2)),IF(k="","",IFS(AND(k&gt;=1700,k&lt;=1850),1,AND(k&gt;=1650,k&lt;1700),0.7,AND(k&gt;1850,k&lt;=1900),0.7,TRUE,0.2))),p_s,IF(t="train",IF(p="","",IFS(AND(p&gt;=125,p&lt;=135),1,AND(p&gt;=115,p&lt;125),0.7,AND(p&gt;135,p&lt;=145),0.7,AND(p&gt;=105,p&lt;115),0.4,AND(p&gt;145,p&lt;=155),0.4,TRUE,0.2)),IF(p="","",IFS(AND(p&gt;=120,p&lt;=130),1,AND(p&gt;=110,p&lt;120),0.7,AND(p&gt;130,p&lt;=140),0.7,AND(p&gt;=100,p&lt;110),0.4,AND(p&gt;140,p&lt;=150),0.4,TRUE,0.2))),f_s,IF(f="","",IFS(AND(f&gt;=55,f&lt;=65),1,AND(f&gt;=50,f&lt;55),0.7,AND(f&gt;65,f&lt;=70),0.7,AND(f&gt;=45,f&lt;50),0.4,AND(f&gt;70,f&lt;=75),0.4,TRUE,0.2)),c_s,IF(t="train",IF(c="","",IFS(AND(c&gt;=180,c&lt;=210),1,AND(c&gt;=160,c&lt;180),0.7,AND(c&gt;210,c&lt;=230),0.7,AND(c&gt;=140,c&lt;160),0.4,AND(c&gt;230,c&lt;=250),0.4,TRUE,0.2)),IF(c="","",IFS(AND(c&gt;=140,c&lt;=170),1,AND(c&gt;=120,c&lt;140),0.7,AND(c&gt;170,c&lt;=190),0.7,AND(c&gt;=100,c&lt;120),0.4,AND(c&gt;190,c&lt;=210),0.4,TRUE,0.2))),AVERAGE(k_s,p_s,f_s,c_s)))),1),""))</f>
        <v/>
      </c>
      <c r="Z114">
        <f>IF($A114="","",TEXTJOIN(", ",TRUE,IF($B114="","??????????",""),IF($C114="","??????",""),IF($D114="","????",""),IF($E114="","??????????",""),IF($F114="","???-?????",""),IF($G114="","???-????",""),IF($H114="","??????",""),IF($L114="","???",""),IF($M114="","?????",""),IF($N114="","??????????????",""),IF($O114="","??????????",""),IF($P114="","???????",""),IF($U114="","???","")))</f>
        <v/>
      </c>
    </row>
    <row r="115">
      <c r="U115">
        <f>IF($A115="","",IF(SUMIF(FoodLog!$A:$A,$A115,FoodLog!$I:$I)=0,"",SUMIF(FoodLog!$A:$A,$A115,FoodLog!$I:$I)))</f>
        <v/>
      </c>
      <c r="V115">
        <f>IF($A115="","",IF(SUMIF(FoodLog!$A:$A,$A115,FoodLog!$F:$F)=0,"",SUMIF(FoodLog!$A:$A,$A115,FoodLog!$F:$F)))</f>
        <v/>
      </c>
      <c r="W115">
        <f>IF($A115="","",IF(SUMIF(FoodLog!$A:$A,$A115,FoodLog!$G:$G)=0,"",SUMIF(FoodLog!$A:$A,$A115,FoodLog!$G:$G)))</f>
        <v/>
      </c>
      <c r="X115">
        <f>IF($A115="","",IF(SUMIF(FoodLog!$A:$A,$A115,FoodLog!$H:$H)=0,"",SUMIF(FoodLog!$A:$A,$A115,FoodLog!$H:$H)))</f>
        <v/>
      </c>
      <c r="Y115">
        <f>IF($A115="","",IFERROR(ROUND(100*AVERAGE(IF($B115="","",XLOOKUP($B115,FILTER(Dictionaries!$B:$B,Dictionaries!$A:$A="??????????"),FILTER(Dictionaries!$C:$C,Dictionaries!$A:$A="??????????"))),IF($C115="","",MIN($C115/40,1)),IF($D115="","",XLOOKUP($D115,FILTER(Dictionaries!$B:$B,Dictionaries!$A:$A="????"),FILTER(Dictionaries!$C:$C,Dictionaries!$A:$A="????"))),IF($E115="","",MIN($E115/120,1)),IF(OR($F115&lt;&gt;"",$G115&lt;&gt;""),1,""),IF($H115="","",MIN($H115/100,1)),IF($L115="","",XLOOKUP($L115,FILTER(Dictionaries!$B:$B,Dictionaries!$A:$A="???_????"),FILTER(Dictionaries!$C:$C,Dictionaries!$A:$A="???_????"))),IF($M115="","",XLOOKUP($M115,FILTER(Dictionaries!$B:$B,Dictionaries!$A:$A="?????"),FILTER(Dictionaries!$C:$C,Dictionaries!$A:$A="?????"))),IF($N115="","",MIN($N115/100,1)),IF($O115="","",XLOOKUP($O115,FILTER(Dictionaries!$B:$B,Dictionaries!$A:$A="??????????"),FILTER(Dictionaries!$C:$C,Dictionaries!$A:$A="??????????"))),IF($P115="","",XLOOKUP($P115,FILTER(Dictionaries!$B:$B,Dictionaries!$A:$A="???????"),FILTER(Dictionaries!$C:$C,Dictionaries!$A:$A="???????"))),IF($U115="","",LET(t,IF(OR($B115="????",$B115="????"),"train","rest"),k,$U115,p,$V115,f,$W115,c,$X115,k_s,IF(t="train",IF(k="","",IFS(AND(k&gt;=1900,k&lt;=2050),1,AND(k&gt;=1850,k&lt;1900),0.7,AND(k&gt;2050,k&lt;=2100),0.7,TRUE,0.2)),IF(k="","",IFS(AND(k&gt;=1700,k&lt;=1850),1,AND(k&gt;=1650,k&lt;1700),0.7,AND(k&gt;1850,k&lt;=1900),0.7,TRUE,0.2))),p_s,IF(t="train",IF(p="","",IFS(AND(p&gt;=125,p&lt;=135),1,AND(p&gt;=115,p&lt;125),0.7,AND(p&gt;135,p&lt;=145),0.7,AND(p&gt;=105,p&lt;115),0.4,AND(p&gt;145,p&lt;=155),0.4,TRUE,0.2)),IF(p="","",IFS(AND(p&gt;=120,p&lt;=130),1,AND(p&gt;=110,p&lt;120),0.7,AND(p&gt;130,p&lt;=140),0.7,AND(p&gt;=100,p&lt;110),0.4,AND(p&gt;140,p&lt;=150),0.4,TRUE,0.2))),f_s,IF(f="","",IFS(AND(f&gt;=55,f&lt;=65),1,AND(f&gt;=50,f&lt;55),0.7,AND(f&gt;65,f&lt;=70),0.7,AND(f&gt;=45,f&lt;50),0.4,AND(f&gt;70,f&lt;=75),0.4,TRUE,0.2)),c_s,IF(t="train",IF(c="","",IFS(AND(c&gt;=180,c&lt;=210),1,AND(c&gt;=160,c&lt;180),0.7,AND(c&gt;210,c&lt;=230),0.7,AND(c&gt;=140,c&lt;160),0.4,AND(c&gt;230,c&lt;=250),0.4,TRUE,0.2)),IF(c="","",IFS(AND(c&gt;=140,c&lt;=170),1,AND(c&gt;=120,c&lt;140),0.7,AND(c&gt;170,c&lt;=190),0.7,AND(c&gt;=100,c&lt;120),0.4,AND(c&gt;190,c&lt;=210),0.4,TRUE,0.2))),AVERAGE(k_s,p_s,f_s,c_s)))),1),""))</f>
        <v/>
      </c>
      <c r="Z115">
        <f>IF($A115="","",TEXTJOIN(", ",TRUE,IF($B115="","??????????",""),IF($C115="","??????",""),IF($D115="","????",""),IF($E115="","??????????",""),IF($F115="","???-?????",""),IF($G115="","???-????",""),IF($H115="","??????",""),IF($L115="","???",""),IF($M115="","?????",""),IF($N115="","??????????????",""),IF($O115="","??????????",""),IF($P115="","???????",""),IF($U115="","???","")))</f>
        <v/>
      </c>
    </row>
    <row r="116">
      <c r="U116">
        <f>IF($A116="","",IF(SUMIF(FoodLog!$A:$A,$A116,FoodLog!$I:$I)=0,"",SUMIF(FoodLog!$A:$A,$A116,FoodLog!$I:$I)))</f>
        <v/>
      </c>
      <c r="V116">
        <f>IF($A116="","",IF(SUMIF(FoodLog!$A:$A,$A116,FoodLog!$F:$F)=0,"",SUMIF(FoodLog!$A:$A,$A116,FoodLog!$F:$F)))</f>
        <v/>
      </c>
      <c r="W116">
        <f>IF($A116="","",IF(SUMIF(FoodLog!$A:$A,$A116,FoodLog!$G:$G)=0,"",SUMIF(FoodLog!$A:$A,$A116,FoodLog!$G:$G)))</f>
        <v/>
      </c>
      <c r="X116">
        <f>IF($A116="","",IF(SUMIF(FoodLog!$A:$A,$A116,FoodLog!$H:$H)=0,"",SUMIF(FoodLog!$A:$A,$A116,FoodLog!$H:$H)))</f>
        <v/>
      </c>
      <c r="Y116">
        <f>IF($A116="","",IFERROR(ROUND(100*AVERAGE(IF($B116="","",XLOOKUP($B116,FILTER(Dictionaries!$B:$B,Dictionaries!$A:$A="??????????"),FILTER(Dictionaries!$C:$C,Dictionaries!$A:$A="??????????"))),IF($C116="","",MIN($C116/40,1)),IF($D116="","",XLOOKUP($D116,FILTER(Dictionaries!$B:$B,Dictionaries!$A:$A="????"),FILTER(Dictionaries!$C:$C,Dictionaries!$A:$A="????"))),IF($E116="","",MIN($E116/120,1)),IF(OR($F116&lt;&gt;"",$G116&lt;&gt;""),1,""),IF($H116="","",MIN($H116/100,1)),IF($L116="","",XLOOKUP($L116,FILTER(Dictionaries!$B:$B,Dictionaries!$A:$A="???_????"),FILTER(Dictionaries!$C:$C,Dictionaries!$A:$A="???_????"))),IF($M116="","",XLOOKUP($M116,FILTER(Dictionaries!$B:$B,Dictionaries!$A:$A="?????"),FILTER(Dictionaries!$C:$C,Dictionaries!$A:$A="?????"))),IF($N116="","",MIN($N116/100,1)),IF($O116="","",XLOOKUP($O116,FILTER(Dictionaries!$B:$B,Dictionaries!$A:$A="??????????"),FILTER(Dictionaries!$C:$C,Dictionaries!$A:$A="??????????"))),IF($P116="","",XLOOKUP($P116,FILTER(Dictionaries!$B:$B,Dictionaries!$A:$A="???????"),FILTER(Dictionaries!$C:$C,Dictionaries!$A:$A="???????"))),IF($U116="","",LET(t,IF(OR($B116="????",$B116="????"),"train","rest"),k,$U116,p,$V116,f,$W116,c,$X116,k_s,IF(t="train",IF(k="","",IFS(AND(k&gt;=1900,k&lt;=2050),1,AND(k&gt;=1850,k&lt;1900),0.7,AND(k&gt;2050,k&lt;=2100),0.7,TRUE,0.2)),IF(k="","",IFS(AND(k&gt;=1700,k&lt;=1850),1,AND(k&gt;=1650,k&lt;1700),0.7,AND(k&gt;1850,k&lt;=1900),0.7,TRUE,0.2))),p_s,IF(t="train",IF(p="","",IFS(AND(p&gt;=125,p&lt;=135),1,AND(p&gt;=115,p&lt;125),0.7,AND(p&gt;135,p&lt;=145),0.7,AND(p&gt;=105,p&lt;115),0.4,AND(p&gt;145,p&lt;=155),0.4,TRUE,0.2)),IF(p="","",IFS(AND(p&gt;=120,p&lt;=130),1,AND(p&gt;=110,p&lt;120),0.7,AND(p&gt;130,p&lt;=140),0.7,AND(p&gt;=100,p&lt;110),0.4,AND(p&gt;140,p&lt;=150),0.4,TRUE,0.2))),f_s,IF(f="","",IFS(AND(f&gt;=55,f&lt;=65),1,AND(f&gt;=50,f&lt;55),0.7,AND(f&gt;65,f&lt;=70),0.7,AND(f&gt;=45,f&lt;50),0.4,AND(f&gt;70,f&lt;=75),0.4,TRUE,0.2)),c_s,IF(t="train",IF(c="","",IFS(AND(c&gt;=180,c&lt;=210),1,AND(c&gt;=160,c&lt;180),0.7,AND(c&gt;210,c&lt;=230),0.7,AND(c&gt;=140,c&lt;160),0.4,AND(c&gt;230,c&lt;=250),0.4,TRUE,0.2)),IF(c="","",IFS(AND(c&gt;=140,c&lt;=170),1,AND(c&gt;=120,c&lt;140),0.7,AND(c&gt;170,c&lt;=190),0.7,AND(c&gt;=100,c&lt;120),0.4,AND(c&gt;190,c&lt;=210),0.4,TRUE,0.2))),AVERAGE(k_s,p_s,f_s,c_s)))),1),""))</f>
        <v/>
      </c>
      <c r="Z116">
        <f>IF($A116="","",TEXTJOIN(", ",TRUE,IF($B116="","??????????",""),IF($C116="","??????",""),IF($D116="","????",""),IF($E116="","??????????",""),IF($F116="","???-?????",""),IF($G116="","???-????",""),IF($H116="","??????",""),IF($L116="","???",""),IF($M116="","?????",""),IF($N116="","??????????????",""),IF($O116="","??????????",""),IF($P116="","???????",""),IF($U116="","???","")))</f>
        <v/>
      </c>
    </row>
    <row r="117">
      <c r="U117">
        <f>IF($A117="","",IF(SUMIF(FoodLog!$A:$A,$A117,FoodLog!$I:$I)=0,"",SUMIF(FoodLog!$A:$A,$A117,FoodLog!$I:$I)))</f>
        <v/>
      </c>
      <c r="V117">
        <f>IF($A117="","",IF(SUMIF(FoodLog!$A:$A,$A117,FoodLog!$F:$F)=0,"",SUMIF(FoodLog!$A:$A,$A117,FoodLog!$F:$F)))</f>
        <v/>
      </c>
      <c r="W117">
        <f>IF($A117="","",IF(SUMIF(FoodLog!$A:$A,$A117,FoodLog!$G:$G)=0,"",SUMIF(FoodLog!$A:$A,$A117,FoodLog!$G:$G)))</f>
        <v/>
      </c>
      <c r="X117">
        <f>IF($A117="","",IF(SUMIF(FoodLog!$A:$A,$A117,FoodLog!$H:$H)=0,"",SUMIF(FoodLog!$A:$A,$A117,FoodLog!$H:$H)))</f>
        <v/>
      </c>
      <c r="Y117">
        <f>IF($A117="","",IFERROR(ROUND(100*AVERAGE(IF($B117="","",XLOOKUP($B117,FILTER(Dictionaries!$B:$B,Dictionaries!$A:$A="??????????"),FILTER(Dictionaries!$C:$C,Dictionaries!$A:$A="??????????"))),IF($C117="","",MIN($C117/40,1)),IF($D117="","",XLOOKUP($D117,FILTER(Dictionaries!$B:$B,Dictionaries!$A:$A="????"),FILTER(Dictionaries!$C:$C,Dictionaries!$A:$A="????"))),IF($E117="","",MIN($E117/120,1)),IF(OR($F117&lt;&gt;"",$G117&lt;&gt;""),1,""),IF($H117="","",MIN($H117/100,1)),IF($L117="","",XLOOKUP($L117,FILTER(Dictionaries!$B:$B,Dictionaries!$A:$A="???_????"),FILTER(Dictionaries!$C:$C,Dictionaries!$A:$A="???_????"))),IF($M117="","",XLOOKUP($M117,FILTER(Dictionaries!$B:$B,Dictionaries!$A:$A="?????"),FILTER(Dictionaries!$C:$C,Dictionaries!$A:$A="?????"))),IF($N117="","",MIN($N117/100,1)),IF($O117="","",XLOOKUP($O117,FILTER(Dictionaries!$B:$B,Dictionaries!$A:$A="??????????"),FILTER(Dictionaries!$C:$C,Dictionaries!$A:$A="??????????"))),IF($P117="","",XLOOKUP($P117,FILTER(Dictionaries!$B:$B,Dictionaries!$A:$A="???????"),FILTER(Dictionaries!$C:$C,Dictionaries!$A:$A="???????"))),IF($U117="","",LET(t,IF(OR($B117="????",$B117="????"),"train","rest"),k,$U117,p,$V117,f,$W117,c,$X117,k_s,IF(t="train",IF(k="","",IFS(AND(k&gt;=1900,k&lt;=2050),1,AND(k&gt;=1850,k&lt;1900),0.7,AND(k&gt;2050,k&lt;=2100),0.7,TRUE,0.2)),IF(k="","",IFS(AND(k&gt;=1700,k&lt;=1850),1,AND(k&gt;=1650,k&lt;1700),0.7,AND(k&gt;1850,k&lt;=1900),0.7,TRUE,0.2))),p_s,IF(t="train",IF(p="","",IFS(AND(p&gt;=125,p&lt;=135),1,AND(p&gt;=115,p&lt;125),0.7,AND(p&gt;135,p&lt;=145),0.7,AND(p&gt;=105,p&lt;115),0.4,AND(p&gt;145,p&lt;=155),0.4,TRUE,0.2)),IF(p="","",IFS(AND(p&gt;=120,p&lt;=130),1,AND(p&gt;=110,p&lt;120),0.7,AND(p&gt;130,p&lt;=140),0.7,AND(p&gt;=100,p&lt;110),0.4,AND(p&gt;140,p&lt;=150),0.4,TRUE,0.2))),f_s,IF(f="","",IFS(AND(f&gt;=55,f&lt;=65),1,AND(f&gt;=50,f&lt;55),0.7,AND(f&gt;65,f&lt;=70),0.7,AND(f&gt;=45,f&lt;50),0.4,AND(f&gt;70,f&lt;=75),0.4,TRUE,0.2)),c_s,IF(t="train",IF(c="","",IFS(AND(c&gt;=180,c&lt;=210),1,AND(c&gt;=160,c&lt;180),0.7,AND(c&gt;210,c&lt;=230),0.7,AND(c&gt;=140,c&lt;160),0.4,AND(c&gt;230,c&lt;=250),0.4,TRUE,0.2)),IF(c="","",IFS(AND(c&gt;=140,c&lt;=170),1,AND(c&gt;=120,c&lt;140),0.7,AND(c&gt;170,c&lt;=190),0.7,AND(c&gt;=100,c&lt;120),0.4,AND(c&gt;190,c&lt;=210),0.4,TRUE,0.2))),AVERAGE(k_s,p_s,f_s,c_s)))),1),""))</f>
        <v/>
      </c>
      <c r="Z117">
        <f>IF($A117="","",TEXTJOIN(", ",TRUE,IF($B117="","??????????",""),IF($C117="","??????",""),IF($D117="","????",""),IF($E117="","??????????",""),IF($F117="","???-?????",""),IF($G117="","???-????",""),IF($H117="","??????",""),IF($L117="","???",""),IF($M117="","?????",""),IF($N117="","??????????????",""),IF($O117="","??????????",""),IF($P117="","???????",""),IF($U117="","???","")))</f>
        <v/>
      </c>
    </row>
    <row r="118">
      <c r="U118">
        <f>IF($A118="","",IF(SUMIF(FoodLog!$A:$A,$A118,FoodLog!$I:$I)=0,"",SUMIF(FoodLog!$A:$A,$A118,FoodLog!$I:$I)))</f>
        <v/>
      </c>
      <c r="V118">
        <f>IF($A118="","",IF(SUMIF(FoodLog!$A:$A,$A118,FoodLog!$F:$F)=0,"",SUMIF(FoodLog!$A:$A,$A118,FoodLog!$F:$F)))</f>
        <v/>
      </c>
      <c r="W118">
        <f>IF($A118="","",IF(SUMIF(FoodLog!$A:$A,$A118,FoodLog!$G:$G)=0,"",SUMIF(FoodLog!$A:$A,$A118,FoodLog!$G:$G)))</f>
        <v/>
      </c>
      <c r="X118">
        <f>IF($A118="","",IF(SUMIF(FoodLog!$A:$A,$A118,FoodLog!$H:$H)=0,"",SUMIF(FoodLog!$A:$A,$A118,FoodLog!$H:$H)))</f>
        <v/>
      </c>
      <c r="Y118">
        <f>IF($A118="","",IFERROR(ROUND(100*AVERAGE(IF($B118="","",XLOOKUP($B118,FILTER(Dictionaries!$B:$B,Dictionaries!$A:$A="??????????"),FILTER(Dictionaries!$C:$C,Dictionaries!$A:$A="??????????"))),IF($C118="","",MIN($C118/40,1)),IF($D118="","",XLOOKUP($D118,FILTER(Dictionaries!$B:$B,Dictionaries!$A:$A="????"),FILTER(Dictionaries!$C:$C,Dictionaries!$A:$A="????"))),IF($E118="","",MIN($E118/120,1)),IF(OR($F118&lt;&gt;"",$G118&lt;&gt;""),1,""),IF($H118="","",MIN($H118/100,1)),IF($L118="","",XLOOKUP($L118,FILTER(Dictionaries!$B:$B,Dictionaries!$A:$A="???_????"),FILTER(Dictionaries!$C:$C,Dictionaries!$A:$A="???_????"))),IF($M118="","",XLOOKUP($M118,FILTER(Dictionaries!$B:$B,Dictionaries!$A:$A="?????"),FILTER(Dictionaries!$C:$C,Dictionaries!$A:$A="?????"))),IF($N118="","",MIN($N118/100,1)),IF($O118="","",XLOOKUP($O118,FILTER(Dictionaries!$B:$B,Dictionaries!$A:$A="??????????"),FILTER(Dictionaries!$C:$C,Dictionaries!$A:$A="??????????"))),IF($P118="","",XLOOKUP($P118,FILTER(Dictionaries!$B:$B,Dictionaries!$A:$A="???????"),FILTER(Dictionaries!$C:$C,Dictionaries!$A:$A="???????"))),IF($U118="","",LET(t,IF(OR($B118="????",$B118="????"),"train","rest"),k,$U118,p,$V118,f,$W118,c,$X118,k_s,IF(t="train",IF(k="","",IFS(AND(k&gt;=1900,k&lt;=2050),1,AND(k&gt;=1850,k&lt;1900),0.7,AND(k&gt;2050,k&lt;=2100),0.7,TRUE,0.2)),IF(k="","",IFS(AND(k&gt;=1700,k&lt;=1850),1,AND(k&gt;=1650,k&lt;1700),0.7,AND(k&gt;1850,k&lt;=1900),0.7,TRUE,0.2))),p_s,IF(t="train",IF(p="","",IFS(AND(p&gt;=125,p&lt;=135),1,AND(p&gt;=115,p&lt;125),0.7,AND(p&gt;135,p&lt;=145),0.7,AND(p&gt;=105,p&lt;115),0.4,AND(p&gt;145,p&lt;=155),0.4,TRUE,0.2)),IF(p="","",IFS(AND(p&gt;=120,p&lt;=130),1,AND(p&gt;=110,p&lt;120),0.7,AND(p&gt;130,p&lt;=140),0.7,AND(p&gt;=100,p&lt;110),0.4,AND(p&gt;140,p&lt;=150),0.4,TRUE,0.2))),f_s,IF(f="","",IFS(AND(f&gt;=55,f&lt;=65),1,AND(f&gt;=50,f&lt;55),0.7,AND(f&gt;65,f&lt;=70),0.7,AND(f&gt;=45,f&lt;50),0.4,AND(f&gt;70,f&lt;=75),0.4,TRUE,0.2)),c_s,IF(t="train",IF(c="","",IFS(AND(c&gt;=180,c&lt;=210),1,AND(c&gt;=160,c&lt;180),0.7,AND(c&gt;210,c&lt;=230),0.7,AND(c&gt;=140,c&lt;160),0.4,AND(c&gt;230,c&lt;=250),0.4,TRUE,0.2)),IF(c="","",IFS(AND(c&gt;=140,c&lt;=170),1,AND(c&gt;=120,c&lt;140),0.7,AND(c&gt;170,c&lt;=190),0.7,AND(c&gt;=100,c&lt;120),0.4,AND(c&gt;190,c&lt;=210),0.4,TRUE,0.2))),AVERAGE(k_s,p_s,f_s,c_s)))),1),""))</f>
        <v/>
      </c>
      <c r="Z118">
        <f>IF($A118="","",TEXTJOIN(", ",TRUE,IF($B118="","??????????",""),IF($C118="","??????",""),IF($D118="","????",""),IF($E118="","??????????",""),IF($F118="","???-?????",""),IF($G118="","???-????",""),IF($H118="","??????",""),IF($L118="","???",""),IF($M118="","?????",""),IF($N118="","??????????????",""),IF($O118="","??????????",""),IF($P118="","???????",""),IF($U118="","???","")))</f>
        <v/>
      </c>
    </row>
    <row r="119">
      <c r="U119">
        <f>IF($A119="","",IF(SUMIF(FoodLog!$A:$A,$A119,FoodLog!$I:$I)=0,"",SUMIF(FoodLog!$A:$A,$A119,FoodLog!$I:$I)))</f>
        <v/>
      </c>
      <c r="V119">
        <f>IF($A119="","",IF(SUMIF(FoodLog!$A:$A,$A119,FoodLog!$F:$F)=0,"",SUMIF(FoodLog!$A:$A,$A119,FoodLog!$F:$F)))</f>
        <v/>
      </c>
      <c r="W119">
        <f>IF($A119="","",IF(SUMIF(FoodLog!$A:$A,$A119,FoodLog!$G:$G)=0,"",SUMIF(FoodLog!$A:$A,$A119,FoodLog!$G:$G)))</f>
        <v/>
      </c>
      <c r="X119">
        <f>IF($A119="","",IF(SUMIF(FoodLog!$A:$A,$A119,FoodLog!$H:$H)=0,"",SUMIF(FoodLog!$A:$A,$A119,FoodLog!$H:$H)))</f>
        <v/>
      </c>
      <c r="Y119">
        <f>IF($A119="","",IFERROR(ROUND(100*AVERAGE(IF($B119="","",XLOOKUP($B119,FILTER(Dictionaries!$B:$B,Dictionaries!$A:$A="??????????"),FILTER(Dictionaries!$C:$C,Dictionaries!$A:$A="??????????"))),IF($C119="","",MIN($C119/40,1)),IF($D119="","",XLOOKUP($D119,FILTER(Dictionaries!$B:$B,Dictionaries!$A:$A="????"),FILTER(Dictionaries!$C:$C,Dictionaries!$A:$A="????"))),IF($E119="","",MIN($E119/120,1)),IF(OR($F119&lt;&gt;"",$G119&lt;&gt;""),1,""),IF($H119="","",MIN($H119/100,1)),IF($L119="","",XLOOKUP($L119,FILTER(Dictionaries!$B:$B,Dictionaries!$A:$A="???_????"),FILTER(Dictionaries!$C:$C,Dictionaries!$A:$A="???_????"))),IF($M119="","",XLOOKUP($M119,FILTER(Dictionaries!$B:$B,Dictionaries!$A:$A="?????"),FILTER(Dictionaries!$C:$C,Dictionaries!$A:$A="?????"))),IF($N119="","",MIN($N119/100,1)),IF($O119="","",XLOOKUP($O119,FILTER(Dictionaries!$B:$B,Dictionaries!$A:$A="??????????"),FILTER(Dictionaries!$C:$C,Dictionaries!$A:$A="??????????"))),IF($P119="","",XLOOKUP($P119,FILTER(Dictionaries!$B:$B,Dictionaries!$A:$A="???????"),FILTER(Dictionaries!$C:$C,Dictionaries!$A:$A="???????"))),IF($U119="","",LET(t,IF(OR($B119="????",$B119="????"),"train","rest"),k,$U119,p,$V119,f,$W119,c,$X119,k_s,IF(t="train",IF(k="","",IFS(AND(k&gt;=1900,k&lt;=2050),1,AND(k&gt;=1850,k&lt;1900),0.7,AND(k&gt;2050,k&lt;=2100),0.7,TRUE,0.2)),IF(k="","",IFS(AND(k&gt;=1700,k&lt;=1850),1,AND(k&gt;=1650,k&lt;1700),0.7,AND(k&gt;1850,k&lt;=1900),0.7,TRUE,0.2))),p_s,IF(t="train",IF(p="","",IFS(AND(p&gt;=125,p&lt;=135),1,AND(p&gt;=115,p&lt;125),0.7,AND(p&gt;135,p&lt;=145),0.7,AND(p&gt;=105,p&lt;115),0.4,AND(p&gt;145,p&lt;=155),0.4,TRUE,0.2)),IF(p="","",IFS(AND(p&gt;=120,p&lt;=130),1,AND(p&gt;=110,p&lt;120),0.7,AND(p&gt;130,p&lt;=140),0.7,AND(p&gt;=100,p&lt;110),0.4,AND(p&gt;140,p&lt;=150),0.4,TRUE,0.2))),f_s,IF(f="","",IFS(AND(f&gt;=55,f&lt;=65),1,AND(f&gt;=50,f&lt;55),0.7,AND(f&gt;65,f&lt;=70),0.7,AND(f&gt;=45,f&lt;50),0.4,AND(f&gt;70,f&lt;=75),0.4,TRUE,0.2)),c_s,IF(t="train",IF(c="","",IFS(AND(c&gt;=180,c&lt;=210),1,AND(c&gt;=160,c&lt;180),0.7,AND(c&gt;210,c&lt;=230),0.7,AND(c&gt;=140,c&lt;160),0.4,AND(c&gt;230,c&lt;=250),0.4,TRUE,0.2)),IF(c="","",IFS(AND(c&gt;=140,c&lt;=170),1,AND(c&gt;=120,c&lt;140),0.7,AND(c&gt;170,c&lt;=190),0.7,AND(c&gt;=100,c&lt;120),0.4,AND(c&gt;190,c&lt;=210),0.4,TRUE,0.2))),AVERAGE(k_s,p_s,f_s,c_s)))),1),""))</f>
        <v/>
      </c>
      <c r="Z119">
        <f>IF($A119="","",TEXTJOIN(", ",TRUE,IF($B119="","??????????",""),IF($C119="","??????",""),IF($D119="","????",""),IF($E119="","??????????",""),IF($F119="","???-?????",""),IF($G119="","???-????",""),IF($H119="","??????",""),IF($L119="","???",""),IF($M119="","?????",""),IF($N119="","??????????????",""),IF($O119="","??????????",""),IF($P119="","???????",""),IF($U119="","???","")))</f>
        <v/>
      </c>
    </row>
    <row r="120">
      <c r="U120">
        <f>IF($A120="","",IF(SUMIF(FoodLog!$A:$A,$A120,FoodLog!$I:$I)=0,"",SUMIF(FoodLog!$A:$A,$A120,FoodLog!$I:$I)))</f>
        <v/>
      </c>
      <c r="V120">
        <f>IF($A120="","",IF(SUMIF(FoodLog!$A:$A,$A120,FoodLog!$F:$F)=0,"",SUMIF(FoodLog!$A:$A,$A120,FoodLog!$F:$F)))</f>
        <v/>
      </c>
      <c r="W120">
        <f>IF($A120="","",IF(SUMIF(FoodLog!$A:$A,$A120,FoodLog!$G:$G)=0,"",SUMIF(FoodLog!$A:$A,$A120,FoodLog!$G:$G)))</f>
        <v/>
      </c>
      <c r="X120">
        <f>IF($A120="","",IF(SUMIF(FoodLog!$A:$A,$A120,FoodLog!$H:$H)=0,"",SUMIF(FoodLog!$A:$A,$A120,FoodLog!$H:$H)))</f>
        <v/>
      </c>
      <c r="Y120">
        <f>IF($A120="","",IFERROR(ROUND(100*AVERAGE(IF($B120="","",XLOOKUP($B120,FILTER(Dictionaries!$B:$B,Dictionaries!$A:$A="??????????"),FILTER(Dictionaries!$C:$C,Dictionaries!$A:$A="??????????"))),IF($C120="","",MIN($C120/40,1)),IF($D120="","",XLOOKUP($D120,FILTER(Dictionaries!$B:$B,Dictionaries!$A:$A="????"),FILTER(Dictionaries!$C:$C,Dictionaries!$A:$A="????"))),IF($E120="","",MIN($E120/120,1)),IF(OR($F120&lt;&gt;"",$G120&lt;&gt;""),1,""),IF($H120="","",MIN($H120/100,1)),IF($L120="","",XLOOKUP($L120,FILTER(Dictionaries!$B:$B,Dictionaries!$A:$A="???_????"),FILTER(Dictionaries!$C:$C,Dictionaries!$A:$A="???_????"))),IF($M120="","",XLOOKUP($M120,FILTER(Dictionaries!$B:$B,Dictionaries!$A:$A="?????"),FILTER(Dictionaries!$C:$C,Dictionaries!$A:$A="?????"))),IF($N120="","",MIN($N120/100,1)),IF($O120="","",XLOOKUP($O120,FILTER(Dictionaries!$B:$B,Dictionaries!$A:$A="??????????"),FILTER(Dictionaries!$C:$C,Dictionaries!$A:$A="??????????"))),IF($P120="","",XLOOKUP($P120,FILTER(Dictionaries!$B:$B,Dictionaries!$A:$A="???????"),FILTER(Dictionaries!$C:$C,Dictionaries!$A:$A="???????"))),IF($U120="","",LET(t,IF(OR($B120="????",$B120="????"),"train","rest"),k,$U120,p,$V120,f,$W120,c,$X120,k_s,IF(t="train",IF(k="","",IFS(AND(k&gt;=1900,k&lt;=2050),1,AND(k&gt;=1850,k&lt;1900),0.7,AND(k&gt;2050,k&lt;=2100),0.7,TRUE,0.2)),IF(k="","",IFS(AND(k&gt;=1700,k&lt;=1850),1,AND(k&gt;=1650,k&lt;1700),0.7,AND(k&gt;1850,k&lt;=1900),0.7,TRUE,0.2))),p_s,IF(t="train",IF(p="","",IFS(AND(p&gt;=125,p&lt;=135),1,AND(p&gt;=115,p&lt;125),0.7,AND(p&gt;135,p&lt;=145),0.7,AND(p&gt;=105,p&lt;115),0.4,AND(p&gt;145,p&lt;=155),0.4,TRUE,0.2)),IF(p="","",IFS(AND(p&gt;=120,p&lt;=130),1,AND(p&gt;=110,p&lt;120),0.7,AND(p&gt;130,p&lt;=140),0.7,AND(p&gt;=100,p&lt;110),0.4,AND(p&gt;140,p&lt;=150),0.4,TRUE,0.2))),f_s,IF(f="","",IFS(AND(f&gt;=55,f&lt;=65),1,AND(f&gt;=50,f&lt;55),0.7,AND(f&gt;65,f&lt;=70),0.7,AND(f&gt;=45,f&lt;50),0.4,AND(f&gt;70,f&lt;=75),0.4,TRUE,0.2)),c_s,IF(t="train",IF(c="","",IFS(AND(c&gt;=180,c&lt;=210),1,AND(c&gt;=160,c&lt;180),0.7,AND(c&gt;210,c&lt;=230),0.7,AND(c&gt;=140,c&lt;160),0.4,AND(c&gt;230,c&lt;=250),0.4,TRUE,0.2)),IF(c="","",IFS(AND(c&gt;=140,c&lt;=170),1,AND(c&gt;=120,c&lt;140),0.7,AND(c&gt;170,c&lt;=190),0.7,AND(c&gt;=100,c&lt;120),0.4,AND(c&gt;190,c&lt;=210),0.4,TRUE,0.2))),AVERAGE(k_s,p_s,f_s,c_s)))),1),""))</f>
        <v/>
      </c>
      <c r="Z120">
        <f>IF($A120="","",TEXTJOIN(", ",TRUE,IF($B120="","??????????",""),IF($C120="","??????",""),IF($D120="","????",""),IF($E120="","??????????",""),IF($F120="","???-?????",""),IF($G120="","???-????",""),IF($H120="","??????",""),IF($L120="","???",""),IF($M120="","?????",""),IF($N120="","??????????????",""),IF($O120="","??????????",""),IF($P120="","???????",""),IF($U120="","???","")))</f>
        <v/>
      </c>
    </row>
    <row r="121">
      <c r="U121">
        <f>IF($A121="","",IF(SUMIF(FoodLog!$A:$A,$A121,FoodLog!$I:$I)=0,"",SUMIF(FoodLog!$A:$A,$A121,FoodLog!$I:$I)))</f>
        <v/>
      </c>
      <c r="V121">
        <f>IF($A121="","",IF(SUMIF(FoodLog!$A:$A,$A121,FoodLog!$F:$F)=0,"",SUMIF(FoodLog!$A:$A,$A121,FoodLog!$F:$F)))</f>
        <v/>
      </c>
      <c r="W121">
        <f>IF($A121="","",IF(SUMIF(FoodLog!$A:$A,$A121,FoodLog!$G:$G)=0,"",SUMIF(FoodLog!$A:$A,$A121,FoodLog!$G:$G)))</f>
        <v/>
      </c>
      <c r="X121">
        <f>IF($A121="","",IF(SUMIF(FoodLog!$A:$A,$A121,FoodLog!$H:$H)=0,"",SUMIF(FoodLog!$A:$A,$A121,FoodLog!$H:$H)))</f>
        <v/>
      </c>
      <c r="Y121">
        <f>IF($A121="","",IFERROR(ROUND(100*AVERAGE(IF($B121="","",XLOOKUP($B121,FILTER(Dictionaries!$B:$B,Dictionaries!$A:$A="??????????"),FILTER(Dictionaries!$C:$C,Dictionaries!$A:$A="??????????"))),IF($C121="","",MIN($C121/40,1)),IF($D121="","",XLOOKUP($D121,FILTER(Dictionaries!$B:$B,Dictionaries!$A:$A="????"),FILTER(Dictionaries!$C:$C,Dictionaries!$A:$A="????"))),IF($E121="","",MIN($E121/120,1)),IF(OR($F121&lt;&gt;"",$G121&lt;&gt;""),1,""),IF($H121="","",MIN($H121/100,1)),IF($L121="","",XLOOKUP($L121,FILTER(Dictionaries!$B:$B,Dictionaries!$A:$A="???_????"),FILTER(Dictionaries!$C:$C,Dictionaries!$A:$A="???_????"))),IF($M121="","",XLOOKUP($M121,FILTER(Dictionaries!$B:$B,Dictionaries!$A:$A="?????"),FILTER(Dictionaries!$C:$C,Dictionaries!$A:$A="?????"))),IF($N121="","",MIN($N121/100,1)),IF($O121="","",XLOOKUP($O121,FILTER(Dictionaries!$B:$B,Dictionaries!$A:$A="??????????"),FILTER(Dictionaries!$C:$C,Dictionaries!$A:$A="??????????"))),IF($P121="","",XLOOKUP($P121,FILTER(Dictionaries!$B:$B,Dictionaries!$A:$A="???????"),FILTER(Dictionaries!$C:$C,Dictionaries!$A:$A="???????"))),IF($U121="","",LET(t,IF(OR($B121="????",$B121="????"),"train","rest"),k,$U121,p,$V121,f,$W121,c,$X121,k_s,IF(t="train",IF(k="","",IFS(AND(k&gt;=1900,k&lt;=2050),1,AND(k&gt;=1850,k&lt;1900),0.7,AND(k&gt;2050,k&lt;=2100),0.7,TRUE,0.2)),IF(k="","",IFS(AND(k&gt;=1700,k&lt;=1850),1,AND(k&gt;=1650,k&lt;1700),0.7,AND(k&gt;1850,k&lt;=1900),0.7,TRUE,0.2))),p_s,IF(t="train",IF(p="","",IFS(AND(p&gt;=125,p&lt;=135),1,AND(p&gt;=115,p&lt;125),0.7,AND(p&gt;135,p&lt;=145),0.7,AND(p&gt;=105,p&lt;115),0.4,AND(p&gt;145,p&lt;=155),0.4,TRUE,0.2)),IF(p="","",IFS(AND(p&gt;=120,p&lt;=130),1,AND(p&gt;=110,p&lt;120),0.7,AND(p&gt;130,p&lt;=140),0.7,AND(p&gt;=100,p&lt;110),0.4,AND(p&gt;140,p&lt;=150),0.4,TRUE,0.2))),f_s,IF(f="","",IFS(AND(f&gt;=55,f&lt;=65),1,AND(f&gt;=50,f&lt;55),0.7,AND(f&gt;65,f&lt;=70),0.7,AND(f&gt;=45,f&lt;50),0.4,AND(f&gt;70,f&lt;=75),0.4,TRUE,0.2)),c_s,IF(t="train",IF(c="","",IFS(AND(c&gt;=180,c&lt;=210),1,AND(c&gt;=160,c&lt;180),0.7,AND(c&gt;210,c&lt;=230),0.7,AND(c&gt;=140,c&lt;160),0.4,AND(c&gt;230,c&lt;=250),0.4,TRUE,0.2)),IF(c="","",IFS(AND(c&gt;=140,c&lt;=170),1,AND(c&gt;=120,c&lt;140),0.7,AND(c&gt;170,c&lt;=190),0.7,AND(c&gt;=100,c&lt;120),0.4,AND(c&gt;190,c&lt;=210),0.4,TRUE,0.2))),AVERAGE(k_s,p_s,f_s,c_s)))),1),""))</f>
        <v/>
      </c>
      <c r="Z121">
        <f>IF($A121="","",TEXTJOIN(", ",TRUE,IF($B121="","??????????",""),IF($C121="","??????",""),IF($D121="","????",""),IF($E121="","??????????",""),IF($F121="","???-?????",""),IF($G121="","???-????",""),IF($H121="","??????",""),IF($L121="","???",""),IF($M121="","?????",""),IF($N121="","??????????????",""),IF($O121="","??????????",""),IF($P121="","???????",""),IF($U121="","???","")))</f>
        <v/>
      </c>
    </row>
    <row r="122">
      <c r="U122">
        <f>IF($A122="","",IF(SUMIF(FoodLog!$A:$A,$A122,FoodLog!$I:$I)=0,"",SUMIF(FoodLog!$A:$A,$A122,FoodLog!$I:$I)))</f>
        <v/>
      </c>
      <c r="V122">
        <f>IF($A122="","",IF(SUMIF(FoodLog!$A:$A,$A122,FoodLog!$F:$F)=0,"",SUMIF(FoodLog!$A:$A,$A122,FoodLog!$F:$F)))</f>
        <v/>
      </c>
      <c r="W122">
        <f>IF($A122="","",IF(SUMIF(FoodLog!$A:$A,$A122,FoodLog!$G:$G)=0,"",SUMIF(FoodLog!$A:$A,$A122,FoodLog!$G:$G)))</f>
        <v/>
      </c>
      <c r="X122">
        <f>IF($A122="","",IF(SUMIF(FoodLog!$A:$A,$A122,FoodLog!$H:$H)=0,"",SUMIF(FoodLog!$A:$A,$A122,FoodLog!$H:$H)))</f>
        <v/>
      </c>
      <c r="Y122">
        <f>IF($A122="","",IFERROR(ROUND(100*AVERAGE(IF($B122="","",XLOOKUP($B122,FILTER(Dictionaries!$B:$B,Dictionaries!$A:$A="??????????"),FILTER(Dictionaries!$C:$C,Dictionaries!$A:$A="??????????"))),IF($C122="","",MIN($C122/40,1)),IF($D122="","",XLOOKUP($D122,FILTER(Dictionaries!$B:$B,Dictionaries!$A:$A="????"),FILTER(Dictionaries!$C:$C,Dictionaries!$A:$A="????"))),IF($E122="","",MIN($E122/120,1)),IF(OR($F122&lt;&gt;"",$G122&lt;&gt;""),1,""),IF($H122="","",MIN($H122/100,1)),IF($L122="","",XLOOKUP($L122,FILTER(Dictionaries!$B:$B,Dictionaries!$A:$A="???_????"),FILTER(Dictionaries!$C:$C,Dictionaries!$A:$A="???_????"))),IF($M122="","",XLOOKUP($M122,FILTER(Dictionaries!$B:$B,Dictionaries!$A:$A="?????"),FILTER(Dictionaries!$C:$C,Dictionaries!$A:$A="?????"))),IF($N122="","",MIN($N122/100,1)),IF($O122="","",XLOOKUP($O122,FILTER(Dictionaries!$B:$B,Dictionaries!$A:$A="??????????"),FILTER(Dictionaries!$C:$C,Dictionaries!$A:$A="??????????"))),IF($P122="","",XLOOKUP($P122,FILTER(Dictionaries!$B:$B,Dictionaries!$A:$A="???????"),FILTER(Dictionaries!$C:$C,Dictionaries!$A:$A="???????"))),IF($U122="","",LET(t,IF(OR($B122="????",$B122="????"),"train","rest"),k,$U122,p,$V122,f,$W122,c,$X122,k_s,IF(t="train",IF(k="","",IFS(AND(k&gt;=1900,k&lt;=2050),1,AND(k&gt;=1850,k&lt;1900),0.7,AND(k&gt;2050,k&lt;=2100),0.7,TRUE,0.2)),IF(k="","",IFS(AND(k&gt;=1700,k&lt;=1850),1,AND(k&gt;=1650,k&lt;1700),0.7,AND(k&gt;1850,k&lt;=1900),0.7,TRUE,0.2))),p_s,IF(t="train",IF(p="","",IFS(AND(p&gt;=125,p&lt;=135),1,AND(p&gt;=115,p&lt;125),0.7,AND(p&gt;135,p&lt;=145),0.7,AND(p&gt;=105,p&lt;115),0.4,AND(p&gt;145,p&lt;=155),0.4,TRUE,0.2)),IF(p="","",IFS(AND(p&gt;=120,p&lt;=130),1,AND(p&gt;=110,p&lt;120),0.7,AND(p&gt;130,p&lt;=140),0.7,AND(p&gt;=100,p&lt;110),0.4,AND(p&gt;140,p&lt;=150),0.4,TRUE,0.2))),f_s,IF(f="","",IFS(AND(f&gt;=55,f&lt;=65),1,AND(f&gt;=50,f&lt;55),0.7,AND(f&gt;65,f&lt;=70),0.7,AND(f&gt;=45,f&lt;50),0.4,AND(f&gt;70,f&lt;=75),0.4,TRUE,0.2)),c_s,IF(t="train",IF(c="","",IFS(AND(c&gt;=180,c&lt;=210),1,AND(c&gt;=160,c&lt;180),0.7,AND(c&gt;210,c&lt;=230),0.7,AND(c&gt;=140,c&lt;160),0.4,AND(c&gt;230,c&lt;=250),0.4,TRUE,0.2)),IF(c="","",IFS(AND(c&gt;=140,c&lt;=170),1,AND(c&gt;=120,c&lt;140),0.7,AND(c&gt;170,c&lt;=190),0.7,AND(c&gt;=100,c&lt;120),0.4,AND(c&gt;190,c&lt;=210),0.4,TRUE,0.2))),AVERAGE(k_s,p_s,f_s,c_s)))),1),""))</f>
        <v/>
      </c>
      <c r="Z122">
        <f>IF($A122="","",TEXTJOIN(", ",TRUE,IF($B122="","??????????",""),IF($C122="","??????",""),IF($D122="","????",""),IF($E122="","??????????",""),IF($F122="","???-?????",""),IF($G122="","???-????",""),IF($H122="","??????",""),IF($L122="","???",""),IF($M122="","?????",""),IF($N122="","??????????????",""),IF($O122="","??????????",""),IF($P122="","???????",""),IF($U122="","???","")))</f>
        <v/>
      </c>
    </row>
    <row r="123">
      <c r="U123">
        <f>IF($A123="","",IF(SUMIF(FoodLog!$A:$A,$A123,FoodLog!$I:$I)=0,"",SUMIF(FoodLog!$A:$A,$A123,FoodLog!$I:$I)))</f>
        <v/>
      </c>
      <c r="V123">
        <f>IF($A123="","",IF(SUMIF(FoodLog!$A:$A,$A123,FoodLog!$F:$F)=0,"",SUMIF(FoodLog!$A:$A,$A123,FoodLog!$F:$F)))</f>
        <v/>
      </c>
      <c r="W123">
        <f>IF($A123="","",IF(SUMIF(FoodLog!$A:$A,$A123,FoodLog!$G:$G)=0,"",SUMIF(FoodLog!$A:$A,$A123,FoodLog!$G:$G)))</f>
        <v/>
      </c>
      <c r="X123">
        <f>IF($A123="","",IF(SUMIF(FoodLog!$A:$A,$A123,FoodLog!$H:$H)=0,"",SUMIF(FoodLog!$A:$A,$A123,FoodLog!$H:$H)))</f>
        <v/>
      </c>
      <c r="Y123">
        <f>IF($A123="","",IFERROR(ROUND(100*AVERAGE(IF($B123="","",XLOOKUP($B123,FILTER(Dictionaries!$B:$B,Dictionaries!$A:$A="??????????"),FILTER(Dictionaries!$C:$C,Dictionaries!$A:$A="??????????"))),IF($C123="","",MIN($C123/40,1)),IF($D123="","",XLOOKUP($D123,FILTER(Dictionaries!$B:$B,Dictionaries!$A:$A="????"),FILTER(Dictionaries!$C:$C,Dictionaries!$A:$A="????"))),IF($E123="","",MIN($E123/120,1)),IF(OR($F123&lt;&gt;"",$G123&lt;&gt;""),1,""),IF($H123="","",MIN($H123/100,1)),IF($L123="","",XLOOKUP($L123,FILTER(Dictionaries!$B:$B,Dictionaries!$A:$A="???_????"),FILTER(Dictionaries!$C:$C,Dictionaries!$A:$A="???_????"))),IF($M123="","",XLOOKUP($M123,FILTER(Dictionaries!$B:$B,Dictionaries!$A:$A="?????"),FILTER(Dictionaries!$C:$C,Dictionaries!$A:$A="?????"))),IF($N123="","",MIN($N123/100,1)),IF($O123="","",XLOOKUP($O123,FILTER(Dictionaries!$B:$B,Dictionaries!$A:$A="??????????"),FILTER(Dictionaries!$C:$C,Dictionaries!$A:$A="??????????"))),IF($P123="","",XLOOKUP($P123,FILTER(Dictionaries!$B:$B,Dictionaries!$A:$A="???????"),FILTER(Dictionaries!$C:$C,Dictionaries!$A:$A="???????"))),IF($U123="","",LET(t,IF(OR($B123="????",$B123="????"),"train","rest"),k,$U123,p,$V123,f,$W123,c,$X123,k_s,IF(t="train",IF(k="","",IFS(AND(k&gt;=1900,k&lt;=2050),1,AND(k&gt;=1850,k&lt;1900),0.7,AND(k&gt;2050,k&lt;=2100),0.7,TRUE,0.2)),IF(k="","",IFS(AND(k&gt;=1700,k&lt;=1850),1,AND(k&gt;=1650,k&lt;1700),0.7,AND(k&gt;1850,k&lt;=1900),0.7,TRUE,0.2))),p_s,IF(t="train",IF(p="","",IFS(AND(p&gt;=125,p&lt;=135),1,AND(p&gt;=115,p&lt;125),0.7,AND(p&gt;135,p&lt;=145),0.7,AND(p&gt;=105,p&lt;115),0.4,AND(p&gt;145,p&lt;=155),0.4,TRUE,0.2)),IF(p="","",IFS(AND(p&gt;=120,p&lt;=130),1,AND(p&gt;=110,p&lt;120),0.7,AND(p&gt;130,p&lt;=140),0.7,AND(p&gt;=100,p&lt;110),0.4,AND(p&gt;140,p&lt;=150),0.4,TRUE,0.2))),f_s,IF(f="","",IFS(AND(f&gt;=55,f&lt;=65),1,AND(f&gt;=50,f&lt;55),0.7,AND(f&gt;65,f&lt;=70),0.7,AND(f&gt;=45,f&lt;50),0.4,AND(f&gt;70,f&lt;=75),0.4,TRUE,0.2)),c_s,IF(t="train",IF(c="","",IFS(AND(c&gt;=180,c&lt;=210),1,AND(c&gt;=160,c&lt;180),0.7,AND(c&gt;210,c&lt;=230),0.7,AND(c&gt;=140,c&lt;160),0.4,AND(c&gt;230,c&lt;=250),0.4,TRUE,0.2)),IF(c="","",IFS(AND(c&gt;=140,c&lt;=170),1,AND(c&gt;=120,c&lt;140),0.7,AND(c&gt;170,c&lt;=190),0.7,AND(c&gt;=100,c&lt;120),0.4,AND(c&gt;190,c&lt;=210),0.4,TRUE,0.2))),AVERAGE(k_s,p_s,f_s,c_s)))),1),""))</f>
        <v/>
      </c>
      <c r="Z123">
        <f>IF($A123="","",TEXTJOIN(", ",TRUE,IF($B123="","??????????",""),IF($C123="","??????",""),IF($D123="","????",""),IF($E123="","??????????",""),IF($F123="","???-?????",""),IF($G123="","???-????",""),IF($H123="","??????",""),IF($L123="","???",""),IF($M123="","?????",""),IF($N123="","??????????????",""),IF($O123="","??????????",""),IF($P123="","???????",""),IF($U123="","???","")))</f>
        <v/>
      </c>
    </row>
    <row r="124">
      <c r="U124">
        <f>IF($A124="","",IF(SUMIF(FoodLog!$A:$A,$A124,FoodLog!$I:$I)=0,"",SUMIF(FoodLog!$A:$A,$A124,FoodLog!$I:$I)))</f>
        <v/>
      </c>
      <c r="V124">
        <f>IF($A124="","",IF(SUMIF(FoodLog!$A:$A,$A124,FoodLog!$F:$F)=0,"",SUMIF(FoodLog!$A:$A,$A124,FoodLog!$F:$F)))</f>
        <v/>
      </c>
      <c r="W124">
        <f>IF($A124="","",IF(SUMIF(FoodLog!$A:$A,$A124,FoodLog!$G:$G)=0,"",SUMIF(FoodLog!$A:$A,$A124,FoodLog!$G:$G)))</f>
        <v/>
      </c>
      <c r="X124">
        <f>IF($A124="","",IF(SUMIF(FoodLog!$A:$A,$A124,FoodLog!$H:$H)=0,"",SUMIF(FoodLog!$A:$A,$A124,FoodLog!$H:$H)))</f>
        <v/>
      </c>
      <c r="Y124">
        <f>IF($A124="","",IFERROR(ROUND(100*AVERAGE(IF($B124="","",XLOOKUP($B124,FILTER(Dictionaries!$B:$B,Dictionaries!$A:$A="??????????"),FILTER(Dictionaries!$C:$C,Dictionaries!$A:$A="??????????"))),IF($C124="","",MIN($C124/40,1)),IF($D124="","",XLOOKUP($D124,FILTER(Dictionaries!$B:$B,Dictionaries!$A:$A="????"),FILTER(Dictionaries!$C:$C,Dictionaries!$A:$A="????"))),IF($E124="","",MIN($E124/120,1)),IF(OR($F124&lt;&gt;"",$G124&lt;&gt;""),1,""),IF($H124="","",MIN($H124/100,1)),IF($L124="","",XLOOKUP($L124,FILTER(Dictionaries!$B:$B,Dictionaries!$A:$A="???_????"),FILTER(Dictionaries!$C:$C,Dictionaries!$A:$A="???_????"))),IF($M124="","",XLOOKUP($M124,FILTER(Dictionaries!$B:$B,Dictionaries!$A:$A="?????"),FILTER(Dictionaries!$C:$C,Dictionaries!$A:$A="?????"))),IF($N124="","",MIN($N124/100,1)),IF($O124="","",XLOOKUP($O124,FILTER(Dictionaries!$B:$B,Dictionaries!$A:$A="??????????"),FILTER(Dictionaries!$C:$C,Dictionaries!$A:$A="??????????"))),IF($P124="","",XLOOKUP($P124,FILTER(Dictionaries!$B:$B,Dictionaries!$A:$A="???????"),FILTER(Dictionaries!$C:$C,Dictionaries!$A:$A="???????"))),IF($U124="","",LET(t,IF(OR($B124="????",$B124="????"),"train","rest"),k,$U124,p,$V124,f,$W124,c,$X124,k_s,IF(t="train",IF(k="","",IFS(AND(k&gt;=1900,k&lt;=2050),1,AND(k&gt;=1850,k&lt;1900),0.7,AND(k&gt;2050,k&lt;=2100),0.7,TRUE,0.2)),IF(k="","",IFS(AND(k&gt;=1700,k&lt;=1850),1,AND(k&gt;=1650,k&lt;1700),0.7,AND(k&gt;1850,k&lt;=1900),0.7,TRUE,0.2))),p_s,IF(t="train",IF(p="","",IFS(AND(p&gt;=125,p&lt;=135),1,AND(p&gt;=115,p&lt;125),0.7,AND(p&gt;135,p&lt;=145),0.7,AND(p&gt;=105,p&lt;115),0.4,AND(p&gt;145,p&lt;=155),0.4,TRUE,0.2)),IF(p="","",IFS(AND(p&gt;=120,p&lt;=130),1,AND(p&gt;=110,p&lt;120),0.7,AND(p&gt;130,p&lt;=140),0.7,AND(p&gt;=100,p&lt;110),0.4,AND(p&gt;140,p&lt;=150),0.4,TRUE,0.2))),f_s,IF(f="","",IFS(AND(f&gt;=55,f&lt;=65),1,AND(f&gt;=50,f&lt;55),0.7,AND(f&gt;65,f&lt;=70),0.7,AND(f&gt;=45,f&lt;50),0.4,AND(f&gt;70,f&lt;=75),0.4,TRUE,0.2)),c_s,IF(t="train",IF(c="","",IFS(AND(c&gt;=180,c&lt;=210),1,AND(c&gt;=160,c&lt;180),0.7,AND(c&gt;210,c&lt;=230),0.7,AND(c&gt;=140,c&lt;160),0.4,AND(c&gt;230,c&lt;=250),0.4,TRUE,0.2)),IF(c="","",IFS(AND(c&gt;=140,c&lt;=170),1,AND(c&gt;=120,c&lt;140),0.7,AND(c&gt;170,c&lt;=190),0.7,AND(c&gt;=100,c&lt;120),0.4,AND(c&gt;190,c&lt;=210),0.4,TRUE,0.2))),AVERAGE(k_s,p_s,f_s,c_s)))),1),""))</f>
        <v/>
      </c>
      <c r="Z124">
        <f>IF($A124="","",TEXTJOIN(", ",TRUE,IF($B124="","??????????",""),IF($C124="","??????",""),IF($D124="","????",""),IF($E124="","??????????",""),IF($F124="","???-?????",""),IF($G124="","???-????",""),IF($H124="","??????",""),IF($L124="","???",""),IF($M124="","?????",""),IF($N124="","??????????????",""),IF($O124="","??????????",""),IF($P124="","???????",""),IF($U124="","???","")))</f>
        <v/>
      </c>
    </row>
    <row r="125">
      <c r="U125">
        <f>IF($A125="","",IF(SUMIF(FoodLog!$A:$A,$A125,FoodLog!$I:$I)=0,"",SUMIF(FoodLog!$A:$A,$A125,FoodLog!$I:$I)))</f>
        <v/>
      </c>
      <c r="V125">
        <f>IF($A125="","",IF(SUMIF(FoodLog!$A:$A,$A125,FoodLog!$F:$F)=0,"",SUMIF(FoodLog!$A:$A,$A125,FoodLog!$F:$F)))</f>
        <v/>
      </c>
      <c r="W125">
        <f>IF($A125="","",IF(SUMIF(FoodLog!$A:$A,$A125,FoodLog!$G:$G)=0,"",SUMIF(FoodLog!$A:$A,$A125,FoodLog!$G:$G)))</f>
        <v/>
      </c>
      <c r="X125">
        <f>IF($A125="","",IF(SUMIF(FoodLog!$A:$A,$A125,FoodLog!$H:$H)=0,"",SUMIF(FoodLog!$A:$A,$A125,FoodLog!$H:$H)))</f>
        <v/>
      </c>
      <c r="Y125">
        <f>IF($A125="","",IFERROR(ROUND(100*AVERAGE(IF($B125="","",XLOOKUP($B125,FILTER(Dictionaries!$B:$B,Dictionaries!$A:$A="??????????"),FILTER(Dictionaries!$C:$C,Dictionaries!$A:$A="??????????"))),IF($C125="","",MIN($C125/40,1)),IF($D125="","",XLOOKUP($D125,FILTER(Dictionaries!$B:$B,Dictionaries!$A:$A="????"),FILTER(Dictionaries!$C:$C,Dictionaries!$A:$A="????"))),IF($E125="","",MIN($E125/120,1)),IF(OR($F125&lt;&gt;"",$G125&lt;&gt;""),1,""),IF($H125="","",MIN($H125/100,1)),IF($L125="","",XLOOKUP($L125,FILTER(Dictionaries!$B:$B,Dictionaries!$A:$A="???_????"),FILTER(Dictionaries!$C:$C,Dictionaries!$A:$A="???_????"))),IF($M125="","",XLOOKUP($M125,FILTER(Dictionaries!$B:$B,Dictionaries!$A:$A="?????"),FILTER(Dictionaries!$C:$C,Dictionaries!$A:$A="?????"))),IF($N125="","",MIN($N125/100,1)),IF($O125="","",XLOOKUP($O125,FILTER(Dictionaries!$B:$B,Dictionaries!$A:$A="??????????"),FILTER(Dictionaries!$C:$C,Dictionaries!$A:$A="??????????"))),IF($P125="","",XLOOKUP($P125,FILTER(Dictionaries!$B:$B,Dictionaries!$A:$A="???????"),FILTER(Dictionaries!$C:$C,Dictionaries!$A:$A="???????"))),IF($U125="","",LET(t,IF(OR($B125="????",$B125="????"),"train","rest"),k,$U125,p,$V125,f,$W125,c,$X125,k_s,IF(t="train",IF(k="","",IFS(AND(k&gt;=1900,k&lt;=2050),1,AND(k&gt;=1850,k&lt;1900),0.7,AND(k&gt;2050,k&lt;=2100),0.7,TRUE,0.2)),IF(k="","",IFS(AND(k&gt;=1700,k&lt;=1850),1,AND(k&gt;=1650,k&lt;1700),0.7,AND(k&gt;1850,k&lt;=1900),0.7,TRUE,0.2))),p_s,IF(t="train",IF(p="","",IFS(AND(p&gt;=125,p&lt;=135),1,AND(p&gt;=115,p&lt;125),0.7,AND(p&gt;135,p&lt;=145),0.7,AND(p&gt;=105,p&lt;115),0.4,AND(p&gt;145,p&lt;=155),0.4,TRUE,0.2)),IF(p="","",IFS(AND(p&gt;=120,p&lt;=130),1,AND(p&gt;=110,p&lt;120),0.7,AND(p&gt;130,p&lt;=140),0.7,AND(p&gt;=100,p&lt;110),0.4,AND(p&gt;140,p&lt;=150),0.4,TRUE,0.2))),f_s,IF(f="","",IFS(AND(f&gt;=55,f&lt;=65),1,AND(f&gt;=50,f&lt;55),0.7,AND(f&gt;65,f&lt;=70),0.7,AND(f&gt;=45,f&lt;50),0.4,AND(f&gt;70,f&lt;=75),0.4,TRUE,0.2)),c_s,IF(t="train",IF(c="","",IFS(AND(c&gt;=180,c&lt;=210),1,AND(c&gt;=160,c&lt;180),0.7,AND(c&gt;210,c&lt;=230),0.7,AND(c&gt;=140,c&lt;160),0.4,AND(c&gt;230,c&lt;=250),0.4,TRUE,0.2)),IF(c="","",IFS(AND(c&gt;=140,c&lt;=170),1,AND(c&gt;=120,c&lt;140),0.7,AND(c&gt;170,c&lt;=190),0.7,AND(c&gt;=100,c&lt;120),0.4,AND(c&gt;190,c&lt;=210),0.4,TRUE,0.2))),AVERAGE(k_s,p_s,f_s,c_s)))),1),""))</f>
        <v/>
      </c>
      <c r="Z125">
        <f>IF($A125="","",TEXTJOIN(", ",TRUE,IF($B125="","??????????",""),IF($C125="","??????",""),IF($D125="","????",""),IF($E125="","??????????",""),IF($F125="","???-?????",""),IF($G125="","???-????",""),IF($H125="","??????",""),IF($L125="","???",""),IF($M125="","?????",""),IF($N125="","??????????????",""),IF($O125="","??????????",""),IF($P125="","???????",""),IF($U125="","???","")))</f>
        <v/>
      </c>
    </row>
    <row r="126">
      <c r="U126">
        <f>IF($A126="","",IF(SUMIF(FoodLog!$A:$A,$A126,FoodLog!$I:$I)=0,"",SUMIF(FoodLog!$A:$A,$A126,FoodLog!$I:$I)))</f>
        <v/>
      </c>
      <c r="V126">
        <f>IF($A126="","",IF(SUMIF(FoodLog!$A:$A,$A126,FoodLog!$F:$F)=0,"",SUMIF(FoodLog!$A:$A,$A126,FoodLog!$F:$F)))</f>
        <v/>
      </c>
      <c r="W126">
        <f>IF($A126="","",IF(SUMIF(FoodLog!$A:$A,$A126,FoodLog!$G:$G)=0,"",SUMIF(FoodLog!$A:$A,$A126,FoodLog!$G:$G)))</f>
        <v/>
      </c>
      <c r="X126">
        <f>IF($A126="","",IF(SUMIF(FoodLog!$A:$A,$A126,FoodLog!$H:$H)=0,"",SUMIF(FoodLog!$A:$A,$A126,FoodLog!$H:$H)))</f>
        <v/>
      </c>
      <c r="Y126">
        <f>IF($A126="","",IFERROR(ROUND(100*AVERAGE(IF($B126="","",XLOOKUP($B126,FILTER(Dictionaries!$B:$B,Dictionaries!$A:$A="??????????"),FILTER(Dictionaries!$C:$C,Dictionaries!$A:$A="??????????"))),IF($C126="","",MIN($C126/40,1)),IF($D126="","",XLOOKUP($D126,FILTER(Dictionaries!$B:$B,Dictionaries!$A:$A="????"),FILTER(Dictionaries!$C:$C,Dictionaries!$A:$A="????"))),IF($E126="","",MIN($E126/120,1)),IF(OR($F126&lt;&gt;"",$G126&lt;&gt;""),1,""),IF($H126="","",MIN($H126/100,1)),IF($L126="","",XLOOKUP($L126,FILTER(Dictionaries!$B:$B,Dictionaries!$A:$A="???_????"),FILTER(Dictionaries!$C:$C,Dictionaries!$A:$A="???_????"))),IF($M126="","",XLOOKUP($M126,FILTER(Dictionaries!$B:$B,Dictionaries!$A:$A="?????"),FILTER(Dictionaries!$C:$C,Dictionaries!$A:$A="?????"))),IF($N126="","",MIN($N126/100,1)),IF($O126="","",XLOOKUP($O126,FILTER(Dictionaries!$B:$B,Dictionaries!$A:$A="??????????"),FILTER(Dictionaries!$C:$C,Dictionaries!$A:$A="??????????"))),IF($P126="","",XLOOKUP($P126,FILTER(Dictionaries!$B:$B,Dictionaries!$A:$A="???????"),FILTER(Dictionaries!$C:$C,Dictionaries!$A:$A="???????"))),IF($U126="","",LET(t,IF(OR($B126="????",$B126="????"),"train","rest"),k,$U126,p,$V126,f,$W126,c,$X126,k_s,IF(t="train",IF(k="","",IFS(AND(k&gt;=1900,k&lt;=2050),1,AND(k&gt;=1850,k&lt;1900),0.7,AND(k&gt;2050,k&lt;=2100),0.7,TRUE,0.2)),IF(k="","",IFS(AND(k&gt;=1700,k&lt;=1850),1,AND(k&gt;=1650,k&lt;1700),0.7,AND(k&gt;1850,k&lt;=1900),0.7,TRUE,0.2))),p_s,IF(t="train",IF(p="","",IFS(AND(p&gt;=125,p&lt;=135),1,AND(p&gt;=115,p&lt;125),0.7,AND(p&gt;135,p&lt;=145),0.7,AND(p&gt;=105,p&lt;115),0.4,AND(p&gt;145,p&lt;=155),0.4,TRUE,0.2)),IF(p="","",IFS(AND(p&gt;=120,p&lt;=130),1,AND(p&gt;=110,p&lt;120),0.7,AND(p&gt;130,p&lt;=140),0.7,AND(p&gt;=100,p&lt;110),0.4,AND(p&gt;140,p&lt;=150),0.4,TRUE,0.2))),f_s,IF(f="","",IFS(AND(f&gt;=55,f&lt;=65),1,AND(f&gt;=50,f&lt;55),0.7,AND(f&gt;65,f&lt;=70),0.7,AND(f&gt;=45,f&lt;50),0.4,AND(f&gt;70,f&lt;=75),0.4,TRUE,0.2)),c_s,IF(t="train",IF(c="","",IFS(AND(c&gt;=180,c&lt;=210),1,AND(c&gt;=160,c&lt;180),0.7,AND(c&gt;210,c&lt;=230),0.7,AND(c&gt;=140,c&lt;160),0.4,AND(c&gt;230,c&lt;=250),0.4,TRUE,0.2)),IF(c="","",IFS(AND(c&gt;=140,c&lt;=170),1,AND(c&gt;=120,c&lt;140),0.7,AND(c&gt;170,c&lt;=190),0.7,AND(c&gt;=100,c&lt;120),0.4,AND(c&gt;190,c&lt;=210),0.4,TRUE,0.2))),AVERAGE(k_s,p_s,f_s,c_s)))),1),""))</f>
        <v/>
      </c>
      <c r="Z126">
        <f>IF($A126="","",TEXTJOIN(", ",TRUE,IF($B126="","??????????",""),IF($C126="","??????",""),IF($D126="","????",""),IF($E126="","??????????",""),IF($F126="","???-?????",""),IF($G126="","???-????",""),IF($H126="","??????",""),IF($L126="","???",""),IF($M126="","?????",""),IF($N126="","??????????????",""),IF($O126="","??????????",""),IF($P126="","???????",""),IF($U126="","???","")))</f>
        <v/>
      </c>
    </row>
    <row r="127">
      <c r="U127">
        <f>IF($A127="","",IF(SUMIF(FoodLog!$A:$A,$A127,FoodLog!$I:$I)=0,"",SUMIF(FoodLog!$A:$A,$A127,FoodLog!$I:$I)))</f>
        <v/>
      </c>
      <c r="V127">
        <f>IF($A127="","",IF(SUMIF(FoodLog!$A:$A,$A127,FoodLog!$F:$F)=0,"",SUMIF(FoodLog!$A:$A,$A127,FoodLog!$F:$F)))</f>
        <v/>
      </c>
      <c r="W127">
        <f>IF($A127="","",IF(SUMIF(FoodLog!$A:$A,$A127,FoodLog!$G:$G)=0,"",SUMIF(FoodLog!$A:$A,$A127,FoodLog!$G:$G)))</f>
        <v/>
      </c>
      <c r="X127">
        <f>IF($A127="","",IF(SUMIF(FoodLog!$A:$A,$A127,FoodLog!$H:$H)=0,"",SUMIF(FoodLog!$A:$A,$A127,FoodLog!$H:$H)))</f>
        <v/>
      </c>
      <c r="Y127">
        <f>IF($A127="","",IFERROR(ROUND(100*AVERAGE(IF($B127="","",XLOOKUP($B127,FILTER(Dictionaries!$B:$B,Dictionaries!$A:$A="??????????"),FILTER(Dictionaries!$C:$C,Dictionaries!$A:$A="??????????"))),IF($C127="","",MIN($C127/40,1)),IF($D127="","",XLOOKUP($D127,FILTER(Dictionaries!$B:$B,Dictionaries!$A:$A="????"),FILTER(Dictionaries!$C:$C,Dictionaries!$A:$A="????"))),IF($E127="","",MIN($E127/120,1)),IF(OR($F127&lt;&gt;"",$G127&lt;&gt;""),1,""),IF($H127="","",MIN($H127/100,1)),IF($L127="","",XLOOKUP($L127,FILTER(Dictionaries!$B:$B,Dictionaries!$A:$A="???_????"),FILTER(Dictionaries!$C:$C,Dictionaries!$A:$A="???_????"))),IF($M127="","",XLOOKUP($M127,FILTER(Dictionaries!$B:$B,Dictionaries!$A:$A="?????"),FILTER(Dictionaries!$C:$C,Dictionaries!$A:$A="?????"))),IF($N127="","",MIN($N127/100,1)),IF($O127="","",XLOOKUP($O127,FILTER(Dictionaries!$B:$B,Dictionaries!$A:$A="??????????"),FILTER(Dictionaries!$C:$C,Dictionaries!$A:$A="??????????"))),IF($P127="","",XLOOKUP($P127,FILTER(Dictionaries!$B:$B,Dictionaries!$A:$A="???????"),FILTER(Dictionaries!$C:$C,Dictionaries!$A:$A="???????"))),IF($U127="","",LET(t,IF(OR($B127="????",$B127="????"),"train","rest"),k,$U127,p,$V127,f,$W127,c,$X127,k_s,IF(t="train",IF(k="","",IFS(AND(k&gt;=1900,k&lt;=2050),1,AND(k&gt;=1850,k&lt;1900),0.7,AND(k&gt;2050,k&lt;=2100),0.7,TRUE,0.2)),IF(k="","",IFS(AND(k&gt;=1700,k&lt;=1850),1,AND(k&gt;=1650,k&lt;1700),0.7,AND(k&gt;1850,k&lt;=1900),0.7,TRUE,0.2))),p_s,IF(t="train",IF(p="","",IFS(AND(p&gt;=125,p&lt;=135),1,AND(p&gt;=115,p&lt;125),0.7,AND(p&gt;135,p&lt;=145),0.7,AND(p&gt;=105,p&lt;115),0.4,AND(p&gt;145,p&lt;=155),0.4,TRUE,0.2)),IF(p="","",IFS(AND(p&gt;=120,p&lt;=130),1,AND(p&gt;=110,p&lt;120),0.7,AND(p&gt;130,p&lt;=140),0.7,AND(p&gt;=100,p&lt;110),0.4,AND(p&gt;140,p&lt;=150),0.4,TRUE,0.2))),f_s,IF(f="","",IFS(AND(f&gt;=55,f&lt;=65),1,AND(f&gt;=50,f&lt;55),0.7,AND(f&gt;65,f&lt;=70),0.7,AND(f&gt;=45,f&lt;50),0.4,AND(f&gt;70,f&lt;=75),0.4,TRUE,0.2)),c_s,IF(t="train",IF(c="","",IFS(AND(c&gt;=180,c&lt;=210),1,AND(c&gt;=160,c&lt;180),0.7,AND(c&gt;210,c&lt;=230),0.7,AND(c&gt;=140,c&lt;160),0.4,AND(c&gt;230,c&lt;=250),0.4,TRUE,0.2)),IF(c="","",IFS(AND(c&gt;=140,c&lt;=170),1,AND(c&gt;=120,c&lt;140),0.7,AND(c&gt;170,c&lt;=190),0.7,AND(c&gt;=100,c&lt;120),0.4,AND(c&gt;190,c&lt;=210),0.4,TRUE,0.2))),AVERAGE(k_s,p_s,f_s,c_s)))),1),""))</f>
        <v/>
      </c>
      <c r="Z127">
        <f>IF($A127="","",TEXTJOIN(", ",TRUE,IF($B127="","??????????",""),IF($C127="","??????",""),IF($D127="","????",""),IF($E127="","??????????",""),IF($F127="","???-?????",""),IF($G127="","???-????",""),IF($H127="","??????",""),IF($L127="","???",""),IF($M127="","?????",""),IF($N127="","??????????????",""),IF($O127="","??????????",""),IF($P127="","???????",""),IF($U127="","???","")))</f>
        <v/>
      </c>
    </row>
    <row r="128">
      <c r="U128">
        <f>IF($A128="","",IF(SUMIF(FoodLog!$A:$A,$A128,FoodLog!$I:$I)=0,"",SUMIF(FoodLog!$A:$A,$A128,FoodLog!$I:$I)))</f>
        <v/>
      </c>
      <c r="V128">
        <f>IF($A128="","",IF(SUMIF(FoodLog!$A:$A,$A128,FoodLog!$F:$F)=0,"",SUMIF(FoodLog!$A:$A,$A128,FoodLog!$F:$F)))</f>
        <v/>
      </c>
      <c r="W128">
        <f>IF($A128="","",IF(SUMIF(FoodLog!$A:$A,$A128,FoodLog!$G:$G)=0,"",SUMIF(FoodLog!$A:$A,$A128,FoodLog!$G:$G)))</f>
        <v/>
      </c>
      <c r="X128">
        <f>IF($A128="","",IF(SUMIF(FoodLog!$A:$A,$A128,FoodLog!$H:$H)=0,"",SUMIF(FoodLog!$A:$A,$A128,FoodLog!$H:$H)))</f>
        <v/>
      </c>
      <c r="Y128">
        <f>IF($A128="","",IFERROR(ROUND(100*AVERAGE(IF($B128="","",XLOOKUP($B128,FILTER(Dictionaries!$B:$B,Dictionaries!$A:$A="??????????"),FILTER(Dictionaries!$C:$C,Dictionaries!$A:$A="??????????"))),IF($C128="","",MIN($C128/40,1)),IF($D128="","",XLOOKUP($D128,FILTER(Dictionaries!$B:$B,Dictionaries!$A:$A="????"),FILTER(Dictionaries!$C:$C,Dictionaries!$A:$A="????"))),IF($E128="","",MIN($E128/120,1)),IF(OR($F128&lt;&gt;"",$G128&lt;&gt;""),1,""),IF($H128="","",MIN($H128/100,1)),IF($L128="","",XLOOKUP($L128,FILTER(Dictionaries!$B:$B,Dictionaries!$A:$A="???_????"),FILTER(Dictionaries!$C:$C,Dictionaries!$A:$A="???_????"))),IF($M128="","",XLOOKUP($M128,FILTER(Dictionaries!$B:$B,Dictionaries!$A:$A="?????"),FILTER(Dictionaries!$C:$C,Dictionaries!$A:$A="?????"))),IF($N128="","",MIN($N128/100,1)),IF($O128="","",XLOOKUP($O128,FILTER(Dictionaries!$B:$B,Dictionaries!$A:$A="??????????"),FILTER(Dictionaries!$C:$C,Dictionaries!$A:$A="??????????"))),IF($P128="","",XLOOKUP($P128,FILTER(Dictionaries!$B:$B,Dictionaries!$A:$A="???????"),FILTER(Dictionaries!$C:$C,Dictionaries!$A:$A="???????"))),IF($U128="","",LET(t,IF(OR($B128="????",$B128="????"),"train","rest"),k,$U128,p,$V128,f,$W128,c,$X128,k_s,IF(t="train",IF(k="","",IFS(AND(k&gt;=1900,k&lt;=2050),1,AND(k&gt;=1850,k&lt;1900),0.7,AND(k&gt;2050,k&lt;=2100),0.7,TRUE,0.2)),IF(k="","",IFS(AND(k&gt;=1700,k&lt;=1850),1,AND(k&gt;=1650,k&lt;1700),0.7,AND(k&gt;1850,k&lt;=1900),0.7,TRUE,0.2))),p_s,IF(t="train",IF(p="","",IFS(AND(p&gt;=125,p&lt;=135),1,AND(p&gt;=115,p&lt;125),0.7,AND(p&gt;135,p&lt;=145),0.7,AND(p&gt;=105,p&lt;115),0.4,AND(p&gt;145,p&lt;=155),0.4,TRUE,0.2)),IF(p="","",IFS(AND(p&gt;=120,p&lt;=130),1,AND(p&gt;=110,p&lt;120),0.7,AND(p&gt;130,p&lt;=140),0.7,AND(p&gt;=100,p&lt;110),0.4,AND(p&gt;140,p&lt;=150),0.4,TRUE,0.2))),f_s,IF(f="","",IFS(AND(f&gt;=55,f&lt;=65),1,AND(f&gt;=50,f&lt;55),0.7,AND(f&gt;65,f&lt;=70),0.7,AND(f&gt;=45,f&lt;50),0.4,AND(f&gt;70,f&lt;=75),0.4,TRUE,0.2)),c_s,IF(t="train",IF(c="","",IFS(AND(c&gt;=180,c&lt;=210),1,AND(c&gt;=160,c&lt;180),0.7,AND(c&gt;210,c&lt;=230),0.7,AND(c&gt;=140,c&lt;160),0.4,AND(c&gt;230,c&lt;=250),0.4,TRUE,0.2)),IF(c="","",IFS(AND(c&gt;=140,c&lt;=170),1,AND(c&gt;=120,c&lt;140),0.7,AND(c&gt;170,c&lt;=190),0.7,AND(c&gt;=100,c&lt;120),0.4,AND(c&gt;190,c&lt;=210),0.4,TRUE,0.2))),AVERAGE(k_s,p_s,f_s,c_s)))),1),""))</f>
        <v/>
      </c>
      <c r="Z128">
        <f>IF($A128="","",TEXTJOIN(", ",TRUE,IF($B128="","??????????",""),IF($C128="","??????",""),IF($D128="","????",""),IF($E128="","??????????",""),IF($F128="","???-?????",""),IF($G128="","???-????",""),IF($H128="","??????",""),IF($L128="","???",""),IF($M128="","?????",""),IF($N128="","??????????????",""),IF($O128="","??????????",""),IF($P128="","???????",""),IF($U128="","???","")))</f>
        <v/>
      </c>
    </row>
    <row r="129">
      <c r="U129">
        <f>IF($A129="","",IF(SUMIF(FoodLog!$A:$A,$A129,FoodLog!$I:$I)=0,"",SUMIF(FoodLog!$A:$A,$A129,FoodLog!$I:$I)))</f>
        <v/>
      </c>
      <c r="V129">
        <f>IF($A129="","",IF(SUMIF(FoodLog!$A:$A,$A129,FoodLog!$F:$F)=0,"",SUMIF(FoodLog!$A:$A,$A129,FoodLog!$F:$F)))</f>
        <v/>
      </c>
      <c r="W129">
        <f>IF($A129="","",IF(SUMIF(FoodLog!$A:$A,$A129,FoodLog!$G:$G)=0,"",SUMIF(FoodLog!$A:$A,$A129,FoodLog!$G:$G)))</f>
        <v/>
      </c>
      <c r="X129">
        <f>IF($A129="","",IF(SUMIF(FoodLog!$A:$A,$A129,FoodLog!$H:$H)=0,"",SUMIF(FoodLog!$A:$A,$A129,FoodLog!$H:$H)))</f>
        <v/>
      </c>
      <c r="Y129">
        <f>IF($A129="","",IFERROR(ROUND(100*AVERAGE(IF($B129="","",XLOOKUP($B129,FILTER(Dictionaries!$B:$B,Dictionaries!$A:$A="??????????"),FILTER(Dictionaries!$C:$C,Dictionaries!$A:$A="??????????"))),IF($C129="","",MIN($C129/40,1)),IF($D129="","",XLOOKUP($D129,FILTER(Dictionaries!$B:$B,Dictionaries!$A:$A="????"),FILTER(Dictionaries!$C:$C,Dictionaries!$A:$A="????"))),IF($E129="","",MIN($E129/120,1)),IF(OR($F129&lt;&gt;"",$G129&lt;&gt;""),1,""),IF($H129="","",MIN($H129/100,1)),IF($L129="","",XLOOKUP($L129,FILTER(Dictionaries!$B:$B,Dictionaries!$A:$A="???_????"),FILTER(Dictionaries!$C:$C,Dictionaries!$A:$A="???_????"))),IF($M129="","",XLOOKUP($M129,FILTER(Dictionaries!$B:$B,Dictionaries!$A:$A="?????"),FILTER(Dictionaries!$C:$C,Dictionaries!$A:$A="?????"))),IF($N129="","",MIN($N129/100,1)),IF($O129="","",XLOOKUP($O129,FILTER(Dictionaries!$B:$B,Dictionaries!$A:$A="??????????"),FILTER(Dictionaries!$C:$C,Dictionaries!$A:$A="??????????"))),IF($P129="","",XLOOKUP($P129,FILTER(Dictionaries!$B:$B,Dictionaries!$A:$A="???????"),FILTER(Dictionaries!$C:$C,Dictionaries!$A:$A="???????"))),IF($U129="","",LET(t,IF(OR($B129="????",$B129="????"),"train","rest"),k,$U129,p,$V129,f,$W129,c,$X129,k_s,IF(t="train",IF(k="","",IFS(AND(k&gt;=1900,k&lt;=2050),1,AND(k&gt;=1850,k&lt;1900),0.7,AND(k&gt;2050,k&lt;=2100),0.7,TRUE,0.2)),IF(k="","",IFS(AND(k&gt;=1700,k&lt;=1850),1,AND(k&gt;=1650,k&lt;1700),0.7,AND(k&gt;1850,k&lt;=1900),0.7,TRUE,0.2))),p_s,IF(t="train",IF(p="","",IFS(AND(p&gt;=125,p&lt;=135),1,AND(p&gt;=115,p&lt;125),0.7,AND(p&gt;135,p&lt;=145),0.7,AND(p&gt;=105,p&lt;115),0.4,AND(p&gt;145,p&lt;=155),0.4,TRUE,0.2)),IF(p="","",IFS(AND(p&gt;=120,p&lt;=130),1,AND(p&gt;=110,p&lt;120),0.7,AND(p&gt;130,p&lt;=140),0.7,AND(p&gt;=100,p&lt;110),0.4,AND(p&gt;140,p&lt;=150),0.4,TRUE,0.2))),f_s,IF(f="","",IFS(AND(f&gt;=55,f&lt;=65),1,AND(f&gt;=50,f&lt;55),0.7,AND(f&gt;65,f&lt;=70),0.7,AND(f&gt;=45,f&lt;50),0.4,AND(f&gt;70,f&lt;=75),0.4,TRUE,0.2)),c_s,IF(t="train",IF(c="","",IFS(AND(c&gt;=180,c&lt;=210),1,AND(c&gt;=160,c&lt;180),0.7,AND(c&gt;210,c&lt;=230),0.7,AND(c&gt;=140,c&lt;160),0.4,AND(c&gt;230,c&lt;=250),0.4,TRUE,0.2)),IF(c="","",IFS(AND(c&gt;=140,c&lt;=170),1,AND(c&gt;=120,c&lt;140),0.7,AND(c&gt;170,c&lt;=190),0.7,AND(c&gt;=100,c&lt;120),0.4,AND(c&gt;190,c&lt;=210),0.4,TRUE,0.2))),AVERAGE(k_s,p_s,f_s,c_s)))),1),""))</f>
        <v/>
      </c>
      <c r="Z129">
        <f>IF($A129="","",TEXTJOIN(", ",TRUE,IF($B129="","??????????",""),IF($C129="","??????",""),IF($D129="","????",""),IF($E129="","??????????",""),IF($F129="","???-?????",""),IF($G129="","???-????",""),IF($H129="","??????",""),IF($L129="","???",""),IF($M129="","?????",""),IF($N129="","??????????????",""),IF($O129="","??????????",""),IF($P129="","???????",""),IF($U129="","???","")))</f>
        <v/>
      </c>
    </row>
    <row r="130">
      <c r="U130">
        <f>IF($A130="","",IF(SUMIF(FoodLog!$A:$A,$A130,FoodLog!$I:$I)=0,"",SUMIF(FoodLog!$A:$A,$A130,FoodLog!$I:$I)))</f>
        <v/>
      </c>
      <c r="V130">
        <f>IF($A130="","",IF(SUMIF(FoodLog!$A:$A,$A130,FoodLog!$F:$F)=0,"",SUMIF(FoodLog!$A:$A,$A130,FoodLog!$F:$F)))</f>
        <v/>
      </c>
      <c r="W130">
        <f>IF($A130="","",IF(SUMIF(FoodLog!$A:$A,$A130,FoodLog!$G:$G)=0,"",SUMIF(FoodLog!$A:$A,$A130,FoodLog!$G:$G)))</f>
        <v/>
      </c>
      <c r="X130">
        <f>IF($A130="","",IF(SUMIF(FoodLog!$A:$A,$A130,FoodLog!$H:$H)=0,"",SUMIF(FoodLog!$A:$A,$A130,FoodLog!$H:$H)))</f>
        <v/>
      </c>
      <c r="Y130">
        <f>IF($A130="","",IFERROR(ROUND(100*AVERAGE(IF($B130="","",XLOOKUP($B130,FILTER(Dictionaries!$B:$B,Dictionaries!$A:$A="??????????"),FILTER(Dictionaries!$C:$C,Dictionaries!$A:$A="??????????"))),IF($C130="","",MIN($C130/40,1)),IF($D130="","",XLOOKUP($D130,FILTER(Dictionaries!$B:$B,Dictionaries!$A:$A="????"),FILTER(Dictionaries!$C:$C,Dictionaries!$A:$A="????"))),IF($E130="","",MIN($E130/120,1)),IF(OR($F130&lt;&gt;"",$G130&lt;&gt;""),1,""),IF($H130="","",MIN($H130/100,1)),IF($L130="","",XLOOKUP($L130,FILTER(Dictionaries!$B:$B,Dictionaries!$A:$A="???_????"),FILTER(Dictionaries!$C:$C,Dictionaries!$A:$A="???_????"))),IF($M130="","",XLOOKUP($M130,FILTER(Dictionaries!$B:$B,Dictionaries!$A:$A="?????"),FILTER(Dictionaries!$C:$C,Dictionaries!$A:$A="?????"))),IF($N130="","",MIN($N130/100,1)),IF($O130="","",XLOOKUP($O130,FILTER(Dictionaries!$B:$B,Dictionaries!$A:$A="??????????"),FILTER(Dictionaries!$C:$C,Dictionaries!$A:$A="??????????"))),IF($P130="","",XLOOKUP($P130,FILTER(Dictionaries!$B:$B,Dictionaries!$A:$A="???????"),FILTER(Dictionaries!$C:$C,Dictionaries!$A:$A="???????"))),IF($U130="","",LET(t,IF(OR($B130="????",$B130="????"),"train","rest"),k,$U130,p,$V130,f,$W130,c,$X130,k_s,IF(t="train",IF(k="","",IFS(AND(k&gt;=1900,k&lt;=2050),1,AND(k&gt;=1850,k&lt;1900),0.7,AND(k&gt;2050,k&lt;=2100),0.7,TRUE,0.2)),IF(k="","",IFS(AND(k&gt;=1700,k&lt;=1850),1,AND(k&gt;=1650,k&lt;1700),0.7,AND(k&gt;1850,k&lt;=1900),0.7,TRUE,0.2))),p_s,IF(t="train",IF(p="","",IFS(AND(p&gt;=125,p&lt;=135),1,AND(p&gt;=115,p&lt;125),0.7,AND(p&gt;135,p&lt;=145),0.7,AND(p&gt;=105,p&lt;115),0.4,AND(p&gt;145,p&lt;=155),0.4,TRUE,0.2)),IF(p="","",IFS(AND(p&gt;=120,p&lt;=130),1,AND(p&gt;=110,p&lt;120),0.7,AND(p&gt;130,p&lt;=140),0.7,AND(p&gt;=100,p&lt;110),0.4,AND(p&gt;140,p&lt;=150),0.4,TRUE,0.2))),f_s,IF(f="","",IFS(AND(f&gt;=55,f&lt;=65),1,AND(f&gt;=50,f&lt;55),0.7,AND(f&gt;65,f&lt;=70),0.7,AND(f&gt;=45,f&lt;50),0.4,AND(f&gt;70,f&lt;=75),0.4,TRUE,0.2)),c_s,IF(t="train",IF(c="","",IFS(AND(c&gt;=180,c&lt;=210),1,AND(c&gt;=160,c&lt;180),0.7,AND(c&gt;210,c&lt;=230),0.7,AND(c&gt;=140,c&lt;160),0.4,AND(c&gt;230,c&lt;=250),0.4,TRUE,0.2)),IF(c="","",IFS(AND(c&gt;=140,c&lt;=170),1,AND(c&gt;=120,c&lt;140),0.7,AND(c&gt;170,c&lt;=190),0.7,AND(c&gt;=100,c&lt;120),0.4,AND(c&gt;190,c&lt;=210),0.4,TRUE,0.2))),AVERAGE(k_s,p_s,f_s,c_s)))),1),""))</f>
        <v/>
      </c>
      <c r="Z130">
        <f>IF($A130="","",TEXTJOIN(", ",TRUE,IF($B130="","??????????",""),IF($C130="","??????",""),IF($D130="","????",""),IF($E130="","??????????",""),IF($F130="","???-?????",""),IF($G130="","???-????",""),IF($H130="","??????",""),IF($L130="","???",""),IF($M130="","?????",""),IF($N130="","??????????????",""),IF($O130="","??????????",""),IF($P130="","???????",""),IF($U130="","???","")))</f>
        <v/>
      </c>
    </row>
    <row r="131">
      <c r="U131">
        <f>IF($A131="","",IF(SUMIF(FoodLog!$A:$A,$A131,FoodLog!$I:$I)=0,"",SUMIF(FoodLog!$A:$A,$A131,FoodLog!$I:$I)))</f>
        <v/>
      </c>
      <c r="V131">
        <f>IF($A131="","",IF(SUMIF(FoodLog!$A:$A,$A131,FoodLog!$F:$F)=0,"",SUMIF(FoodLog!$A:$A,$A131,FoodLog!$F:$F)))</f>
        <v/>
      </c>
      <c r="W131">
        <f>IF($A131="","",IF(SUMIF(FoodLog!$A:$A,$A131,FoodLog!$G:$G)=0,"",SUMIF(FoodLog!$A:$A,$A131,FoodLog!$G:$G)))</f>
        <v/>
      </c>
      <c r="X131">
        <f>IF($A131="","",IF(SUMIF(FoodLog!$A:$A,$A131,FoodLog!$H:$H)=0,"",SUMIF(FoodLog!$A:$A,$A131,FoodLog!$H:$H)))</f>
        <v/>
      </c>
      <c r="Y131">
        <f>IF($A131="","",IFERROR(ROUND(100*AVERAGE(IF($B131="","",XLOOKUP($B131,FILTER(Dictionaries!$B:$B,Dictionaries!$A:$A="??????????"),FILTER(Dictionaries!$C:$C,Dictionaries!$A:$A="??????????"))),IF($C131="","",MIN($C131/40,1)),IF($D131="","",XLOOKUP($D131,FILTER(Dictionaries!$B:$B,Dictionaries!$A:$A="????"),FILTER(Dictionaries!$C:$C,Dictionaries!$A:$A="????"))),IF($E131="","",MIN($E131/120,1)),IF(OR($F131&lt;&gt;"",$G131&lt;&gt;""),1,""),IF($H131="","",MIN($H131/100,1)),IF($L131="","",XLOOKUP($L131,FILTER(Dictionaries!$B:$B,Dictionaries!$A:$A="???_????"),FILTER(Dictionaries!$C:$C,Dictionaries!$A:$A="???_????"))),IF($M131="","",XLOOKUP($M131,FILTER(Dictionaries!$B:$B,Dictionaries!$A:$A="?????"),FILTER(Dictionaries!$C:$C,Dictionaries!$A:$A="?????"))),IF($N131="","",MIN($N131/100,1)),IF($O131="","",XLOOKUP($O131,FILTER(Dictionaries!$B:$B,Dictionaries!$A:$A="??????????"),FILTER(Dictionaries!$C:$C,Dictionaries!$A:$A="??????????"))),IF($P131="","",XLOOKUP($P131,FILTER(Dictionaries!$B:$B,Dictionaries!$A:$A="???????"),FILTER(Dictionaries!$C:$C,Dictionaries!$A:$A="???????"))),IF($U131="","",LET(t,IF(OR($B131="????",$B131="????"),"train","rest"),k,$U131,p,$V131,f,$W131,c,$X131,k_s,IF(t="train",IF(k="","",IFS(AND(k&gt;=1900,k&lt;=2050),1,AND(k&gt;=1850,k&lt;1900),0.7,AND(k&gt;2050,k&lt;=2100),0.7,TRUE,0.2)),IF(k="","",IFS(AND(k&gt;=1700,k&lt;=1850),1,AND(k&gt;=1650,k&lt;1700),0.7,AND(k&gt;1850,k&lt;=1900),0.7,TRUE,0.2))),p_s,IF(t="train",IF(p="","",IFS(AND(p&gt;=125,p&lt;=135),1,AND(p&gt;=115,p&lt;125),0.7,AND(p&gt;135,p&lt;=145),0.7,AND(p&gt;=105,p&lt;115),0.4,AND(p&gt;145,p&lt;=155),0.4,TRUE,0.2)),IF(p="","",IFS(AND(p&gt;=120,p&lt;=130),1,AND(p&gt;=110,p&lt;120),0.7,AND(p&gt;130,p&lt;=140),0.7,AND(p&gt;=100,p&lt;110),0.4,AND(p&gt;140,p&lt;=150),0.4,TRUE,0.2))),f_s,IF(f="","",IFS(AND(f&gt;=55,f&lt;=65),1,AND(f&gt;=50,f&lt;55),0.7,AND(f&gt;65,f&lt;=70),0.7,AND(f&gt;=45,f&lt;50),0.4,AND(f&gt;70,f&lt;=75),0.4,TRUE,0.2)),c_s,IF(t="train",IF(c="","",IFS(AND(c&gt;=180,c&lt;=210),1,AND(c&gt;=160,c&lt;180),0.7,AND(c&gt;210,c&lt;=230),0.7,AND(c&gt;=140,c&lt;160),0.4,AND(c&gt;230,c&lt;=250),0.4,TRUE,0.2)),IF(c="","",IFS(AND(c&gt;=140,c&lt;=170),1,AND(c&gt;=120,c&lt;140),0.7,AND(c&gt;170,c&lt;=190),0.7,AND(c&gt;=100,c&lt;120),0.4,AND(c&gt;190,c&lt;=210),0.4,TRUE,0.2))),AVERAGE(k_s,p_s,f_s,c_s)))),1),""))</f>
        <v/>
      </c>
      <c r="Z131">
        <f>IF($A131="","",TEXTJOIN(", ",TRUE,IF($B131="","??????????",""),IF($C131="","??????",""),IF($D131="","????",""),IF($E131="","??????????",""),IF($F131="","???-?????",""),IF($G131="","???-????",""),IF($H131="","??????",""),IF($L131="","???",""),IF($M131="","?????",""),IF($N131="","??????????????",""),IF($O131="","??????????",""),IF($P131="","???????",""),IF($U131="","???","")))</f>
        <v/>
      </c>
    </row>
    <row r="132">
      <c r="U132">
        <f>IF($A132="","",IF(SUMIF(FoodLog!$A:$A,$A132,FoodLog!$I:$I)=0,"",SUMIF(FoodLog!$A:$A,$A132,FoodLog!$I:$I)))</f>
        <v/>
      </c>
      <c r="V132">
        <f>IF($A132="","",IF(SUMIF(FoodLog!$A:$A,$A132,FoodLog!$F:$F)=0,"",SUMIF(FoodLog!$A:$A,$A132,FoodLog!$F:$F)))</f>
        <v/>
      </c>
      <c r="W132">
        <f>IF($A132="","",IF(SUMIF(FoodLog!$A:$A,$A132,FoodLog!$G:$G)=0,"",SUMIF(FoodLog!$A:$A,$A132,FoodLog!$G:$G)))</f>
        <v/>
      </c>
      <c r="X132">
        <f>IF($A132="","",IF(SUMIF(FoodLog!$A:$A,$A132,FoodLog!$H:$H)=0,"",SUMIF(FoodLog!$A:$A,$A132,FoodLog!$H:$H)))</f>
        <v/>
      </c>
      <c r="Y132">
        <f>IF($A132="","",IFERROR(ROUND(100*AVERAGE(IF($B132="","",XLOOKUP($B132,FILTER(Dictionaries!$B:$B,Dictionaries!$A:$A="??????????"),FILTER(Dictionaries!$C:$C,Dictionaries!$A:$A="??????????"))),IF($C132="","",MIN($C132/40,1)),IF($D132="","",XLOOKUP($D132,FILTER(Dictionaries!$B:$B,Dictionaries!$A:$A="????"),FILTER(Dictionaries!$C:$C,Dictionaries!$A:$A="????"))),IF($E132="","",MIN($E132/120,1)),IF(OR($F132&lt;&gt;"",$G132&lt;&gt;""),1,""),IF($H132="","",MIN($H132/100,1)),IF($L132="","",XLOOKUP($L132,FILTER(Dictionaries!$B:$B,Dictionaries!$A:$A="???_????"),FILTER(Dictionaries!$C:$C,Dictionaries!$A:$A="???_????"))),IF($M132="","",XLOOKUP($M132,FILTER(Dictionaries!$B:$B,Dictionaries!$A:$A="?????"),FILTER(Dictionaries!$C:$C,Dictionaries!$A:$A="?????"))),IF($N132="","",MIN($N132/100,1)),IF($O132="","",XLOOKUP($O132,FILTER(Dictionaries!$B:$B,Dictionaries!$A:$A="??????????"),FILTER(Dictionaries!$C:$C,Dictionaries!$A:$A="??????????"))),IF($P132="","",XLOOKUP($P132,FILTER(Dictionaries!$B:$B,Dictionaries!$A:$A="???????"),FILTER(Dictionaries!$C:$C,Dictionaries!$A:$A="???????"))),IF($U132="","",LET(t,IF(OR($B132="????",$B132="????"),"train","rest"),k,$U132,p,$V132,f,$W132,c,$X132,k_s,IF(t="train",IF(k="","",IFS(AND(k&gt;=1900,k&lt;=2050),1,AND(k&gt;=1850,k&lt;1900),0.7,AND(k&gt;2050,k&lt;=2100),0.7,TRUE,0.2)),IF(k="","",IFS(AND(k&gt;=1700,k&lt;=1850),1,AND(k&gt;=1650,k&lt;1700),0.7,AND(k&gt;1850,k&lt;=1900),0.7,TRUE,0.2))),p_s,IF(t="train",IF(p="","",IFS(AND(p&gt;=125,p&lt;=135),1,AND(p&gt;=115,p&lt;125),0.7,AND(p&gt;135,p&lt;=145),0.7,AND(p&gt;=105,p&lt;115),0.4,AND(p&gt;145,p&lt;=155),0.4,TRUE,0.2)),IF(p="","",IFS(AND(p&gt;=120,p&lt;=130),1,AND(p&gt;=110,p&lt;120),0.7,AND(p&gt;130,p&lt;=140),0.7,AND(p&gt;=100,p&lt;110),0.4,AND(p&gt;140,p&lt;=150),0.4,TRUE,0.2))),f_s,IF(f="","",IFS(AND(f&gt;=55,f&lt;=65),1,AND(f&gt;=50,f&lt;55),0.7,AND(f&gt;65,f&lt;=70),0.7,AND(f&gt;=45,f&lt;50),0.4,AND(f&gt;70,f&lt;=75),0.4,TRUE,0.2)),c_s,IF(t="train",IF(c="","",IFS(AND(c&gt;=180,c&lt;=210),1,AND(c&gt;=160,c&lt;180),0.7,AND(c&gt;210,c&lt;=230),0.7,AND(c&gt;=140,c&lt;160),0.4,AND(c&gt;230,c&lt;=250),0.4,TRUE,0.2)),IF(c="","",IFS(AND(c&gt;=140,c&lt;=170),1,AND(c&gt;=120,c&lt;140),0.7,AND(c&gt;170,c&lt;=190),0.7,AND(c&gt;=100,c&lt;120),0.4,AND(c&gt;190,c&lt;=210),0.4,TRUE,0.2))),AVERAGE(k_s,p_s,f_s,c_s)))),1),""))</f>
        <v/>
      </c>
      <c r="Z132">
        <f>IF($A132="","",TEXTJOIN(", ",TRUE,IF($B132="","??????????",""),IF($C132="","??????",""),IF($D132="","????",""),IF($E132="","??????????",""),IF($F132="","???-?????",""),IF($G132="","???-????",""),IF($H132="","??????",""),IF($L132="","???",""),IF($M132="","?????",""),IF($N132="","??????????????",""),IF($O132="","??????????",""),IF($P132="","???????",""),IF($U132="","???","")))</f>
        <v/>
      </c>
    </row>
    <row r="133">
      <c r="U133">
        <f>IF($A133="","",IF(SUMIF(FoodLog!$A:$A,$A133,FoodLog!$I:$I)=0,"",SUMIF(FoodLog!$A:$A,$A133,FoodLog!$I:$I)))</f>
        <v/>
      </c>
      <c r="V133">
        <f>IF($A133="","",IF(SUMIF(FoodLog!$A:$A,$A133,FoodLog!$F:$F)=0,"",SUMIF(FoodLog!$A:$A,$A133,FoodLog!$F:$F)))</f>
        <v/>
      </c>
      <c r="W133">
        <f>IF($A133="","",IF(SUMIF(FoodLog!$A:$A,$A133,FoodLog!$G:$G)=0,"",SUMIF(FoodLog!$A:$A,$A133,FoodLog!$G:$G)))</f>
        <v/>
      </c>
      <c r="X133">
        <f>IF($A133="","",IF(SUMIF(FoodLog!$A:$A,$A133,FoodLog!$H:$H)=0,"",SUMIF(FoodLog!$A:$A,$A133,FoodLog!$H:$H)))</f>
        <v/>
      </c>
      <c r="Y133">
        <f>IF($A133="","",IFERROR(ROUND(100*AVERAGE(IF($B133="","",XLOOKUP($B133,FILTER(Dictionaries!$B:$B,Dictionaries!$A:$A="??????????"),FILTER(Dictionaries!$C:$C,Dictionaries!$A:$A="??????????"))),IF($C133="","",MIN($C133/40,1)),IF($D133="","",XLOOKUP($D133,FILTER(Dictionaries!$B:$B,Dictionaries!$A:$A="????"),FILTER(Dictionaries!$C:$C,Dictionaries!$A:$A="????"))),IF($E133="","",MIN($E133/120,1)),IF(OR($F133&lt;&gt;"",$G133&lt;&gt;""),1,""),IF($H133="","",MIN($H133/100,1)),IF($L133="","",XLOOKUP($L133,FILTER(Dictionaries!$B:$B,Dictionaries!$A:$A="???_????"),FILTER(Dictionaries!$C:$C,Dictionaries!$A:$A="???_????"))),IF($M133="","",XLOOKUP($M133,FILTER(Dictionaries!$B:$B,Dictionaries!$A:$A="?????"),FILTER(Dictionaries!$C:$C,Dictionaries!$A:$A="?????"))),IF($N133="","",MIN($N133/100,1)),IF($O133="","",XLOOKUP($O133,FILTER(Dictionaries!$B:$B,Dictionaries!$A:$A="??????????"),FILTER(Dictionaries!$C:$C,Dictionaries!$A:$A="??????????"))),IF($P133="","",XLOOKUP($P133,FILTER(Dictionaries!$B:$B,Dictionaries!$A:$A="???????"),FILTER(Dictionaries!$C:$C,Dictionaries!$A:$A="???????"))),IF($U133="","",LET(t,IF(OR($B133="????",$B133="????"),"train","rest"),k,$U133,p,$V133,f,$W133,c,$X133,k_s,IF(t="train",IF(k="","",IFS(AND(k&gt;=1900,k&lt;=2050),1,AND(k&gt;=1850,k&lt;1900),0.7,AND(k&gt;2050,k&lt;=2100),0.7,TRUE,0.2)),IF(k="","",IFS(AND(k&gt;=1700,k&lt;=1850),1,AND(k&gt;=1650,k&lt;1700),0.7,AND(k&gt;1850,k&lt;=1900),0.7,TRUE,0.2))),p_s,IF(t="train",IF(p="","",IFS(AND(p&gt;=125,p&lt;=135),1,AND(p&gt;=115,p&lt;125),0.7,AND(p&gt;135,p&lt;=145),0.7,AND(p&gt;=105,p&lt;115),0.4,AND(p&gt;145,p&lt;=155),0.4,TRUE,0.2)),IF(p="","",IFS(AND(p&gt;=120,p&lt;=130),1,AND(p&gt;=110,p&lt;120),0.7,AND(p&gt;130,p&lt;=140),0.7,AND(p&gt;=100,p&lt;110),0.4,AND(p&gt;140,p&lt;=150),0.4,TRUE,0.2))),f_s,IF(f="","",IFS(AND(f&gt;=55,f&lt;=65),1,AND(f&gt;=50,f&lt;55),0.7,AND(f&gt;65,f&lt;=70),0.7,AND(f&gt;=45,f&lt;50),0.4,AND(f&gt;70,f&lt;=75),0.4,TRUE,0.2)),c_s,IF(t="train",IF(c="","",IFS(AND(c&gt;=180,c&lt;=210),1,AND(c&gt;=160,c&lt;180),0.7,AND(c&gt;210,c&lt;=230),0.7,AND(c&gt;=140,c&lt;160),0.4,AND(c&gt;230,c&lt;=250),0.4,TRUE,0.2)),IF(c="","",IFS(AND(c&gt;=140,c&lt;=170),1,AND(c&gt;=120,c&lt;140),0.7,AND(c&gt;170,c&lt;=190),0.7,AND(c&gt;=100,c&lt;120),0.4,AND(c&gt;190,c&lt;=210),0.4,TRUE,0.2))),AVERAGE(k_s,p_s,f_s,c_s)))),1),""))</f>
        <v/>
      </c>
      <c r="Z133">
        <f>IF($A133="","",TEXTJOIN(", ",TRUE,IF($B133="","??????????",""),IF($C133="","??????",""),IF($D133="","????",""),IF($E133="","??????????",""),IF($F133="","???-?????",""),IF($G133="","???-????",""),IF($H133="","??????",""),IF($L133="","???",""),IF($M133="","?????",""),IF($N133="","??????????????",""),IF($O133="","??????????",""),IF($P133="","???????",""),IF($U133="","???","")))</f>
        <v/>
      </c>
    </row>
    <row r="134">
      <c r="U134">
        <f>IF($A134="","",IF(SUMIF(FoodLog!$A:$A,$A134,FoodLog!$I:$I)=0,"",SUMIF(FoodLog!$A:$A,$A134,FoodLog!$I:$I)))</f>
        <v/>
      </c>
      <c r="V134">
        <f>IF($A134="","",IF(SUMIF(FoodLog!$A:$A,$A134,FoodLog!$F:$F)=0,"",SUMIF(FoodLog!$A:$A,$A134,FoodLog!$F:$F)))</f>
        <v/>
      </c>
      <c r="W134">
        <f>IF($A134="","",IF(SUMIF(FoodLog!$A:$A,$A134,FoodLog!$G:$G)=0,"",SUMIF(FoodLog!$A:$A,$A134,FoodLog!$G:$G)))</f>
        <v/>
      </c>
      <c r="X134">
        <f>IF($A134="","",IF(SUMIF(FoodLog!$A:$A,$A134,FoodLog!$H:$H)=0,"",SUMIF(FoodLog!$A:$A,$A134,FoodLog!$H:$H)))</f>
        <v/>
      </c>
      <c r="Y134">
        <f>IF($A134="","",IFERROR(ROUND(100*AVERAGE(IF($B134="","",XLOOKUP($B134,FILTER(Dictionaries!$B:$B,Dictionaries!$A:$A="??????????"),FILTER(Dictionaries!$C:$C,Dictionaries!$A:$A="??????????"))),IF($C134="","",MIN($C134/40,1)),IF($D134="","",XLOOKUP($D134,FILTER(Dictionaries!$B:$B,Dictionaries!$A:$A="????"),FILTER(Dictionaries!$C:$C,Dictionaries!$A:$A="????"))),IF($E134="","",MIN($E134/120,1)),IF(OR($F134&lt;&gt;"",$G134&lt;&gt;""),1,""),IF($H134="","",MIN($H134/100,1)),IF($L134="","",XLOOKUP($L134,FILTER(Dictionaries!$B:$B,Dictionaries!$A:$A="???_????"),FILTER(Dictionaries!$C:$C,Dictionaries!$A:$A="???_????"))),IF($M134="","",XLOOKUP($M134,FILTER(Dictionaries!$B:$B,Dictionaries!$A:$A="?????"),FILTER(Dictionaries!$C:$C,Dictionaries!$A:$A="?????"))),IF($N134="","",MIN($N134/100,1)),IF($O134="","",XLOOKUP($O134,FILTER(Dictionaries!$B:$B,Dictionaries!$A:$A="??????????"),FILTER(Dictionaries!$C:$C,Dictionaries!$A:$A="??????????"))),IF($P134="","",XLOOKUP($P134,FILTER(Dictionaries!$B:$B,Dictionaries!$A:$A="???????"),FILTER(Dictionaries!$C:$C,Dictionaries!$A:$A="???????"))),IF($U134="","",LET(t,IF(OR($B134="????",$B134="????"),"train","rest"),k,$U134,p,$V134,f,$W134,c,$X134,k_s,IF(t="train",IF(k="","",IFS(AND(k&gt;=1900,k&lt;=2050),1,AND(k&gt;=1850,k&lt;1900),0.7,AND(k&gt;2050,k&lt;=2100),0.7,TRUE,0.2)),IF(k="","",IFS(AND(k&gt;=1700,k&lt;=1850),1,AND(k&gt;=1650,k&lt;1700),0.7,AND(k&gt;1850,k&lt;=1900),0.7,TRUE,0.2))),p_s,IF(t="train",IF(p="","",IFS(AND(p&gt;=125,p&lt;=135),1,AND(p&gt;=115,p&lt;125),0.7,AND(p&gt;135,p&lt;=145),0.7,AND(p&gt;=105,p&lt;115),0.4,AND(p&gt;145,p&lt;=155),0.4,TRUE,0.2)),IF(p="","",IFS(AND(p&gt;=120,p&lt;=130),1,AND(p&gt;=110,p&lt;120),0.7,AND(p&gt;130,p&lt;=140),0.7,AND(p&gt;=100,p&lt;110),0.4,AND(p&gt;140,p&lt;=150),0.4,TRUE,0.2))),f_s,IF(f="","",IFS(AND(f&gt;=55,f&lt;=65),1,AND(f&gt;=50,f&lt;55),0.7,AND(f&gt;65,f&lt;=70),0.7,AND(f&gt;=45,f&lt;50),0.4,AND(f&gt;70,f&lt;=75),0.4,TRUE,0.2)),c_s,IF(t="train",IF(c="","",IFS(AND(c&gt;=180,c&lt;=210),1,AND(c&gt;=160,c&lt;180),0.7,AND(c&gt;210,c&lt;=230),0.7,AND(c&gt;=140,c&lt;160),0.4,AND(c&gt;230,c&lt;=250),0.4,TRUE,0.2)),IF(c="","",IFS(AND(c&gt;=140,c&lt;=170),1,AND(c&gt;=120,c&lt;140),0.7,AND(c&gt;170,c&lt;=190),0.7,AND(c&gt;=100,c&lt;120),0.4,AND(c&gt;190,c&lt;=210),0.4,TRUE,0.2))),AVERAGE(k_s,p_s,f_s,c_s)))),1),""))</f>
        <v/>
      </c>
      <c r="Z134">
        <f>IF($A134="","",TEXTJOIN(", ",TRUE,IF($B134="","??????????",""),IF($C134="","??????",""),IF($D134="","????",""),IF($E134="","??????????",""),IF($F134="","???-?????",""),IF($G134="","???-????",""),IF($H134="","??????",""),IF($L134="","???",""),IF($M134="","?????",""),IF($N134="","??????????????",""),IF($O134="","??????????",""),IF($P134="","???????",""),IF($U134="","???","")))</f>
        <v/>
      </c>
    </row>
    <row r="135">
      <c r="U135">
        <f>IF($A135="","",IF(SUMIF(FoodLog!$A:$A,$A135,FoodLog!$I:$I)=0,"",SUMIF(FoodLog!$A:$A,$A135,FoodLog!$I:$I)))</f>
        <v/>
      </c>
      <c r="V135">
        <f>IF($A135="","",IF(SUMIF(FoodLog!$A:$A,$A135,FoodLog!$F:$F)=0,"",SUMIF(FoodLog!$A:$A,$A135,FoodLog!$F:$F)))</f>
        <v/>
      </c>
      <c r="W135">
        <f>IF($A135="","",IF(SUMIF(FoodLog!$A:$A,$A135,FoodLog!$G:$G)=0,"",SUMIF(FoodLog!$A:$A,$A135,FoodLog!$G:$G)))</f>
        <v/>
      </c>
      <c r="X135">
        <f>IF($A135="","",IF(SUMIF(FoodLog!$A:$A,$A135,FoodLog!$H:$H)=0,"",SUMIF(FoodLog!$A:$A,$A135,FoodLog!$H:$H)))</f>
        <v/>
      </c>
      <c r="Y135">
        <f>IF($A135="","",IFERROR(ROUND(100*AVERAGE(IF($B135="","",XLOOKUP($B135,FILTER(Dictionaries!$B:$B,Dictionaries!$A:$A="??????????"),FILTER(Dictionaries!$C:$C,Dictionaries!$A:$A="??????????"))),IF($C135="","",MIN($C135/40,1)),IF($D135="","",XLOOKUP($D135,FILTER(Dictionaries!$B:$B,Dictionaries!$A:$A="????"),FILTER(Dictionaries!$C:$C,Dictionaries!$A:$A="????"))),IF($E135="","",MIN($E135/120,1)),IF(OR($F135&lt;&gt;"",$G135&lt;&gt;""),1,""),IF($H135="","",MIN($H135/100,1)),IF($L135="","",XLOOKUP($L135,FILTER(Dictionaries!$B:$B,Dictionaries!$A:$A="???_????"),FILTER(Dictionaries!$C:$C,Dictionaries!$A:$A="???_????"))),IF($M135="","",XLOOKUP($M135,FILTER(Dictionaries!$B:$B,Dictionaries!$A:$A="?????"),FILTER(Dictionaries!$C:$C,Dictionaries!$A:$A="?????"))),IF($N135="","",MIN($N135/100,1)),IF($O135="","",XLOOKUP($O135,FILTER(Dictionaries!$B:$B,Dictionaries!$A:$A="??????????"),FILTER(Dictionaries!$C:$C,Dictionaries!$A:$A="??????????"))),IF($P135="","",XLOOKUP($P135,FILTER(Dictionaries!$B:$B,Dictionaries!$A:$A="???????"),FILTER(Dictionaries!$C:$C,Dictionaries!$A:$A="???????"))),IF($U135="","",LET(t,IF(OR($B135="????",$B135="????"),"train","rest"),k,$U135,p,$V135,f,$W135,c,$X135,k_s,IF(t="train",IF(k="","",IFS(AND(k&gt;=1900,k&lt;=2050),1,AND(k&gt;=1850,k&lt;1900),0.7,AND(k&gt;2050,k&lt;=2100),0.7,TRUE,0.2)),IF(k="","",IFS(AND(k&gt;=1700,k&lt;=1850),1,AND(k&gt;=1650,k&lt;1700),0.7,AND(k&gt;1850,k&lt;=1900),0.7,TRUE,0.2))),p_s,IF(t="train",IF(p="","",IFS(AND(p&gt;=125,p&lt;=135),1,AND(p&gt;=115,p&lt;125),0.7,AND(p&gt;135,p&lt;=145),0.7,AND(p&gt;=105,p&lt;115),0.4,AND(p&gt;145,p&lt;=155),0.4,TRUE,0.2)),IF(p="","",IFS(AND(p&gt;=120,p&lt;=130),1,AND(p&gt;=110,p&lt;120),0.7,AND(p&gt;130,p&lt;=140),0.7,AND(p&gt;=100,p&lt;110),0.4,AND(p&gt;140,p&lt;=150),0.4,TRUE,0.2))),f_s,IF(f="","",IFS(AND(f&gt;=55,f&lt;=65),1,AND(f&gt;=50,f&lt;55),0.7,AND(f&gt;65,f&lt;=70),0.7,AND(f&gt;=45,f&lt;50),0.4,AND(f&gt;70,f&lt;=75),0.4,TRUE,0.2)),c_s,IF(t="train",IF(c="","",IFS(AND(c&gt;=180,c&lt;=210),1,AND(c&gt;=160,c&lt;180),0.7,AND(c&gt;210,c&lt;=230),0.7,AND(c&gt;=140,c&lt;160),0.4,AND(c&gt;230,c&lt;=250),0.4,TRUE,0.2)),IF(c="","",IFS(AND(c&gt;=140,c&lt;=170),1,AND(c&gt;=120,c&lt;140),0.7,AND(c&gt;170,c&lt;=190),0.7,AND(c&gt;=100,c&lt;120),0.4,AND(c&gt;190,c&lt;=210),0.4,TRUE,0.2))),AVERAGE(k_s,p_s,f_s,c_s)))),1),""))</f>
        <v/>
      </c>
      <c r="Z135">
        <f>IF($A135="","",TEXTJOIN(", ",TRUE,IF($B135="","??????????",""),IF($C135="","??????",""),IF($D135="","????",""),IF($E135="","??????????",""),IF($F135="","???-?????",""),IF($G135="","???-????",""),IF($H135="","??????",""),IF($L135="","???",""),IF($M135="","?????",""),IF($N135="","??????????????",""),IF($O135="","??????????",""),IF($P135="","???????",""),IF($U135="","???","")))</f>
        <v/>
      </c>
    </row>
    <row r="136">
      <c r="U136">
        <f>IF($A136="","",IF(SUMIF(FoodLog!$A:$A,$A136,FoodLog!$I:$I)=0,"",SUMIF(FoodLog!$A:$A,$A136,FoodLog!$I:$I)))</f>
        <v/>
      </c>
      <c r="V136">
        <f>IF($A136="","",IF(SUMIF(FoodLog!$A:$A,$A136,FoodLog!$F:$F)=0,"",SUMIF(FoodLog!$A:$A,$A136,FoodLog!$F:$F)))</f>
        <v/>
      </c>
      <c r="W136">
        <f>IF($A136="","",IF(SUMIF(FoodLog!$A:$A,$A136,FoodLog!$G:$G)=0,"",SUMIF(FoodLog!$A:$A,$A136,FoodLog!$G:$G)))</f>
        <v/>
      </c>
      <c r="X136">
        <f>IF($A136="","",IF(SUMIF(FoodLog!$A:$A,$A136,FoodLog!$H:$H)=0,"",SUMIF(FoodLog!$A:$A,$A136,FoodLog!$H:$H)))</f>
        <v/>
      </c>
      <c r="Y136">
        <f>IF($A136="","",IFERROR(ROUND(100*AVERAGE(IF($B136="","",XLOOKUP($B136,FILTER(Dictionaries!$B:$B,Dictionaries!$A:$A="??????????"),FILTER(Dictionaries!$C:$C,Dictionaries!$A:$A="??????????"))),IF($C136="","",MIN($C136/40,1)),IF($D136="","",XLOOKUP($D136,FILTER(Dictionaries!$B:$B,Dictionaries!$A:$A="????"),FILTER(Dictionaries!$C:$C,Dictionaries!$A:$A="????"))),IF($E136="","",MIN($E136/120,1)),IF(OR($F136&lt;&gt;"",$G136&lt;&gt;""),1,""),IF($H136="","",MIN($H136/100,1)),IF($L136="","",XLOOKUP($L136,FILTER(Dictionaries!$B:$B,Dictionaries!$A:$A="???_????"),FILTER(Dictionaries!$C:$C,Dictionaries!$A:$A="???_????"))),IF($M136="","",XLOOKUP($M136,FILTER(Dictionaries!$B:$B,Dictionaries!$A:$A="?????"),FILTER(Dictionaries!$C:$C,Dictionaries!$A:$A="?????"))),IF($N136="","",MIN($N136/100,1)),IF($O136="","",XLOOKUP($O136,FILTER(Dictionaries!$B:$B,Dictionaries!$A:$A="??????????"),FILTER(Dictionaries!$C:$C,Dictionaries!$A:$A="??????????"))),IF($P136="","",XLOOKUP($P136,FILTER(Dictionaries!$B:$B,Dictionaries!$A:$A="???????"),FILTER(Dictionaries!$C:$C,Dictionaries!$A:$A="???????"))),IF($U136="","",LET(t,IF(OR($B136="????",$B136="????"),"train","rest"),k,$U136,p,$V136,f,$W136,c,$X136,k_s,IF(t="train",IF(k="","",IFS(AND(k&gt;=1900,k&lt;=2050),1,AND(k&gt;=1850,k&lt;1900),0.7,AND(k&gt;2050,k&lt;=2100),0.7,TRUE,0.2)),IF(k="","",IFS(AND(k&gt;=1700,k&lt;=1850),1,AND(k&gt;=1650,k&lt;1700),0.7,AND(k&gt;1850,k&lt;=1900),0.7,TRUE,0.2))),p_s,IF(t="train",IF(p="","",IFS(AND(p&gt;=125,p&lt;=135),1,AND(p&gt;=115,p&lt;125),0.7,AND(p&gt;135,p&lt;=145),0.7,AND(p&gt;=105,p&lt;115),0.4,AND(p&gt;145,p&lt;=155),0.4,TRUE,0.2)),IF(p="","",IFS(AND(p&gt;=120,p&lt;=130),1,AND(p&gt;=110,p&lt;120),0.7,AND(p&gt;130,p&lt;=140),0.7,AND(p&gt;=100,p&lt;110),0.4,AND(p&gt;140,p&lt;=150),0.4,TRUE,0.2))),f_s,IF(f="","",IFS(AND(f&gt;=55,f&lt;=65),1,AND(f&gt;=50,f&lt;55),0.7,AND(f&gt;65,f&lt;=70),0.7,AND(f&gt;=45,f&lt;50),0.4,AND(f&gt;70,f&lt;=75),0.4,TRUE,0.2)),c_s,IF(t="train",IF(c="","",IFS(AND(c&gt;=180,c&lt;=210),1,AND(c&gt;=160,c&lt;180),0.7,AND(c&gt;210,c&lt;=230),0.7,AND(c&gt;=140,c&lt;160),0.4,AND(c&gt;230,c&lt;=250),0.4,TRUE,0.2)),IF(c="","",IFS(AND(c&gt;=140,c&lt;=170),1,AND(c&gt;=120,c&lt;140),0.7,AND(c&gt;170,c&lt;=190),0.7,AND(c&gt;=100,c&lt;120),0.4,AND(c&gt;190,c&lt;=210),0.4,TRUE,0.2))),AVERAGE(k_s,p_s,f_s,c_s)))),1),""))</f>
        <v/>
      </c>
      <c r="Z136">
        <f>IF($A136="","",TEXTJOIN(", ",TRUE,IF($B136="","??????????",""),IF($C136="","??????",""),IF($D136="","????",""),IF($E136="","??????????",""),IF($F136="","???-?????",""),IF($G136="","???-????",""),IF($H136="","??????",""),IF($L136="","???",""),IF($M136="","?????",""),IF($N136="","??????????????",""),IF($O136="","??????????",""),IF($P136="","???????",""),IF($U136="","???","")))</f>
        <v/>
      </c>
    </row>
    <row r="137">
      <c r="U137">
        <f>IF($A137="","",IF(SUMIF(FoodLog!$A:$A,$A137,FoodLog!$I:$I)=0,"",SUMIF(FoodLog!$A:$A,$A137,FoodLog!$I:$I)))</f>
        <v/>
      </c>
      <c r="V137">
        <f>IF($A137="","",IF(SUMIF(FoodLog!$A:$A,$A137,FoodLog!$F:$F)=0,"",SUMIF(FoodLog!$A:$A,$A137,FoodLog!$F:$F)))</f>
        <v/>
      </c>
      <c r="W137">
        <f>IF($A137="","",IF(SUMIF(FoodLog!$A:$A,$A137,FoodLog!$G:$G)=0,"",SUMIF(FoodLog!$A:$A,$A137,FoodLog!$G:$G)))</f>
        <v/>
      </c>
      <c r="X137">
        <f>IF($A137="","",IF(SUMIF(FoodLog!$A:$A,$A137,FoodLog!$H:$H)=0,"",SUMIF(FoodLog!$A:$A,$A137,FoodLog!$H:$H)))</f>
        <v/>
      </c>
      <c r="Y137">
        <f>IF($A137="","",IFERROR(ROUND(100*AVERAGE(IF($B137="","",XLOOKUP($B137,FILTER(Dictionaries!$B:$B,Dictionaries!$A:$A="??????????"),FILTER(Dictionaries!$C:$C,Dictionaries!$A:$A="??????????"))),IF($C137="","",MIN($C137/40,1)),IF($D137="","",XLOOKUP($D137,FILTER(Dictionaries!$B:$B,Dictionaries!$A:$A="????"),FILTER(Dictionaries!$C:$C,Dictionaries!$A:$A="????"))),IF($E137="","",MIN($E137/120,1)),IF(OR($F137&lt;&gt;"",$G137&lt;&gt;""),1,""),IF($H137="","",MIN($H137/100,1)),IF($L137="","",XLOOKUP($L137,FILTER(Dictionaries!$B:$B,Dictionaries!$A:$A="???_????"),FILTER(Dictionaries!$C:$C,Dictionaries!$A:$A="???_????"))),IF($M137="","",XLOOKUP($M137,FILTER(Dictionaries!$B:$B,Dictionaries!$A:$A="?????"),FILTER(Dictionaries!$C:$C,Dictionaries!$A:$A="?????"))),IF($N137="","",MIN($N137/100,1)),IF($O137="","",XLOOKUP($O137,FILTER(Dictionaries!$B:$B,Dictionaries!$A:$A="??????????"),FILTER(Dictionaries!$C:$C,Dictionaries!$A:$A="??????????"))),IF($P137="","",XLOOKUP($P137,FILTER(Dictionaries!$B:$B,Dictionaries!$A:$A="???????"),FILTER(Dictionaries!$C:$C,Dictionaries!$A:$A="???????"))),IF($U137="","",LET(t,IF(OR($B137="????",$B137="????"),"train","rest"),k,$U137,p,$V137,f,$W137,c,$X137,k_s,IF(t="train",IF(k="","",IFS(AND(k&gt;=1900,k&lt;=2050),1,AND(k&gt;=1850,k&lt;1900),0.7,AND(k&gt;2050,k&lt;=2100),0.7,TRUE,0.2)),IF(k="","",IFS(AND(k&gt;=1700,k&lt;=1850),1,AND(k&gt;=1650,k&lt;1700),0.7,AND(k&gt;1850,k&lt;=1900),0.7,TRUE,0.2))),p_s,IF(t="train",IF(p="","",IFS(AND(p&gt;=125,p&lt;=135),1,AND(p&gt;=115,p&lt;125),0.7,AND(p&gt;135,p&lt;=145),0.7,AND(p&gt;=105,p&lt;115),0.4,AND(p&gt;145,p&lt;=155),0.4,TRUE,0.2)),IF(p="","",IFS(AND(p&gt;=120,p&lt;=130),1,AND(p&gt;=110,p&lt;120),0.7,AND(p&gt;130,p&lt;=140),0.7,AND(p&gt;=100,p&lt;110),0.4,AND(p&gt;140,p&lt;=150),0.4,TRUE,0.2))),f_s,IF(f="","",IFS(AND(f&gt;=55,f&lt;=65),1,AND(f&gt;=50,f&lt;55),0.7,AND(f&gt;65,f&lt;=70),0.7,AND(f&gt;=45,f&lt;50),0.4,AND(f&gt;70,f&lt;=75),0.4,TRUE,0.2)),c_s,IF(t="train",IF(c="","",IFS(AND(c&gt;=180,c&lt;=210),1,AND(c&gt;=160,c&lt;180),0.7,AND(c&gt;210,c&lt;=230),0.7,AND(c&gt;=140,c&lt;160),0.4,AND(c&gt;230,c&lt;=250),0.4,TRUE,0.2)),IF(c="","",IFS(AND(c&gt;=140,c&lt;=170),1,AND(c&gt;=120,c&lt;140),0.7,AND(c&gt;170,c&lt;=190),0.7,AND(c&gt;=100,c&lt;120),0.4,AND(c&gt;190,c&lt;=210),0.4,TRUE,0.2))),AVERAGE(k_s,p_s,f_s,c_s)))),1),""))</f>
        <v/>
      </c>
      <c r="Z137">
        <f>IF($A137="","",TEXTJOIN(", ",TRUE,IF($B137="","??????????",""),IF($C137="","??????",""),IF($D137="","????",""),IF($E137="","??????????",""),IF($F137="","???-?????",""),IF($G137="","???-????",""),IF($H137="","??????",""),IF($L137="","???",""),IF($M137="","?????",""),IF($N137="","??????????????",""),IF($O137="","??????????",""),IF($P137="","???????",""),IF($U137="","???","")))</f>
        <v/>
      </c>
    </row>
    <row r="138">
      <c r="U138">
        <f>IF($A138="","",IF(SUMIF(FoodLog!$A:$A,$A138,FoodLog!$I:$I)=0,"",SUMIF(FoodLog!$A:$A,$A138,FoodLog!$I:$I)))</f>
        <v/>
      </c>
      <c r="V138">
        <f>IF($A138="","",IF(SUMIF(FoodLog!$A:$A,$A138,FoodLog!$F:$F)=0,"",SUMIF(FoodLog!$A:$A,$A138,FoodLog!$F:$F)))</f>
        <v/>
      </c>
      <c r="W138">
        <f>IF($A138="","",IF(SUMIF(FoodLog!$A:$A,$A138,FoodLog!$G:$G)=0,"",SUMIF(FoodLog!$A:$A,$A138,FoodLog!$G:$G)))</f>
        <v/>
      </c>
      <c r="X138">
        <f>IF($A138="","",IF(SUMIF(FoodLog!$A:$A,$A138,FoodLog!$H:$H)=0,"",SUMIF(FoodLog!$A:$A,$A138,FoodLog!$H:$H)))</f>
        <v/>
      </c>
      <c r="Y138">
        <f>IF($A138="","",IFERROR(ROUND(100*AVERAGE(IF($B138="","",XLOOKUP($B138,FILTER(Dictionaries!$B:$B,Dictionaries!$A:$A="??????????"),FILTER(Dictionaries!$C:$C,Dictionaries!$A:$A="??????????"))),IF($C138="","",MIN($C138/40,1)),IF($D138="","",XLOOKUP($D138,FILTER(Dictionaries!$B:$B,Dictionaries!$A:$A="????"),FILTER(Dictionaries!$C:$C,Dictionaries!$A:$A="????"))),IF($E138="","",MIN($E138/120,1)),IF(OR($F138&lt;&gt;"",$G138&lt;&gt;""),1,""),IF($H138="","",MIN($H138/100,1)),IF($L138="","",XLOOKUP($L138,FILTER(Dictionaries!$B:$B,Dictionaries!$A:$A="???_????"),FILTER(Dictionaries!$C:$C,Dictionaries!$A:$A="???_????"))),IF($M138="","",XLOOKUP($M138,FILTER(Dictionaries!$B:$B,Dictionaries!$A:$A="?????"),FILTER(Dictionaries!$C:$C,Dictionaries!$A:$A="?????"))),IF($N138="","",MIN($N138/100,1)),IF($O138="","",XLOOKUP($O138,FILTER(Dictionaries!$B:$B,Dictionaries!$A:$A="??????????"),FILTER(Dictionaries!$C:$C,Dictionaries!$A:$A="??????????"))),IF($P138="","",XLOOKUP($P138,FILTER(Dictionaries!$B:$B,Dictionaries!$A:$A="???????"),FILTER(Dictionaries!$C:$C,Dictionaries!$A:$A="???????"))),IF($U138="","",LET(t,IF(OR($B138="????",$B138="????"),"train","rest"),k,$U138,p,$V138,f,$W138,c,$X138,k_s,IF(t="train",IF(k="","",IFS(AND(k&gt;=1900,k&lt;=2050),1,AND(k&gt;=1850,k&lt;1900),0.7,AND(k&gt;2050,k&lt;=2100),0.7,TRUE,0.2)),IF(k="","",IFS(AND(k&gt;=1700,k&lt;=1850),1,AND(k&gt;=1650,k&lt;1700),0.7,AND(k&gt;1850,k&lt;=1900),0.7,TRUE,0.2))),p_s,IF(t="train",IF(p="","",IFS(AND(p&gt;=125,p&lt;=135),1,AND(p&gt;=115,p&lt;125),0.7,AND(p&gt;135,p&lt;=145),0.7,AND(p&gt;=105,p&lt;115),0.4,AND(p&gt;145,p&lt;=155),0.4,TRUE,0.2)),IF(p="","",IFS(AND(p&gt;=120,p&lt;=130),1,AND(p&gt;=110,p&lt;120),0.7,AND(p&gt;130,p&lt;=140),0.7,AND(p&gt;=100,p&lt;110),0.4,AND(p&gt;140,p&lt;=150),0.4,TRUE,0.2))),f_s,IF(f="","",IFS(AND(f&gt;=55,f&lt;=65),1,AND(f&gt;=50,f&lt;55),0.7,AND(f&gt;65,f&lt;=70),0.7,AND(f&gt;=45,f&lt;50),0.4,AND(f&gt;70,f&lt;=75),0.4,TRUE,0.2)),c_s,IF(t="train",IF(c="","",IFS(AND(c&gt;=180,c&lt;=210),1,AND(c&gt;=160,c&lt;180),0.7,AND(c&gt;210,c&lt;=230),0.7,AND(c&gt;=140,c&lt;160),0.4,AND(c&gt;230,c&lt;=250),0.4,TRUE,0.2)),IF(c="","",IFS(AND(c&gt;=140,c&lt;=170),1,AND(c&gt;=120,c&lt;140),0.7,AND(c&gt;170,c&lt;=190),0.7,AND(c&gt;=100,c&lt;120),0.4,AND(c&gt;190,c&lt;=210),0.4,TRUE,0.2))),AVERAGE(k_s,p_s,f_s,c_s)))),1),""))</f>
        <v/>
      </c>
      <c r="Z138">
        <f>IF($A138="","",TEXTJOIN(", ",TRUE,IF($B138="","??????????",""),IF($C138="","??????",""),IF($D138="","????",""),IF($E138="","??????????",""),IF($F138="","???-?????",""),IF($G138="","???-????",""),IF($H138="","??????",""),IF($L138="","???",""),IF($M138="","?????",""),IF($N138="","??????????????",""),IF($O138="","??????????",""),IF($P138="","???????",""),IF($U138="","???","")))</f>
        <v/>
      </c>
    </row>
    <row r="139">
      <c r="U139">
        <f>IF($A139="","",IF(SUMIF(FoodLog!$A:$A,$A139,FoodLog!$I:$I)=0,"",SUMIF(FoodLog!$A:$A,$A139,FoodLog!$I:$I)))</f>
        <v/>
      </c>
      <c r="V139">
        <f>IF($A139="","",IF(SUMIF(FoodLog!$A:$A,$A139,FoodLog!$F:$F)=0,"",SUMIF(FoodLog!$A:$A,$A139,FoodLog!$F:$F)))</f>
        <v/>
      </c>
      <c r="W139">
        <f>IF($A139="","",IF(SUMIF(FoodLog!$A:$A,$A139,FoodLog!$G:$G)=0,"",SUMIF(FoodLog!$A:$A,$A139,FoodLog!$G:$G)))</f>
        <v/>
      </c>
      <c r="X139">
        <f>IF($A139="","",IF(SUMIF(FoodLog!$A:$A,$A139,FoodLog!$H:$H)=0,"",SUMIF(FoodLog!$A:$A,$A139,FoodLog!$H:$H)))</f>
        <v/>
      </c>
      <c r="Y139">
        <f>IF($A139="","",IFERROR(ROUND(100*AVERAGE(IF($B139="","",XLOOKUP($B139,FILTER(Dictionaries!$B:$B,Dictionaries!$A:$A="??????????"),FILTER(Dictionaries!$C:$C,Dictionaries!$A:$A="??????????"))),IF($C139="","",MIN($C139/40,1)),IF($D139="","",XLOOKUP($D139,FILTER(Dictionaries!$B:$B,Dictionaries!$A:$A="????"),FILTER(Dictionaries!$C:$C,Dictionaries!$A:$A="????"))),IF($E139="","",MIN($E139/120,1)),IF(OR($F139&lt;&gt;"",$G139&lt;&gt;""),1,""),IF($H139="","",MIN($H139/100,1)),IF($L139="","",XLOOKUP($L139,FILTER(Dictionaries!$B:$B,Dictionaries!$A:$A="???_????"),FILTER(Dictionaries!$C:$C,Dictionaries!$A:$A="???_????"))),IF($M139="","",XLOOKUP($M139,FILTER(Dictionaries!$B:$B,Dictionaries!$A:$A="?????"),FILTER(Dictionaries!$C:$C,Dictionaries!$A:$A="?????"))),IF($N139="","",MIN($N139/100,1)),IF($O139="","",XLOOKUP($O139,FILTER(Dictionaries!$B:$B,Dictionaries!$A:$A="??????????"),FILTER(Dictionaries!$C:$C,Dictionaries!$A:$A="??????????"))),IF($P139="","",XLOOKUP($P139,FILTER(Dictionaries!$B:$B,Dictionaries!$A:$A="???????"),FILTER(Dictionaries!$C:$C,Dictionaries!$A:$A="???????"))),IF($U139="","",LET(t,IF(OR($B139="????",$B139="????"),"train","rest"),k,$U139,p,$V139,f,$W139,c,$X139,k_s,IF(t="train",IF(k="","",IFS(AND(k&gt;=1900,k&lt;=2050),1,AND(k&gt;=1850,k&lt;1900),0.7,AND(k&gt;2050,k&lt;=2100),0.7,TRUE,0.2)),IF(k="","",IFS(AND(k&gt;=1700,k&lt;=1850),1,AND(k&gt;=1650,k&lt;1700),0.7,AND(k&gt;1850,k&lt;=1900),0.7,TRUE,0.2))),p_s,IF(t="train",IF(p="","",IFS(AND(p&gt;=125,p&lt;=135),1,AND(p&gt;=115,p&lt;125),0.7,AND(p&gt;135,p&lt;=145),0.7,AND(p&gt;=105,p&lt;115),0.4,AND(p&gt;145,p&lt;=155),0.4,TRUE,0.2)),IF(p="","",IFS(AND(p&gt;=120,p&lt;=130),1,AND(p&gt;=110,p&lt;120),0.7,AND(p&gt;130,p&lt;=140),0.7,AND(p&gt;=100,p&lt;110),0.4,AND(p&gt;140,p&lt;=150),0.4,TRUE,0.2))),f_s,IF(f="","",IFS(AND(f&gt;=55,f&lt;=65),1,AND(f&gt;=50,f&lt;55),0.7,AND(f&gt;65,f&lt;=70),0.7,AND(f&gt;=45,f&lt;50),0.4,AND(f&gt;70,f&lt;=75),0.4,TRUE,0.2)),c_s,IF(t="train",IF(c="","",IFS(AND(c&gt;=180,c&lt;=210),1,AND(c&gt;=160,c&lt;180),0.7,AND(c&gt;210,c&lt;=230),0.7,AND(c&gt;=140,c&lt;160),0.4,AND(c&gt;230,c&lt;=250),0.4,TRUE,0.2)),IF(c="","",IFS(AND(c&gt;=140,c&lt;=170),1,AND(c&gt;=120,c&lt;140),0.7,AND(c&gt;170,c&lt;=190),0.7,AND(c&gt;=100,c&lt;120),0.4,AND(c&gt;190,c&lt;=210),0.4,TRUE,0.2))),AVERAGE(k_s,p_s,f_s,c_s)))),1),""))</f>
        <v/>
      </c>
      <c r="Z139">
        <f>IF($A139="","",TEXTJOIN(", ",TRUE,IF($B139="","??????????",""),IF($C139="","??????",""),IF($D139="","????",""),IF($E139="","??????????",""),IF($F139="","???-?????",""),IF($G139="","???-????",""),IF($H139="","??????",""),IF($L139="","???",""),IF($M139="","?????",""),IF($N139="","??????????????",""),IF($O139="","??????????",""),IF($P139="","???????",""),IF($U139="","???","")))</f>
        <v/>
      </c>
    </row>
    <row r="140">
      <c r="U140">
        <f>IF($A140="","",IF(SUMIF(FoodLog!$A:$A,$A140,FoodLog!$I:$I)=0,"",SUMIF(FoodLog!$A:$A,$A140,FoodLog!$I:$I)))</f>
        <v/>
      </c>
      <c r="V140">
        <f>IF($A140="","",IF(SUMIF(FoodLog!$A:$A,$A140,FoodLog!$F:$F)=0,"",SUMIF(FoodLog!$A:$A,$A140,FoodLog!$F:$F)))</f>
        <v/>
      </c>
      <c r="W140">
        <f>IF($A140="","",IF(SUMIF(FoodLog!$A:$A,$A140,FoodLog!$G:$G)=0,"",SUMIF(FoodLog!$A:$A,$A140,FoodLog!$G:$G)))</f>
        <v/>
      </c>
      <c r="X140">
        <f>IF($A140="","",IF(SUMIF(FoodLog!$A:$A,$A140,FoodLog!$H:$H)=0,"",SUMIF(FoodLog!$A:$A,$A140,FoodLog!$H:$H)))</f>
        <v/>
      </c>
      <c r="Y140">
        <f>IF($A140="","",IFERROR(ROUND(100*AVERAGE(IF($B140="","",XLOOKUP($B140,FILTER(Dictionaries!$B:$B,Dictionaries!$A:$A="??????????"),FILTER(Dictionaries!$C:$C,Dictionaries!$A:$A="??????????"))),IF($C140="","",MIN($C140/40,1)),IF($D140="","",XLOOKUP($D140,FILTER(Dictionaries!$B:$B,Dictionaries!$A:$A="????"),FILTER(Dictionaries!$C:$C,Dictionaries!$A:$A="????"))),IF($E140="","",MIN($E140/120,1)),IF(OR($F140&lt;&gt;"",$G140&lt;&gt;""),1,""),IF($H140="","",MIN($H140/100,1)),IF($L140="","",XLOOKUP($L140,FILTER(Dictionaries!$B:$B,Dictionaries!$A:$A="???_????"),FILTER(Dictionaries!$C:$C,Dictionaries!$A:$A="???_????"))),IF($M140="","",XLOOKUP($M140,FILTER(Dictionaries!$B:$B,Dictionaries!$A:$A="?????"),FILTER(Dictionaries!$C:$C,Dictionaries!$A:$A="?????"))),IF($N140="","",MIN($N140/100,1)),IF($O140="","",XLOOKUP($O140,FILTER(Dictionaries!$B:$B,Dictionaries!$A:$A="??????????"),FILTER(Dictionaries!$C:$C,Dictionaries!$A:$A="??????????"))),IF($P140="","",XLOOKUP($P140,FILTER(Dictionaries!$B:$B,Dictionaries!$A:$A="???????"),FILTER(Dictionaries!$C:$C,Dictionaries!$A:$A="???????"))),IF($U140="","",LET(t,IF(OR($B140="????",$B140="????"),"train","rest"),k,$U140,p,$V140,f,$W140,c,$X140,k_s,IF(t="train",IF(k="","",IFS(AND(k&gt;=1900,k&lt;=2050),1,AND(k&gt;=1850,k&lt;1900),0.7,AND(k&gt;2050,k&lt;=2100),0.7,TRUE,0.2)),IF(k="","",IFS(AND(k&gt;=1700,k&lt;=1850),1,AND(k&gt;=1650,k&lt;1700),0.7,AND(k&gt;1850,k&lt;=1900),0.7,TRUE,0.2))),p_s,IF(t="train",IF(p="","",IFS(AND(p&gt;=125,p&lt;=135),1,AND(p&gt;=115,p&lt;125),0.7,AND(p&gt;135,p&lt;=145),0.7,AND(p&gt;=105,p&lt;115),0.4,AND(p&gt;145,p&lt;=155),0.4,TRUE,0.2)),IF(p="","",IFS(AND(p&gt;=120,p&lt;=130),1,AND(p&gt;=110,p&lt;120),0.7,AND(p&gt;130,p&lt;=140),0.7,AND(p&gt;=100,p&lt;110),0.4,AND(p&gt;140,p&lt;=150),0.4,TRUE,0.2))),f_s,IF(f="","",IFS(AND(f&gt;=55,f&lt;=65),1,AND(f&gt;=50,f&lt;55),0.7,AND(f&gt;65,f&lt;=70),0.7,AND(f&gt;=45,f&lt;50),0.4,AND(f&gt;70,f&lt;=75),0.4,TRUE,0.2)),c_s,IF(t="train",IF(c="","",IFS(AND(c&gt;=180,c&lt;=210),1,AND(c&gt;=160,c&lt;180),0.7,AND(c&gt;210,c&lt;=230),0.7,AND(c&gt;=140,c&lt;160),0.4,AND(c&gt;230,c&lt;=250),0.4,TRUE,0.2)),IF(c="","",IFS(AND(c&gt;=140,c&lt;=170),1,AND(c&gt;=120,c&lt;140),0.7,AND(c&gt;170,c&lt;=190),0.7,AND(c&gt;=100,c&lt;120),0.4,AND(c&gt;190,c&lt;=210),0.4,TRUE,0.2))),AVERAGE(k_s,p_s,f_s,c_s)))),1),""))</f>
        <v/>
      </c>
      <c r="Z140">
        <f>IF($A140="","",TEXTJOIN(", ",TRUE,IF($B140="","??????????",""),IF($C140="","??????",""),IF($D140="","????",""),IF($E140="","??????????",""),IF($F140="","???-?????",""),IF($G140="","???-????",""),IF($H140="","??????",""),IF($L140="","???",""),IF($M140="","?????",""),IF($N140="","??????????????",""),IF($O140="","??????????",""),IF($P140="","???????",""),IF($U140="","???","")))</f>
        <v/>
      </c>
    </row>
    <row r="141">
      <c r="U141">
        <f>IF($A141="","",IF(SUMIF(FoodLog!$A:$A,$A141,FoodLog!$I:$I)=0,"",SUMIF(FoodLog!$A:$A,$A141,FoodLog!$I:$I)))</f>
        <v/>
      </c>
      <c r="V141">
        <f>IF($A141="","",IF(SUMIF(FoodLog!$A:$A,$A141,FoodLog!$F:$F)=0,"",SUMIF(FoodLog!$A:$A,$A141,FoodLog!$F:$F)))</f>
        <v/>
      </c>
      <c r="W141">
        <f>IF($A141="","",IF(SUMIF(FoodLog!$A:$A,$A141,FoodLog!$G:$G)=0,"",SUMIF(FoodLog!$A:$A,$A141,FoodLog!$G:$G)))</f>
        <v/>
      </c>
      <c r="X141">
        <f>IF($A141="","",IF(SUMIF(FoodLog!$A:$A,$A141,FoodLog!$H:$H)=0,"",SUMIF(FoodLog!$A:$A,$A141,FoodLog!$H:$H)))</f>
        <v/>
      </c>
      <c r="Y141">
        <f>IF($A141="","",IFERROR(ROUND(100*AVERAGE(IF($B141="","",XLOOKUP($B141,FILTER(Dictionaries!$B:$B,Dictionaries!$A:$A="??????????"),FILTER(Dictionaries!$C:$C,Dictionaries!$A:$A="??????????"))),IF($C141="","",MIN($C141/40,1)),IF($D141="","",XLOOKUP($D141,FILTER(Dictionaries!$B:$B,Dictionaries!$A:$A="????"),FILTER(Dictionaries!$C:$C,Dictionaries!$A:$A="????"))),IF($E141="","",MIN($E141/120,1)),IF(OR($F141&lt;&gt;"",$G141&lt;&gt;""),1,""),IF($H141="","",MIN($H141/100,1)),IF($L141="","",XLOOKUP($L141,FILTER(Dictionaries!$B:$B,Dictionaries!$A:$A="???_????"),FILTER(Dictionaries!$C:$C,Dictionaries!$A:$A="???_????"))),IF($M141="","",XLOOKUP($M141,FILTER(Dictionaries!$B:$B,Dictionaries!$A:$A="?????"),FILTER(Dictionaries!$C:$C,Dictionaries!$A:$A="?????"))),IF($N141="","",MIN($N141/100,1)),IF($O141="","",XLOOKUP($O141,FILTER(Dictionaries!$B:$B,Dictionaries!$A:$A="??????????"),FILTER(Dictionaries!$C:$C,Dictionaries!$A:$A="??????????"))),IF($P141="","",XLOOKUP($P141,FILTER(Dictionaries!$B:$B,Dictionaries!$A:$A="???????"),FILTER(Dictionaries!$C:$C,Dictionaries!$A:$A="???????"))),IF($U141="","",LET(t,IF(OR($B141="????",$B141="????"),"train","rest"),k,$U141,p,$V141,f,$W141,c,$X141,k_s,IF(t="train",IF(k="","",IFS(AND(k&gt;=1900,k&lt;=2050),1,AND(k&gt;=1850,k&lt;1900),0.7,AND(k&gt;2050,k&lt;=2100),0.7,TRUE,0.2)),IF(k="","",IFS(AND(k&gt;=1700,k&lt;=1850),1,AND(k&gt;=1650,k&lt;1700),0.7,AND(k&gt;1850,k&lt;=1900),0.7,TRUE,0.2))),p_s,IF(t="train",IF(p="","",IFS(AND(p&gt;=125,p&lt;=135),1,AND(p&gt;=115,p&lt;125),0.7,AND(p&gt;135,p&lt;=145),0.7,AND(p&gt;=105,p&lt;115),0.4,AND(p&gt;145,p&lt;=155),0.4,TRUE,0.2)),IF(p="","",IFS(AND(p&gt;=120,p&lt;=130),1,AND(p&gt;=110,p&lt;120),0.7,AND(p&gt;130,p&lt;=140),0.7,AND(p&gt;=100,p&lt;110),0.4,AND(p&gt;140,p&lt;=150),0.4,TRUE,0.2))),f_s,IF(f="","",IFS(AND(f&gt;=55,f&lt;=65),1,AND(f&gt;=50,f&lt;55),0.7,AND(f&gt;65,f&lt;=70),0.7,AND(f&gt;=45,f&lt;50),0.4,AND(f&gt;70,f&lt;=75),0.4,TRUE,0.2)),c_s,IF(t="train",IF(c="","",IFS(AND(c&gt;=180,c&lt;=210),1,AND(c&gt;=160,c&lt;180),0.7,AND(c&gt;210,c&lt;=230),0.7,AND(c&gt;=140,c&lt;160),0.4,AND(c&gt;230,c&lt;=250),0.4,TRUE,0.2)),IF(c="","",IFS(AND(c&gt;=140,c&lt;=170),1,AND(c&gt;=120,c&lt;140),0.7,AND(c&gt;170,c&lt;=190),0.7,AND(c&gt;=100,c&lt;120),0.4,AND(c&gt;190,c&lt;=210),0.4,TRUE,0.2))),AVERAGE(k_s,p_s,f_s,c_s)))),1),""))</f>
        <v/>
      </c>
      <c r="Z141">
        <f>IF($A141="","",TEXTJOIN(", ",TRUE,IF($B141="","??????????",""),IF($C141="","??????",""),IF($D141="","????",""),IF($E141="","??????????",""),IF($F141="","???-?????",""),IF($G141="","???-????",""),IF($H141="","??????",""),IF($L141="","???",""),IF($M141="","?????",""),IF($N141="","??????????????",""),IF($O141="","??????????",""),IF($P141="","???????",""),IF($U141="","???","")))</f>
        <v/>
      </c>
    </row>
    <row r="142">
      <c r="U142">
        <f>IF($A142="","",IF(SUMIF(FoodLog!$A:$A,$A142,FoodLog!$I:$I)=0,"",SUMIF(FoodLog!$A:$A,$A142,FoodLog!$I:$I)))</f>
        <v/>
      </c>
      <c r="V142">
        <f>IF($A142="","",IF(SUMIF(FoodLog!$A:$A,$A142,FoodLog!$F:$F)=0,"",SUMIF(FoodLog!$A:$A,$A142,FoodLog!$F:$F)))</f>
        <v/>
      </c>
      <c r="W142">
        <f>IF($A142="","",IF(SUMIF(FoodLog!$A:$A,$A142,FoodLog!$G:$G)=0,"",SUMIF(FoodLog!$A:$A,$A142,FoodLog!$G:$G)))</f>
        <v/>
      </c>
      <c r="X142">
        <f>IF($A142="","",IF(SUMIF(FoodLog!$A:$A,$A142,FoodLog!$H:$H)=0,"",SUMIF(FoodLog!$A:$A,$A142,FoodLog!$H:$H)))</f>
        <v/>
      </c>
      <c r="Y142">
        <f>IF($A142="","",IFERROR(ROUND(100*AVERAGE(IF($B142="","",XLOOKUP($B142,FILTER(Dictionaries!$B:$B,Dictionaries!$A:$A="??????????"),FILTER(Dictionaries!$C:$C,Dictionaries!$A:$A="??????????"))),IF($C142="","",MIN($C142/40,1)),IF($D142="","",XLOOKUP($D142,FILTER(Dictionaries!$B:$B,Dictionaries!$A:$A="????"),FILTER(Dictionaries!$C:$C,Dictionaries!$A:$A="????"))),IF($E142="","",MIN($E142/120,1)),IF(OR($F142&lt;&gt;"",$G142&lt;&gt;""),1,""),IF($H142="","",MIN($H142/100,1)),IF($L142="","",XLOOKUP($L142,FILTER(Dictionaries!$B:$B,Dictionaries!$A:$A="???_????"),FILTER(Dictionaries!$C:$C,Dictionaries!$A:$A="???_????"))),IF($M142="","",XLOOKUP($M142,FILTER(Dictionaries!$B:$B,Dictionaries!$A:$A="?????"),FILTER(Dictionaries!$C:$C,Dictionaries!$A:$A="?????"))),IF($N142="","",MIN($N142/100,1)),IF($O142="","",XLOOKUP($O142,FILTER(Dictionaries!$B:$B,Dictionaries!$A:$A="??????????"),FILTER(Dictionaries!$C:$C,Dictionaries!$A:$A="??????????"))),IF($P142="","",XLOOKUP($P142,FILTER(Dictionaries!$B:$B,Dictionaries!$A:$A="???????"),FILTER(Dictionaries!$C:$C,Dictionaries!$A:$A="???????"))),IF($U142="","",LET(t,IF(OR($B142="????",$B142="????"),"train","rest"),k,$U142,p,$V142,f,$W142,c,$X142,k_s,IF(t="train",IF(k="","",IFS(AND(k&gt;=1900,k&lt;=2050),1,AND(k&gt;=1850,k&lt;1900),0.7,AND(k&gt;2050,k&lt;=2100),0.7,TRUE,0.2)),IF(k="","",IFS(AND(k&gt;=1700,k&lt;=1850),1,AND(k&gt;=1650,k&lt;1700),0.7,AND(k&gt;1850,k&lt;=1900),0.7,TRUE,0.2))),p_s,IF(t="train",IF(p="","",IFS(AND(p&gt;=125,p&lt;=135),1,AND(p&gt;=115,p&lt;125),0.7,AND(p&gt;135,p&lt;=145),0.7,AND(p&gt;=105,p&lt;115),0.4,AND(p&gt;145,p&lt;=155),0.4,TRUE,0.2)),IF(p="","",IFS(AND(p&gt;=120,p&lt;=130),1,AND(p&gt;=110,p&lt;120),0.7,AND(p&gt;130,p&lt;=140),0.7,AND(p&gt;=100,p&lt;110),0.4,AND(p&gt;140,p&lt;=150),0.4,TRUE,0.2))),f_s,IF(f="","",IFS(AND(f&gt;=55,f&lt;=65),1,AND(f&gt;=50,f&lt;55),0.7,AND(f&gt;65,f&lt;=70),0.7,AND(f&gt;=45,f&lt;50),0.4,AND(f&gt;70,f&lt;=75),0.4,TRUE,0.2)),c_s,IF(t="train",IF(c="","",IFS(AND(c&gt;=180,c&lt;=210),1,AND(c&gt;=160,c&lt;180),0.7,AND(c&gt;210,c&lt;=230),0.7,AND(c&gt;=140,c&lt;160),0.4,AND(c&gt;230,c&lt;=250),0.4,TRUE,0.2)),IF(c="","",IFS(AND(c&gt;=140,c&lt;=170),1,AND(c&gt;=120,c&lt;140),0.7,AND(c&gt;170,c&lt;=190),0.7,AND(c&gt;=100,c&lt;120),0.4,AND(c&gt;190,c&lt;=210),0.4,TRUE,0.2))),AVERAGE(k_s,p_s,f_s,c_s)))),1),""))</f>
        <v/>
      </c>
      <c r="Z142">
        <f>IF($A142="","",TEXTJOIN(", ",TRUE,IF($B142="","??????????",""),IF($C142="","??????",""),IF($D142="","????",""),IF($E142="","??????????",""),IF($F142="","???-?????",""),IF($G142="","???-????",""),IF($H142="","??????",""),IF($L142="","???",""),IF($M142="","?????",""),IF($N142="","??????????????",""),IF($O142="","??????????",""),IF($P142="","???????",""),IF($U142="","???","")))</f>
        <v/>
      </c>
    </row>
    <row r="143">
      <c r="U143">
        <f>IF($A143="","",IF(SUMIF(FoodLog!$A:$A,$A143,FoodLog!$I:$I)=0,"",SUMIF(FoodLog!$A:$A,$A143,FoodLog!$I:$I)))</f>
        <v/>
      </c>
      <c r="V143">
        <f>IF($A143="","",IF(SUMIF(FoodLog!$A:$A,$A143,FoodLog!$F:$F)=0,"",SUMIF(FoodLog!$A:$A,$A143,FoodLog!$F:$F)))</f>
        <v/>
      </c>
      <c r="W143">
        <f>IF($A143="","",IF(SUMIF(FoodLog!$A:$A,$A143,FoodLog!$G:$G)=0,"",SUMIF(FoodLog!$A:$A,$A143,FoodLog!$G:$G)))</f>
        <v/>
      </c>
      <c r="X143">
        <f>IF($A143="","",IF(SUMIF(FoodLog!$A:$A,$A143,FoodLog!$H:$H)=0,"",SUMIF(FoodLog!$A:$A,$A143,FoodLog!$H:$H)))</f>
        <v/>
      </c>
      <c r="Y143">
        <f>IF($A143="","",IFERROR(ROUND(100*AVERAGE(IF($B143="","",XLOOKUP($B143,FILTER(Dictionaries!$B:$B,Dictionaries!$A:$A="??????????"),FILTER(Dictionaries!$C:$C,Dictionaries!$A:$A="??????????"))),IF($C143="","",MIN($C143/40,1)),IF($D143="","",XLOOKUP($D143,FILTER(Dictionaries!$B:$B,Dictionaries!$A:$A="????"),FILTER(Dictionaries!$C:$C,Dictionaries!$A:$A="????"))),IF($E143="","",MIN($E143/120,1)),IF(OR($F143&lt;&gt;"",$G143&lt;&gt;""),1,""),IF($H143="","",MIN($H143/100,1)),IF($L143="","",XLOOKUP($L143,FILTER(Dictionaries!$B:$B,Dictionaries!$A:$A="???_????"),FILTER(Dictionaries!$C:$C,Dictionaries!$A:$A="???_????"))),IF($M143="","",XLOOKUP($M143,FILTER(Dictionaries!$B:$B,Dictionaries!$A:$A="?????"),FILTER(Dictionaries!$C:$C,Dictionaries!$A:$A="?????"))),IF($N143="","",MIN($N143/100,1)),IF($O143="","",XLOOKUP($O143,FILTER(Dictionaries!$B:$B,Dictionaries!$A:$A="??????????"),FILTER(Dictionaries!$C:$C,Dictionaries!$A:$A="??????????"))),IF($P143="","",XLOOKUP($P143,FILTER(Dictionaries!$B:$B,Dictionaries!$A:$A="???????"),FILTER(Dictionaries!$C:$C,Dictionaries!$A:$A="???????"))),IF($U143="","",LET(t,IF(OR($B143="????",$B143="????"),"train","rest"),k,$U143,p,$V143,f,$W143,c,$X143,k_s,IF(t="train",IF(k="","",IFS(AND(k&gt;=1900,k&lt;=2050),1,AND(k&gt;=1850,k&lt;1900),0.7,AND(k&gt;2050,k&lt;=2100),0.7,TRUE,0.2)),IF(k="","",IFS(AND(k&gt;=1700,k&lt;=1850),1,AND(k&gt;=1650,k&lt;1700),0.7,AND(k&gt;1850,k&lt;=1900),0.7,TRUE,0.2))),p_s,IF(t="train",IF(p="","",IFS(AND(p&gt;=125,p&lt;=135),1,AND(p&gt;=115,p&lt;125),0.7,AND(p&gt;135,p&lt;=145),0.7,AND(p&gt;=105,p&lt;115),0.4,AND(p&gt;145,p&lt;=155),0.4,TRUE,0.2)),IF(p="","",IFS(AND(p&gt;=120,p&lt;=130),1,AND(p&gt;=110,p&lt;120),0.7,AND(p&gt;130,p&lt;=140),0.7,AND(p&gt;=100,p&lt;110),0.4,AND(p&gt;140,p&lt;=150),0.4,TRUE,0.2))),f_s,IF(f="","",IFS(AND(f&gt;=55,f&lt;=65),1,AND(f&gt;=50,f&lt;55),0.7,AND(f&gt;65,f&lt;=70),0.7,AND(f&gt;=45,f&lt;50),0.4,AND(f&gt;70,f&lt;=75),0.4,TRUE,0.2)),c_s,IF(t="train",IF(c="","",IFS(AND(c&gt;=180,c&lt;=210),1,AND(c&gt;=160,c&lt;180),0.7,AND(c&gt;210,c&lt;=230),0.7,AND(c&gt;=140,c&lt;160),0.4,AND(c&gt;230,c&lt;=250),0.4,TRUE,0.2)),IF(c="","",IFS(AND(c&gt;=140,c&lt;=170),1,AND(c&gt;=120,c&lt;140),0.7,AND(c&gt;170,c&lt;=190),0.7,AND(c&gt;=100,c&lt;120),0.4,AND(c&gt;190,c&lt;=210),0.4,TRUE,0.2))),AVERAGE(k_s,p_s,f_s,c_s)))),1),""))</f>
        <v/>
      </c>
      <c r="Z143">
        <f>IF($A143="","",TEXTJOIN(", ",TRUE,IF($B143="","??????????",""),IF($C143="","??????",""),IF($D143="","????",""),IF($E143="","??????????",""),IF($F143="","???-?????",""),IF($G143="","???-????",""),IF($H143="","??????",""),IF($L143="","???",""),IF($M143="","?????",""),IF($N143="","??????????????",""),IF($O143="","??????????",""),IF($P143="","???????",""),IF($U143="","???","")))</f>
        <v/>
      </c>
    </row>
    <row r="144">
      <c r="U144">
        <f>IF($A144="","",IF(SUMIF(FoodLog!$A:$A,$A144,FoodLog!$I:$I)=0,"",SUMIF(FoodLog!$A:$A,$A144,FoodLog!$I:$I)))</f>
        <v/>
      </c>
      <c r="V144">
        <f>IF($A144="","",IF(SUMIF(FoodLog!$A:$A,$A144,FoodLog!$F:$F)=0,"",SUMIF(FoodLog!$A:$A,$A144,FoodLog!$F:$F)))</f>
        <v/>
      </c>
      <c r="W144">
        <f>IF($A144="","",IF(SUMIF(FoodLog!$A:$A,$A144,FoodLog!$G:$G)=0,"",SUMIF(FoodLog!$A:$A,$A144,FoodLog!$G:$G)))</f>
        <v/>
      </c>
      <c r="X144">
        <f>IF($A144="","",IF(SUMIF(FoodLog!$A:$A,$A144,FoodLog!$H:$H)=0,"",SUMIF(FoodLog!$A:$A,$A144,FoodLog!$H:$H)))</f>
        <v/>
      </c>
      <c r="Y144">
        <f>IF($A144="","",IFERROR(ROUND(100*AVERAGE(IF($B144="","",XLOOKUP($B144,FILTER(Dictionaries!$B:$B,Dictionaries!$A:$A="??????????"),FILTER(Dictionaries!$C:$C,Dictionaries!$A:$A="??????????"))),IF($C144="","",MIN($C144/40,1)),IF($D144="","",XLOOKUP($D144,FILTER(Dictionaries!$B:$B,Dictionaries!$A:$A="????"),FILTER(Dictionaries!$C:$C,Dictionaries!$A:$A="????"))),IF($E144="","",MIN($E144/120,1)),IF(OR($F144&lt;&gt;"",$G144&lt;&gt;""),1,""),IF($H144="","",MIN($H144/100,1)),IF($L144="","",XLOOKUP($L144,FILTER(Dictionaries!$B:$B,Dictionaries!$A:$A="???_????"),FILTER(Dictionaries!$C:$C,Dictionaries!$A:$A="???_????"))),IF($M144="","",XLOOKUP($M144,FILTER(Dictionaries!$B:$B,Dictionaries!$A:$A="?????"),FILTER(Dictionaries!$C:$C,Dictionaries!$A:$A="?????"))),IF($N144="","",MIN($N144/100,1)),IF($O144="","",XLOOKUP($O144,FILTER(Dictionaries!$B:$B,Dictionaries!$A:$A="??????????"),FILTER(Dictionaries!$C:$C,Dictionaries!$A:$A="??????????"))),IF($P144="","",XLOOKUP($P144,FILTER(Dictionaries!$B:$B,Dictionaries!$A:$A="???????"),FILTER(Dictionaries!$C:$C,Dictionaries!$A:$A="???????"))),IF($U144="","",LET(t,IF(OR($B144="????",$B144="????"),"train","rest"),k,$U144,p,$V144,f,$W144,c,$X144,k_s,IF(t="train",IF(k="","",IFS(AND(k&gt;=1900,k&lt;=2050),1,AND(k&gt;=1850,k&lt;1900),0.7,AND(k&gt;2050,k&lt;=2100),0.7,TRUE,0.2)),IF(k="","",IFS(AND(k&gt;=1700,k&lt;=1850),1,AND(k&gt;=1650,k&lt;1700),0.7,AND(k&gt;1850,k&lt;=1900),0.7,TRUE,0.2))),p_s,IF(t="train",IF(p="","",IFS(AND(p&gt;=125,p&lt;=135),1,AND(p&gt;=115,p&lt;125),0.7,AND(p&gt;135,p&lt;=145),0.7,AND(p&gt;=105,p&lt;115),0.4,AND(p&gt;145,p&lt;=155),0.4,TRUE,0.2)),IF(p="","",IFS(AND(p&gt;=120,p&lt;=130),1,AND(p&gt;=110,p&lt;120),0.7,AND(p&gt;130,p&lt;=140),0.7,AND(p&gt;=100,p&lt;110),0.4,AND(p&gt;140,p&lt;=150),0.4,TRUE,0.2))),f_s,IF(f="","",IFS(AND(f&gt;=55,f&lt;=65),1,AND(f&gt;=50,f&lt;55),0.7,AND(f&gt;65,f&lt;=70),0.7,AND(f&gt;=45,f&lt;50),0.4,AND(f&gt;70,f&lt;=75),0.4,TRUE,0.2)),c_s,IF(t="train",IF(c="","",IFS(AND(c&gt;=180,c&lt;=210),1,AND(c&gt;=160,c&lt;180),0.7,AND(c&gt;210,c&lt;=230),0.7,AND(c&gt;=140,c&lt;160),0.4,AND(c&gt;230,c&lt;=250),0.4,TRUE,0.2)),IF(c="","",IFS(AND(c&gt;=140,c&lt;=170),1,AND(c&gt;=120,c&lt;140),0.7,AND(c&gt;170,c&lt;=190),0.7,AND(c&gt;=100,c&lt;120),0.4,AND(c&gt;190,c&lt;=210),0.4,TRUE,0.2))),AVERAGE(k_s,p_s,f_s,c_s)))),1),""))</f>
        <v/>
      </c>
      <c r="Z144">
        <f>IF($A144="","",TEXTJOIN(", ",TRUE,IF($B144="","??????????",""),IF($C144="","??????",""),IF($D144="","????",""),IF($E144="","??????????",""),IF($F144="","???-?????",""),IF($G144="","???-????",""),IF($H144="","??????",""),IF($L144="","???",""),IF($M144="","?????",""),IF($N144="","??????????????",""),IF($O144="","??????????",""),IF($P144="","???????",""),IF($U144="","???","")))</f>
        <v/>
      </c>
    </row>
    <row r="145">
      <c r="U145">
        <f>IF($A145="","",IF(SUMIF(FoodLog!$A:$A,$A145,FoodLog!$I:$I)=0,"",SUMIF(FoodLog!$A:$A,$A145,FoodLog!$I:$I)))</f>
        <v/>
      </c>
      <c r="V145">
        <f>IF($A145="","",IF(SUMIF(FoodLog!$A:$A,$A145,FoodLog!$F:$F)=0,"",SUMIF(FoodLog!$A:$A,$A145,FoodLog!$F:$F)))</f>
        <v/>
      </c>
      <c r="W145">
        <f>IF($A145="","",IF(SUMIF(FoodLog!$A:$A,$A145,FoodLog!$G:$G)=0,"",SUMIF(FoodLog!$A:$A,$A145,FoodLog!$G:$G)))</f>
        <v/>
      </c>
      <c r="X145">
        <f>IF($A145="","",IF(SUMIF(FoodLog!$A:$A,$A145,FoodLog!$H:$H)=0,"",SUMIF(FoodLog!$A:$A,$A145,FoodLog!$H:$H)))</f>
        <v/>
      </c>
      <c r="Y145">
        <f>IF($A145="","",IFERROR(ROUND(100*AVERAGE(IF($B145="","",XLOOKUP($B145,FILTER(Dictionaries!$B:$B,Dictionaries!$A:$A="??????????"),FILTER(Dictionaries!$C:$C,Dictionaries!$A:$A="??????????"))),IF($C145="","",MIN($C145/40,1)),IF($D145="","",XLOOKUP($D145,FILTER(Dictionaries!$B:$B,Dictionaries!$A:$A="????"),FILTER(Dictionaries!$C:$C,Dictionaries!$A:$A="????"))),IF($E145="","",MIN($E145/120,1)),IF(OR($F145&lt;&gt;"",$G145&lt;&gt;""),1,""),IF($H145="","",MIN($H145/100,1)),IF($L145="","",XLOOKUP($L145,FILTER(Dictionaries!$B:$B,Dictionaries!$A:$A="???_????"),FILTER(Dictionaries!$C:$C,Dictionaries!$A:$A="???_????"))),IF($M145="","",XLOOKUP($M145,FILTER(Dictionaries!$B:$B,Dictionaries!$A:$A="?????"),FILTER(Dictionaries!$C:$C,Dictionaries!$A:$A="?????"))),IF($N145="","",MIN($N145/100,1)),IF($O145="","",XLOOKUP($O145,FILTER(Dictionaries!$B:$B,Dictionaries!$A:$A="??????????"),FILTER(Dictionaries!$C:$C,Dictionaries!$A:$A="??????????"))),IF($P145="","",XLOOKUP($P145,FILTER(Dictionaries!$B:$B,Dictionaries!$A:$A="???????"),FILTER(Dictionaries!$C:$C,Dictionaries!$A:$A="???????"))),IF($U145="","",LET(t,IF(OR($B145="????",$B145="????"),"train","rest"),k,$U145,p,$V145,f,$W145,c,$X145,k_s,IF(t="train",IF(k="","",IFS(AND(k&gt;=1900,k&lt;=2050),1,AND(k&gt;=1850,k&lt;1900),0.7,AND(k&gt;2050,k&lt;=2100),0.7,TRUE,0.2)),IF(k="","",IFS(AND(k&gt;=1700,k&lt;=1850),1,AND(k&gt;=1650,k&lt;1700),0.7,AND(k&gt;1850,k&lt;=1900),0.7,TRUE,0.2))),p_s,IF(t="train",IF(p="","",IFS(AND(p&gt;=125,p&lt;=135),1,AND(p&gt;=115,p&lt;125),0.7,AND(p&gt;135,p&lt;=145),0.7,AND(p&gt;=105,p&lt;115),0.4,AND(p&gt;145,p&lt;=155),0.4,TRUE,0.2)),IF(p="","",IFS(AND(p&gt;=120,p&lt;=130),1,AND(p&gt;=110,p&lt;120),0.7,AND(p&gt;130,p&lt;=140),0.7,AND(p&gt;=100,p&lt;110),0.4,AND(p&gt;140,p&lt;=150),0.4,TRUE,0.2))),f_s,IF(f="","",IFS(AND(f&gt;=55,f&lt;=65),1,AND(f&gt;=50,f&lt;55),0.7,AND(f&gt;65,f&lt;=70),0.7,AND(f&gt;=45,f&lt;50),0.4,AND(f&gt;70,f&lt;=75),0.4,TRUE,0.2)),c_s,IF(t="train",IF(c="","",IFS(AND(c&gt;=180,c&lt;=210),1,AND(c&gt;=160,c&lt;180),0.7,AND(c&gt;210,c&lt;=230),0.7,AND(c&gt;=140,c&lt;160),0.4,AND(c&gt;230,c&lt;=250),0.4,TRUE,0.2)),IF(c="","",IFS(AND(c&gt;=140,c&lt;=170),1,AND(c&gt;=120,c&lt;140),0.7,AND(c&gt;170,c&lt;=190),0.7,AND(c&gt;=100,c&lt;120),0.4,AND(c&gt;190,c&lt;=210),0.4,TRUE,0.2))),AVERAGE(k_s,p_s,f_s,c_s)))),1),""))</f>
        <v/>
      </c>
      <c r="Z145">
        <f>IF($A145="","",TEXTJOIN(", ",TRUE,IF($B145="","??????????",""),IF($C145="","??????",""),IF($D145="","????",""),IF($E145="","??????????",""),IF($F145="","???-?????",""),IF($G145="","???-????",""),IF($H145="","??????",""),IF($L145="","???",""),IF($M145="","?????",""),IF($N145="","??????????????",""),IF($O145="","??????????",""),IF($P145="","???????",""),IF($U145="","???","")))</f>
        <v/>
      </c>
    </row>
    <row r="146">
      <c r="U146">
        <f>IF($A146="","",IF(SUMIF(FoodLog!$A:$A,$A146,FoodLog!$I:$I)=0,"",SUMIF(FoodLog!$A:$A,$A146,FoodLog!$I:$I)))</f>
        <v/>
      </c>
      <c r="V146">
        <f>IF($A146="","",IF(SUMIF(FoodLog!$A:$A,$A146,FoodLog!$F:$F)=0,"",SUMIF(FoodLog!$A:$A,$A146,FoodLog!$F:$F)))</f>
        <v/>
      </c>
      <c r="W146">
        <f>IF($A146="","",IF(SUMIF(FoodLog!$A:$A,$A146,FoodLog!$G:$G)=0,"",SUMIF(FoodLog!$A:$A,$A146,FoodLog!$G:$G)))</f>
        <v/>
      </c>
      <c r="X146">
        <f>IF($A146="","",IF(SUMIF(FoodLog!$A:$A,$A146,FoodLog!$H:$H)=0,"",SUMIF(FoodLog!$A:$A,$A146,FoodLog!$H:$H)))</f>
        <v/>
      </c>
      <c r="Y146">
        <f>IF($A146="","",IFERROR(ROUND(100*AVERAGE(IF($B146="","",XLOOKUP($B146,FILTER(Dictionaries!$B:$B,Dictionaries!$A:$A="??????????"),FILTER(Dictionaries!$C:$C,Dictionaries!$A:$A="??????????"))),IF($C146="","",MIN($C146/40,1)),IF($D146="","",XLOOKUP($D146,FILTER(Dictionaries!$B:$B,Dictionaries!$A:$A="????"),FILTER(Dictionaries!$C:$C,Dictionaries!$A:$A="????"))),IF($E146="","",MIN($E146/120,1)),IF(OR($F146&lt;&gt;"",$G146&lt;&gt;""),1,""),IF($H146="","",MIN($H146/100,1)),IF($L146="","",XLOOKUP($L146,FILTER(Dictionaries!$B:$B,Dictionaries!$A:$A="???_????"),FILTER(Dictionaries!$C:$C,Dictionaries!$A:$A="???_????"))),IF($M146="","",XLOOKUP($M146,FILTER(Dictionaries!$B:$B,Dictionaries!$A:$A="?????"),FILTER(Dictionaries!$C:$C,Dictionaries!$A:$A="?????"))),IF($N146="","",MIN($N146/100,1)),IF($O146="","",XLOOKUP($O146,FILTER(Dictionaries!$B:$B,Dictionaries!$A:$A="??????????"),FILTER(Dictionaries!$C:$C,Dictionaries!$A:$A="??????????"))),IF($P146="","",XLOOKUP($P146,FILTER(Dictionaries!$B:$B,Dictionaries!$A:$A="???????"),FILTER(Dictionaries!$C:$C,Dictionaries!$A:$A="???????"))),IF($U146="","",LET(t,IF(OR($B146="????",$B146="????"),"train","rest"),k,$U146,p,$V146,f,$W146,c,$X146,k_s,IF(t="train",IF(k="","",IFS(AND(k&gt;=1900,k&lt;=2050),1,AND(k&gt;=1850,k&lt;1900),0.7,AND(k&gt;2050,k&lt;=2100),0.7,TRUE,0.2)),IF(k="","",IFS(AND(k&gt;=1700,k&lt;=1850),1,AND(k&gt;=1650,k&lt;1700),0.7,AND(k&gt;1850,k&lt;=1900),0.7,TRUE,0.2))),p_s,IF(t="train",IF(p="","",IFS(AND(p&gt;=125,p&lt;=135),1,AND(p&gt;=115,p&lt;125),0.7,AND(p&gt;135,p&lt;=145),0.7,AND(p&gt;=105,p&lt;115),0.4,AND(p&gt;145,p&lt;=155),0.4,TRUE,0.2)),IF(p="","",IFS(AND(p&gt;=120,p&lt;=130),1,AND(p&gt;=110,p&lt;120),0.7,AND(p&gt;130,p&lt;=140),0.7,AND(p&gt;=100,p&lt;110),0.4,AND(p&gt;140,p&lt;=150),0.4,TRUE,0.2))),f_s,IF(f="","",IFS(AND(f&gt;=55,f&lt;=65),1,AND(f&gt;=50,f&lt;55),0.7,AND(f&gt;65,f&lt;=70),0.7,AND(f&gt;=45,f&lt;50),0.4,AND(f&gt;70,f&lt;=75),0.4,TRUE,0.2)),c_s,IF(t="train",IF(c="","",IFS(AND(c&gt;=180,c&lt;=210),1,AND(c&gt;=160,c&lt;180),0.7,AND(c&gt;210,c&lt;=230),0.7,AND(c&gt;=140,c&lt;160),0.4,AND(c&gt;230,c&lt;=250),0.4,TRUE,0.2)),IF(c="","",IFS(AND(c&gt;=140,c&lt;=170),1,AND(c&gt;=120,c&lt;140),0.7,AND(c&gt;170,c&lt;=190),0.7,AND(c&gt;=100,c&lt;120),0.4,AND(c&gt;190,c&lt;=210),0.4,TRUE,0.2))),AVERAGE(k_s,p_s,f_s,c_s)))),1),""))</f>
        <v/>
      </c>
      <c r="Z146">
        <f>IF($A146="","",TEXTJOIN(", ",TRUE,IF($B146="","??????????",""),IF($C146="","??????",""),IF($D146="","????",""),IF($E146="","??????????",""),IF($F146="","???-?????",""),IF($G146="","???-????",""),IF($H146="","??????",""),IF($L146="","???",""),IF($M146="","?????",""),IF($N146="","??????????????",""),IF($O146="","??????????",""),IF($P146="","???????",""),IF($U146="","???","")))</f>
        <v/>
      </c>
    </row>
    <row r="147">
      <c r="U147">
        <f>IF($A147="","",IF(SUMIF(FoodLog!$A:$A,$A147,FoodLog!$I:$I)=0,"",SUMIF(FoodLog!$A:$A,$A147,FoodLog!$I:$I)))</f>
        <v/>
      </c>
      <c r="V147">
        <f>IF($A147="","",IF(SUMIF(FoodLog!$A:$A,$A147,FoodLog!$F:$F)=0,"",SUMIF(FoodLog!$A:$A,$A147,FoodLog!$F:$F)))</f>
        <v/>
      </c>
      <c r="W147">
        <f>IF($A147="","",IF(SUMIF(FoodLog!$A:$A,$A147,FoodLog!$G:$G)=0,"",SUMIF(FoodLog!$A:$A,$A147,FoodLog!$G:$G)))</f>
        <v/>
      </c>
      <c r="X147">
        <f>IF($A147="","",IF(SUMIF(FoodLog!$A:$A,$A147,FoodLog!$H:$H)=0,"",SUMIF(FoodLog!$A:$A,$A147,FoodLog!$H:$H)))</f>
        <v/>
      </c>
      <c r="Y147">
        <f>IF($A147="","",IFERROR(ROUND(100*AVERAGE(IF($B147="","",XLOOKUP($B147,FILTER(Dictionaries!$B:$B,Dictionaries!$A:$A="??????????"),FILTER(Dictionaries!$C:$C,Dictionaries!$A:$A="??????????"))),IF($C147="","",MIN($C147/40,1)),IF($D147="","",XLOOKUP($D147,FILTER(Dictionaries!$B:$B,Dictionaries!$A:$A="????"),FILTER(Dictionaries!$C:$C,Dictionaries!$A:$A="????"))),IF($E147="","",MIN($E147/120,1)),IF(OR($F147&lt;&gt;"",$G147&lt;&gt;""),1,""),IF($H147="","",MIN($H147/100,1)),IF($L147="","",XLOOKUP($L147,FILTER(Dictionaries!$B:$B,Dictionaries!$A:$A="???_????"),FILTER(Dictionaries!$C:$C,Dictionaries!$A:$A="???_????"))),IF($M147="","",XLOOKUP($M147,FILTER(Dictionaries!$B:$B,Dictionaries!$A:$A="?????"),FILTER(Dictionaries!$C:$C,Dictionaries!$A:$A="?????"))),IF($N147="","",MIN($N147/100,1)),IF($O147="","",XLOOKUP($O147,FILTER(Dictionaries!$B:$B,Dictionaries!$A:$A="??????????"),FILTER(Dictionaries!$C:$C,Dictionaries!$A:$A="??????????"))),IF($P147="","",XLOOKUP($P147,FILTER(Dictionaries!$B:$B,Dictionaries!$A:$A="???????"),FILTER(Dictionaries!$C:$C,Dictionaries!$A:$A="???????"))),IF($U147="","",LET(t,IF(OR($B147="????",$B147="????"),"train","rest"),k,$U147,p,$V147,f,$W147,c,$X147,k_s,IF(t="train",IF(k="","",IFS(AND(k&gt;=1900,k&lt;=2050),1,AND(k&gt;=1850,k&lt;1900),0.7,AND(k&gt;2050,k&lt;=2100),0.7,TRUE,0.2)),IF(k="","",IFS(AND(k&gt;=1700,k&lt;=1850),1,AND(k&gt;=1650,k&lt;1700),0.7,AND(k&gt;1850,k&lt;=1900),0.7,TRUE,0.2))),p_s,IF(t="train",IF(p="","",IFS(AND(p&gt;=125,p&lt;=135),1,AND(p&gt;=115,p&lt;125),0.7,AND(p&gt;135,p&lt;=145),0.7,AND(p&gt;=105,p&lt;115),0.4,AND(p&gt;145,p&lt;=155),0.4,TRUE,0.2)),IF(p="","",IFS(AND(p&gt;=120,p&lt;=130),1,AND(p&gt;=110,p&lt;120),0.7,AND(p&gt;130,p&lt;=140),0.7,AND(p&gt;=100,p&lt;110),0.4,AND(p&gt;140,p&lt;=150),0.4,TRUE,0.2))),f_s,IF(f="","",IFS(AND(f&gt;=55,f&lt;=65),1,AND(f&gt;=50,f&lt;55),0.7,AND(f&gt;65,f&lt;=70),0.7,AND(f&gt;=45,f&lt;50),0.4,AND(f&gt;70,f&lt;=75),0.4,TRUE,0.2)),c_s,IF(t="train",IF(c="","",IFS(AND(c&gt;=180,c&lt;=210),1,AND(c&gt;=160,c&lt;180),0.7,AND(c&gt;210,c&lt;=230),0.7,AND(c&gt;=140,c&lt;160),0.4,AND(c&gt;230,c&lt;=250),0.4,TRUE,0.2)),IF(c="","",IFS(AND(c&gt;=140,c&lt;=170),1,AND(c&gt;=120,c&lt;140),0.7,AND(c&gt;170,c&lt;=190),0.7,AND(c&gt;=100,c&lt;120),0.4,AND(c&gt;190,c&lt;=210),0.4,TRUE,0.2))),AVERAGE(k_s,p_s,f_s,c_s)))),1),""))</f>
        <v/>
      </c>
      <c r="Z147">
        <f>IF($A147="","",TEXTJOIN(", ",TRUE,IF($B147="","??????????",""),IF($C147="","??????",""),IF($D147="","????",""),IF($E147="","??????????",""),IF($F147="","???-?????",""),IF($G147="","???-????",""),IF($H147="","??????",""),IF($L147="","???",""),IF($M147="","?????",""),IF($N147="","??????????????",""),IF($O147="","??????????",""),IF($P147="","???????",""),IF($U147="","???","")))</f>
        <v/>
      </c>
    </row>
    <row r="148">
      <c r="U148">
        <f>IF($A148="","",IF(SUMIF(FoodLog!$A:$A,$A148,FoodLog!$I:$I)=0,"",SUMIF(FoodLog!$A:$A,$A148,FoodLog!$I:$I)))</f>
        <v/>
      </c>
      <c r="V148">
        <f>IF($A148="","",IF(SUMIF(FoodLog!$A:$A,$A148,FoodLog!$F:$F)=0,"",SUMIF(FoodLog!$A:$A,$A148,FoodLog!$F:$F)))</f>
        <v/>
      </c>
      <c r="W148">
        <f>IF($A148="","",IF(SUMIF(FoodLog!$A:$A,$A148,FoodLog!$G:$G)=0,"",SUMIF(FoodLog!$A:$A,$A148,FoodLog!$G:$G)))</f>
        <v/>
      </c>
      <c r="X148">
        <f>IF($A148="","",IF(SUMIF(FoodLog!$A:$A,$A148,FoodLog!$H:$H)=0,"",SUMIF(FoodLog!$A:$A,$A148,FoodLog!$H:$H)))</f>
        <v/>
      </c>
      <c r="Y148">
        <f>IF($A148="","",IFERROR(ROUND(100*AVERAGE(IF($B148="","",XLOOKUP($B148,FILTER(Dictionaries!$B:$B,Dictionaries!$A:$A="??????????"),FILTER(Dictionaries!$C:$C,Dictionaries!$A:$A="??????????"))),IF($C148="","",MIN($C148/40,1)),IF($D148="","",XLOOKUP($D148,FILTER(Dictionaries!$B:$B,Dictionaries!$A:$A="????"),FILTER(Dictionaries!$C:$C,Dictionaries!$A:$A="????"))),IF($E148="","",MIN($E148/120,1)),IF(OR($F148&lt;&gt;"",$G148&lt;&gt;""),1,""),IF($H148="","",MIN($H148/100,1)),IF($L148="","",XLOOKUP($L148,FILTER(Dictionaries!$B:$B,Dictionaries!$A:$A="???_????"),FILTER(Dictionaries!$C:$C,Dictionaries!$A:$A="???_????"))),IF($M148="","",XLOOKUP($M148,FILTER(Dictionaries!$B:$B,Dictionaries!$A:$A="?????"),FILTER(Dictionaries!$C:$C,Dictionaries!$A:$A="?????"))),IF($N148="","",MIN($N148/100,1)),IF($O148="","",XLOOKUP($O148,FILTER(Dictionaries!$B:$B,Dictionaries!$A:$A="??????????"),FILTER(Dictionaries!$C:$C,Dictionaries!$A:$A="??????????"))),IF($P148="","",XLOOKUP($P148,FILTER(Dictionaries!$B:$B,Dictionaries!$A:$A="???????"),FILTER(Dictionaries!$C:$C,Dictionaries!$A:$A="???????"))),IF($U148="","",LET(t,IF(OR($B148="????",$B148="????"),"train","rest"),k,$U148,p,$V148,f,$W148,c,$X148,k_s,IF(t="train",IF(k="","",IFS(AND(k&gt;=1900,k&lt;=2050),1,AND(k&gt;=1850,k&lt;1900),0.7,AND(k&gt;2050,k&lt;=2100),0.7,TRUE,0.2)),IF(k="","",IFS(AND(k&gt;=1700,k&lt;=1850),1,AND(k&gt;=1650,k&lt;1700),0.7,AND(k&gt;1850,k&lt;=1900),0.7,TRUE,0.2))),p_s,IF(t="train",IF(p="","",IFS(AND(p&gt;=125,p&lt;=135),1,AND(p&gt;=115,p&lt;125),0.7,AND(p&gt;135,p&lt;=145),0.7,AND(p&gt;=105,p&lt;115),0.4,AND(p&gt;145,p&lt;=155),0.4,TRUE,0.2)),IF(p="","",IFS(AND(p&gt;=120,p&lt;=130),1,AND(p&gt;=110,p&lt;120),0.7,AND(p&gt;130,p&lt;=140),0.7,AND(p&gt;=100,p&lt;110),0.4,AND(p&gt;140,p&lt;=150),0.4,TRUE,0.2))),f_s,IF(f="","",IFS(AND(f&gt;=55,f&lt;=65),1,AND(f&gt;=50,f&lt;55),0.7,AND(f&gt;65,f&lt;=70),0.7,AND(f&gt;=45,f&lt;50),0.4,AND(f&gt;70,f&lt;=75),0.4,TRUE,0.2)),c_s,IF(t="train",IF(c="","",IFS(AND(c&gt;=180,c&lt;=210),1,AND(c&gt;=160,c&lt;180),0.7,AND(c&gt;210,c&lt;=230),0.7,AND(c&gt;=140,c&lt;160),0.4,AND(c&gt;230,c&lt;=250),0.4,TRUE,0.2)),IF(c="","",IFS(AND(c&gt;=140,c&lt;=170),1,AND(c&gt;=120,c&lt;140),0.7,AND(c&gt;170,c&lt;=190),0.7,AND(c&gt;=100,c&lt;120),0.4,AND(c&gt;190,c&lt;=210),0.4,TRUE,0.2))),AVERAGE(k_s,p_s,f_s,c_s)))),1),""))</f>
        <v/>
      </c>
      <c r="Z148">
        <f>IF($A148="","",TEXTJOIN(", ",TRUE,IF($B148="","??????????",""),IF($C148="","??????",""),IF($D148="","????",""),IF($E148="","??????????",""),IF($F148="","???-?????",""),IF($G148="","???-????",""),IF($H148="","??????",""),IF($L148="","???",""),IF($M148="","?????",""),IF($N148="","??????????????",""),IF($O148="","??????????",""),IF($P148="","???????",""),IF($U148="","???","")))</f>
        <v/>
      </c>
    </row>
    <row r="149">
      <c r="U149">
        <f>IF($A149="","",IF(SUMIF(FoodLog!$A:$A,$A149,FoodLog!$I:$I)=0,"",SUMIF(FoodLog!$A:$A,$A149,FoodLog!$I:$I)))</f>
        <v/>
      </c>
      <c r="V149">
        <f>IF($A149="","",IF(SUMIF(FoodLog!$A:$A,$A149,FoodLog!$F:$F)=0,"",SUMIF(FoodLog!$A:$A,$A149,FoodLog!$F:$F)))</f>
        <v/>
      </c>
      <c r="W149">
        <f>IF($A149="","",IF(SUMIF(FoodLog!$A:$A,$A149,FoodLog!$G:$G)=0,"",SUMIF(FoodLog!$A:$A,$A149,FoodLog!$G:$G)))</f>
        <v/>
      </c>
      <c r="X149">
        <f>IF($A149="","",IF(SUMIF(FoodLog!$A:$A,$A149,FoodLog!$H:$H)=0,"",SUMIF(FoodLog!$A:$A,$A149,FoodLog!$H:$H)))</f>
        <v/>
      </c>
      <c r="Y149">
        <f>IF($A149="","",IFERROR(ROUND(100*AVERAGE(IF($B149="","",XLOOKUP($B149,FILTER(Dictionaries!$B:$B,Dictionaries!$A:$A="??????????"),FILTER(Dictionaries!$C:$C,Dictionaries!$A:$A="??????????"))),IF($C149="","",MIN($C149/40,1)),IF($D149="","",XLOOKUP($D149,FILTER(Dictionaries!$B:$B,Dictionaries!$A:$A="????"),FILTER(Dictionaries!$C:$C,Dictionaries!$A:$A="????"))),IF($E149="","",MIN($E149/120,1)),IF(OR($F149&lt;&gt;"",$G149&lt;&gt;""),1,""),IF($H149="","",MIN($H149/100,1)),IF($L149="","",XLOOKUP($L149,FILTER(Dictionaries!$B:$B,Dictionaries!$A:$A="???_????"),FILTER(Dictionaries!$C:$C,Dictionaries!$A:$A="???_????"))),IF($M149="","",XLOOKUP($M149,FILTER(Dictionaries!$B:$B,Dictionaries!$A:$A="?????"),FILTER(Dictionaries!$C:$C,Dictionaries!$A:$A="?????"))),IF($N149="","",MIN($N149/100,1)),IF($O149="","",XLOOKUP($O149,FILTER(Dictionaries!$B:$B,Dictionaries!$A:$A="??????????"),FILTER(Dictionaries!$C:$C,Dictionaries!$A:$A="??????????"))),IF($P149="","",XLOOKUP($P149,FILTER(Dictionaries!$B:$B,Dictionaries!$A:$A="???????"),FILTER(Dictionaries!$C:$C,Dictionaries!$A:$A="???????"))),IF($U149="","",LET(t,IF(OR($B149="????",$B149="????"),"train","rest"),k,$U149,p,$V149,f,$W149,c,$X149,k_s,IF(t="train",IF(k="","",IFS(AND(k&gt;=1900,k&lt;=2050),1,AND(k&gt;=1850,k&lt;1900),0.7,AND(k&gt;2050,k&lt;=2100),0.7,TRUE,0.2)),IF(k="","",IFS(AND(k&gt;=1700,k&lt;=1850),1,AND(k&gt;=1650,k&lt;1700),0.7,AND(k&gt;1850,k&lt;=1900),0.7,TRUE,0.2))),p_s,IF(t="train",IF(p="","",IFS(AND(p&gt;=125,p&lt;=135),1,AND(p&gt;=115,p&lt;125),0.7,AND(p&gt;135,p&lt;=145),0.7,AND(p&gt;=105,p&lt;115),0.4,AND(p&gt;145,p&lt;=155),0.4,TRUE,0.2)),IF(p="","",IFS(AND(p&gt;=120,p&lt;=130),1,AND(p&gt;=110,p&lt;120),0.7,AND(p&gt;130,p&lt;=140),0.7,AND(p&gt;=100,p&lt;110),0.4,AND(p&gt;140,p&lt;=150),0.4,TRUE,0.2))),f_s,IF(f="","",IFS(AND(f&gt;=55,f&lt;=65),1,AND(f&gt;=50,f&lt;55),0.7,AND(f&gt;65,f&lt;=70),0.7,AND(f&gt;=45,f&lt;50),0.4,AND(f&gt;70,f&lt;=75),0.4,TRUE,0.2)),c_s,IF(t="train",IF(c="","",IFS(AND(c&gt;=180,c&lt;=210),1,AND(c&gt;=160,c&lt;180),0.7,AND(c&gt;210,c&lt;=230),0.7,AND(c&gt;=140,c&lt;160),0.4,AND(c&gt;230,c&lt;=250),0.4,TRUE,0.2)),IF(c="","",IFS(AND(c&gt;=140,c&lt;=170),1,AND(c&gt;=120,c&lt;140),0.7,AND(c&gt;170,c&lt;=190),0.7,AND(c&gt;=100,c&lt;120),0.4,AND(c&gt;190,c&lt;=210),0.4,TRUE,0.2))),AVERAGE(k_s,p_s,f_s,c_s)))),1),""))</f>
        <v/>
      </c>
      <c r="Z149">
        <f>IF($A149="","",TEXTJOIN(", ",TRUE,IF($B149="","??????????",""),IF($C149="","??????",""),IF($D149="","????",""),IF($E149="","??????????",""),IF($F149="","???-?????",""),IF($G149="","???-????",""),IF($H149="","??????",""),IF($L149="","???",""),IF($M149="","?????",""),IF($N149="","??????????????",""),IF($O149="","??????????",""),IF($P149="","???????",""),IF($U149="","???","")))</f>
        <v/>
      </c>
    </row>
    <row r="150">
      <c r="U150">
        <f>IF($A150="","",IF(SUMIF(FoodLog!$A:$A,$A150,FoodLog!$I:$I)=0,"",SUMIF(FoodLog!$A:$A,$A150,FoodLog!$I:$I)))</f>
        <v/>
      </c>
      <c r="V150">
        <f>IF($A150="","",IF(SUMIF(FoodLog!$A:$A,$A150,FoodLog!$F:$F)=0,"",SUMIF(FoodLog!$A:$A,$A150,FoodLog!$F:$F)))</f>
        <v/>
      </c>
      <c r="W150">
        <f>IF($A150="","",IF(SUMIF(FoodLog!$A:$A,$A150,FoodLog!$G:$G)=0,"",SUMIF(FoodLog!$A:$A,$A150,FoodLog!$G:$G)))</f>
        <v/>
      </c>
      <c r="X150">
        <f>IF($A150="","",IF(SUMIF(FoodLog!$A:$A,$A150,FoodLog!$H:$H)=0,"",SUMIF(FoodLog!$A:$A,$A150,FoodLog!$H:$H)))</f>
        <v/>
      </c>
      <c r="Y150">
        <f>IF($A150="","",IFERROR(ROUND(100*AVERAGE(IF($B150="","",XLOOKUP($B150,FILTER(Dictionaries!$B:$B,Dictionaries!$A:$A="??????????"),FILTER(Dictionaries!$C:$C,Dictionaries!$A:$A="??????????"))),IF($C150="","",MIN($C150/40,1)),IF($D150="","",XLOOKUP($D150,FILTER(Dictionaries!$B:$B,Dictionaries!$A:$A="????"),FILTER(Dictionaries!$C:$C,Dictionaries!$A:$A="????"))),IF($E150="","",MIN($E150/120,1)),IF(OR($F150&lt;&gt;"",$G150&lt;&gt;""),1,""),IF($H150="","",MIN($H150/100,1)),IF($L150="","",XLOOKUP($L150,FILTER(Dictionaries!$B:$B,Dictionaries!$A:$A="???_????"),FILTER(Dictionaries!$C:$C,Dictionaries!$A:$A="???_????"))),IF($M150="","",XLOOKUP($M150,FILTER(Dictionaries!$B:$B,Dictionaries!$A:$A="?????"),FILTER(Dictionaries!$C:$C,Dictionaries!$A:$A="?????"))),IF($N150="","",MIN($N150/100,1)),IF($O150="","",XLOOKUP($O150,FILTER(Dictionaries!$B:$B,Dictionaries!$A:$A="??????????"),FILTER(Dictionaries!$C:$C,Dictionaries!$A:$A="??????????"))),IF($P150="","",XLOOKUP($P150,FILTER(Dictionaries!$B:$B,Dictionaries!$A:$A="???????"),FILTER(Dictionaries!$C:$C,Dictionaries!$A:$A="???????"))),IF($U150="","",LET(t,IF(OR($B150="????",$B150="????"),"train","rest"),k,$U150,p,$V150,f,$W150,c,$X150,k_s,IF(t="train",IF(k="","",IFS(AND(k&gt;=1900,k&lt;=2050),1,AND(k&gt;=1850,k&lt;1900),0.7,AND(k&gt;2050,k&lt;=2100),0.7,TRUE,0.2)),IF(k="","",IFS(AND(k&gt;=1700,k&lt;=1850),1,AND(k&gt;=1650,k&lt;1700),0.7,AND(k&gt;1850,k&lt;=1900),0.7,TRUE,0.2))),p_s,IF(t="train",IF(p="","",IFS(AND(p&gt;=125,p&lt;=135),1,AND(p&gt;=115,p&lt;125),0.7,AND(p&gt;135,p&lt;=145),0.7,AND(p&gt;=105,p&lt;115),0.4,AND(p&gt;145,p&lt;=155),0.4,TRUE,0.2)),IF(p="","",IFS(AND(p&gt;=120,p&lt;=130),1,AND(p&gt;=110,p&lt;120),0.7,AND(p&gt;130,p&lt;=140),0.7,AND(p&gt;=100,p&lt;110),0.4,AND(p&gt;140,p&lt;=150),0.4,TRUE,0.2))),f_s,IF(f="","",IFS(AND(f&gt;=55,f&lt;=65),1,AND(f&gt;=50,f&lt;55),0.7,AND(f&gt;65,f&lt;=70),0.7,AND(f&gt;=45,f&lt;50),0.4,AND(f&gt;70,f&lt;=75),0.4,TRUE,0.2)),c_s,IF(t="train",IF(c="","",IFS(AND(c&gt;=180,c&lt;=210),1,AND(c&gt;=160,c&lt;180),0.7,AND(c&gt;210,c&lt;=230),0.7,AND(c&gt;=140,c&lt;160),0.4,AND(c&gt;230,c&lt;=250),0.4,TRUE,0.2)),IF(c="","",IFS(AND(c&gt;=140,c&lt;=170),1,AND(c&gt;=120,c&lt;140),0.7,AND(c&gt;170,c&lt;=190),0.7,AND(c&gt;=100,c&lt;120),0.4,AND(c&gt;190,c&lt;=210),0.4,TRUE,0.2))),AVERAGE(k_s,p_s,f_s,c_s)))),1),""))</f>
        <v/>
      </c>
      <c r="Z150">
        <f>IF($A150="","",TEXTJOIN(", ",TRUE,IF($B150="","??????????",""),IF($C150="","??????",""),IF($D150="","????",""),IF($E150="","??????????",""),IF($F150="","???-?????",""),IF($G150="","???-????",""),IF($H150="","??????",""),IF($L150="","???",""),IF($M150="","?????",""),IF($N150="","??????????????",""),IF($O150="","??????????",""),IF($P150="","???????",""),IF($U150="","???","")))</f>
        <v/>
      </c>
    </row>
    <row r="151">
      <c r="U151">
        <f>IF($A151="","",IF(SUMIF(FoodLog!$A:$A,$A151,FoodLog!$I:$I)=0,"",SUMIF(FoodLog!$A:$A,$A151,FoodLog!$I:$I)))</f>
        <v/>
      </c>
      <c r="V151">
        <f>IF($A151="","",IF(SUMIF(FoodLog!$A:$A,$A151,FoodLog!$F:$F)=0,"",SUMIF(FoodLog!$A:$A,$A151,FoodLog!$F:$F)))</f>
        <v/>
      </c>
      <c r="W151">
        <f>IF($A151="","",IF(SUMIF(FoodLog!$A:$A,$A151,FoodLog!$G:$G)=0,"",SUMIF(FoodLog!$A:$A,$A151,FoodLog!$G:$G)))</f>
        <v/>
      </c>
      <c r="X151">
        <f>IF($A151="","",IF(SUMIF(FoodLog!$A:$A,$A151,FoodLog!$H:$H)=0,"",SUMIF(FoodLog!$A:$A,$A151,FoodLog!$H:$H)))</f>
        <v/>
      </c>
      <c r="Y151">
        <f>IF($A151="","",IFERROR(ROUND(100*AVERAGE(IF($B151="","",XLOOKUP($B151,FILTER(Dictionaries!$B:$B,Dictionaries!$A:$A="??????????"),FILTER(Dictionaries!$C:$C,Dictionaries!$A:$A="??????????"))),IF($C151="","",MIN($C151/40,1)),IF($D151="","",XLOOKUP($D151,FILTER(Dictionaries!$B:$B,Dictionaries!$A:$A="????"),FILTER(Dictionaries!$C:$C,Dictionaries!$A:$A="????"))),IF($E151="","",MIN($E151/120,1)),IF(OR($F151&lt;&gt;"",$G151&lt;&gt;""),1,""),IF($H151="","",MIN($H151/100,1)),IF($L151="","",XLOOKUP($L151,FILTER(Dictionaries!$B:$B,Dictionaries!$A:$A="???_????"),FILTER(Dictionaries!$C:$C,Dictionaries!$A:$A="???_????"))),IF($M151="","",XLOOKUP($M151,FILTER(Dictionaries!$B:$B,Dictionaries!$A:$A="?????"),FILTER(Dictionaries!$C:$C,Dictionaries!$A:$A="?????"))),IF($N151="","",MIN($N151/100,1)),IF($O151="","",XLOOKUP($O151,FILTER(Dictionaries!$B:$B,Dictionaries!$A:$A="??????????"),FILTER(Dictionaries!$C:$C,Dictionaries!$A:$A="??????????"))),IF($P151="","",XLOOKUP($P151,FILTER(Dictionaries!$B:$B,Dictionaries!$A:$A="???????"),FILTER(Dictionaries!$C:$C,Dictionaries!$A:$A="???????"))),IF($U151="","",LET(t,IF(OR($B151="????",$B151="????"),"train","rest"),k,$U151,p,$V151,f,$W151,c,$X151,k_s,IF(t="train",IF(k="","",IFS(AND(k&gt;=1900,k&lt;=2050),1,AND(k&gt;=1850,k&lt;1900),0.7,AND(k&gt;2050,k&lt;=2100),0.7,TRUE,0.2)),IF(k="","",IFS(AND(k&gt;=1700,k&lt;=1850),1,AND(k&gt;=1650,k&lt;1700),0.7,AND(k&gt;1850,k&lt;=1900),0.7,TRUE,0.2))),p_s,IF(t="train",IF(p="","",IFS(AND(p&gt;=125,p&lt;=135),1,AND(p&gt;=115,p&lt;125),0.7,AND(p&gt;135,p&lt;=145),0.7,AND(p&gt;=105,p&lt;115),0.4,AND(p&gt;145,p&lt;=155),0.4,TRUE,0.2)),IF(p="","",IFS(AND(p&gt;=120,p&lt;=130),1,AND(p&gt;=110,p&lt;120),0.7,AND(p&gt;130,p&lt;=140),0.7,AND(p&gt;=100,p&lt;110),0.4,AND(p&gt;140,p&lt;=150),0.4,TRUE,0.2))),f_s,IF(f="","",IFS(AND(f&gt;=55,f&lt;=65),1,AND(f&gt;=50,f&lt;55),0.7,AND(f&gt;65,f&lt;=70),0.7,AND(f&gt;=45,f&lt;50),0.4,AND(f&gt;70,f&lt;=75),0.4,TRUE,0.2)),c_s,IF(t="train",IF(c="","",IFS(AND(c&gt;=180,c&lt;=210),1,AND(c&gt;=160,c&lt;180),0.7,AND(c&gt;210,c&lt;=230),0.7,AND(c&gt;=140,c&lt;160),0.4,AND(c&gt;230,c&lt;=250),0.4,TRUE,0.2)),IF(c="","",IFS(AND(c&gt;=140,c&lt;=170),1,AND(c&gt;=120,c&lt;140),0.7,AND(c&gt;170,c&lt;=190),0.7,AND(c&gt;=100,c&lt;120),0.4,AND(c&gt;190,c&lt;=210),0.4,TRUE,0.2))),AVERAGE(k_s,p_s,f_s,c_s)))),1),""))</f>
        <v/>
      </c>
      <c r="Z151">
        <f>IF($A151="","",TEXTJOIN(", ",TRUE,IF($B151="","??????????",""),IF($C151="","??????",""),IF($D151="","????",""),IF($E151="","??????????",""),IF($F151="","???-?????",""),IF($G151="","???-????",""),IF($H151="","??????",""),IF($L151="","???",""),IF($M151="","?????",""),IF($N151="","??????????????",""),IF($O151="","??????????",""),IF($P151="","???????",""),IF($U151="","???","")))</f>
        <v/>
      </c>
    </row>
    <row r="152">
      <c r="U152">
        <f>IF($A152="","",IF(SUMIF(FoodLog!$A:$A,$A152,FoodLog!$I:$I)=0,"",SUMIF(FoodLog!$A:$A,$A152,FoodLog!$I:$I)))</f>
        <v/>
      </c>
      <c r="V152">
        <f>IF($A152="","",IF(SUMIF(FoodLog!$A:$A,$A152,FoodLog!$F:$F)=0,"",SUMIF(FoodLog!$A:$A,$A152,FoodLog!$F:$F)))</f>
        <v/>
      </c>
      <c r="W152">
        <f>IF($A152="","",IF(SUMIF(FoodLog!$A:$A,$A152,FoodLog!$G:$G)=0,"",SUMIF(FoodLog!$A:$A,$A152,FoodLog!$G:$G)))</f>
        <v/>
      </c>
      <c r="X152">
        <f>IF($A152="","",IF(SUMIF(FoodLog!$A:$A,$A152,FoodLog!$H:$H)=0,"",SUMIF(FoodLog!$A:$A,$A152,FoodLog!$H:$H)))</f>
        <v/>
      </c>
      <c r="Y152">
        <f>IF($A152="","",IFERROR(ROUND(100*AVERAGE(IF($B152="","",XLOOKUP($B152,FILTER(Dictionaries!$B:$B,Dictionaries!$A:$A="??????????"),FILTER(Dictionaries!$C:$C,Dictionaries!$A:$A="??????????"))),IF($C152="","",MIN($C152/40,1)),IF($D152="","",XLOOKUP($D152,FILTER(Dictionaries!$B:$B,Dictionaries!$A:$A="????"),FILTER(Dictionaries!$C:$C,Dictionaries!$A:$A="????"))),IF($E152="","",MIN($E152/120,1)),IF(OR($F152&lt;&gt;"",$G152&lt;&gt;""),1,""),IF($H152="","",MIN($H152/100,1)),IF($L152="","",XLOOKUP($L152,FILTER(Dictionaries!$B:$B,Dictionaries!$A:$A="???_????"),FILTER(Dictionaries!$C:$C,Dictionaries!$A:$A="???_????"))),IF($M152="","",XLOOKUP($M152,FILTER(Dictionaries!$B:$B,Dictionaries!$A:$A="?????"),FILTER(Dictionaries!$C:$C,Dictionaries!$A:$A="?????"))),IF($N152="","",MIN($N152/100,1)),IF($O152="","",XLOOKUP($O152,FILTER(Dictionaries!$B:$B,Dictionaries!$A:$A="??????????"),FILTER(Dictionaries!$C:$C,Dictionaries!$A:$A="??????????"))),IF($P152="","",XLOOKUP($P152,FILTER(Dictionaries!$B:$B,Dictionaries!$A:$A="???????"),FILTER(Dictionaries!$C:$C,Dictionaries!$A:$A="???????"))),IF($U152="","",LET(t,IF(OR($B152="????",$B152="????"),"train","rest"),k,$U152,p,$V152,f,$W152,c,$X152,k_s,IF(t="train",IF(k="","",IFS(AND(k&gt;=1900,k&lt;=2050),1,AND(k&gt;=1850,k&lt;1900),0.7,AND(k&gt;2050,k&lt;=2100),0.7,TRUE,0.2)),IF(k="","",IFS(AND(k&gt;=1700,k&lt;=1850),1,AND(k&gt;=1650,k&lt;1700),0.7,AND(k&gt;1850,k&lt;=1900),0.7,TRUE,0.2))),p_s,IF(t="train",IF(p="","",IFS(AND(p&gt;=125,p&lt;=135),1,AND(p&gt;=115,p&lt;125),0.7,AND(p&gt;135,p&lt;=145),0.7,AND(p&gt;=105,p&lt;115),0.4,AND(p&gt;145,p&lt;=155),0.4,TRUE,0.2)),IF(p="","",IFS(AND(p&gt;=120,p&lt;=130),1,AND(p&gt;=110,p&lt;120),0.7,AND(p&gt;130,p&lt;=140),0.7,AND(p&gt;=100,p&lt;110),0.4,AND(p&gt;140,p&lt;=150),0.4,TRUE,0.2))),f_s,IF(f="","",IFS(AND(f&gt;=55,f&lt;=65),1,AND(f&gt;=50,f&lt;55),0.7,AND(f&gt;65,f&lt;=70),0.7,AND(f&gt;=45,f&lt;50),0.4,AND(f&gt;70,f&lt;=75),0.4,TRUE,0.2)),c_s,IF(t="train",IF(c="","",IFS(AND(c&gt;=180,c&lt;=210),1,AND(c&gt;=160,c&lt;180),0.7,AND(c&gt;210,c&lt;=230),0.7,AND(c&gt;=140,c&lt;160),0.4,AND(c&gt;230,c&lt;=250),0.4,TRUE,0.2)),IF(c="","",IFS(AND(c&gt;=140,c&lt;=170),1,AND(c&gt;=120,c&lt;140),0.7,AND(c&gt;170,c&lt;=190),0.7,AND(c&gt;=100,c&lt;120),0.4,AND(c&gt;190,c&lt;=210),0.4,TRUE,0.2))),AVERAGE(k_s,p_s,f_s,c_s)))),1),""))</f>
        <v/>
      </c>
      <c r="Z152">
        <f>IF($A152="","",TEXTJOIN(", ",TRUE,IF($B152="","??????????",""),IF($C152="","??????",""),IF($D152="","????",""),IF($E152="","??????????",""),IF($F152="","???-?????",""),IF($G152="","???-????",""),IF($H152="","??????",""),IF($L152="","???",""),IF($M152="","?????",""),IF($N152="","??????????????",""),IF($O152="","??????????",""),IF($P152="","???????",""),IF($U152="","???","")))</f>
        <v/>
      </c>
    </row>
    <row r="153">
      <c r="U153">
        <f>IF($A153="","",IF(SUMIF(FoodLog!$A:$A,$A153,FoodLog!$I:$I)=0,"",SUMIF(FoodLog!$A:$A,$A153,FoodLog!$I:$I)))</f>
        <v/>
      </c>
      <c r="V153">
        <f>IF($A153="","",IF(SUMIF(FoodLog!$A:$A,$A153,FoodLog!$F:$F)=0,"",SUMIF(FoodLog!$A:$A,$A153,FoodLog!$F:$F)))</f>
        <v/>
      </c>
      <c r="W153">
        <f>IF($A153="","",IF(SUMIF(FoodLog!$A:$A,$A153,FoodLog!$G:$G)=0,"",SUMIF(FoodLog!$A:$A,$A153,FoodLog!$G:$G)))</f>
        <v/>
      </c>
      <c r="X153">
        <f>IF($A153="","",IF(SUMIF(FoodLog!$A:$A,$A153,FoodLog!$H:$H)=0,"",SUMIF(FoodLog!$A:$A,$A153,FoodLog!$H:$H)))</f>
        <v/>
      </c>
      <c r="Y153">
        <f>IF($A153="","",IFERROR(ROUND(100*AVERAGE(IF($B153="","",XLOOKUP($B153,FILTER(Dictionaries!$B:$B,Dictionaries!$A:$A="??????????"),FILTER(Dictionaries!$C:$C,Dictionaries!$A:$A="??????????"))),IF($C153="","",MIN($C153/40,1)),IF($D153="","",XLOOKUP($D153,FILTER(Dictionaries!$B:$B,Dictionaries!$A:$A="????"),FILTER(Dictionaries!$C:$C,Dictionaries!$A:$A="????"))),IF($E153="","",MIN($E153/120,1)),IF(OR($F153&lt;&gt;"",$G153&lt;&gt;""),1,""),IF($H153="","",MIN($H153/100,1)),IF($L153="","",XLOOKUP($L153,FILTER(Dictionaries!$B:$B,Dictionaries!$A:$A="???_????"),FILTER(Dictionaries!$C:$C,Dictionaries!$A:$A="???_????"))),IF($M153="","",XLOOKUP($M153,FILTER(Dictionaries!$B:$B,Dictionaries!$A:$A="?????"),FILTER(Dictionaries!$C:$C,Dictionaries!$A:$A="?????"))),IF($N153="","",MIN($N153/100,1)),IF($O153="","",XLOOKUP($O153,FILTER(Dictionaries!$B:$B,Dictionaries!$A:$A="??????????"),FILTER(Dictionaries!$C:$C,Dictionaries!$A:$A="??????????"))),IF($P153="","",XLOOKUP($P153,FILTER(Dictionaries!$B:$B,Dictionaries!$A:$A="???????"),FILTER(Dictionaries!$C:$C,Dictionaries!$A:$A="???????"))),IF($U153="","",LET(t,IF(OR($B153="????",$B153="????"),"train","rest"),k,$U153,p,$V153,f,$W153,c,$X153,k_s,IF(t="train",IF(k="","",IFS(AND(k&gt;=1900,k&lt;=2050),1,AND(k&gt;=1850,k&lt;1900),0.7,AND(k&gt;2050,k&lt;=2100),0.7,TRUE,0.2)),IF(k="","",IFS(AND(k&gt;=1700,k&lt;=1850),1,AND(k&gt;=1650,k&lt;1700),0.7,AND(k&gt;1850,k&lt;=1900),0.7,TRUE,0.2))),p_s,IF(t="train",IF(p="","",IFS(AND(p&gt;=125,p&lt;=135),1,AND(p&gt;=115,p&lt;125),0.7,AND(p&gt;135,p&lt;=145),0.7,AND(p&gt;=105,p&lt;115),0.4,AND(p&gt;145,p&lt;=155),0.4,TRUE,0.2)),IF(p="","",IFS(AND(p&gt;=120,p&lt;=130),1,AND(p&gt;=110,p&lt;120),0.7,AND(p&gt;130,p&lt;=140),0.7,AND(p&gt;=100,p&lt;110),0.4,AND(p&gt;140,p&lt;=150),0.4,TRUE,0.2))),f_s,IF(f="","",IFS(AND(f&gt;=55,f&lt;=65),1,AND(f&gt;=50,f&lt;55),0.7,AND(f&gt;65,f&lt;=70),0.7,AND(f&gt;=45,f&lt;50),0.4,AND(f&gt;70,f&lt;=75),0.4,TRUE,0.2)),c_s,IF(t="train",IF(c="","",IFS(AND(c&gt;=180,c&lt;=210),1,AND(c&gt;=160,c&lt;180),0.7,AND(c&gt;210,c&lt;=230),0.7,AND(c&gt;=140,c&lt;160),0.4,AND(c&gt;230,c&lt;=250),0.4,TRUE,0.2)),IF(c="","",IFS(AND(c&gt;=140,c&lt;=170),1,AND(c&gt;=120,c&lt;140),0.7,AND(c&gt;170,c&lt;=190),0.7,AND(c&gt;=100,c&lt;120),0.4,AND(c&gt;190,c&lt;=210),0.4,TRUE,0.2))),AVERAGE(k_s,p_s,f_s,c_s)))),1),""))</f>
        <v/>
      </c>
      <c r="Z153">
        <f>IF($A153="","",TEXTJOIN(", ",TRUE,IF($B153="","??????????",""),IF($C153="","??????",""),IF($D153="","????",""),IF($E153="","??????????",""),IF($F153="","???-?????",""),IF($G153="","???-????",""),IF($H153="","??????",""),IF($L153="","???",""),IF($M153="","?????",""),IF($N153="","??????????????",""),IF($O153="","??????????",""),IF($P153="","???????",""),IF($U153="","???","")))</f>
        <v/>
      </c>
    </row>
    <row r="154">
      <c r="U154">
        <f>IF($A154="","",IF(SUMIF(FoodLog!$A:$A,$A154,FoodLog!$I:$I)=0,"",SUMIF(FoodLog!$A:$A,$A154,FoodLog!$I:$I)))</f>
        <v/>
      </c>
      <c r="V154">
        <f>IF($A154="","",IF(SUMIF(FoodLog!$A:$A,$A154,FoodLog!$F:$F)=0,"",SUMIF(FoodLog!$A:$A,$A154,FoodLog!$F:$F)))</f>
        <v/>
      </c>
      <c r="W154">
        <f>IF($A154="","",IF(SUMIF(FoodLog!$A:$A,$A154,FoodLog!$G:$G)=0,"",SUMIF(FoodLog!$A:$A,$A154,FoodLog!$G:$G)))</f>
        <v/>
      </c>
      <c r="X154">
        <f>IF($A154="","",IF(SUMIF(FoodLog!$A:$A,$A154,FoodLog!$H:$H)=0,"",SUMIF(FoodLog!$A:$A,$A154,FoodLog!$H:$H)))</f>
        <v/>
      </c>
      <c r="Y154">
        <f>IF($A154="","",IFERROR(ROUND(100*AVERAGE(IF($B154="","",XLOOKUP($B154,FILTER(Dictionaries!$B:$B,Dictionaries!$A:$A="??????????"),FILTER(Dictionaries!$C:$C,Dictionaries!$A:$A="??????????"))),IF($C154="","",MIN($C154/40,1)),IF($D154="","",XLOOKUP($D154,FILTER(Dictionaries!$B:$B,Dictionaries!$A:$A="????"),FILTER(Dictionaries!$C:$C,Dictionaries!$A:$A="????"))),IF($E154="","",MIN($E154/120,1)),IF(OR($F154&lt;&gt;"",$G154&lt;&gt;""),1,""),IF($H154="","",MIN($H154/100,1)),IF($L154="","",XLOOKUP($L154,FILTER(Dictionaries!$B:$B,Dictionaries!$A:$A="???_????"),FILTER(Dictionaries!$C:$C,Dictionaries!$A:$A="???_????"))),IF($M154="","",XLOOKUP($M154,FILTER(Dictionaries!$B:$B,Dictionaries!$A:$A="?????"),FILTER(Dictionaries!$C:$C,Dictionaries!$A:$A="?????"))),IF($N154="","",MIN($N154/100,1)),IF($O154="","",XLOOKUP($O154,FILTER(Dictionaries!$B:$B,Dictionaries!$A:$A="??????????"),FILTER(Dictionaries!$C:$C,Dictionaries!$A:$A="??????????"))),IF($P154="","",XLOOKUP($P154,FILTER(Dictionaries!$B:$B,Dictionaries!$A:$A="???????"),FILTER(Dictionaries!$C:$C,Dictionaries!$A:$A="???????"))),IF($U154="","",LET(t,IF(OR($B154="????",$B154="????"),"train","rest"),k,$U154,p,$V154,f,$W154,c,$X154,k_s,IF(t="train",IF(k="","",IFS(AND(k&gt;=1900,k&lt;=2050),1,AND(k&gt;=1850,k&lt;1900),0.7,AND(k&gt;2050,k&lt;=2100),0.7,TRUE,0.2)),IF(k="","",IFS(AND(k&gt;=1700,k&lt;=1850),1,AND(k&gt;=1650,k&lt;1700),0.7,AND(k&gt;1850,k&lt;=1900),0.7,TRUE,0.2))),p_s,IF(t="train",IF(p="","",IFS(AND(p&gt;=125,p&lt;=135),1,AND(p&gt;=115,p&lt;125),0.7,AND(p&gt;135,p&lt;=145),0.7,AND(p&gt;=105,p&lt;115),0.4,AND(p&gt;145,p&lt;=155),0.4,TRUE,0.2)),IF(p="","",IFS(AND(p&gt;=120,p&lt;=130),1,AND(p&gt;=110,p&lt;120),0.7,AND(p&gt;130,p&lt;=140),0.7,AND(p&gt;=100,p&lt;110),0.4,AND(p&gt;140,p&lt;=150),0.4,TRUE,0.2))),f_s,IF(f="","",IFS(AND(f&gt;=55,f&lt;=65),1,AND(f&gt;=50,f&lt;55),0.7,AND(f&gt;65,f&lt;=70),0.7,AND(f&gt;=45,f&lt;50),0.4,AND(f&gt;70,f&lt;=75),0.4,TRUE,0.2)),c_s,IF(t="train",IF(c="","",IFS(AND(c&gt;=180,c&lt;=210),1,AND(c&gt;=160,c&lt;180),0.7,AND(c&gt;210,c&lt;=230),0.7,AND(c&gt;=140,c&lt;160),0.4,AND(c&gt;230,c&lt;=250),0.4,TRUE,0.2)),IF(c="","",IFS(AND(c&gt;=140,c&lt;=170),1,AND(c&gt;=120,c&lt;140),0.7,AND(c&gt;170,c&lt;=190),0.7,AND(c&gt;=100,c&lt;120),0.4,AND(c&gt;190,c&lt;=210),0.4,TRUE,0.2))),AVERAGE(k_s,p_s,f_s,c_s)))),1),""))</f>
        <v/>
      </c>
      <c r="Z154">
        <f>IF($A154="","",TEXTJOIN(", ",TRUE,IF($B154="","??????????",""),IF($C154="","??????",""),IF($D154="","????",""),IF($E154="","??????????",""),IF($F154="","???-?????",""),IF($G154="","???-????",""),IF($H154="","??????",""),IF($L154="","???",""),IF($M154="","?????",""),IF($N154="","??????????????",""),IF($O154="","??????????",""),IF($P154="","???????",""),IF($U154="","???","")))</f>
        <v/>
      </c>
    </row>
    <row r="155">
      <c r="U155">
        <f>IF($A155="","",IF(SUMIF(FoodLog!$A:$A,$A155,FoodLog!$I:$I)=0,"",SUMIF(FoodLog!$A:$A,$A155,FoodLog!$I:$I)))</f>
        <v/>
      </c>
      <c r="V155">
        <f>IF($A155="","",IF(SUMIF(FoodLog!$A:$A,$A155,FoodLog!$F:$F)=0,"",SUMIF(FoodLog!$A:$A,$A155,FoodLog!$F:$F)))</f>
        <v/>
      </c>
      <c r="W155">
        <f>IF($A155="","",IF(SUMIF(FoodLog!$A:$A,$A155,FoodLog!$G:$G)=0,"",SUMIF(FoodLog!$A:$A,$A155,FoodLog!$G:$G)))</f>
        <v/>
      </c>
      <c r="X155">
        <f>IF($A155="","",IF(SUMIF(FoodLog!$A:$A,$A155,FoodLog!$H:$H)=0,"",SUMIF(FoodLog!$A:$A,$A155,FoodLog!$H:$H)))</f>
        <v/>
      </c>
      <c r="Y155">
        <f>IF($A155="","",IFERROR(ROUND(100*AVERAGE(IF($B155="","",XLOOKUP($B155,FILTER(Dictionaries!$B:$B,Dictionaries!$A:$A="??????????"),FILTER(Dictionaries!$C:$C,Dictionaries!$A:$A="??????????"))),IF($C155="","",MIN($C155/40,1)),IF($D155="","",XLOOKUP($D155,FILTER(Dictionaries!$B:$B,Dictionaries!$A:$A="????"),FILTER(Dictionaries!$C:$C,Dictionaries!$A:$A="????"))),IF($E155="","",MIN($E155/120,1)),IF(OR($F155&lt;&gt;"",$G155&lt;&gt;""),1,""),IF($H155="","",MIN($H155/100,1)),IF($L155="","",XLOOKUP($L155,FILTER(Dictionaries!$B:$B,Dictionaries!$A:$A="???_????"),FILTER(Dictionaries!$C:$C,Dictionaries!$A:$A="???_????"))),IF($M155="","",XLOOKUP($M155,FILTER(Dictionaries!$B:$B,Dictionaries!$A:$A="?????"),FILTER(Dictionaries!$C:$C,Dictionaries!$A:$A="?????"))),IF($N155="","",MIN($N155/100,1)),IF($O155="","",XLOOKUP($O155,FILTER(Dictionaries!$B:$B,Dictionaries!$A:$A="??????????"),FILTER(Dictionaries!$C:$C,Dictionaries!$A:$A="??????????"))),IF($P155="","",XLOOKUP($P155,FILTER(Dictionaries!$B:$B,Dictionaries!$A:$A="???????"),FILTER(Dictionaries!$C:$C,Dictionaries!$A:$A="???????"))),IF($U155="","",LET(t,IF(OR($B155="????",$B155="????"),"train","rest"),k,$U155,p,$V155,f,$W155,c,$X155,k_s,IF(t="train",IF(k="","",IFS(AND(k&gt;=1900,k&lt;=2050),1,AND(k&gt;=1850,k&lt;1900),0.7,AND(k&gt;2050,k&lt;=2100),0.7,TRUE,0.2)),IF(k="","",IFS(AND(k&gt;=1700,k&lt;=1850),1,AND(k&gt;=1650,k&lt;1700),0.7,AND(k&gt;1850,k&lt;=1900),0.7,TRUE,0.2))),p_s,IF(t="train",IF(p="","",IFS(AND(p&gt;=125,p&lt;=135),1,AND(p&gt;=115,p&lt;125),0.7,AND(p&gt;135,p&lt;=145),0.7,AND(p&gt;=105,p&lt;115),0.4,AND(p&gt;145,p&lt;=155),0.4,TRUE,0.2)),IF(p="","",IFS(AND(p&gt;=120,p&lt;=130),1,AND(p&gt;=110,p&lt;120),0.7,AND(p&gt;130,p&lt;=140),0.7,AND(p&gt;=100,p&lt;110),0.4,AND(p&gt;140,p&lt;=150),0.4,TRUE,0.2))),f_s,IF(f="","",IFS(AND(f&gt;=55,f&lt;=65),1,AND(f&gt;=50,f&lt;55),0.7,AND(f&gt;65,f&lt;=70),0.7,AND(f&gt;=45,f&lt;50),0.4,AND(f&gt;70,f&lt;=75),0.4,TRUE,0.2)),c_s,IF(t="train",IF(c="","",IFS(AND(c&gt;=180,c&lt;=210),1,AND(c&gt;=160,c&lt;180),0.7,AND(c&gt;210,c&lt;=230),0.7,AND(c&gt;=140,c&lt;160),0.4,AND(c&gt;230,c&lt;=250),0.4,TRUE,0.2)),IF(c="","",IFS(AND(c&gt;=140,c&lt;=170),1,AND(c&gt;=120,c&lt;140),0.7,AND(c&gt;170,c&lt;=190),0.7,AND(c&gt;=100,c&lt;120),0.4,AND(c&gt;190,c&lt;=210),0.4,TRUE,0.2))),AVERAGE(k_s,p_s,f_s,c_s)))),1),""))</f>
        <v/>
      </c>
      <c r="Z155">
        <f>IF($A155="","",TEXTJOIN(", ",TRUE,IF($B155="","??????????",""),IF($C155="","??????",""),IF($D155="","????",""),IF($E155="","??????????",""),IF($F155="","???-?????",""),IF($G155="","???-????",""),IF($H155="","??????",""),IF($L155="","???",""),IF($M155="","?????",""),IF($N155="","??????????????",""),IF($O155="","??????????",""),IF($P155="","???????",""),IF($U155="","???","")))</f>
        <v/>
      </c>
    </row>
    <row r="156">
      <c r="U156">
        <f>IF($A156="","",IF(SUMIF(FoodLog!$A:$A,$A156,FoodLog!$I:$I)=0,"",SUMIF(FoodLog!$A:$A,$A156,FoodLog!$I:$I)))</f>
        <v/>
      </c>
      <c r="V156">
        <f>IF($A156="","",IF(SUMIF(FoodLog!$A:$A,$A156,FoodLog!$F:$F)=0,"",SUMIF(FoodLog!$A:$A,$A156,FoodLog!$F:$F)))</f>
        <v/>
      </c>
      <c r="W156">
        <f>IF($A156="","",IF(SUMIF(FoodLog!$A:$A,$A156,FoodLog!$G:$G)=0,"",SUMIF(FoodLog!$A:$A,$A156,FoodLog!$G:$G)))</f>
        <v/>
      </c>
      <c r="X156">
        <f>IF($A156="","",IF(SUMIF(FoodLog!$A:$A,$A156,FoodLog!$H:$H)=0,"",SUMIF(FoodLog!$A:$A,$A156,FoodLog!$H:$H)))</f>
        <v/>
      </c>
      <c r="Y156">
        <f>IF($A156="","",IFERROR(ROUND(100*AVERAGE(IF($B156="","",XLOOKUP($B156,FILTER(Dictionaries!$B:$B,Dictionaries!$A:$A="??????????"),FILTER(Dictionaries!$C:$C,Dictionaries!$A:$A="??????????"))),IF($C156="","",MIN($C156/40,1)),IF($D156="","",XLOOKUP($D156,FILTER(Dictionaries!$B:$B,Dictionaries!$A:$A="????"),FILTER(Dictionaries!$C:$C,Dictionaries!$A:$A="????"))),IF($E156="","",MIN($E156/120,1)),IF(OR($F156&lt;&gt;"",$G156&lt;&gt;""),1,""),IF($H156="","",MIN($H156/100,1)),IF($L156="","",XLOOKUP($L156,FILTER(Dictionaries!$B:$B,Dictionaries!$A:$A="???_????"),FILTER(Dictionaries!$C:$C,Dictionaries!$A:$A="???_????"))),IF($M156="","",XLOOKUP($M156,FILTER(Dictionaries!$B:$B,Dictionaries!$A:$A="?????"),FILTER(Dictionaries!$C:$C,Dictionaries!$A:$A="?????"))),IF($N156="","",MIN($N156/100,1)),IF($O156="","",XLOOKUP($O156,FILTER(Dictionaries!$B:$B,Dictionaries!$A:$A="??????????"),FILTER(Dictionaries!$C:$C,Dictionaries!$A:$A="??????????"))),IF($P156="","",XLOOKUP($P156,FILTER(Dictionaries!$B:$B,Dictionaries!$A:$A="???????"),FILTER(Dictionaries!$C:$C,Dictionaries!$A:$A="???????"))),IF($U156="","",LET(t,IF(OR($B156="????",$B156="????"),"train","rest"),k,$U156,p,$V156,f,$W156,c,$X156,k_s,IF(t="train",IF(k="","",IFS(AND(k&gt;=1900,k&lt;=2050),1,AND(k&gt;=1850,k&lt;1900),0.7,AND(k&gt;2050,k&lt;=2100),0.7,TRUE,0.2)),IF(k="","",IFS(AND(k&gt;=1700,k&lt;=1850),1,AND(k&gt;=1650,k&lt;1700),0.7,AND(k&gt;1850,k&lt;=1900),0.7,TRUE,0.2))),p_s,IF(t="train",IF(p="","",IFS(AND(p&gt;=125,p&lt;=135),1,AND(p&gt;=115,p&lt;125),0.7,AND(p&gt;135,p&lt;=145),0.7,AND(p&gt;=105,p&lt;115),0.4,AND(p&gt;145,p&lt;=155),0.4,TRUE,0.2)),IF(p="","",IFS(AND(p&gt;=120,p&lt;=130),1,AND(p&gt;=110,p&lt;120),0.7,AND(p&gt;130,p&lt;=140),0.7,AND(p&gt;=100,p&lt;110),0.4,AND(p&gt;140,p&lt;=150),0.4,TRUE,0.2))),f_s,IF(f="","",IFS(AND(f&gt;=55,f&lt;=65),1,AND(f&gt;=50,f&lt;55),0.7,AND(f&gt;65,f&lt;=70),0.7,AND(f&gt;=45,f&lt;50),0.4,AND(f&gt;70,f&lt;=75),0.4,TRUE,0.2)),c_s,IF(t="train",IF(c="","",IFS(AND(c&gt;=180,c&lt;=210),1,AND(c&gt;=160,c&lt;180),0.7,AND(c&gt;210,c&lt;=230),0.7,AND(c&gt;=140,c&lt;160),0.4,AND(c&gt;230,c&lt;=250),0.4,TRUE,0.2)),IF(c="","",IFS(AND(c&gt;=140,c&lt;=170),1,AND(c&gt;=120,c&lt;140),0.7,AND(c&gt;170,c&lt;=190),0.7,AND(c&gt;=100,c&lt;120),0.4,AND(c&gt;190,c&lt;=210),0.4,TRUE,0.2))),AVERAGE(k_s,p_s,f_s,c_s)))),1),""))</f>
        <v/>
      </c>
      <c r="Z156">
        <f>IF($A156="","",TEXTJOIN(", ",TRUE,IF($B156="","??????????",""),IF($C156="","??????",""),IF($D156="","????",""),IF($E156="","??????????",""),IF($F156="","???-?????",""),IF($G156="","???-????",""),IF($H156="","??????",""),IF($L156="","???",""),IF($M156="","?????",""),IF($N156="","??????????????",""),IF($O156="","??????????",""),IF($P156="","???????",""),IF($U156="","???","")))</f>
        <v/>
      </c>
    </row>
    <row r="157">
      <c r="U157">
        <f>IF($A157="","",IF(SUMIF(FoodLog!$A:$A,$A157,FoodLog!$I:$I)=0,"",SUMIF(FoodLog!$A:$A,$A157,FoodLog!$I:$I)))</f>
        <v/>
      </c>
      <c r="V157">
        <f>IF($A157="","",IF(SUMIF(FoodLog!$A:$A,$A157,FoodLog!$F:$F)=0,"",SUMIF(FoodLog!$A:$A,$A157,FoodLog!$F:$F)))</f>
        <v/>
      </c>
      <c r="W157">
        <f>IF($A157="","",IF(SUMIF(FoodLog!$A:$A,$A157,FoodLog!$G:$G)=0,"",SUMIF(FoodLog!$A:$A,$A157,FoodLog!$G:$G)))</f>
        <v/>
      </c>
      <c r="X157">
        <f>IF($A157="","",IF(SUMIF(FoodLog!$A:$A,$A157,FoodLog!$H:$H)=0,"",SUMIF(FoodLog!$A:$A,$A157,FoodLog!$H:$H)))</f>
        <v/>
      </c>
      <c r="Y157">
        <f>IF($A157="","",IFERROR(ROUND(100*AVERAGE(IF($B157="","",XLOOKUP($B157,FILTER(Dictionaries!$B:$B,Dictionaries!$A:$A="??????????"),FILTER(Dictionaries!$C:$C,Dictionaries!$A:$A="??????????"))),IF($C157="","",MIN($C157/40,1)),IF($D157="","",XLOOKUP($D157,FILTER(Dictionaries!$B:$B,Dictionaries!$A:$A="????"),FILTER(Dictionaries!$C:$C,Dictionaries!$A:$A="????"))),IF($E157="","",MIN($E157/120,1)),IF(OR($F157&lt;&gt;"",$G157&lt;&gt;""),1,""),IF($H157="","",MIN($H157/100,1)),IF($L157="","",XLOOKUP($L157,FILTER(Dictionaries!$B:$B,Dictionaries!$A:$A="???_????"),FILTER(Dictionaries!$C:$C,Dictionaries!$A:$A="???_????"))),IF($M157="","",XLOOKUP($M157,FILTER(Dictionaries!$B:$B,Dictionaries!$A:$A="?????"),FILTER(Dictionaries!$C:$C,Dictionaries!$A:$A="?????"))),IF($N157="","",MIN($N157/100,1)),IF($O157="","",XLOOKUP($O157,FILTER(Dictionaries!$B:$B,Dictionaries!$A:$A="??????????"),FILTER(Dictionaries!$C:$C,Dictionaries!$A:$A="??????????"))),IF($P157="","",XLOOKUP($P157,FILTER(Dictionaries!$B:$B,Dictionaries!$A:$A="???????"),FILTER(Dictionaries!$C:$C,Dictionaries!$A:$A="???????"))),IF($U157="","",LET(t,IF(OR($B157="????",$B157="????"),"train","rest"),k,$U157,p,$V157,f,$W157,c,$X157,k_s,IF(t="train",IF(k="","",IFS(AND(k&gt;=1900,k&lt;=2050),1,AND(k&gt;=1850,k&lt;1900),0.7,AND(k&gt;2050,k&lt;=2100),0.7,TRUE,0.2)),IF(k="","",IFS(AND(k&gt;=1700,k&lt;=1850),1,AND(k&gt;=1650,k&lt;1700),0.7,AND(k&gt;1850,k&lt;=1900),0.7,TRUE,0.2))),p_s,IF(t="train",IF(p="","",IFS(AND(p&gt;=125,p&lt;=135),1,AND(p&gt;=115,p&lt;125),0.7,AND(p&gt;135,p&lt;=145),0.7,AND(p&gt;=105,p&lt;115),0.4,AND(p&gt;145,p&lt;=155),0.4,TRUE,0.2)),IF(p="","",IFS(AND(p&gt;=120,p&lt;=130),1,AND(p&gt;=110,p&lt;120),0.7,AND(p&gt;130,p&lt;=140),0.7,AND(p&gt;=100,p&lt;110),0.4,AND(p&gt;140,p&lt;=150),0.4,TRUE,0.2))),f_s,IF(f="","",IFS(AND(f&gt;=55,f&lt;=65),1,AND(f&gt;=50,f&lt;55),0.7,AND(f&gt;65,f&lt;=70),0.7,AND(f&gt;=45,f&lt;50),0.4,AND(f&gt;70,f&lt;=75),0.4,TRUE,0.2)),c_s,IF(t="train",IF(c="","",IFS(AND(c&gt;=180,c&lt;=210),1,AND(c&gt;=160,c&lt;180),0.7,AND(c&gt;210,c&lt;=230),0.7,AND(c&gt;=140,c&lt;160),0.4,AND(c&gt;230,c&lt;=250),0.4,TRUE,0.2)),IF(c="","",IFS(AND(c&gt;=140,c&lt;=170),1,AND(c&gt;=120,c&lt;140),0.7,AND(c&gt;170,c&lt;=190),0.7,AND(c&gt;=100,c&lt;120),0.4,AND(c&gt;190,c&lt;=210),0.4,TRUE,0.2))),AVERAGE(k_s,p_s,f_s,c_s)))),1),""))</f>
        <v/>
      </c>
      <c r="Z157">
        <f>IF($A157="","",TEXTJOIN(", ",TRUE,IF($B157="","??????????",""),IF($C157="","??????",""),IF($D157="","????",""),IF($E157="","??????????",""),IF($F157="","???-?????",""),IF($G157="","???-????",""),IF($H157="","??????",""),IF($L157="","???",""),IF($M157="","?????",""),IF($N157="","??????????????",""),IF($O157="","??????????",""),IF($P157="","???????",""),IF($U157="","???","")))</f>
        <v/>
      </c>
    </row>
    <row r="158">
      <c r="U158">
        <f>IF($A158="","",IF(SUMIF(FoodLog!$A:$A,$A158,FoodLog!$I:$I)=0,"",SUMIF(FoodLog!$A:$A,$A158,FoodLog!$I:$I)))</f>
        <v/>
      </c>
      <c r="V158">
        <f>IF($A158="","",IF(SUMIF(FoodLog!$A:$A,$A158,FoodLog!$F:$F)=0,"",SUMIF(FoodLog!$A:$A,$A158,FoodLog!$F:$F)))</f>
        <v/>
      </c>
      <c r="W158">
        <f>IF($A158="","",IF(SUMIF(FoodLog!$A:$A,$A158,FoodLog!$G:$G)=0,"",SUMIF(FoodLog!$A:$A,$A158,FoodLog!$G:$G)))</f>
        <v/>
      </c>
      <c r="X158">
        <f>IF($A158="","",IF(SUMIF(FoodLog!$A:$A,$A158,FoodLog!$H:$H)=0,"",SUMIF(FoodLog!$A:$A,$A158,FoodLog!$H:$H)))</f>
        <v/>
      </c>
      <c r="Y158">
        <f>IF($A158="","",IFERROR(ROUND(100*AVERAGE(IF($B158="","",XLOOKUP($B158,FILTER(Dictionaries!$B:$B,Dictionaries!$A:$A="??????????"),FILTER(Dictionaries!$C:$C,Dictionaries!$A:$A="??????????"))),IF($C158="","",MIN($C158/40,1)),IF($D158="","",XLOOKUP($D158,FILTER(Dictionaries!$B:$B,Dictionaries!$A:$A="????"),FILTER(Dictionaries!$C:$C,Dictionaries!$A:$A="????"))),IF($E158="","",MIN($E158/120,1)),IF(OR($F158&lt;&gt;"",$G158&lt;&gt;""),1,""),IF($H158="","",MIN($H158/100,1)),IF($L158="","",XLOOKUP($L158,FILTER(Dictionaries!$B:$B,Dictionaries!$A:$A="???_????"),FILTER(Dictionaries!$C:$C,Dictionaries!$A:$A="???_????"))),IF($M158="","",XLOOKUP($M158,FILTER(Dictionaries!$B:$B,Dictionaries!$A:$A="?????"),FILTER(Dictionaries!$C:$C,Dictionaries!$A:$A="?????"))),IF($N158="","",MIN($N158/100,1)),IF($O158="","",XLOOKUP($O158,FILTER(Dictionaries!$B:$B,Dictionaries!$A:$A="??????????"),FILTER(Dictionaries!$C:$C,Dictionaries!$A:$A="??????????"))),IF($P158="","",XLOOKUP($P158,FILTER(Dictionaries!$B:$B,Dictionaries!$A:$A="???????"),FILTER(Dictionaries!$C:$C,Dictionaries!$A:$A="???????"))),IF($U158="","",LET(t,IF(OR($B158="????",$B158="????"),"train","rest"),k,$U158,p,$V158,f,$W158,c,$X158,k_s,IF(t="train",IF(k="","",IFS(AND(k&gt;=1900,k&lt;=2050),1,AND(k&gt;=1850,k&lt;1900),0.7,AND(k&gt;2050,k&lt;=2100),0.7,TRUE,0.2)),IF(k="","",IFS(AND(k&gt;=1700,k&lt;=1850),1,AND(k&gt;=1650,k&lt;1700),0.7,AND(k&gt;1850,k&lt;=1900),0.7,TRUE,0.2))),p_s,IF(t="train",IF(p="","",IFS(AND(p&gt;=125,p&lt;=135),1,AND(p&gt;=115,p&lt;125),0.7,AND(p&gt;135,p&lt;=145),0.7,AND(p&gt;=105,p&lt;115),0.4,AND(p&gt;145,p&lt;=155),0.4,TRUE,0.2)),IF(p="","",IFS(AND(p&gt;=120,p&lt;=130),1,AND(p&gt;=110,p&lt;120),0.7,AND(p&gt;130,p&lt;=140),0.7,AND(p&gt;=100,p&lt;110),0.4,AND(p&gt;140,p&lt;=150),0.4,TRUE,0.2))),f_s,IF(f="","",IFS(AND(f&gt;=55,f&lt;=65),1,AND(f&gt;=50,f&lt;55),0.7,AND(f&gt;65,f&lt;=70),0.7,AND(f&gt;=45,f&lt;50),0.4,AND(f&gt;70,f&lt;=75),0.4,TRUE,0.2)),c_s,IF(t="train",IF(c="","",IFS(AND(c&gt;=180,c&lt;=210),1,AND(c&gt;=160,c&lt;180),0.7,AND(c&gt;210,c&lt;=230),0.7,AND(c&gt;=140,c&lt;160),0.4,AND(c&gt;230,c&lt;=250),0.4,TRUE,0.2)),IF(c="","",IFS(AND(c&gt;=140,c&lt;=170),1,AND(c&gt;=120,c&lt;140),0.7,AND(c&gt;170,c&lt;=190),0.7,AND(c&gt;=100,c&lt;120),0.4,AND(c&gt;190,c&lt;=210),0.4,TRUE,0.2))),AVERAGE(k_s,p_s,f_s,c_s)))),1),""))</f>
        <v/>
      </c>
      <c r="Z158">
        <f>IF($A158="","",TEXTJOIN(", ",TRUE,IF($B158="","??????????",""),IF($C158="","??????",""),IF($D158="","????",""),IF($E158="","??????????",""),IF($F158="","???-?????",""),IF($G158="","???-????",""),IF($H158="","??????",""),IF($L158="","???",""),IF($M158="","?????",""),IF($N158="","??????????????",""),IF($O158="","??????????",""),IF($P158="","???????",""),IF($U158="","???","")))</f>
        <v/>
      </c>
    </row>
    <row r="159">
      <c r="U159">
        <f>IF($A159="","",IF(SUMIF(FoodLog!$A:$A,$A159,FoodLog!$I:$I)=0,"",SUMIF(FoodLog!$A:$A,$A159,FoodLog!$I:$I)))</f>
        <v/>
      </c>
      <c r="V159">
        <f>IF($A159="","",IF(SUMIF(FoodLog!$A:$A,$A159,FoodLog!$F:$F)=0,"",SUMIF(FoodLog!$A:$A,$A159,FoodLog!$F:$F)))</f>
        <v/>
      </c>
      <c r="W159">
        <f>IF($A159="","",IF(SUMIF(FoodLog!$A:$A,$A159,FoodLog!$G:$G)=0,"",SUMIF(FoodLog!$A:$A,$A159,FoodLog!$G:$G)))</f>
        <v/>
      </c>
      <c r="X159">
        <f>IF($A159="","",IF(SUMIF(FoodLog!$A:$A,$A159,FoodLog!$H:$H)=0,"",SUMIF(FoodLog!$A:$A,$A159,FoodLog!$H:$H)))</f>
        <v/>
      </c>
      <c r="Y159">
        <f>IF($A159="","",IFERROR(ROUND(100*AVERAGE(IF($B159="","",XLOOKUP($B159,FILTER(Dictionaries!$B:$B,Dictionaries!$A:$A="??????????"),FILTER(Dictionaries!$C:$C,Dictionaries!$A:$A="??????????"))),IF($C159="","",MIN($C159/40,1)),IF($D159="","",XLOOKUP($D159,FILTER(Dictionaries!$B:$B,Dictionaries!$A:$A="????"),FILTER(Dictionaries!$C:$C,Dictionaries!$A:$A="????"))),IF($E159="","",MIN($E159/120,1)),IF(OR($F159&lt;&gt;"",$G159&lt;&gt;""),1,""),IF($H159="","",MIN($H159/100,1)),IF($L159="","",XLOOKUP($L159,FILTER(Dictionaries!$B:$B,Dictionaries!$A:$A="???_????"),FILTER(Dictionaries!$C:$C,Dictionaries!$A:$A="???_????"))),IF($M159="","",XLOOKUP($M159,FILTER(Dictionaries!$B:$B,Dictionaries!$A:$A="?????"),FILTER(Dictionaries!$C:$C,Dictionaries!$A:$A="?????"))),IF($N159="","",MIN($N159/100,1)),IF($O159="","",XLOOKUP($O159,FILTER(Dictionaries!$B:$B,Dictionaries!$A:$A="??????????"),FILTER(Dictionaries!$C:$C,Dictionaries!$A:$A="??????????"))),IF($P159="","",XLOOKUP($P159,FILTER(Dictionaries!$B:$B,Dictionaries!$A:$A="???????"),FILTER(Dictionaries!$C:$C,Dictionaries!$A:$A="???????"))),IF($U159="","",LET(t,IF(OR($B159="????",$B159="????"),"train","rest"),k,$U159,p,$V159,f,$W159,c,$X159,k_s,IF(t="train",IF(k="","",IFS(AND(k&gt;=1900,k&lt;=2050),1,AND(k&gt;=1850,k&lt;1900),0.7,AND(k&gt;2050,k&lt;=2100),0.7,TRUE,0.2)),IF(k="","",IFS(AND(k&gt;=1700,k&lt;=1850),1,AND(k&gt;=1650,k&lt;1700),0.7,AND(k&gt;1850,k&lt;=1900),0.7,TRUE,0.2))),p_s,IF(t="train",IF(p="","",IFS(AND(p&gt;=125,p&lt;=135),1,AND(p&gt;=115,p&lt;125),0.7,AND(p&gt;135,p&lt;=145),0.7,AND(p&gt;=105,p&lt;115),0.4,AND(p&gt;145,p&lt;=155),0.4,TRUE,0.2)),IF(p="","",IFS(AND(p&gt;=120,p&lt;=130),1,AND(p&gt;=110,p&lt;120),0.7,AND(p&gt;130,p&lt;=140),0.7,AND(p&gt;=100,p&lt;110),0.4,AND(p&gt;140,p&lt;=150),0.4,TRUE,0.2))),f_s,IF(f="","",IFS(AND(f&gt;=55,f&lt;=65),1,AND(f&gt;=50,f&lt;55),0.7,AND(f&gt;65,f&lt;=70),0.7,AND(f&gt;=45,f&lt;50),0.4,AND(f&gt;70,f&lt;=75),0.4,TRUE,0.2)),c_s,IF(t="train",IF(c="","",IFS(AND(c&gt;=180,c&lt;=210),1,AND(c&gt;=160,c&lt;180),0.7,AND(c&gt;210,c&lt;=230),0.7,AND(c&gt;=140,c&lt;160),0.4,AND(c&gt;230,c&lt;=250),0.4,TRUE,0.2)),IF(c="","",IFS(AND(c&gt;=140,c&lt;=170),1,AND(c&gt;=120,c&lt;140),0.7,AND(c&gt;170,c&lt;=190),0.7,AND(c&gt;=100,c&lt;120),0.4,AND(c&gt;190,c&lt;=210),0.4,TRUE,0.2))),AVERAGE(k_s,p_s,f_s,c_s)))),1),""))</f>
        <v/>
      </c>
      <c r="Z159">
        <f>IF($A159="","",TEXTJOIN(", ",TRUE,IF($B159="","??????????",""),IF($C159="","??????",""),IF($D159="","????",""),IF($E159="","??????????",""),IF($F159="","???-?????",""),IF($G159="","???-????",""),IF($H159="","??????",""),IF($L159="","???",""),IF($M159="","?????",""),IF($N159="","??????????????",""),IF($O159="","??????????",""),IF($P159="","???????",""),IF($U159="","???","")))</f>
        <v/>
      </c>
    </row>
    <row r="160">
      <c r="U160">
        <f>IF($A160="","",IF(SUMIF(FoodLog!$A:$A,$A160,FoodLog!$I:$I)=0,"",SUMIF(FoodLog!$A:$A,$A160,FoodLog!$I:$I)))</f>
        <v/>
      </c>
      <c r="V160">
        <f>IF($A160="","",IF(SUMIF(FoodLog!$A:$A,$A160,FoodLog!$F:$F)=0,"",SUMIF(FoodLog!$A:$A,$A160,FoodLog!$F:$F)))</f>
        <v/>
      </c>
      <c r="W160">
        <f>IF($A160="","",IF(SUMIF(FoodLog!$A:$A,$A160,FoodLog!$G:$G)=0,"",SUMIF(FoodLog!$A:$A,$A160,FoodLog!$G:$G)))</f>
        <v/>
      </c>
      <c r="X160">
        <f>IF($A160="","",IF(SUMIF(FoodLog!$A:$A,$A160,FoodLog!$H:$H)=0,"",SUMIF(FoodLog!$A:$A,$A160,FoodLog!$H:$H)))</f>
        <v/>
      </c>
      <c r="Y160">
        <f>IF($A160="","",IFERROR(ROUND(100*AVERAGE(IF($B160="","",XLOOKUP($B160,FILTER(Dictionaries!$B:$B,Dictionaries!$A:$A="??????????"),FILTER(Dictionaries!$C:$C,Dictionaries!$A:$A="??????????"))),IF($C160="","",MIN($C160/40,1)),IF($D160="","",XLOOKUP($D160,FILTER(Dictionaries!$B:$B,Dictionaries!$A:$A="????"),FILTER(Dictionaries!$C:$C,Dictionaries!$A:$A="????"))),IF($E160="","",MIN($E160/120,1)),IF(OR($F160&lt;&gt;"",$G160&lt;&gt;""),1,""),IF($H160="","",MIN($H160/100,1)),IF($L160="","",XLOOKUP($L160,FILTER(Dictionaries!$B:$B,Dictionaries!$A:$A="???_????"),FILTER(Dictionaries!$C:$C,Dictionaries!$A:$A="???_????"))),IF($M160="","",XLOOKUP($M160,FILTER(Dictionaries!$B:$B,Dictionaries!$A:$A="?????"),FILTER(Dictionaries!$C:$C,Dictionaries!$A:$A="?????"))),IF($N160="","",MIN($N160/100,1)),IF($O160="","",XLOOKUP($O160,FILTER(Dictionaries!$B:$B,Dictionaries!$A:$A="??????????"),FILTER(Dictionaries!$C:$C,Dictionaries!$A:$A="??????????"))),IF($P160="","",XLOOKUP($P160,FILTER(Dictionaries!$B:$B,Dictionaries!$A:$A="???????"),FILTER(Dictionaries!$C:$C,Dictionaries!$A:$A="???????"))),IF($U160="","",LET(t,IF(OR($B160="????",$B160="????"),"train","rest"),k,$U160,p,$V160,f,$W160,c,$X160,k_s,IF(t="train",IF(k="","",IFS(AND(k&gt;=1900,k&lt;=2050),1,AND(k&gt;=1850,k&lt;1900),0.7,AND(k&gt;2050,k&lt;=2100),0.7,TRUE,0.2)),IF(k="","",IFS(AND(k&gt;=1700,k&lt;=1850),1,AND(k&gt;=1650,k&lt;1700),0.7,AND(k&gt;1850,k&lt;=1900),0.7,TRUE,0.2))),p_s,IF(t="train",IF(p="","",IFS(AND(p&gt;=125,p&lt;=135),1,AND(p&gt;=115,p&lt;125),0.7,AND(p&gt;135,p&lt;=145),0.7,AND(p&gt;=105,p&lt;115),0.4,AND(p&gt;145,p&lt;=155),0.4,TRUE,0.2)),IF(p="","",IFS(AND(p&gt;=120,p&lt;=130),1,AND(p&gt;=110,p&lt;120),0.7,AND(p&gt;130,p&lt;=140),0.7,AND(p&gt;=100,p&lt;110),0.4,AND(p&gt;140,p&lt;=150),0.4,TRUE,0.2))),f_s,IF(f="","",IFS(AND(f&gt;=55,f&lt;=65),1,AND(f&gt;=50,f&lt;55),0.7,AND(f&gt;65,f&lt;=70),0.7,AND(f&gt;=45,f&lt;50),0.4,AND(f&gt;70,f&lt;=75),0.4,TRUE,0.2)),c_s,IF(t="train",IF(c="","",IFS(AND(c&gt;=180,c&lt;=210),1,AND(c&gt;=160,c&lt;180),0.7,AND(c&gt;210,c&lt;=230),0.7,AND(c&gt;=140,c&lt;160),0.4,AND(c&gt;230,c&lt;=250),0.4,TRUE,0.2)),IF(c="","",IFS(AND(c&gt;=140,c&lt;=170),1,AND(c&gt;=120,c&lt;140),0.7,AND(c&gt;170,c&lt;=190),0.7,AND(c&gt;=100,c&lt;120),0.4,AND(c&gt;190,c&lt;=210),0.4,TRUE,0.2))),AVERAGE(k_s,p_s,f_s,c_s)))),1),""))</f>
        <v/>
      </c>
      <c r="Z160">
        <f>IF($A160="","",TEXTJOIN(", ",TRUE,IF($B160="","??????????",""),IF($C160="","??????",""),IF($D160="","????",""),IF($E160="","??????????",""),IF($F160="","???-?????",""),IF($G160="","???-????",""),IF($H160="","??????",""),IF($L160="","???",""),IF($M160="","?????",""),IF($N160="","??????????????",""),IF($O160="","??????????",""),IF($P160="","???????",""),IF($U160="","???","")))</f>
        <v/>
      </c>
    </row>
    <row r="161">
      <c r="U161">
        <f>IF($A161="","",IF(SUMIF(FoodLog!$A:$A,$A161,FoodLog!$I:$I)=0,"",SUMIF(FoodLog!$A:$A,$A161,FoodLog!$I:$I)))</f>
        <v/>
      </c>
      <c r="V161">
        <f>IF($A161="","",IF(SUMIF(FoodLog!$A:$A,$A161,FoodLog!$F:$F)=0,"",SUMIF(FoodLog!$A:$A,$A161,FoodLog!$F:$F)))</f>
        <v/>
      </c>
      <c r="W161">
        <f>IF($A161="","",IF(SUMIF(FoodLog!$A:$A,$A161,FoodLog!$G:$G)=0,"",SUMIF(FoodLog!$A:$A,$A161,FoodLog!$G:$G)))</f>
        <v/>
      </c>
      <c r="X161">
        <f>IF($A161="","",IF(SUMIF(FoodLog!$A:$A,$A161,FoodLog!$H:$H)=0,"",SUMIF(FoodLog!$A:$A,$A161,FoodLog!$H:$H)))</f>
        <v/>
      </c>
      <c r="Y161">
        <f>IF($A161="","",IFERROR(ROUND(100*AVERAGE(IF($B161="","",XLOOKUP($B161,FILTER(Dictionaries!$B:$B,Dictionaries!$A:$A="??????????"),FILTER(Dictionaries!$C:$C,Dictionaries!$A:$A="??????????"))),IF($C161="","",MIN($C161/40,1)),IF($D161="","",XLOOKUP($D161,FILTER(Dictionaries!$B:$B,Dictionaries!$A:$A="????"),FILTER(Dictionaries!$C:$C,Dictionaries!$A:$A="????"))),IF($E161="","",MIN($E161/120,1)),IF(OR($F161&lt;&gt;"",$G161&lt;&gt;""),1,""),IF($H161="","",MIN($H161/100,1)),IF($L161="","",XLOOKUP($L161,FILTER(Dictionaries!$B:$B,Dictionaries!$A:$A="???_????"),FILTER(Dictionaries!$C:$C,Dictionaries!$A:$A="???_????"))),IF($M161="","",XLOOKUP($M161,FILTER(Dictionaries!$B:$B,Dictionaries!$A:$A="?????"),FILTER(Dictionaries!$C:$C,Dictionaries!$A:$A="?????"))),IF($N161="","",MIN($N161/100,1)),IF($O161="","",XLOOKUP($O161,FILTER(Dictionaries!$B:$B,Dictionaries!$A:$A="??????????"),FILTER(Dictionaries!$C:$C,Dictionaries!$A:$A="??????????"))),IF($P161="","",XLOOKUP($P161,FILTER(Dictionaries!$B:$B,Dictionaries!$A:$A="???????"),FILTER(Dictionaries!$C:$C,Dictionaries!$A:$A="???????"))),IF($U161="","",LET(t,IF(OR($B161="????",$B161="????"),"train","rest"),k,$U161,p,$V161,f,$W161,c,$X161,k_s,IF(t="train",IF(k="","",IFS(AND(k&gt;=1900,k&lt;=2050),1,AND(k&gt;=1850,k&lt;1900),0.7,AND(k&gt;2050,k&lt;=2100),0.7,TRUE,0.2)),IF(k="","",IFS(AND(k&gt;=1700,k&lt;=1850),1,AND(k&gt;=1650,k&lt;1700),0.7,AND(k&gt;1850,k&lt;=1900),0.7,TRUE,0.2))),p_s,IF(t="train",IF(p="","",IFS(AND(p&gt;=125,p&lt;=135),1,AND(p&gt;=115,p&lt;125),0.7,AND(p&gt;135,p&lt;=145),0.7,AND(p&gt;=105,p&lt;115),0.4,AND(p&gt;145,p&lt;=155),0.4,TRUE,0.2)),IF(p="","",IFS(AND(p&gt;=120,p&lt;=130),1,AND(p&gt;=110,p&lt;120),0.7,AND(p&gt;130,p&lt;=140),0.7,AND(p&gt;=100,p&lt;110),0.4,AND(p&gt;140,p&lt;=150),0.4,TRUE,0.2))),f_s,IF(f="","",IFS(AND(f&gt;=55,f&lt;=65),1,AND(f&gt;=50,f&lt;55),0.7,AND(f&gt;65,f&lt;=70),0.7,AND(f&gt;=45,f&lt;50),0.4,AND(f&gt;70,f&lt;=75),0.4,TRUE,0.2)),c_s,IF(t="train",IF(c="","",IFS(AND(c&gt;=180,c&lt;=210),1,AND(c&gt;=160,c&lt;180),0.7,AND(c&gt;210,c&lt;=230),0.7,AND(c&gt;=140,c&lt;160),0.4,AND(c&gt;230,c&lt;=250),0.4,TRUE,0.2)),IF(c="","",IFS(AND(c&gt;=140,c&lt;=170),1,AND(c&gt;=120,c&lt;140),0.7,AND(c&gt;170,c&lt;=190),0.7,AND(c&gt;=100,c&lt;120),0.4,AND(c&gt;190,c&lt;=210),0.4,TRUE,0.2))),AVERAGE(k_s,p_s,f_s,c_s)))),1),""))</f>
        <v/>
      </c>
      <c r="Z161">
        <f>IF($A161="","",TEXTJOIN(", ",TRUE,IF($B161="","??????????",""),IF($C161="","??????",""),IF($D161="","????",""),IF($E161="","??????????",""),IF($F161="","???-?????",""),IF($G161="","???-????",""),IF($H161="","??????",""),IF($L161="","???",""),IF($M161="","?????",""),IF($N161="","??????????????",""),IF($O161="","??????????",""),IF($P161="","???????",""),IF($U161="","???","")))</f>
        <v/>
      </c>
    </row>
    <row r="162">
      <c r="U162">
        <f>IF($A162="","",IF(SUMIF(FoodLog!$A:$A,$A162,FoodLog!$I:$I)=0,"",SUMIF(FoodLog!$A:$A,$A162,FoodLog!$I:$I)))</f>
        <v/>
      </c>
      <c r="V162">
        <f>IF($A162="","",IF(SUMIF(FoodLog!$A:$A,$A162,FoodLog!$F:$F)=0,"",SUMIF(FoodLog!$A:$A,$A162,FoodLog!$F:$F)))</f>
        <v/>
      </c>
      <c r="W162">
        <f>IF($A162="","",IF(SUMIF(FoodLog!$A:$A,$A162,FoodLog!$G:$G)=0,"",SUMIF(FoodLog!$A:$A,$A162,FoodLog!$G:$G)))</f>
        <v/>
      </c>
      <c r="X162">
        <f>IF($A162="","",IF(SUMIF(FoodLog!$A:$A,$A162,FoodLog!$H:$H)=0,"",SUMIF(FoodLog!$A:$A,$A162,FoodLog!$H:$H)))</f>
        <v/>
      </c>
      <c r="Y162">
        <f>IF($A162="","",IFERROR(ROUND(100*AVERAGE(IF($B162="","",XLOOKUP($B162,FILTER(Dictionaries!$B:$B,Dictionaries!$A:$A="??????????"),FILTER(Dictionaries!$C:$C,Dictionaries!$A:$A="??????????"))),IF($C162="","",MIN($C162/40,1)),IF($D162="","",XLOOKUP($D162,FILTER(Dictionaries!$B:$B,Dictionaries!$A:$A="????"),FILTER(Dictionaries!$C:$C,Dictionaries!$A:$A="????"))),IF($E162="","",MIN($E162/120,1)),IF(OR($F162&lt;&gt;"",$G162&lt;&gt;""),1,""),IF($H162="","",MIN($H162/100,1)),IF($L162="","",XLOOKUP($L162,FILTER(Dictionaries!$B:$B,Dictionaries!$A:$A="???_????"),FILTER(Dictionaries!$C:$C,Dictionaries!$A:$A="???_????"))),IF($M162="","",XLOOKUP($M162,FILTER(Dictionaries!$B:$B,Dictionaries!$A:$A="?????"),FILTER(Dictionaries!$C:$C,Dictionaries!$A:$A="?????"))),IF($N162="","",MIN($N162/100,1)),IF($O162="","",XLOOKUP($O162,FILTER(Dictionaries!$B:$B,Dictionaries!$A:$A="??????????"),FILTER(Dictionaries!$C:$C,Dictionaries!$A:$A="??????????"))),IF($P162="","",XLOOKUP($P162,FILTER(Dictionaries!$B:$B,Dictionaries!$A:$A="???????"),FILTER(Dictionaries!$C:$C,Dictionaries!$A:$A="???????"))),IF($U162="","",LET(t,IF(OR($B162="????",$B162="????"),"train","rest"),k,$U162,p,$V162,f,$W162,c,$X162,k_s,IF(t="train",IF(k="","",IFS(AND(k&gt;=1900,k&lt;=2050),1,AND(k&gt;=1850,k&lt;1900),0.7,AND(k&gt;2050,k&lt;=2100),0.7,TRUE,0.2)),IF(k="","",IFS(AND(k&gt;=1700,k&lt;=1850),1,AND(k&gt;=1650,k&lt;1700),0.7,AND(k&gt;1850,k&lt;=1900),0.7,TRUE,0.2))),p_s,IF(t="train",IF(p="","",IFS(AND(p&gt;=125,p&lt;=135),1,AND(p&gt;=115,p&lt;125),0.7,AND(p&gt;135,p&lt;=145),0.7,AND(p&gt;=105,p&lt;115),0.4,AND(p&gt;145,p&lt;=155),0.4,TRUE,0.2)),IF(p="","",IFS(AND(p&gt;=120,p&lt;=130),1,AND(p&gt;=110,p&lt;120),0.7,AND(p&gt;130,p&lt;=140),0.7,AND(p&gt;=100,p&lt;110),0.4,AND(p&gt;140,p&lt;=150),0.4,TRUE,0.2))),f_s,IF(f="","",IFS(AND(f&gt;=55,f&lt;=65),1,AND(f&gt;=50,f&lt;55),0.7,AND(f&gt;65,f&lt;=70),0.7,AND(f&gt;=45,f&lt;50),0.4,AND(f&gt;70,f&lt;=75),0.4,TRUE,0.2)),c_s,IF(t="train",IF(c="","",IFS(AND(c&gt;=180,c&lt;=210),1,AND(c&gt;=160,c&lt;180),0.7,AND(c&gt;210,c&lt;=230),0.7,AND(c&gt;=140,c&lt;160),0.4,AND(c&gt;230,c&lt;=250),0.4,TRUE,0.2)),IF(c="","",IFS(AND(c&gt;=140,c&lt;=170),1,AND(c&gt;=120,c&lt;140),0.7,AND(c&gt;170,c&lt;=190),0.7,AND(c&gt;=100,c&lt;120),0.4,AND(c&gt;190,c&lt;=210),0.4,TRUE,0.2))),AVERAGE(k_s,p_s,f_s,c_s)))),1),""))</f>
        <v/>
      </c>
      <c r="Z162">
        <f>IF($A162="","",TEXTJOIN(", ",TRUE,IF($B162="","??????????",""),IF($C162="","??????",""),IF($D162="","????",""),IF($E162="","??????????",""),IF($F162="","???-?????",""),IF($G162="","???-????",""),IF($H162="","??????",""),IF($L162="","???",""),IF($M162="","?????",""),IF($N162="","??????????????",""),IF($O162="","??????????",""),IF($P162="","???????",""),IF($U162="","???","")))</f>
        <v/>
      </c>
    </row>
    <row r="163">
      <c r="U163">
        <f>IF($A163="","",IF(SUMIF(FoodLog!$A:$A,$A163,FoodLog!$I:$I)=0,"",SUMIF(FoodLog!$A:$A,$A163,FoodLog!$I:$I)))</f>
        <v/>
      </c>
      <c r="V163">
        <f>IF($A163="","",IF(SUMIF(FoodLog!$A:$A,$A163,FoodLog!$F:$F)=0,"",SUMIF(FoodLog!$A:$A,$A163,FoodLog!$F:$F)))</f>
        <v/>
      </c>
      <c r="W163">
        <f>IF($A163="","",IF(SUMIF(FoodLog!$A:$A,$A163,FoodLog!$G:$G)=0,"",SUMIF(FoodLog!$A:$A,$A163,FoodLog!$G:$G)))</f>
        <v/>
      </c>
      <c r="X163">
        <f>IF($A163="","",IF(SUMIF(FoodLog!$A:$A,$A163,FoodLog!$H:$H)=0,"",SUMIF(FoodLog!$A:$A,$A163,FoodLog!$H:$H)))</f>
        <v/>
      </c>
      <c r="Y163">
        <f>IF($A163="","",IFERROR(ROUND(100*AVERAGE(IF($B163="","",XLOOKUP($B163,FILTER(Dictionaries!$B:$B,Dictionaries!$A:$A="??????????"),FILTER(Dictionaries!$C:$C,Dictionaries!$A:$A="??????????"))),IF($C163="","",MIN($C163/40,1)),IF($D163="","",XLOOKUP($D163,FILTER(Dictionaries!$B:$B,Dictionaries!$A:$A="????"),FILTER(Dictionaries!$C:$C,Dictionaries!$A:$A="????"))),IF($E163="","",MIN($E163/120,1)),IF(OR($F163&lt;&gt;"",$G163&lt;&gt;""),1,""),IF($H163="","",MIN($H163/100,1)),IF($L163="","",XLOOKUP($L163,FILTER(Dictionaries!$B:$B,Dictionaries!$A:$A="???_????"),FILTER(Dictionaries!$C:$C,Dictionaries!$A:$A="???_????"))),IF($M163="","",XLOOKUP($M163,FILTER(Dictionaries!$B:$B,Dictionaries!$A:$A="?????"),FILTER(Dictionaries!$C:$C,Dictionaries!$A:$A="?????"))),IF($N163="","",MIN($N163/100,1)),IF($O163="","",XLOOKUP($O163,FILTER(Dictionaries!$B:$B,Dictionaries!$A:$A="??????????"),FILTER(Dictionaries!$C:$C,Dictionaries!$A:$A="??????????"))),IF($P163="","",XLOOKUP($P163,FILTER(Dictionaries!$B:$B,Dictionaries!$A:$A="???????"),FILTER(Dictionaries!$C:$C,Dictionaries!$A:$A="???????"))),IF($U163="","",LET(t,IF(OR($B163="????",$B163="????"),"train","rest"),k,$U163,p,$V163,f,$W163,c,$X163,k_s,IF(t="train",IF(k="","",IFS(AND(k&gt;=1900,k&lt;=2050),1,AND(k&gt;=1850,k&lt;1900),0.7,AND(k&gt;2050,k&lt;=2100),0.7,TRUE,0.2)),IF(k="","",IFS(AND(k&gt;=1700,k&lt;=1850),1,AND(k&gt;=1650,k&lt;1700),0.7,AND(k&gt;1850,k&lt;=1900),0.7,TRUE,0.2))),p_s,IF(t="train",IF(p="","",IFS(AND(p&gt;=125,p&lt;=135),1,AND(p&gt;=115,p&lt;125),0.7,AND(p&gt;135,p&lt;=145),0.7,AND(p&gt;=105,p&lt;115),0.4,AND(p&gt;145,p&lt;=155),0.4,TRUE,0.2)),IF(p="","",IFS(AND(p&gt;=120,p&lt;=130),1,AND(p&gt;=110,p&lt;120),0.7,AND(p&gt;130,p&lt;=140),0.7,AND(p&gt;=100,p&lt;110),0.4,AND(p&gt;140,p&lt;=150),0.4,TRUE,0.2))),f_s,IF(f="","",IFS(AND(f&gt;=55,f&lt;=65),1,AND(f&gt;=50,f&lt;55),0.7,AND(f&gt;65,f&lt;=70),0.7,AND(f&gt;=45,f&lt;50),0.4,AND(f&gt;70,f&lt;=75),0.4,TRUE,0.2)),c_s,IF(t="train",IF(c="","",IFS(AND(c&gt;=180,c&lt;=210),1,AND(c&gt;=160,c&lt;180),0.7,AND(c&gt;210,c&lt;=230),0.7,AND(c&gt;=140,c&lt;160),0.4,AND(c&gt;230,c&lt;=250),0.4,TRUE,0.2)),IF(c="","",IFS(AND(c&gt;=140,c&lt;=170),1,AND(c&gt;=120,c&lt;140),0.7,AND(c&gt;170,c&lt;=190),0.7,AND(c&gt;=100,c&lt;120),0.4,AND(c&gt;190,c&lt;=210),0.4,TRUE,0.2))),AVERAGE(k_s,p_s,f_s,c_s)))),1),""))</f>
        <v/>
      </c>
      <c r="Z163">
        <f>IF($A163="","",TEXTJOIN(", ",TRUE,IF($B163="","??????????",""),IF($C163="","??????",""),IF($D163="","????",""),IF($E163="","??????????",""),IF($F163="","???-?????",""),IF($G163="","???-????",""),IF($H163="","??????",""),IF($L163="","???",""),IF($M163="","?????",""),IF($N163="","??????????????",""),IF($O163="","??????????",""),IF($P163="","???????",""),IF($U163="","???","")))</f>
        <v/>
      </c>
    </row>
    <row r="164">
      <c r="U164">
        <f>IF($A164="","",IF(SUMIF(FoodLog!$A:$A,$A164,FoodLog!$I:$I)=0,"",SUMIF(FoodLog!$A:$A,$A164,FoodLog!$I:$I)))</f>
        <v/>
      </c>
      <c r="V164">
        <f>IF($A164="","",IF(SUMIF(FoodLog!$A:$A,$A164,FoodLog!$F:$F)=0,"",SUMIF(FoodLog!$A:$A,$A164,FoodLog!$F:$F)))</f>
        <v/>
      </c>
      <c r="W164">
        <f>IF($A164="","",IF(SUMIF(FoodLog!$A:$A,$A164,FoodLog!$G:$G)=0,"",SUMIF(FoodLog!$A:$A,$A164,FoodLog!$G:$G)))</f>
        <v/>
      </c>
      <c r="X164">
        <f>IF($A164="","",IF(SUMIF(FoodLog!$A:$A,$A164,FoodLog!$H:$H)=0,"",SUMIF(FoodLog!$A:$A,$A164,FoodLog!$H:$H)))</f>
        <v/>
      </c>
      <c r="Y164">
        <f>IF($A164="","",IFERROR(ROUND(100*AVERAGE(IF($B164="","",XLOOKUP($B164,FILTER(Dictionaries!$B:$B,Dictionaries!$A:$A="??????????"),FILTER(Dictionaries!$C:$C,Dictionaries!$A:$A="??????????"))),IF($C164="","",MIN($C164/40,1)),IF($D164="","",XLOOKUP($D164,FILTER(Dictionaries!$B:$B,Dictionaries!$A:$A="????"),FILTER(Dictionaries!$C:$C,Dictionaries!$A:$A="????"))),IF($E164="","",MIN($E164/120,1)),IF(OR($F164&lt;&gt;"",$G164&lt;&gt;""),1,""),IF($H164="","",MIN($H164/100,1)),IF($L164="","",XLOOKUP($L164,FILTER(Dictionaries!$B:$B,Dictionaries!$A:$A="???_????"),FILTER(Dictionaries!$C:$C,Dictionaries!$A:$A="???_????"))),IF($M164="","",XLOOKUP($M164,FILTER(Dictionaries!$B:$B,Dictionaries!$A:$A="?????"),FILTER(Dictionaries!$C:$C,Dictionaries!$A:$A="?????"))),IF($N164="","",MIN($N164/100,1)),IF($O164="","",XLOOKUP($O164,FILTER(Dictionaries!$B:$B,Dictionaries!$A:$A="??????????"),FILTER(Dictionaries!$C:$C,Dictionaries!$A:$A="??????????"))),IF($P164="","",XLOOKUP($P164,FILTER(Dictionaries!$B:$B,Dictionaries!$A:$A="???????"),FILTER(Dictionaries!$C:$C,Dictionaries!$A:$A="???????"))),IF($U164="","",LET(t,IF(OR($B164="????",$B164="????"),"train","rest"),k,$U164,p,$V164,f,$W164,c,$X164,k_s,IF(t="train",IF(k="","",IFS(AND(k&gt;=1900,k&lt;=2050),1,AND(k&gt;=1850,k&lt;1900),0.7,AND(k&gt;2050,k&lt;=2100),0.7,TRUE,0.2)),IF(k="","",IFS(AND(k&gt;=1700,k&lt;=1850),1,AND(k&gt;=1650,k&lt;1700),0.7,AND(k&gt;1850,k&lt;=1900),0.7,TRUE,0.2))),p_s,IF(t="train",IF(p="","",IFS(AND(p&gt;=125,p&lt;=135),1,AND(p&gt;=115,p&lt;125),0.7,AND(p&gt;135,p&lt;=145),0.7,AND(p&gt;=105,p&lt;115),0.4,AND(p&gt;145,p&lt;=155),0.4,TRUE,0.2)),IF(p="","",IFS(AND(p&gt;=120,p&lt;=130),1,AND(p&gt;=110,p&lt;120),0.7,AND(p&gt;130,p&lt;=140),0.7,AND(p&gt;=100,p&lt;110),0.4,AND(p&gt;140,p&lt;=150),0.4,TRUE,0.2))),f_s,IF(f="","",IFS(AND(f&gt;=55,f&lt;=65),1,AND(f&gt;=50,f&lt;55),0.7,AND(f&gt;65,f&lt;=70),0.7,AND(f&gt;=45,f&lt;50),0.4,AND(f&gt;70,f&lt;=75),0.4,TRUE,0.2)),c_s,IF(t="train",IF(c="","",IFS(AND(c&gt;=180,c&lt;=210),1,AND(c&gt;=160,c&lt;180),0.7,AND(c&gt;210,c&lt;=230),0.7,AND(c&gt;=140,c&lt;160),0.4,AND(c&gt;230,c&lt;=250),0.4,TRUE,0.2)),IF(c="","",IFS(AND(c&gt;=140,c&lt;=170),1,AND(c&gt;=120,c&lt;140),0.7,AND(c&gt;170,c&lt;=190),0.7,AND(c&gt;=100,c&lt;120),0.4,AND(c&gt;190,c&lt;=210),0.4,TRUE,0.2))),AVERAGE(k_s,p_s,f_s,c_s)))),1),""))</f>
        <v/>
      </c>
      <c r="Z164">
        <f>IF($A164="","",TEXTJOIN(", ",TRUE,IF($B164="","??????????",""),IF($C164="","??????",""),IF($D164="","????",""),IF($E164="","??????????",""),IF($F164="","???-?????",""),IF($G164="","???-????",""),IF($H164="","??????",""),IF($L164="","???",""),IF($M164="","?????",""),IF($N164="","??????????????",""),IF($O164="","??????????",""),IF($P164="","???????",""),IF($U164="","???","")))</f>
        <v/>
      </c>
    </row>
    <row r="165">
      <c r="U165">
        <f>IF($A165="","",IF(SUMIF(FoodLog!$A:$A,$A165,FoodLog!$I:$I)=0,"",SUMIF(FoodLog!$A:$A,$A165,FoodLog!$I:$I)))</f>
        <v/>
      </c>
      <c r="V165">
        <f>IF($A165="","",IF(SUMIF(FoodLog!$A:$A,$A165,FoodLog!$F:$F)=0,"",SUMIF(FoodLog!$A:$A,$A165,FoodLog!$F:$F)))</f>
        <v/>
      </c>
      <c r="W165">
        <f>IF($A165="","",IF(SUMIF(FoodLog!$A:$A,$A165,FoodLog!$G:$G)=0,"",SUMIF(FoodLog!$A:$A,$A165,FoodLog!$G:$G)))</f>
        <v/>
      </c>
      <c r="X165">
        <f>IF($A165="","",IF(SUMIF(FoodLog!$A:$A,$A165,FoodLog!$H:$H)=0,"",SUMIF(FoodLog!$A:$A,$A165,FoodLog!$H:$H)))</f>
        <v/>
      </c>
      <c r="Y165">
        <f>IF($A165="","",IFERROR(ROUND(100*AVERAGE(IF($B165="","",XLOOKUP($B165,FILTER(Dictionaries!$B:$B,Dictionaries!$A:$A="??????????"),FILTER(Dictionaries!$C:$C,Dictionaries!$A:$A="??????????"))),IF($C165="","",MIN($C165/40,1)),IF($D165="","",XLOOKUP($D165,FILTER(Dictionaries!$B:$B,Dictionaries!$A:$A="????"),FILTER(Dictionaries!$C:$C,Dictionaries!$A:$A="????"))),IF($E165="","",MIN($E165/120,1)),IF(OR($F165&lt;&gt;"",$G165&lt;&gt;""),1,""),IF($H165="","",MIN($H165/100,1)),IF($L165="","",XLOOKUP($L165,FILTER(Dictionaries!$B:$B,Dictionaries!$A:$A="???_????"),FILTER(Dictionaries!$C:$C,Dictionaries!$A:$A="???_????"))),IF($M165="","",XLOOKUP($M165,FILTER(Dictionaries!$B:$B,Dictionaries!$A:$A="?????"),FILTER(Dictionaries!$C:$C,Dictionaries!$A:$A="?????"))),IF($N165="","",MIN($N165/100,1)),IF($O165="","",XLOOKUP($O165,FILTER(Dictionaries!$B:$B,Dictionaries!$A:$A="??????????"),FILTER(Dictionaries!$C:$C,Dictionaries!$A:$A="??????????"))),IF($P165="","",XLOOKUP($P165,FILTER(Dictionaries!$B:$B,Dictionaries!$A:$A="???????"),FILTER(Dictionaries!$C:$C,Dictionaries!$A:$A="???????"))),IF($U165="","",LET(t,IF(OR($B165="????",$B165="????"),"train","rest"),k,$U165,p,$V165,f,$W165,c,$X165,k_s,IF(t="train",IF(k="","",IFS(AND(k&gt;=1900,k&lt;=2050),1,AND(k&gt;=1850,k&lt;1900),0.7,AND(k&gt;2050,k&lt;=2100),0.7,TRUE,0.2)),IF(k="","",IFS(AND(k&gt;=1700,k&lt;=1850),1,AND(k&gt;=1650,k&lt;1700),0.7,AND(k&gt;1850,k&lt;=1900),0.7,TRUE,0.2))),p_s,IF(t="train",IF(p="","",IFS(AND(p&gt;=125,p&lt;=135),1,AND(p&gt;=115,p&lt;125),0.7,AND(p&gt;135,p&lt;=145),0.7,AND(p&gt;=105,p&lt;115),0.4,AND(p&gt;145,p&lt;=155),0.4,TRUE,0.2)),IF(p="","",IFS(AND(p&gt;=120,p&lt;=130),1,AND(p&gt;=110,p&lt;120),0.7,AND(p&gt;130,p&lt;=140),0.7,AND(p&gt;=100,p&lt;110),0.4,AND(p&gt;140,p&lt;=150),0.4,TRUE,0.2))),f_s,IF(f="","",IFS(AND(f&gt;=55,f&lt;=65),1,AND(f&gt;=50,f&lt;55),0.7,AND(f&gt;65,f&lt;=70),0.7,AND(f&gt;=45,f&lt;50),0.4,AND(f&gt;70,f&lt;=75),0.4,TRUE,0.2)),c_s,IF(t="train",IF(c="","",IFS(AND(c&gt;=180,c&lt;=210),1,AND(c&gt;=160,c&lt;180),0.7,AND(c&gt;210,c&lt;=230),0.7,AND(c&gt;=140,c&lt;160),0.4,AND(c&gt;230,c&lt;=250),0.4,TRUE,0.2)),IF(c="","",IFS(AND(c&gt;=140,c&lt;=170),1,AND(c&gt;=120,c&lt;140),0.7,AND(c&gt;170,c&lt;=190),0.7,AND(c&gt;=100,c&lt;120),0.4,AND(c&gt;190,c&lt;=210),0.4,TRUE,0.2))),AVERAGE(k_s,p_s,f_s,c_s)))),1),""))</f>
        <v/>
      </c>
      <c r="Z165">
        <f>IF($A165="","",TEXTJOIN(", ",TRUE,IF($B165="","??????????",""),IF($C165="","??????",""),IF($D165="","????",""),IF($E165="","??????????",""),IF($F165="","???-?????",""),IF($G165="","???-????",""),IF($H165="","??????",""),IF($L165="","???",""),IF($M165="","?????",""),IF($N165="","??????????????",""),IF($O165="","??????????",""),IF($P165="","???????",""),IF($U165="","???","")))</f>
        <v/>
      </c>
    </row>
    <row r="166">
      <c r="U166">
        <f>IF($A166="","",IF(SUMIF(FoodLog!$A:$A,$A166,FoodLog!$I:$I)=0,"",SUMIF(FoodLog!$A:$A,$A166,FoodLog!$I:$I)))</f>
        <v/>
      </c>
      <c r="V166">
        <f>IF($A166="","",IF(SUMIF(FoodLog!$A:$A,$A166,FoodLog!$F:$F)=0,"",SUMIF(FoodLog!$A:$A,$A166,FoodLog!$F:$F)))</f>
        <v/>
      </c>
      <c r="W166">
        <f>IF($A166="","",IF(SUMIF(FoodLog!$A:$A,$A166,FoodLog!$G:$G)=0,"",SUMIF(FoodLog!$A:$A,$A166,FoodLog!$G:$G)))</f>
        <v/>
      </c>
      <c r="X166">
        <f>IF($A166="","",IF(SUMIF(FoodLog!$A:$A,$A166,FoodLog!$H:$H)=0,"",SUMIF(FoodLog!$A:$A,$A166,FoodLog!$H:$H)))</f>
        <v/>
      </c>
      <c r="Y166">
        <f>IF($A166="","",IFERROR(ROUND(100*AVERAGE(IF($B166="","",XLOOKUP($B166,FILTER(Dictionaries!$B:$B,Dictionaries!$A:$A="??????????"),FILTER(Dictionaries!$C:$C,Dictionaries!$A:$A="??????????"))),IF($C166="","",MIN($C166/40,1)),IF($D166="","",XLOOKUP($D166,FILTER(Dictionaries!$B:$B,Dictionaries!$A:$A="????"),FILTER(Dictionaries!$C:$C,Dictionaries!$A:$A="????"))),IF($E166="","",MIN($E166/120,1)),IF(OR($F166&lt;&gt;"",$G166&lt;&gt;""),1,""),IF($H166="","",MIN($H166/100,1)),IF($L166="","",XLOOKUP($L166,FILTER(Dictionaries!$B:$B,Dictionaries!$A:$A="???_????"),FILTER(Dictionaries!$C:$C,Dictionaries!$A:$A="???_????"))),IF($M166="","",XLOOKUP($M166,FILTER(Dictionaries!$B:$B,Dictionaries!$A:$A="?????"),FILTER(Dictionaries!$C:$C,Dictionaries!$A:$A="?????"))),IF($N166="","",MIN($N166/100,1)),IF($O166="","",XLOOKUP($O166,FILTER(Dictionaries!$B:$B,Dictionaries!$A:$A="??????????"),FILTER(Dictionaries!$C:$C,Dictionaries!$A:$A="??????????"))),IF($P166="","",XLOOKUP($P166,FILTER(Dictionaries!$B:$B,Dictionaries!$A:$A="???????"),FILTER(Dictionaries!$C:$C,Dictionaries!$A:$A="???????"))),IF($U166="","",LET(t,IF(OR($B166="????",$B166="????"),"train","rest"),k,$U166,p,$V166,f,$W166,c,$X166,k_s,IF(t="train",IF(k="","",IFS(AND(k&gt;=1900,k&lt;=2050),1,AND(k&gt;=1850,k&lt;1900),0.7,AND(k&gt;2050,k&lt;=2100),0.7,TRUE,0.2)),IF(k="","",IFS(AND(k&gt;=1700,k&lt;=1850),1,AND(k&gt;=1650,k&lt;1700),0.7,AND(k&gt;1850,k&lt;=1900),0.7,TRUE,0.2))),p_s,IF(t="train",IF(p="","",IFS(AND(p&gt;=125,p&lt;=135),1,AND(p&gt;=115,p&lt;125),0.7,AND(p&gt;135,p&lt;=145),0.7,AND(p&gt;=105,p&lt;115),0.4,AND(p&gt;145,p&lt;=155),0.4,TRUE,0.2)),IF(p="","",IFS(AND(p&gt;=120,p&lt;=130),1,AND(p&gt;=110,p&lt;120),0.7,AND(p&gt;130,p&lt;=140),0.7,AND(p&gt;=100,p&lt;110),0.4,AND(p&gt;140,p&lt;=150),0.4,TRUE,0.2))),f_s,IF(f="","",IFS(AND(f&gt;=55,f&lt;=65),1,AND(f&gt;=50,f&lt;55),0.7,AND(f&gt;65,f&lt;=70),0.7,AND(f&gt;=45,f&lt;50),0.4,AND(f&gt;70,f&lt;=75),0.4,TRUE,0.2)),c_s,IF(t="train",IF(c="","",IFS(AND(c&gt;=180,c&lt;=210),1,AND(c&gt;=160,c&lt;180),0.7,AND(c&gt;210,c&lt;=230),0.7,AND(c&gt;=140,c&lt;160),0.4,AND(c&gt;230,c&lt;=250),0.4,TRUE,0.2)),IF(c="","",IFS(AND(c&gt;=140,c&lt;=170),1,AND(c&gt;=120,c&lt;140),0.7,AND(c&gt;170,c&lt;=190),0.7,AND(c&gt;=100,c&lt;120),0.4,AND(c&gt;190,c&lt;=210),0.4,TRUE,0.2))),AVERAGE(k_s,p_s,f_s,c_s)))),1),""))</f>
        <v/>
      </c>
      <c r="Z166">
        <f>IF($A166="","",TEXTJOIN(", ",TRUE,IF($B166="","??????????",""),IF($C166="","??????",""),IF($D166="","????",""),IF($E166="","??????????",""),IF($F166="","???-?????",""),IF($G166="","???-????",""),IF($H166="","??????",""),IF($L166="","???",""),IF($M166="","?????",""),IF($N166="","??????????????",""),IF($O166="","??????????",""),IF($P166="","???????",""),IF($U166="","???","")))</f>
        <v/>
      </c>
    </row>
    <row r="167">
      <c r="U167">
        <f>IF($A167="","",IF(SUMIF(FoodLog!$A:$A,$A167,FoodLog!$I:$I)=0,"",SUMIF(FoodLog!$A:$A,$A167,FoodLog!$I:$I)))</f>
        <v/>
      </c>
      <c r="V167">
        <f>IF($A167="","",IF(SUMIF(FoodLog!$A:$A,$A167,FoodLog!$F:$F)=0,"",SUMIF(FoodLog!$A:$A,$A167,FoodLog!$F:$F)))</f>
        <v/>
      </c>
      <c r="W167">
        <f>IF($A167="","",IF(SUMIF(FoodLog!$A:$A,$A167,FoodLog!$G:$G)=0,"",SUMIF(FoodLog!$A:$A,$A167,FoodLog!$G:$G)))</f>
        <v/>
      </c>
      <c r="X167">
        <f>IF($A167="","",IF(SUMIF(FoodLog!$A:$A,$A167,FoodLog!$H:$H)=0,"",SUMIF(FoodLog!$A:$A,$A167,FoodLog!$H:$H)))</f>
        <v/>
      </c>
      <c r="Y167">
        <f>IF($A167="","",IFERROR(ROUND(100*AVERAGE(IF($B167="","",XLOOKUP($B167,FILTER(Dictionaries!$B:$B,Dictionaries!$A:$A="??????????"),FILTER(Dictionaries!$C:$C,Dictionaries!$A:$A="??????????"))),IF($C167="","",MIN($C167/40,1)),IF($D167="","",XLOOKUP($D167,FILTER(Dictionaries!$B:$B,Dictionaries!$A:$A="????"),FILTER(Dictionaries!$C:$C,Dictionaries!$A:$A="????"))),IF($E167="","",MIN($E167/120,1)),IF(OR($F167&lt;&gt;"",$G167&lt;&gt;""),1,""),IF($H167="","",MIN($H167/100,1)),IF($L167="","",XLOOKUP($L167,FILTER(Dictionaries!$B:$B,Dictionaries!$A:$A="???_????"),FILTER(Dictionaries!$C:$C,Dictionaries!$A:$A="???_????"))),IF($M167="","",XLOOKUP($M167,FILTER(Dictionaries!$B:$B,Dictionaries!$A:$A="?????"),FILTER(Dictionaries!$C:$C,Dictionaries!$A:$A="?????"))),IF($N167="","",MIN($N167/100,1)),IF($O167="","",XLOOKUP($O167,FILTER(Dictionaries!$B:$B,Dictionaries!$A:$A="??????????"),FILTER(Dictionaries!$C:$C,Dictionaries!$A:$A="??????????"))),IF($P167="","",XLOOKUP($P167,FILTER(Dictionaries!$B:$B,Dictionaries!$A:$A="???????"),FILTER(Dictionaries!$C:$C,Dictionaries!$A:$A="???????"))),IF($U167="","",LET(t,IF(OR($B167="????",$B167="????"),"train","rest"),k,$U167,p,$V167,f,$W167,c,$X167,k_s,IF(t="train",IF(k="","",IFS(AND(k&gt;=1900,k&lt;=2050),1,AND(k&gt;=1850,k&lt;1900),0.7,AND(k&gt;2050,k&lt;=2100),0.7,TRUE,0.2)),IF(k="","",IFS(AND(k&gt;=1700,k&lt;=1850),1,AND(k&gt;=1650,k&lt;1700),0.7,AND(k&gt;1850,k&lt;=1900),0.7,TRUE,0.2))),p_s,IF(t="train",IF(p="","",IFS(AND(p&gt;=125,p&lt;=135),1,AND(p&gt;=115,p&lt;125),0.7,AND(p&gt;135,p&lt;=145),0.7,AND(p&gt;=105,p&lt;115),0.4,AND(p&gt;145,p&lt;=155),0.4,TRUE,0.2)),IF(p="","",IFS(AND(p&gt;=120,p&lt;=130),1,AND(p&gt;=110,p&lt;120),0.7,AND(p&gt;130,p&lt;=140),0.7,AND(p&gt;=100,p&lt;110),0.4,AND(p&gt;140,p&lt;=150),0.4,TRUE,0.2))),f_s,IF(f="","",IFS(AND(f&gt;=55,f&lt;=65),1,AND(f&gt;=50,f&lt;55),0.7,AND(f&gt;65,f&lt;=70),0.7,AND(f&gt;=45,f&lt;50),0.4,AND(f&gt;70,f&lt;=75),0.4,TRUE,0.2)),c_s,IF(t="train",IF(c="","",IFS(AND(c&gt;=180,c&lt;=210),1,AND(c&gt;=160,c&lt;180),0.7,AND(c&gt;210,c&lt;=230),0.7,AND(c&gt;=140,c&lt;160),0.4,AND(c&gt;230,c&lt;=250),0.4,TRUE,0.2)),IF(c="","",IFS(AND(c&gt;=140,c&lt;=170),1,AND(c&gt;=120,c&lt;140),0.7,AND(c&gt;170,c&lt;=190),0.7,AND(c&gt;=100,c&lt;120),0.4,AND(c&gt;190,c&lt;=210),0.4,TRUE,0.2))),AVERAGE(k_s,p_s,f_s,c_s)))),1),""))</f>
        <v/>
      </c>
      <c r="Z167">
        <f>IF($A167="","",TEXTJOIN(", ",TRUE,IF($B167="","??????????",""),IF($C167="","??????",""),IF($D167="","????",""),IF($E167="","??????????",""),IF($F167="","???-?????",""),IF($G167="","???-????",""),IF($H167="","??????",""),IF($L167="","???",""),IF($M167="","?????",""),IF($N167="","??????????????",""),IF($O167="","??????????",""),IF($P167="","???????",""),IF($U167="","???","")))</f>
        <v/>
      </c>
    </row>
    <row r="168">
      <c r="U168">
        <f>IF($A168="","",IF(SUMIF(FoodLog!$A:$A,$A168,FoodLog!$I:$I)=0,"",SUMIF(FoodLog!$A:$A,$A168,FoodLog!$I:$I)))</f>
        <v/>
      </c>
      <c r="V168">
        <f>IF($A168="","",IF(SUMIF(FoodLog!$A:$A,$A168,FoodLog!$F:$F)=0,"",SUMIF(FoodLog!$A:$A,$A168,FoodLog!$F:$F)))</f>
        <v/>
      </c>
      <c r="W168">
        <f>IF($A168="","",IF(SUMIF(FoodLog!$A:$A,$A168,FoodLog!$G:$G)=0,"",SUMIF(FoodLog!$A:$A,$A168,FoodLog!$G:$G)))</f>
        <v/>
      </c>
      <c r="X168">
        <f>IF($A168="","",IF(SUMIF(FoodLog!$A:$A,$A168,FoodLog!$H:$H)=0,"",SUMIF(FoodLog!$A:$A,$A168,FoodLog!$H:$H)))</f>
        <v/>
      </c>
      <c r="Y168">
        <f>IF($A168="","",IFERROR(ROUND(100*AVERAGE(IF($B168="","",XLOOKUP($B168,FILTER(Dictionaries!$B:$B,Dictionaries!$A:$A="??????????"),FILTER(Dictionaries!$C:$C,Dictionaries!$A:$A="??????????"))),IF($C168="","",MIN($C168/40,1)),IF($D168="","",XLOOKUP($D168,FILTER(Dictionaries!$B:$B,Dictionaries!$A:$A="????"),FILTER(Dictionaries!$C:$C,Dictionaries!$A:$A="????"))),IF($E168="","",MIN($E168/120,1)),IF(OR($F168&lt;&gt;"",$G168&lt;&gt;""),1,""),IF($H168="","",MIN($H168/100,1)),IF($L168="","",XLOOKUP($L168,FILTER(Dictionaries!$B:$B,Dictionaries!$A:$A="???_????"),FILTER(Dictionaries!$C:$C,Dictionaries!$A:$A="???_????"))),IF($M168="","",XLOOKUP($M168,FILTER(Dictionaries!$B:$B,Dictionaries!$A:$A="?????"),FILTER(Dictionaries!$C:$C,Dictionaries!$A:$A="?????"))),IF($N168="","",MIN($N168/100,1)),IF($O168="","",XLOOKUP($O168,FILTER(Dictionaries!$B:$B,Dictionaries!$A:$A="??????????"),FILTER(Dictionaries!$C:$C,Dictionaries!$A:$A="??????????"))),IF($P168="","",XLOOKUP($P168,FILTER(Dictionaries!$B:$B,Dictionaries!$A:$A="???????"),FILTER(Dictionaries!$C:$C,Dictionaries!$A:$A="???????"))),IF($U168="","",LET(t,IF(OR($B168="????",$B168="????"),"train","rest"),k,$U168,p,$V168,f,$W168,c,$X168,k_s,IF(t="train",IF(k="","",IFS(AND(k&gt;=1900,k&lt;=2050),1,AND(k&gt;=1850,k&lt;1900),0.7,AND(k&gt;2050,k&lt;=2100),0.7,TRUE,0.2)),IF(k="","",IFS(AND(k&gt;=1700,k&lt;=1850),1,AND(k&gt;=1650,k&lt;1700),0.7,AND(k&gt;1850,k&lt;=1900),0.7,TRUE,0.2))),p_s,IF(t="train",IF(p="","",IFS(AND(p&gt;=125,p&lt;=135),1,AND(p&gt;=115,p&lt;125),0.7,AND(p&gt;135,p&lt;=145),0.7,AND(p&gt;=105,p&lt;115),0.4,AND(p&gt;145,p&lt;=155),0.4,TRUE,0.2)),IF(p="","",IFS(AND(p&gt;=120,p&lt;=130),1,AND(p&gt;=110,p&lt;120),0.7,AND(p&gt;130,p&lt;=140),0.7,AND(p&gt;=100,p&lt;110),0.4,AND(p&gt;140,p&lt;=150),0.4,TRUE,0.2))),f_s,IF(f="","",IFS(AND(f&gt;=55,f&lt;=65),1,AND(f&gt;=50,f&lt;55),0.7,AND(f&gt;65,f&lt;=70),0.7,AND(f&gt;=45,f&lt;50),0.4,AND(f&gt;70,f&lt;=75),0.4,TRUE,0.2)),c_s,IF(t="train",IF(c="","",IFS(AND(c&gt;=180,c&lt;=210),1,AND(c&gt;=160,c&lt;180),0.7,AND(c&gt;210,c&lt;=230),0.7,AND(c&gt;=140,c&lt;160),0.4,AND(c&gt;230,c&lt;=250),0.4,TRUE,0.2)),IF(c="","",IFS(AND(c&gt;=140,c&lt;=170),1,AND(c&gt;=120,c&lt;140),0.7,AND(c&gt;170,c&lt;=190),0.7,AND(c&gt;=100,c&lt;120),0.4,AND(c&gt;190,c&lt;=210),0.4,TRUE,0.2))),AVERAGE(k_s,p_s,f_s,c_s)))),1),""))</f>
        <v/>
      </c>
      <c r="Z168">
        <f>IF($A168="","",TEXTJOIN(", ",TRUE,IF($B168="","??????????",""),IF($C168="","??????",""),IF($D168="","????",""),IF($E168="","??????????",""),IF($F168="","???-?????",""),IF($G168="","???-????",""),IF($H168="","??????",""),IF($L168="","???",""),IF($M168="","?????",""),IF($N168="","??????????????",""),IF($O168="","??????????",""),IF($P168="","???????",""),IF($U168="","???","")))</f>
        <v/>
      </c>
    </row>
    <row r="169">
      <c r="U169">
        <f>IF($A169="","",IF(SUMIF(FoodLog!$A:$A,$A169,FoodLog!$I:$I)=0,"",SUMIF(FoodLog!$A:$A,$A169,FoodLog!$I:$I)))</f>
        <v/>
      </c>
      <c r="V169">
        <f>IF($A169="","",IF(SUMIF(FoodLog!$A:$A,$A169,FoodLog!$F:$F)=0,"",SUMIF(FoodLog!$A:$A,$A169,FoodLog!$F:$F)))</f>
        <v/>
      </c>
      <c r="W169">
        <f>IF($A169="","",IF(SUMIF(FoodLog!$A:$A,$A169,FoodLog!$G:$G)=0,"",SUMIF(FoodLog!$A:$A,$A169,FoodLog!$G:$G)))</f>
        <v/>
      </c>
      <c r="X169">
        <f>IF($A169="","",IF(SUMIF(FoodLog!$A:$A,$A169,FoodLog!$H:$H)=0,"",SUMIF(FoodLog!$A:$A,$A169,FoodLog!$H:$H)))</f>
        <v/>
      </c>
      <c r="Y169">
        <f>IF($A169="","",IFERROR(ROUND(100*AVERAGE(IF($B169="","",XLOOKUP($B169,FILTER(Dictionaries!$B:$B,Dictionaries!$A:$A="??????????"),FILTER(Dictionaries!$C:$C,Dictionaries!$A:$A="??????????"))),IF($C169="","",MIN($C169/40,1)),IF($D169="","",XLOOKUP($D169,FILTER(Dictionaries!$B:$B,Dictionaries!$A:$A="????"),FILTER(Dictionaries!$C:$C,Dictionaries!$A:$A="????"))),IF($E169="","",MIN($E169/120,1)),IF(OR($F169&lt;&gt;"",$G169&lt;&gt;""),1,""),IF($H169="","",MIN($H169/100,1)),IF($L169="","",XLOOKUP($L169,FILTER(Dictionaries!$B:$B,Dictionaries!$A:$A="???_????"),FILTER(Dictionaries!$C:$C,Dictionaries!$A:$A="???_????"))),IF($M169="","",XLOOKUP($M169,FILTER(Dictionaries!$B:$B,Dictionaries!$A:$A="?????"),FILTER(Dictionaries!$C:$C,Dictionaries!$A:$A="?????"))),IF($N169="","",MIN($N169/100,1)),IF($O169="","",XLOOKUP($O169,FILTER(Dictionaries!$B:$B,Dictionaries!$A:$A="??????????"),FILTER(Dictionaries!$C:$C,Dictionaries!$A:$A="??????????"))),IF($P169="","",XLOOKUP($P169,FILTER(Dictionaries!$B:$B,Dictionaries!$A:$A="???????"),FILTER(Dictionaries!$C:$C,Dictionaries!$A:$A="???????"))),IF($U169="","",LET(t,IF(OR($B169="????",$B169="????"),"train","rest"),k,$U169,p,$V169,f,$W169,c,$X169,k_s,IF(t="train",IF(k="","",IFS(AND(k&gt;=1900,k&lt;=2050),1,AND(k&gt;=1850,k&lt;1900),0.7,AND(k&gt;2050,k&lt;=2100),0.7,TRUE,0.2)),IF(k="","",IFS(AND(k&gt;=1700,k&lt;=1850),1,AND(k&gt;=1650,k&lt;1700),0.7,AND(k&gt;1850,k&lt;=1900),0.7,TRUE,0.2))),p_s,IF(t="train",IF(p="","",IFS(AND(p&gt;=125,p&lt;=135),1,AND(p&gt;=115,p&lt;125),0.7,AND(p&gt;135,p&lt;=145),0.7,AND(p&gt;=105,p&lt;115),0.4,AND(p&gt;145,p&lt;=155),0.4,TRUE,0.2)),IF(p="","",IFS(AND(p&gt;=120,p&lt;=130),1,AND(p&gt;=110,p&lt;120),0.7,AND(p&gt;130,p&lt;=140),0.7,AND(p&gt;=100,p&lt;110),0.4,AND(p&gt;140,p&lt;=150),0.4,TRUE,0.2))),f_s,IF(f="","",IFS(AND(f&gt;=55,f&lt;=65),1,AND(f&gt;=50,f&lt;55),0.7,AND(f&gt;65,f&lt;=70),0.7,AND(f&gt;=45,f&lt;50),0.4,AND(f&gt;70,f&lt;=75),0.4,TRUE,0.2)),c_s,IF(t="train",IF(c="","",IFS(AND(c&gt;=180,c&lt;=210),1,AND(c&gt;=160,c&lt;180),0.7,AND(c&gt;210,c&lt;=230),0.7,AND(c&gt;=140,c&lt;160),0.4,AND(c&gt;230,c&lt;=250),0.4,TRUE,0.2)),IF(c="","",IFS(AND(c&gt;=140,c&lt;=170),1,AND(c&gt;=120,c&lt;140),0.7,AND(c&gt;170,c&lt;=190),0.7,AND(c&gt;=100,c&lt;120),0.4,AND(c&gt;190,c&lt;=210),0.4,TRUE,0.2))),AVERAGE(k_s,p_s,f_s,c_s)))),1),""))</f>
        <v/>
      </c>
      <c r="Z169">
        <f>IF($A169="","",TEXTJOIN(", ",TRUE,IF($B169="","??????????",""),IF($C169="","??????",""),IF($D169="","????",""),IF($E169="","??????????",""),IF($F169="","???-?????",""),IF($G169="","???-????",""),IF($H169="","??????",""),IF($L169="","???",""),IF($M169="","?????",""),IF($N169="","??????????????",""),IF($O169="","??????????",""),IF($P169="","???????",""),IF($U169="","???","")))</f>
        <v/>
      </c>
    </row>
    <row r="170">
      <c r="U170">
        <f>IF($A170="","",IF(SUMIF(FoodLog!$A:$A,$A170,FoodLog!$I:$I)=0,"",SUMIF(FoodLog!$A:$A,$A170,FoodLog!$I:$I)))</f>
        <v/>
      </c>
      <c r="V170">
        <f>IF($A170="","",IF(SUMIF(FoodLog!$A:$A,$A170,FoodLog!$F:$F)=0,"",SUMIF(FoodLog!$A:$A,$A170,FoodLog!$F:$F)))</f>
        <v/>
      </c>
      <c r="W170">
        <f>IF($A170="","",IF(SUMIF(FoodLog!$A:$A,$A170,FoodLog!$G:$G)=0,"",SUMIF(FoodLog!$A:$A,$A170,FoodLog!$G:$G)))</f>
        <v/>
      </c>
      <c r="X170">
        <f>IF($A170="","",IF(SUMIF(FoodLog!$A:$A,$A170,FoodLog!$H:$H)=0,"",SUMIF(FoodLog!$A:$A,$A170,FoodLog!$H:$H)))</f>
        <v/>
      </c>
      <c r="Y170">
        <f>IF($A170="","",IFERROR(ROUND(100*AVERAGE(IF($B170="","",XLOOKUP($B170,FILTER(Dictionaries!$B:$B,Dictionaries!$A:$A="??????????"),FILTER(Dictionaries!$C:$C,Dictionaries!$A:$A="??????????"))),IF($C170="","",MIN($C170/40,1)),IF($D170="","",XLOOKUP($D170,FILTER(Dictionaries!$B:$B,Dictionaries!$A:$A="????"),FILTER(Dictionaries!$C:$C,Dictionaries!$A:$A="????"))),IF($E170="","",MIN($E170/120,1)),IF(OR($F170&lt;&gt;"",$G170&lt;&gt;""),1,""),IF($H170="","",MIN($H170/100,1)),IF($L170="","",XLOOKUP($L170,FILTER(Dictionaries!$B:$B,Dictionaries!$A:$A="???_????"),FILTER(Dictionaries!$C:$C,Dictionaries!$A:$A="???_????"))),IF($M170="","",XLOOKUP($M170,FILTER(Dictionaries!$B:$B,Dictionaries!$A:$A="?????"),FILTER(Dictionaries!$C:$C,Dictionaries!$A:$A="?????"))),IF($N170="","",MIN($N170/100,1)),IF($O170="","",XLOOKUP($O170,FILTER(Dictionaries!$B:$B,Dictionaries!$A:$A="??????????"),FILTER(Dictionaries!$C:$C,Dictionaries!$A:$A="??????????"))),IF($P170="","",XLOOKUP($P170,FILTER(Dictionaries!$B:$B,Dictionaries!$A:$A="???????"),FILTER(Dictionaries!$C:$C,Dictionaries!$A:$A="???????"))),IF($U170="","",LET(t,IF(OR($B170="????",$B170="????"),"train","rest"),k,$U170,p,$V170,f,$W170,c,$X170,k_s,IF(t="train",IF(k="","",IFS(AND(k&gt;=1900,k&lt;=2050),1,AND(k&gt;=1850,k&lt;1900),0.7,AND(k&gt;2050,k&lt;=2100),0.7,TRUE,0.2)),IF(k="","",IFS(AND(k&gt;=1700,k&lt;=1850),1,AND(k&gt;=1650,k&lt;1700),0.7,AND(k&gt;1850,k&lt;=1900),0.7,TRUE,0.2))),p_s,IF(t="train",IF(p="","",IFS(AND(p&gt;=125,p&lt;=135),1,AND(p&gt;=115,p&lt;125),0.7,AND(p&gt;135,p&lt;=145),0.7,AND(p&gt;=105,p&lt;115),0.4,AND(p&gt;145,p&lt;=155),0.4,TRUE,0.2)),IF(p="","",IFS(AND(p&gt;=120,p&lt;=130),1,AND(p&gt;=110,p&lt;120),0.7,AND(p&gt;130,p&lt;=140),0.7,AND(p&gt;=100,p&lt;110),0.4,AND(p&gt;140,p&lt;=150),0.4,TRUE,0.2))),f_s,IF(f="","",IFS(AND(f&gt;=55,f&lt;=65),1,AND(f&gt;=50,f&lt;55),0.7,AND(f&gt;65,f&lt;=70),0.7,AND(f&gt;=45,f&lt;50),0.4,AND(f&gt;70,f&lt;=75),0.4,TRUE,0.2)),c_s,IF(t="train",IF(c="","",IFS(AND(c&gt;=180,c&lt;=210),1,AND(c&gt;=160,c&lt;180),0.7,AND(c&gt;210,c&lt;=230),0.7,AND(c&gt;=140,c&lt;160),0.4,AND(c&gt;230,c&lt;=250),0.4,TRUE,0.2)),IF(c="","",IFS(AND(c&gt;=140,c&lt;=170),1,AND(c&gt;=120,c&lt;140),0.7,AND(c&gt;170,c&lt;=190),0.7,AND(c&gt;=100,c&lt;120),0.4,AND(c&gt;190,c&lt;=210),0.4,TRUE,0.2))),AVERAGE(k_s,p_s,f_s,c_s)))),1),""))</f>
        <v/>
      </c>
      <c r="Z170">
        <f>IF($A170="","",TEXTJOIN(", ",TRUE,IF($B170="","??????????",""),IF($C170="","??????",""),IF($D170="","????",""),IF($E170="","??????????",""),IF($F170="","???-?????",""),IF($G170="","???-????",""),IF($H170="","??????",""),IF($L170="","???",""),IF($M170="","?????",""),IF($N170="","??????????????",""),IF($O170="","??????????",""),IF($P170="","???????",""),IF($U170="","???","")))</f>
        <v/>
      </c>
    </row>
    <row r="171">
      <c r="U171">
        <f>IF($A171="","",IF(SUMIF(FoodLog!$A:$A,$A171,FoodLog!$I:$I)=0,"",SUMIF(FoodLog!$A:$A,$A171,FoodLog!$I:$I)))</f>
        <v/>
      </c>
      <c r="V171">
        <f>IF($A171="","",IF(SUMIF(FoodLog!$A:$A,$A171,FoodLog!$F:$F)=0,"",SUMIF(FoodLog!$A:$A,$A171,FoodLog!$F:$F)))</f>
        <v/>
      </c>
      <c r="W171">
        <f>IF($A171="","",IF(SUMIF(FoodLog!$A:$A,$A171,FoodLog!$G:$G)=0,"",SUMIF(FoodLog!$A:$A,$A171,FoodLog!$G:$G)))</f>
        <v/>
      </c>
      <c r="X171">
        <f>IF($A171="","",IF(SUMIF(FoodLog!$A:$A,$A171,FoodLog!$H:$H)=0,"",SUMIF(FoodLog!$A:$A,$A171,FoodLog!$H:$H)))</f>
        <v/>
      </c>
      <c r="Y171">
        <f>IF($A171="","",IFERROR(ROUND(100*AVERAGE(IF($B171="","",XLOOKUP($B171,FILTER(Dictionaries!$B:$B,Dictionaries!$A:$A="??????????"),FILTER(Dictionaries!$C:$C,Dictionaries!$A:$A="??????????"))),IF($C171="","",MIN($C171/40,1)),IF($D171="","",XLOOKUP($D171,FILTER(Dictionaries!$B:$B,Dictionaries!$A:$A="????"),FILTER(Dictionaries!$C:$C,Dictionaries!$A:$A="????"))),IF($E171="","",MIN($E171/120,1)),IF(OR($F171&lt;&gt;"",$G171&lt;&gt;""),1,""),IF($H171="","",MIN($H171/100,1)),IF($L171="","",XLOOKUP($L171,FILTER(Dictionaries!$B:$B,Dictionaries!$A:$A="???_????"),FILTER(Dictionaries!$C:$C,Dictionaries!$A:$A="???_????"))),IF($M171="","",XLOOKUP($M171,FILTER(Dictionaries!$B:$B,Dictionaries!$A:$A="?????"),FILTER(Dictionaries!$C:$C,Dictionaries!$A:$A="?????"))),IF($N171="","",MIN($N171/100,1)),IF($O171="","",XLOOKUP($O171,FILTER(Dictionaries!$B:$B,Dictionaries!$A:$A="??????????"),FILTER(Dictionaries!$C:$C,Dictionaries!$A:$A="??????????"))),IF($P171="","",XLOOKUP($P171,FILTER(Dictionaries!$B:$B,Dictionaries!$A:$A="???????"),FILTER(Dictionaries!$C:$C,Dictionaries!$A:$A="???????"))),IF($U171="","",LET(t,IF(OR($B171="????",$B171="????"),"train","rest"),k,$U171,p,$V171,f,$W171,c,$X171,k_s,IF(t="train",IF(k="","",IFS(AND(k&gt;=1900,k&lt;=2050),1,AND(k&gt;=1850,k&lt;1900),0.7,AND(k&gt;2050,k&lt;=2100),0.7,TRUE,0.2)),IF(k="","",IFS(AND(k&gt;=1700,k&lt;=1850),1,AND(k&gt;=1650,k&lt;1700),0.7,AND(k&gt;1850,k&lt;=1900),0.7,TRUE,0.2))),p_s,IF(t="train",IF(p="","",IFS(AND(p&gt;=125,p&lt;=135),1,AND(p&gt;=115,p&lt;125),0.7,AND(p&gt;135,p&lt;=145),0.7,AND(p&gt;=105,p&lt;115),0.4,AND(p&gt;145,p&lt;=155),0.4,TRUE,0.2)),IF(p="","",IFS(AND(p&gt;=120,p&lt;=130),1,AND(p&gt;=110,p&lt;120),0.7,AND(p&gt;130,p&lt;=140),0.7,AND(p&gt;=100,p&lt;110),0.4,AND(p&gt;140,p&lt;=150),0.4,TRUE,0.2))),f_s,IF(f="","",IFS(AND(f&gt;=55,f&lt;=65),1,AND(f&gt;=50,f&lt;55),0.7,AND(f&gt;65,f&lt;=70),0.7,AND(f&gt;=45,f&lt;50),0.4,AND(f&gt;70,f&lt;=75),0.4,TRUE,0.2)),c_s,IF(t="train",IF(c="","",IFS(AND(c&gt;=180,c&lt;=210),1,AND(c&gt;=160,c&lt;180),0.7,AND(c&gt;210,c&lt;=230),0.7,AND(c&gt;=140,c&lt;160),0.4,AND(c&gt;230,c&lt;=250),0.4,TRUE,0.2)),IF(c="","",IFS(AND(c&gt;=140,c&lt;=170),1,AND(c&gt;=120,c&lt;140),0.7,AND(c&gt;170,c&lt;=190),0.7,AND(c&gt;=100,c&lt;120),0.4,AND(c&gt;190,c&lt;=210),0.4,TRUE,0.2))),AVERAGE(k_s,p_s,f_s,c_s)))),1),""))</f>
        <v/>
      </c>
      <c r="Z171">
        <f>IF($A171="","",TEXTJOIN(", ",TRUE,IF($B171="","??????????",""),IF($C171="","??????",""),IF($D171="","????",""),IF($E171="","??????????",""),IF($F171="","???-?????",""),IF($G171="","???-????",""),IF($H171="","??????",""),IF($L171="","???",""),IF($M171="","?????",""),IF($N171="","??????????????",""),IF($O171="","??????????",""),IF($P171="","???????",""),IF($U171="","???","")))</f>
        <v/>
      </c>
    </row>
    <row r="172">
      <c r="U172">
        <f>IF($A172="","",IF(SUMIF(FoodLog!$A:$A,$A172,FoodLog!$I:$I)=0,"",SUMIF(FoodLog!$A:$A,$A172,FoodLog!$I:$I)))</f>
        <v/>
      </c>
      <c r="V172">
        <f>IF($A172="","",IF(SUMIF(FoodLog!$A:$A,$A172,FoodLog!$F:$F)=0,"",SUMIF(FoodLog!$A:$A,$A172,FoodLog!$F:$F)))</f>
        <v/>
      </c>
      <c r="W172">
        <f>IF($A172="","",IF(SUMIF(FoodLog!$A:$A,$A172,FoodLog!$G:$G)=0,"",SUMIF(FoodLog!$A:$A,$A172,FoodLog!$G:$G)))</f>
        <v/>
      </c>
      <c r="X172">
        <f>IF($A172="","",IF(SUMIF(FoodLog!$A:$A,$A172,FoodLog!$H:$H)=0,"",SUMIF(FoodLog!$A:$A,$A172,FoodLog!$H:$H)))</f>
        <v/>
      </c>
      <c r="Y172">
        <f>IF($A172="","",IFERROR(ROUND(100*AVERAGE(IF($B172="","",XLOOKUP($B172,FILTER(Dictionaries!$B:$B,Dictionaries!$A:$A="??????????"),FILTER(Dictionaries!$C:$C,Dictionaries!$A:$A="??????????"))),IF($C172="","",MIN($C172/40,1)),IF($D172="","",XLOOKUP($D172,FILTER(Dictionaries!$B:$B,Dictionaries!$A:$A="????"),FILTER(Dictionaries!$C:$C,Dictionaries!$A:$A="????"))),IF($E172="","",MIN($E172/120,1)),IF(OR($F172&lt;&gt;"",$G172&lt;&gt;""),1,""),IF($H172="","",MIN($H172/100,1)),IF($L172="","",XLOOKUP($L172,FILTER(Dictionaries!$B:$B,Dictionaries!$A:$A="???_????"),FILTER(Dictionaries!$C:$C,Dictionaries!$A:$A="???_????"))),IF($M172="","",XLOOKUP($M172,FILTER(Dictionaries!$B:$B,Dictionaries!$A:$A="?????"),FILTER(Dictionaries!$C:$C,Dictionaries!$A:$A="?????"))),IF($N172="","",MIN($N172/100,1)),IF($O172="","",XLOOKUP($O172,FILTER(Dictionaries!$B:$B,Dictionaries!$A:$A="??????????"),FILTER(Dictionaries!$C:$C,Dictionaries!$A:$A="??????????"))),IF($P172="","",XLOOKUP($P172,FILTER(Dictionaries!$B:$B,Dictionaries!$A:$A="???????"),FILTER(Dictionaries!$C:$C,Dictionaries!$A:$A="???????"))),IF($U172="","",LET(t,IF(OR($B172="????",$B172="????"),"train","rest"),k,$U172,p,$V172,f,$W172,c,$X172,k_s,IF(t="train",IF(k="","",IFS(AND(k&gt;=1900,k&lt;=2050),1,AND(k&gt;=1850,k&lt;1900),0.7,AND(k&gt;2050,k&lt;=2100),0.7,TRUE,0.2)),IF(k="","",IFS(AND(k&gt;=1700,k&lt;=1850),1,AND(k&gt;=1650,k&lt;1700),0.7,AND(k&gt;1850,k&lt;=1900),0.7,TRUE,0.2))),p_s,IF(t="train",IF(p="","",IFS(AND(p&gt;=125,p&lt;=135),1,AND(p&gt;=115,p&lt;125),0.7,AND(p&gt;135,p&lt;=145),0.7,AND(p&gt;=105,p&lt;115),0.4,AND(p&gt;145,p&lt;=155),0.4,TRUE,0.2)),IF(p="","",IFS(AND(p&gt;=120,p&lt;=130),1,AND(p&gt;=110,p&lt;120),0.7,AND(p&gt;130,p&lt;=140),0.7,AND(p&gt;=100,p&lt;110),0.4,AND(p&gt;140,p&lt;=150),0.4,TRUE,0.2))),f_s,IF(f="","",IFS(AND(f&gt;=55,f&lt;=65),1,AND(f&gt;=50,f&lt;55),0.7,AND(f&gt;65,f&lt;=70),0.7,AND(f&gt;=45,f&lt;50),0.4,AND(f&gt;70,f&lt;=75),0.4,TRUE,0.2)),c_s,IF(t="train",IF(c="","",IFS(AND(c&gt;=180,c&lt;=210),1,AND(c&gt;=160,c&lt;180),0.7,AND(c&gt;210,c&lt;=230),0.7,AND(c&gt;=140,c&lt;160),0.4,AND(c&gt;230,c&lt;=250),0.4,TRUE,0.2)),IF(c="","",IFS(AND(c&gt;=140,c&lt;=170),1,AND(c&gt;=120,c&lt;140),0.7,AND(c&gt;170,c&lt;=190),0.7,AND(c&gt;=100,c&lt;120),0.4,AND(c&gt;190,c&lt;=210),0.4,TRUE,0.2))),AVERAGE(k_s,p_s,f_s,c_s)))),1),""))</f>
        <v/>
      </c>
      <c r="Z172">
        <f>IF($A172="","",TEXTJOIN(", ",TRUE,IF($B172="","??????????",""),IF($C172="","??????",""),IF($D172="","????",""),IF($E172="","??????????",""),IF($F172="","???-?????",""),IF($G172="","???-????",""),IF($H172="","??????",""),IF($L172="","???",""),IF($M172="","?????",""),IF($N172="","??????????????",""),IF($O172="","??????????",""),IF($P172="","???????",""),IF($U172="","???","")))</f>
        <v/>
      </c>
    </row>
    <row r="173">
      <c r="U173">
        <f>IF($A173="","",IF(SUMIF(FoodLog!$A:$A,$A173,FoodLog!$I:$I)=0,"",SUMIF(FoodLog!$A:$A,$A173,FoodLog!$I:$I)))</f>
        <v/>
      </c>
      <c r="V173">
        <f>IF($A173="","",IF(SUMIF(FoodLog!$A:$A,$A173,FoodLog!$F:$F)=0,"",SUMIF(FoodLog!$A:$A,$A173,FoodLog!$F:$F)))</f>
        <v/>
      </c>
      <c r="W173">
        <f>IF($A173="","",IF(SUMIF(FoodLog!$A:$A,$A173,FoodLog!$G:$G)=0,"",SUMIF(FoodLog!$A:$A,$A173,FoodLog!$G:$G)))</f>
        <v/>
      </c>
      <c r="X173">
        <f>IF($A173="","",IF(SUMIF(FoodLog!$A:$A,$A173,FoodLog!$H:$H)=0,"",SUMIF(FoodLog!$A:$A,$A173,FoodLog!$H:$H)))</f>
        <v/>
      </c>
      <c r="Y173">
        <f>IF($A173="","",IFERROR(ROUND(100*AVERAGE(IF($B173="","",XLOOKUP($B173,FILTER(Dictionaries!$B:$B,Dictionaries!$A:$A="??????????"),FILTER(Dictionaries!$C:$C,Dictionaries!$A:$A="??????????"))),IF($C173="","",MIN($C173/40,1)),IF($D173="","",XLOOKUP($D173,FILTER(Dictionaries!$B:$B,Dictionaries!$A:$A="????"),FILTER(Dictionaries!$C:$C,Dictionaries!$A:$A="????"))),IF($E173="","",MIN($E173/120,1)),IF(OR($F173&lt;&gt;"",$G173&lt;&gt;""),1,""),IF($H173="","",MIN($H173/100,1)),IF($L173="","",XLOOKUP($L173,FILTER(Dictionaries!$B:$B,Dictionaries!$A:$A="???_????"),FILTER(Dictionaries!$C:$C,Dictionaries!$A:$A="???_????"))),IF($M173="","",XLOOKUP($M173,FILTER(Dictionaries!$B:$B,Dictionaries!$A:$A="?????"),FILTER(Dictionaries!$C:$C,Dictionaries!$A:$A="?????"))),IF($N173="","",MIN($N173/100,1)),IF($O173="","",XLOOKUP($O173,FILTER(Dictionaries!$B:$B,Dictionaries!$A:$A="??????????"),FILTER(Dictionaries!$C:$C,Dictionaries!$A:$A="??????????"))),IF($P173="","",XLOOKUP($P173,FILTER(Dictionaries!$B:$B,Dictionaries!$A:$A="???????"),FILTER(Dictionaries!$C:$C,Dictionaries!$A:$A="???????"))),IF($U173="","",LET(t,IF(OR($B173="????",$B173="????"),"train","rest"),k,$U173,p,$V173,f,$W173,c,$X173,k_s,IF(t="train",IF(k="","",IFS(AND(k&gt;=1900,k&lt;=2050),1,AND(k&gt;=1850,k&lt;1900),0.7,AND(k&gt;2050,k&lt;=2100),0.7,TRUE,0.2)),IF(k="","",IFS(AND(k&gt;=1700,k&lt;=1850),1,AND(k&gt;=1650,k&lt;1700),0.7,AND(k&gt;1850,k&lt;=1900),0.7,TRUE,0.2))),p_s,IF(t="train",IF(p="","",IFS(AND(p&gt;=125,p&lt;=135),1,AND(p&gt;=115,p&lt;125),0.7,AND(p&gt;135,p&lt;=145),0.7,AND(p&gt;=105,p&lt;115),0.4,AND(p&gt;145,p&lt;=155),0.4,TRUE,0.2)),IF(p="","",IFS(AND(p&gt;=120,p&lt;=130),1,AND(p&gt;=110,p&lt;120),0.7,AND(p&gt;130,p&lt;=140),0.7,AND(p&gt;=100,p&lt;110),0.4,AND(p&gt;140,p&lt;=150),0.4,TRUE,0.2))),f_s,IF(f="","",IFS(AND(f&gt;=55,f&lt;=65),1,AND(f&gt;=50,f&lt;55),0.7,AND(f&gt;65,f&lt;=70),0.7,AND(f&gt;=45,f&lt;50),0.4,AND(f&gt;70,f&lt;=75),0.4,TRUE,0.2)),c_s,IF(t="train",IF(c="","",IFS(AND(c&gt;=180,c&lt;=210),1,AND(c&gt;=160,c&lt;180),0.7,AND(c&gt;210,c&lt;=230),0.7,AND(c&gt;=140,c&lt;160),0.4,AND(c&gt;230,c&lt;=250),0.4,TRUE,0.2)),IF(c="","",IFS(AND(c&gt;=140,c&lt;=170),1,AND(c&gt;=120,c&lt;140),0.7,AND(c&gt;170,c&lt;=190),0.7,AND(c&gt;=100,c&lt;120),0.4,AND(c&gt;190,c&lt;=210),0.4,TRUE,0.2))),AVERAGE(k_s,p_s,f_s,c_s)))),1),""))</f>
        <v/>
      </c>
      <c r="Z173">
        <f>IF($A173="","",TEXTJOIN(", ",TRUE,IF($B173="","??????????",""),IF($C173="","??????",""),IF($D173="","????",""),IF($E173="","??????????",""),IF($F173="","???-?????",""),IF($G173="","???-????",""),IF($H173="","??????",""),IF($L173="","???",""),IF($M173="","?????",""),IF($N173="","??????????????",""),IF($O173="","??????????",""),IF($P173="","???????",""),IF($U173="","???","")))</f>
        <v/>
      </c>
    </row>
    <row r="174">
      <c r="U174">
        <f>IF($A174="","",IF(SUMIF(FoodLog!$A:$A,$A174,FoodLog!$I:$I)=0,"",SUMIF(FoodLog!$A:$A,$A174,FoodLog!$I:$I)))</f>
        <v/>
      </c>
      <c r="V174">
        <f>IF($A174="","",IF(SUMIF(FoodLog!$A:$A,$A174,FoodLog!$F:$F)=0,"",SUMIF(FoodLog!$A:$A,$A174,FoodLog!$F:$F)))</f>
        <v/>
      </c>
      <c r="W174">
        <f>IF($A174="","",IF(SUMIF(FoodLog!$A:$A,$A174,FoodLog!$G:$G)=0,"",SUMIF(FoodLog!$A:$A,$A174,FoodLog!$G:$G)))</f>
        <v/>
      </c>
      <c r="X174">
        <f>IF($A174="","",IF(SUMIF(FoodLog!$A:$A,$A174,FoodLog!$H:$H)=0,"",SUMIF(FoodLog!$A:$A,$A174,FoodLog!$H:$H)))</f>
        <v/>
      </c>
      <c r="Y174">
        <f>IF($A174="","",IFERROR(ROUND(100*AVERAGE(IF($B174="","",XLOOKUP($B174,FILTER(Dictionaries!$B:$B,Dictionaries!$A:$A="??????????"),FILTER(Dictionaries!$C:$C,Dictionaries!$A:$A="??????????"))),IF($C174="","",MIN($C174/40,1)),IF($D174="","",XLOOKUP($D174,FILTER(Dictionaries!$B:$B,Dictionaries!$A:$A="????"),FILTER(Dictionaries!$C:$C,Dictionaries!$A:$A="????"))),IF($E174="","",MIN($E174/120,1)),IF(OR($F174&lt;&gt;"",$G174&lt;&gt;""),1,""),IF($H174="","",MIN($H174/100,1)),IF($L174="","",XLOOKUP($L174,FILTER(Dictionaries!$B:$B,Dictionaries!$A:$A="???_????"),FILTER(Dictionaries!$C:$C,Dictionaries!$A:$A="???_????"))),IF($M174="","",XLOOKUP($M174,FILTER(Dictionaries!$B:$B,Dictionaries!$A:$A="?????"),FILTER(Dictionaries!$C:$C,Dictionaries!$A:$A="?????"))),IF($N174="","",MIN($N174/100,1)),IF($O174="","",XLOOKUP($O174,FILTER(Dictionaries!$B:$B,Dictionaries!$A:$A="??????????"),FILTER(Dictionaries!$C:$C,Dictionaries!$A:$A="??????????"))),IF($P174="","",XLOOKUP($P174,FILTER(Dictionaries!$B:$B,Dictionaries!$A:$A="???????"),FILTER(Dictionaries!$C:$C,Dictionaries!$A:$A="???????"))),IF($U174="","",LET(t,IF(OR($B174="????",$B174="????"),"train","rest"),k,$U174,p,$V174,f,$W174,c,$X174,k_s,IF(t="train",IF(k="","",IFS(AND(k&gt;=1900,k&lt;=2050),1,AND(k&gt;=1850,k&lt;1900),0.7,AND(k&gt;2050,k&lt;=2100),0.7,TRUE,0.2)),IF(k="","",IFS(AND(k&gt;=1700,k&lt;=1850),1,AND(k&gt;=1650,k&lt;1700),0.7,AND(k&gt;1850,k&lt;=1900),0.7,TRUE,0.2))),p_s,IF(t="train",IF(p="","",IFS(AND(p&gt;=125,p&lt;=135),1,AND(p&gt;=115,p&lt;125),0.7,AND(p&gt;135,p&lt;=145),0.7,AND(p&gt;=105,p&lt;115),0.4,AND(p&gt;145,p&lt;=155),0.4,TRUE,0.2)),IF(p="","",IFS(AND(p&gt;=120,p&lt;=130),1,AND(p&gt;=110,p&lt;120),0.7,AND(p&gt;130,p&lt;=140),0.7,AND(p&gt;=100,p&lt;110),0.4,AND(p&gt;140,p&lt;=150),0.4,TRUE,0.2))),f_s,IF(f="","",IFS(AND(f&gt;=55,f&lt;=65),1,AND(f&gt;=50,f&lt;55),0.7,AND(f&gt;65,f&lt;=70),0.7,AND(f&gt;=45,f&lt;50),0.4,AND(f&gt;70,f&lt;=75),0.4,TRUE,0.2)),c_s,IF(t="train",IF(c="","",IFS(AND(c&gt;=180,c&lt;=210),1,AND(c&gt;=160,c&lt;180),0.7,AND(c&gt;210,c&lt;=230),0.7,AND(c&gt;=140,c&lt;160),0.4,AND(c&gt;230,c&lt;=250),0.4,TRUE,0.2)),IF(c="","",IFS(AND(c&gt;=140,c&lt;=170),1,AND(c&gt;=120,c&lt;140),0.7,AND(c&gt;170,c&lt;=190),0.7,AND(c&gt;=100,c&lt;120),0.4,AND(c&gt;190,c&lt;=210),0.4,TRUE,0.2))),AVERAGE(k_s,p_s,f_s,c_s)))),1),""))</f>
        <v/>
      </c>
      <c r="Z174">
        <f>IF($A174="","",TEXTJOIN(", ",TRUE,IF($B174="","??????????",""),IF($C174="","??????",""),IF($D174="","????",""),IF($E174="","??????????",""),IF($F174="","???-?????",""),IF($G174="","???-????",""),IF($H174="","??????",""),IF($L174="","???",""),IF($M174="","?????",""),IF($N174="","??????????????",""),IF($O174="","??????????",""),IF($P174="","???????",""),IF($U174="","???","")))</f>
        <v/>
      </c>
    </row>
    <row r="175">
      <c r="U175">
        <f>IF($A175="","",IF(SUMIF(FoodLog!$A:$A,$A175,FoodLog!$I:$I)=0,"",SUMIF(FoodLog!$A:$A,$A175,FoodLog!$I:$I)))</f>
        <v/>
      </c>
      <c r="V175">
        <f>IF($A175="","",IF(SUMIF(FoodLog!$A:$A,$A175,FoodLog!$F:$F)=0,"",SUMIF(FoodLog!$A:$A,$A175,FoodLog!$F:$F)))</f>
        <v/>
      </c>
      <c r="W175">
        <f>IF($A175="","",IF(SUMIF(FoodLog!$A:$A,$A175,FoodLog!$G:$G)=0,"",SUMIF(FoodLog!$A:$A,$A175,FoodLog!$G:$G)))</f>
        <v/>
      </c>
      <c r="X175">
        <f>IF($A175="","",IF(SUMIF(FoodLog!$A:$A,$A175,FoodLog!$H:$H)=0,"",SUMIF(FoodLog!$A:$A,$A175,FoodLog!$H:$H)))</f>
        <v/>
      </c>
      <c r="Y175">
        <f>IF($A175="","",IFERROR(ROUND(100*AVERAGE(IF($B175="","",XLOOKUP($B175,FILTER(Dictionaries!$B:$B,Dictionaries!$A:$A="??????????"),FILTER(Dictionaries!$C:$C,Dictionaries!$A:$A="??????????"))),IF($C175="","",MIN($C175/40,1)),IF($D175="","",XLOOKUP($D175,FILTER(Dictionaries!$B:$B,Dictionaries!$A:$A="????"),FILTER(Dictionaries!$C:$C,Dictionaries!$A:$A="????"))),IF($E175="","",MIN($E175/120,1)),IF(OR($F175&lt;&gt;"",$G175&lt;&gt;""),1,""),IF($H175="","",MIN($H175/100,1)),IF($L175="","",XLOOKUP($L175,FILTER(Dictionaries!$B:$B,Dictionaries!$A:$A="???_????"),FILTER(Dictionaries!$C:$C,Dictionaries!$A:$A="???_????"))),IF($M175="","",XLOOKUP($M175,FILTER(Dictionaries!$B:$B,Dictionaries!$A:$A="?????"),FILTER(Dictionaries!$C:$C,Dictionaries!$A:$A="?????"))),IF($N175="","",MIN($N175/100,1)),IF($O175="","",XLOOKUP($O175,FILTER(Dictionaries!$B:$B,Dictionaries!$A:$A="??????????"),FILTER(Dictionaries!$C:$C,Dictionaries!$A:$A="??????????"))),IF($P175="","",XLOOKUP($P175,FILTER(Dictionaries!$B:$B,Dictionaries!$A:$A="???????"),FILTER(Dictionaries!$C:$C,Dictionaries!$A:$A="???????"))),IF($U175="","",LET(t,IF(OR($B175="????",$B175="????"),"train","rest"),k,$U175,p,$V175,f,$W175,c,$X175,k_s,IF(t="train",IF(k="","",IFS(AND(k&gt;=1900,k&lt;=2050),1,AND(k&gt;=1850,k&lt;1900),0.7,AND(k&gt;2050,k&lt;=2100),0.7,TRUE,0.2)),IF(k="","",IFS(AND(k&gt;=1700,k&lt;=1850),1,AND(k&gt;=1650,k&lt;1700),0.7,AND(k&gt;1850,k&lt;=1900),0.7,TRUE,0.2))),p_s,IF(t="train",IF(p="","",IFS(AND(p&gt;=125,p&lt;=135),1,AND(p&gt;=115,p&lt;125),0.7,AND(p&gt;135,p&lt;=145),0.7,AND(p&gt;=105,p&lt;115),0.4,AND(p&gt;145,p&lt;=155),0.4,TRUE,0.2)),IF(p="","",IFS(AND(p&gt;=120,p&lt;=130),1,AND(p&gt;=110,p&lt;120),0.7,AND(p&gt;130,p&lt;=140),0.7,AND(p&gt;=100,p&lt;110),0.4,AND(p&gt;140,p&lt;=150),0.4,TRUE,0.2))),f_s,IF(f="","",IFS(AND(f&gt;=55,f&lt;=65),1,AND(f&gt;=50,f&lt;55),0.7,AND(f&gt;65,f&lt;=70),0.7,AND(f&gt;=45,f&lt;50),0.4,AND(f&gt;70,f&lt;=75),0.4,TRUE,0.2)),c_s,IF(t="train",IF(c="","",IFS(AND(c&gt;=180,c&lt;=210),1,AND(c&gt;=160,c&lt;180),0.7,AND(c&gt;210,c&lt;=230),0.7,AND(c&gt;=140,c&lt;160),0.4,AND(c&gt;230,c&lt;=250),0.4,TRUE,0.2)),IF(c="","",IFS(AND(c&gt;=140,c&lt;=170),1,AND(c&gt;=120,c&lt;140),0.7,AND(c&gt;170,c&lt;=190),0.7,AND(c&gt;=100,c&lt;120),0.4,AND(c&gt;190,c&lt;=210),0.4,TRUE,0.2))),AVERAGE(k_s,p_s,f_s,c_s)))),1),""))</f>
        <v/>
      </c>
      <c r="Z175">
        <f>IF($A175="","",TEXTJOIN(", ",TRUE,IF($B175="","??????????",""),IF($C175="","??????",""),IF($D175="","????",""),IF($E175="","??????????",""),IF($F175="","???-?????",""),IF($G175="","???-????",""),IF($H175="","??????",""),IF($L175="","???",""),IF($M175="","?????",""),IF($N175="","??????????????",""),IF($O175="","??????????",""),IF($P175="","???????",""),IF($U175="","???","")))</f>
        <v/>
      </c>
    </row>
    <row r="176">
      <c r="U176">
        <f>IF($A176="","",IF(SUMIF(FoodLog!$A:$A,$A176,FoodLog!$I:$I)=0,"",SUMIF(FoodLog!$A:$A,$A176,FoodLog!$I:$I)))</f>
        <v/>
      </c>
      <c r="V176">
        <f>IF($A176="","",IF(SUMIF(FoodLog!$A:$A,$A176,FoodLog!$F:$F)=0,"",SUMIF(FoodLog!$A:$A,$A176,FoodLog!$F:$F)))</f>
        <v/>
      </c>
      <c r="W176">
        <f>IF($A176="","",IF(SUMIF(FoodLog!$A:$A,$A176,FoodLog!$G:$G)=0,"",SUMIF(FoodLog!$A:$A,$A176,FoodLog!$G:$G)))</f>
        <v/>
      </c>
      <c r="X176">
        <f>IF($A176="","",IF(SUMIF(FoodLog!$A:$A,$A176,FoodLog!$H:$H)=0,"",SUMIF(FoodLog!$A:$A,$A176,FoodLog!$H:$H)))</f>
        <v/>
      </c>
      <c r="Y176">
        <f>IF($A176="","",IFERROR(ROUND(100*AVERAGE(IF($B176="","",XLOOKUP($B176,FILTER(Dictionaries!$B:$B,Dictionaries!$A:$A="??????????"),FILTER(Dictionaries!$C:$C,Dictionaries!$A:$A="??????????"))),IF($C176="","",MIN($C176/40,1)),IF($D176="","",XLOOKUP($D176,FILTER(Dictionaries!$B:$B,Dictionaries!$A:$A="????"),FILTER(Dictionaries!$C:$C,Dictionaries!$A:$A="????"))),IF($E176="","",MIN($E176/120,1)),IF(OR($F176&lt;&gt;"",$G176&lt;&gt;""),1,""),IF($H176="","",MIN($H176/100,1)),IF($L176="","",XLOOKUP($L176,FILTER(Dictionaries!$B:$B,Dictionaries!$A:$A="???_????"),FILTER(Dictionaries!$C:$C,Dictionaries!$A:$A="???_????"))),IF($M176="","",XLOOKUP($M176,FILTER(Dictionaries!$B:$B,Dictionaries!$A:$A="?????"),FILTER(Dictionaries!$C:$C,Dictionaries!$A:$A="?????"))),IF($N176="","",MIN($N176/100,1)),IF($O176="","",XLOOKUP($O176,FILTER(Dictionaries!$B:$B,Dictionaries!$A:$A="??????????"),FILTER(Dictionaries!$C:$C,Dictionaries!$A:$A="??????????"))),IF($P176="","",XLOOKUP($P176,FILTER(Dictionaries!$B:$B,Dictionaries!$A:$A="???????"),FILTER(Dictionaries!$C:$C,Dictionaries!$A:$A="???????"))),IF($U176="","",LET(t,IF(OR($B176="????",$B176="????"),"train","rest"),k,$U176,p,$V176,f,$W176,c,$X176,k_s,IF(t="train",IF(k="","",IFS(AND(k&gt;=1900,k&lt;=2050),1,AND(k&gt;=1850,k&lt;1900),0.7,AND(k&gt;2050,k&lt;=2100),0.7,TRUE,0.2)),IF(k="","",IFS(AND(k&gt;=1700,k&lt;=1850),1,AND(k&gt;=1650,k&lt;1700),0.7,AND(k&gt;1850,k&lt;=1900),0.7,TRUE,0.2))),p_s,IF(t="train",IF(p="","",IFS(AND(p&gt;=125,p&lt;=135),1,AND(p&gt;=115,p&lt;125),0.7,AND(p&gt;135,p&lt;=145),0.7,AND(p&gt;=105,p&lt;115),0.4,AND(p&gt;145,p&lt;=155),0.4,TRUE,0.2)),IF(p="","",IFS(AND(p&gt;=120,p&lt;=130),1,AND(p&gt;=110,p&lt;120),0.7,AND(p&gt;130,p&lt;=140),0.7,AND(p&gt;=100,p&lt;110),0.4,AND(p&gt;140,p&lt;=150),0.4,TRUE,0.2))),f_s,IF(f="","",IFS(AND(f&gt;=55,f&lt;=65),1,AND(f&gt;=50,f&lt;55),0.7,AND(f&gt;65,f&lt;=70),0.7,AND(f&gt;=45,f&lt;50),0.4,AND(f&gt;70,f&lt;=75),0.4,TRUE,0.2)),c_s,IF(t="train",IF(c="","",IFS(AND(c&gt;=180,c&lt;=210),1,AND(c&gt;=160,c&lt;180),0.7,AND(c&gt;210,c&lt;=230),0.7,AND(c&gt;=140,c&lt;160),0.4,AND(c&gt;230,c&lt;=250),0.4,TRUE,0.2)),IF(c="","",IFS(AND(c&gt;=140,c&lt;=170),1,AND(c&gt;=120,c&lt;140),0.7,AND(c&gt;170,c&lt;=190),0.7,AND(c&gt;=100,c&lt;120),0.4,AND(c&gt;190,c&lt;=210),0.4,TRUE,0.2))),AVERAGE(k_s,p_s,f_s,c_s)))),1),""))</f>
        <v/>
      </c>
      <c r="Z176">
        <f>IF($A176="","",TEXTJOIN(", ",TRUE,IF($B176="","??????????",""),IF($C176="","??????",""),IF($D176="","????",""),IF($E176="","??????????",""),IF($F176="","???-?????",""),IF($G176="","???-????",""),IF($H176="","??????",""),IF($L176="","???",""),IF($M176="","?????",""),IF($N176="","??????????????",""),IF($O176="","??????????",""),IF($P176="","???????",""),IF($U176="","???","")))</f>
        <v/>
      </c>
    </row>
    <row r="177">
      <c r="U177">
        <f>IF($A177="","",IF(SUMIF(FoodLog!$A:$A,$A177,FoodLog!$I:$I)=0,"",SUMIF(FoodLog!$A:$A,$A177,FoodLog!$I:$I)))</f>
        <v/>
      </c>
      <c r="V177">
        <f>IF($A177="","",IF(SUMIF(FoodLog!$A:$A,$A177,FoodLog!$F:$F)=0,"",SUMIF(FoodLog!$A:$A,$A177,FoodLog!$F:$F)))</f>
        <v/>
      </c>
      <c r="W177">
        <f>IF($A177="","",IF(SUMIF(FoodLog!$A:$A,$A177,FoodLog!$G:$G)=0,"",SUMIF(FoodLog!$A:$A,$A177,FoodLog!$G:$G)))</f>
        <v/>
      </c>
      <c r="X177">
        <f>IF($A177="","",IF(SUMIF(FoodLog!$A:$A,$A177,FoodLog!$H:$H)=0,"",SUMIF(FoodLog!$A:$A,$A177,FoodLog!$H:$H)))</f>
        <v/>
      </c>
      <c r="Y177">
        <f>IF($A177="","",IFERROR(ROUND(100*AVERAGE(IF($B177="","",XLOOKUP($B177,FILTER(Dictionaries!$B:$B,Dictionaries!$A:$A="??????????"),FILTER(Dictionaries!$C:$C,Dictionaries!$A:$A="??????????"))),IF($C177="","",MIN($C177/40,1)),IF($D177="","",XLOOKUP($D177,FILTER(Dictionaries!$B:$B,Dictionaries!$A:$A="????"),FILTER(Dictionaries!$C:$C,Dictionaries!$A:$A="????"))),IF($E177="","",MIN($E177/120,1)),IF(OR($F177&lt;&gt;"",$G177&lt;&gt;""),1,""),IF($H177="","",MIN($H177/100,1)),IF($L177="","",XLOOKUP($L177,FILTER(Dictionaries!$B:$B,Dictionaries!$A:$A="???_????"),FILTER(Dictionaries!$C:$C,Dictionaries!$A:$A="???_????"))),IF($M177="","",XLOOKUP($M177,FILTER(Dictionaries!$B:$B,Dictionaries!$A:$A="?????"),FILTER(Dictionaries!$C:$C,Dictionaries!$A:$A="?????"))),IF($N177="","",MIN($N177/100,1)),IF($O177="","",XLOOKUP($O177,FILTER(Dictionaries!$B:$B,Dictionaries!$A:$A="??????????"),FILTER(Dictionaries!$C:$C,Dictionaries!$A:$A="??????????"))),IF($P177="","",XLOOKUP($P177,FILTER(Dictionaries!$B:$B,Dictionaries!$A:$A="???????"),FILTER(Dictionaries!$C:$C,Dictionaries!$A:$A="???????"))),IF($U177="","",LET(t,IF(OR($B177="????",$B177="????"),"train","rest"),k,$U177,p,$V177,f,$W177,c,$X177,k_s,IF(t="train",IF(k="","",IFS(AND(k&gt;=1900,k&lt;=2050),1,AND(k&gt;=1850,k&lt;1900),0.7,AND(k&gt;2050,k&lt;=2100),0.7,TRUE,0.2)),IF(k="","",IFS(AND(k&gt;=1700,k&lt;=1850),1,AND(k&gt;=1650,k&lt;1700),0.7,AND(k&gt;1850,k&lt;=1900),0.7,TRUE,0.2))),p_s,IF(t="train",IF(p="","",IFS(AND(p&gt;=125,p&lt;=135),1,AND(p&gt;=115,p&lt;125),0.7,AND(p&gt;135,p&lt;=145),0.7,AND(p&gt;=105,p&lt;115),0.4,AND(p&gt;145,p&lt;=155),0.4,TRUE,0.2)),IF(p="","",IFS(AND(p&gt;=120,p&lt;=130),1,AND(p&gt;=110,p&lt;120),0.7,AND(p&gt;130,p&lt;=140),0.7,AND(p&gt;=100,p&lt;110),0.4,AND(p&gt;140,p&lt;=150),0.4,TRUE,0.2))),f_s,IF(f="","",IFS(AND(f&gt;=55,f&lt;=65),1,AND(f&gt;=50,f&lt;55),0.7,AND(f&gt;65,f&lt;=70),0.7,AND(f&gt;=45,f&lt;50),0.4,AND(f&gt;70,f&lt;=75),0.4,TRUE,0.2)),c_s,IF(t="train",IF(c="","",IFS(AND(c&gt;=180,c&lt;=210),1,AND(c&gt;=160,c&lt;180),0.7,AND(c&gt;210,c&lt;=230),0.7,AND(c&gt;=140,c&lt;160),0.4,AND(c&gt;230,c&lt;=250),0.4,TRUE,0.2)),IF(c="","",IFS(AND(c&gt;=140,c&lt;=170),1,AND(c&gt;=120,c&lt;140),0.7,AND(c&gt;170,c&lt;=190),0.7,AND(c&gt;=100,c&lt;120),0.4,AND(c&gt;190,c&lt;=210),0.4,TRUE,0.2))),AVERAGE(k_s,p_s,f_s,c_s)))),1),""))</f>
        <v/>
      </c>
      <c r="Z177">
        <f>IF($A177="","",TEXTJOIN(", ",TRUE,IF($B177="","??????????",""),IF($C177="","??????",""),IF($D177="","????",""),IF($E177="","??????????",""),IF($F177="","???-?????",""),IF($G177="","???-????",""),IF($H177="","??????",""),IF($L177="","???",""),IF($M177="","?????",""),IF($N177="","??????????????",""),IF($O177="","??????????",""),IF($P177="","???????",""),IF($U177="","???","")))</f>
        <v/>
      </c>
    </row>
    <row r="178">
      <c r="U178">
        <f>IF($A178="","",IF(SUMIF(FoodLog!$A:$A,$A178,FoodLog!$I:$I)=0,"",SUMIF(FoodLog!$A:$A,$A178,FoodLog!$I:$I)))</f>
        <v/>
      </c>
      <c r="V178">
        <f>IF($A178="","",IF(SUMIF(FoodLog!$A:$A,$A178,FoodLog!$F:$F)=0,"",SUMIF(FoodLog!$A:$A,$A178,FoodLog!$F:$F)))</f>
        <v/>
      </c>
      <c r="W178">
        <f>IF($A178="","",IF(SUMIF(FoodLog!$A:$A,$A178,FoodLog!$G:$G)=0,"",SUMIF(FoodLog!$A:$A,$A178,FoodLog!$G:$G)))</f>
        <v/>
      </c>
      <c r="X178">
        <f>IF($A178="","",IF(SUMIF(FoodLog!$A:$A,$A178,FoodLog!$H:$H)=0,"",SUMIF(FoodLog!$A:$A,$A178,FoodLog!$H:$H)))</f>
        <v/>
      </c>
      <c r="Y178">
        <f>IF($A178="","",IFERROR(ROUND(100*AVERAGE(IF($B178="","",XLOOKUP($B178,FILTER(Dictionaries!$B:$B,Dictionaries!$A:$A="??????????"),FILTER(Dictionaries!$C:$C,Dictionaries!$A:$A="??????????"))),IF($C178="","",MIN($C178/40,1)),IF($D178="","",XLOOKUP($D178,FILTER(Dictionaries!$B:$B,Dictionaries!$A:$A="????"),FILTER(Dictionaries!$C:$C,Dictionaries!$A:$A="????"))),IF($E178="","",MIN($E178/120,1)),IF(OR($F178&lt;&gt;"",$G178&lt;&gt;""),1,""),IF($H178="","",MIN($H178/100,1)),IF($L178="","",XLOOKUP($L178,FILTER(Dictionaries!$B:$B,Dictionaries!$A:$A="???_????"),FILTER(Dictionaries!$C:$C,Dictionaries!$A:$A="???_????"))),IF($M178="","",XLOOKUP($M178,FILTER(Dictionaries!$B:$B,Dictionaries!$A:$A="?????"),FILTER(Dictionaries!$C:$C,Dictionaries!$A:$A="?????"))),IF($N178="","",MIN($N178/100,1)),IF($O178="","",XLOOKUP($O178,FILTER(Dictionaries!$B:$B,Dictionaries!$A:$A="??????????"),FILTER(Dictionaries!$C:$C,Dictionaries!$A:$A="??????????"))),IF($P178="","",XLOOKUP($P178,FILTER(Dictionaries!$B:$B,Dictionaries!$A:$A="???????"),FILTER(Dictionaries!$C:$C,Dictionaries!$A:$A="???????"))),IF($U178="","",LET(t,IF(OR($B178="????",$B178="????"),"train","rest"),k,$U178,p,$V178,f,$W178,c,$X178,k_s,IF(t="train",IF(k="","",IFS(AND(k&gt;=1900,k&lt;=2050),1,AND(k&gt;=1850,k&lt;1900),0.7,AND(k&gt;2050,k&lt;=2100),0.7,TRUE,0.2)),IF(k="","",IFS(AND(k&gt;=1700,k&lt;=1850),1,AND(k&gt;=1650,k&lt;1700),0.7,AND(k&gt;1850,k&lt;=1900),0.7,TRUE,0.2))),p_s,IF(t="train",IF(p="","",IFS(AND(p&gt;=125,p&lt;=135),1,AND(p&gt;=115,p&lt;125),0.7,AND(p&gt;135,p&lt;=145),0.7,AND(p&gt;=105,p&lt;115),0.4,AND(p&gt;145,p&lt;=155),0.4,TRUE,0.2)),IF(p="","",IFS(AND(p&gt;=120,p&lt;=130),1,AND(p&gt;=110,p&lt;120),0.7,AND(p&gt;130,p&lt;=140),0.7,AND(p&gt;=100,p&lt;110),0.4,AND(p&gt;140,p&lt;=150),0.4,TRUE,0.2))),f_s,IF(f="","",IFS(AND(f&gt;=55,f&lt;=65),1,AND(f&gt;=50,f&lt;55),0.7,AND(f&gt;65,f&lt;=70),0.7,AND(f&gt;=45,f&lt;50),0.4,AND(f&gt;70,f&lt;=75),0.4,TRUE,0.2)),c_s,IF(t="train",IF(c="","",IFS(AND(c&gt;=180,c&lt;=210),1,AND(c&gt;=160,c&lt;180),0.7,AND(c&gt;210,c&lt;=230),0.7,AND(c&gt;=140,c&lt;160),0.4,AND(c&gt;230,c&lt;=250),0.4,TRUE,0.2)),IF(c="","",IFS(AND(c&gt;=140,c&lt;=170),1,AND(c&gt;=120,c&lt;140),0.7,AND(c&gt;170,c&lt;=190),0.7,AND(c&gt;=100,c&lt;120),0.4,AND(c&gt;190,c&lt;=210),0.4,TRUE,0.2))),AVERAGE(k_s,p_s,f_s,c_s)))),1),""))</f>
        <v/>
      </c>
      <c r="Z178">
        <f>IF($A178="","",TEXTJOIN(", ",TRUE,IF($B178="","??????????",""),IF($C178="","??????",""),IF($D178="","????",""),IF($E178="","??????????",""),IF($F178="","???-?????",""),IF($G178="","???-????",""),IF($H178="","??????",""),IF($L178="","???",""),IF($M178="","?????",""),IF($N178="","??????????????",""),IF($O178="","??????????",""),IF($P178="","???????",""),IF($U178="","???","")))</f>
        <v/>
      </c>
    </row>
    <row r="179">
      <c r="U179">
        <f>IF($A179="","",IF(SUMIF(FoodLog!$A:$A,$A179,FoodLog!$I:$I)=0,"",SUMIF(FoodLog!$A:$A,$A179,FoodLog!$I:$I)))</f>
        <v/>
      </c>
      <c r="V179">
        <f>IF($A179="","",IF(SUMIF(FoodLog!$A:$A,$A179,FoodLog!$F:$F)=0,"",SUMIF(FoodLog!$A:$A,$A179,FoodLog!$F:$F)))</f>
        <v/>
      </c>
      <c r="W179">
        <f>IF($A179="","",IF(SUMIF(FoodLog!$A:$A,$A179,FoodLog!$G:$G)=0,"",SUMIF(FoodLog!$A:$A,$A179,FoodLog!$G:$G)))</f>
        <v/>
      </c>
      <c r="X179">
        <f>IF($A179="","",IF(SUMIF(FoodLog!$A:$A,$A179,FoodLog!$H:$H)=0,"",SUMIF(FoodLog!$A:$A,$A179,FoodLog!$H:$H)))</f>
        <v/>
      </c>
      <c r="Y179">
        <f>IF($A179="","",IFERROR(ROUND(100*AVERAGE(IF($B179="","",XLOOKUP($B179,FILTER(Dictionaries!$B:$B,Dictionaries!$A:$A="??????????"),FILTER(Dictionaries!$C:$C,Dictionaries!$A:$A="??????????"))),IF($C179="","",MIN($C179/40,1)),IF($D179="","",XLOOKUP($D179,FILTER(Dictionaries!$B:$B,Dictionaries!$A:$A="????"),FILTER(Dictionaries!$C:$C,Dictionaries!$A:$A="????"))),IF($E179="","",MIN($E179/120,1)),IF(OR($F179&lt;&gt;"",$G179&lt;&gt;""),1,""),IF($H179="","",MIN($H179/100,1)),IF($L179="","",XLOOKUP($L179,FILTER(Dictionaries!$B:$B,Dictionaries!$A:$A="???_????"),FILTER(Dictionaries!$C:$C,Dictionaries!$A:$A="???_????"))),IF($M179="","",XLOOKUP($M179,FILTER(Dictionaries!$B:$B,Dictionaries!$A:$A="?????"),FILTER(Dictionaries!$C:$C,Dictionaries!$A:$A="?????"))),IF($N179="","",MIN($N179/100,1)),IF($O179="","",XLOOKUP($O179,FILTER(Dictionaries!$B:$B,Dictionaries!$A:$A="??????????"),FILTER(Dictionaries!$C:$C,Dictionaries!$A:$A="??????????"))),IF($P179="","",XLOOKUP($P179,FILTER(Dictionaries!$B:$B,Dictionaries!$A:$A="???????"),FILTER(Dictionaries!$C:$C,Dictionaries!$A:$A="???????"))),IF($U179="","",LET(t,IF(OR($B179="????",$B179="????"),"train","rest"),k,$U179,p,$V179,f,$W179,c,$X179,k_s,IF(t="train",IF(k="","",IFS(AND(k&gt;=1900,k&lt;=2050),1,AND(k&gt;=1850,k&lt;1900),0.7,AND(k&gt;2050,k&lt;=2100),0.7,TRUE,0.2)),IF(k="","",IFS(AND(k&gt;=1700,k&lt;=1850),1,AND(k&gt;=1650,k&lt;1700),0.7,AND(k&gt;1850,k&lt;=1900),0.7,TRUE,0.2))),p_s,IF(t="train",IF(p="","",IFS(AND(p&gt;=125,p&lt;=135),1,AND(p&gt;=115,p&lt;125),0.7,AND(p&gt;135,p&lt;=145),0.7,AND(p&gt;=105,p&lt;115),0.4,AND(p&gt;145,p&lt;=155),0.4,TRUE,0.2)),IF(p="","",IFS(AND(p&gt;=120,p&lt;=130),1,AND(p&gt;=110,p&lt;120),0.7,AND(p&gt;130,p&lt;=140),0.7,AND(p&gt;=100,p&lt;110),0.4,AND(p&gt;140,p&lt;=150),0.4,TRUE,0.2))),f_s,IF(f="","",IFS(AND(f&gt;=55,f&lt;=65),1,AND(f&gt;=50,f&lt;55),0.7,AND(f&gt;65,f&lt;=70),0.7,AND(f&gt;=45,f&lt;50),0.4,AND(f&gt;70,f&lt;=75),0.4,TRUE,0.2)),c_s,IF(t="train",IF(c="","",IFS(AND(c&gt;=180,c&lt;=210),1,AND(c&gt;=160,c&lt;180),0.7,AND(c&gt;210,c&lt;=230),0.7,AND(c&gt;=140,c&lt;160),0.4,AND(c&gt;230,c&lt;=250),0.4,TRUE,0.2)),IF(c="","",IFS(AND(c&gt;=140,c&lt;=170),1,AND(c&gt;=120,c&lt;140),0.7,AND(c&gt;170,c&lt;=190),0.7,AND(c&gt;=100,c&lt;120),0.4,AND(c&gt;190,c&lt;=210),0.4,TRUE,0.2))),AVERAGE(k_s,p_s,f_s,c_s)))),1),""))</f>
        <v/>
      </c>
      <c r="Z179">
        <f>IF($A179="","",TEXTJOIN(", ",TRUE,IF($B179="","??????????",""),IF($C179="","??????",""),IF($D179="","????",""),IF($E179="","??????????",""),IF($F179="","???-?????",""),IF($G179="","???-????",""),IF($H179="","??????",""),IF($L179="","???",""),IF($M179="","?????",""),IF($N179="","??????????????",""),IF($O179="","??????????",""),IF($P179="","???????",""),IF($U179="","???","")))</f>
        <v/>
      </c>
    </row>
    <row r="180">
      <c r="U180">
        <f>IF($A180="","",IF(SUMIF(FoodLog!$A:$A,$A180,FoodLog!$I:$I)=0,"",SUMIF(FoodLog!$A:$A,$A180,FoodLog!$I:$I)))</f>
        <v/>
      </c>
      <c r="V180">
        <f>IF($A180="","",IF(SUMIF(FoodLog!$A:$A,$A180,FoodLog!$F:$F)=0,"",SUMIF(FoodLog!$A:$A,$A180,FoodLog!$F:$F)))</f>
        <v/>
      </c>
      <c r="W180">
        <f>IF($A180="","",IF(SUMIF(FoodLog!$A:$A,$A180,FoodLog!$G:$G)=0,"",SUMIF(FoodLog!$A:$A,$A180,FoodLog!$G:$G)))</f>
        <v/>
      </c>
      <c r="X180">
        <f>IF($A180="","",IF(SUMIF(FoodLog!$A:$A,$A180,FoodLog!$H:$H)=0,"",SUMIF(FoodLog!$A:$A,$A180,FoodLog!$H:$H)))</f>
        <v/>
      </c>
      <c r="Y180">
        <f>IF($A180="","",IFERROR(ROUND(100*AVERAGE(IF($B180="","",XLOOKUP($B180,FILTER(Dictionaries!$B:$B,Dictionaries!$A:$A="??????????"),FILTER(Dictionaries!$C:$C,Dictionaries!$A:$A="??????????"))),IF($C180="","",MIN($C180/40,1)),IF($D180="","",XLOOKUP($D180,FILTER(Dictionaries!$B:$B,Dictionaries!$A:$A="????"),FILTER(Dictionaries!$C:$C,Dictionaries!$A:$A="????"))),IF($E180="","",MIN($E180/120,1)),IF(OR($F180&lt;&gt;"",$G180&lt;&gt;""),1,""),IF($H180="","",MIN($H180/100,1)),IF($L180="","",XLOOKUP($L180,FILTER(Dictionaries!$B:$B,Dictionaries!$A:$A="???_????"),FILTER(Dictionaries!$C:$C,Dictionaries!$A:$A="???_????"))),IF($M180="","",XLOOKUP($M180,FILTER(Dictionaries!$B:$B,Dictionaries!$A:$A="?????"),FILTER(Dictionaries!$C:$C,Dictionaries!$A:$A="?????"))),IF($N180="","",MIN($N180/100,1)),IF($O180="","",XLOOKUP($O180,FILTER(Dictionaries!$B:$B,Dictionaries!$A:$A="??????????"),FILTER(Dictionaries!$C:$C,Dictionaries!$A:$A="??????????"))),IF($P180="","",XLOOKUP($P180,FILTER(Dictionaries!$B:$B,Dictionaries!$A:$A="???????"),FILTER(Dictionaries!$C:$C,Dictionaries!$A:$A="???????"))),IF($U180="","",LET(t,IF(OR($B180="????",$B180="????"),"train","rest"),k,$U180,p,$V180,f,$W180,c,$X180,k_s,IF(t="train",IF(k="","",IFS(AND(k&gt;=1900,k&lt;=2050),1,AND(k&gt;=1850,k&lt;1900),0.7,AND(k&gt;2050,k&lt;=2100),0.7,TRUE,0.2)),IF(k="","",IFS(AND(k&gt;=1700,k&lt;=1850),1,AND(k&gt;=1650,k&lt;1700),0.7,AND(k&gt;1850,k&lt;=1900),0.7,TRUE,0.2))),p_s,IF(t="train",IF(p="","",IFS(AND(p&gt;=125,p&lt;=135),1,AND(p&gt;=115,p&lt;125),0.7,AND(p&gt;135,p&lt;=145),0.7,AND(p&gt;=105,p&lt;115),0.4,AND(p&gt;145,p&lt;=155),0.4,TRUE,0.2)),IF(p="","",IFS(AND(p&gt;=120,p&lt;=130),1,AND(p&gt;=110,p&lt;120),0.7,AND(p&gt;130,p&lt;=140),0.7,AND(p&gt;=100,p&lt;110),0.4,AND(p&gt;140,p&lt;=150),0.4,TRUE,0.2))),f_s,IF(f="","",IFS(AND(f&gt;=55,f&lt;=65),1,AND(f&gt;=50,f&lt;55),0.7,AND(f&gt;65,f&lt;=70),0.7,AND(f&gt;=45,f&lt;50),0.4,AND(f&gt;70,f&lt;=75),0.4,TRUE,0.2)),c_s,IF(t="train",IF(c="","",IFS(AND(c&gt;=180,c&lt;=210),1,AND(c&gt;=160,c&lt;180),0.7,AND(c&gt;210,c&lt;=230),0.7,AND(c&gt;=140,c&lt;160),0.4,AND(c&gt;230,c&lt;=250),0.4,TRUE,0.2)),IF(c="","",IFS(AND(c&gt;=140,c&lt;=170),1,AND(c&gt;=120,c&lt;140),0.7,AND(c&gt;170,c&lt;=190),0.7,AND(c&gt;=100,c&lt;120),0.4,AND(c&gt;190,c&lt;=210),0.4,TRUE,0.2))),AVERAGE(k_s,p_s,f_s,c_s)))),1),""))</f>
        <v/>
      </c>
      <c r="Z180">
        <f>IF($A180="","",TEXTJOIN(", ",TRUE,IF($B180="","??????????",""),IF($C180="","??????",""),IF($D180="","????",""),IF($E180="","??????????",""),IF($F180="","???-?????",""),IF($G180="","???-????",""),IF($H180="","??????",""),IF($L180="","???",""),IF($M180="","?????",""),IF($N180="","??????????????",""),IF($O180="","??????????",""),IF($P180="","???????",""),IF($U180="","???","")))</f>
        <v/>
      </c>
    </row>
    <row r="181">
      <c r="U181">
        <f>IF($A181="","",IF(SUMIF(FoodLog!$A:$A,$A181,FoodLog!$I:$I)=0,"",SUMIF(FoodLog!$A:$A,$A181,FoodLog!$I:$I)))</f>
        <v/>
      </c>
      <c r="V181">
        <f>IF($A181="","",IF(SUMIF(FoodLog!$A:$A,$A181,FoodLog!$F:$F)=0,"",SUMIF(FoodLog!$A:$A,$A181,FoodLog!$F:$F)))</f>
        <v/>
      </c>
      <c r="W181">
        <f>IF($A181="","",IF(SUMIF(FoodLog!$A:$A,$A181,FoodLog!$G:$G)=0,"",SUMIF(FoodLog!$A:$A,$A181,FoodLog!$G:$G)))</f>
        <v/>
      </c>
      <c r="X181">
        <f>IF($A181="","",IF(SUMIF(FoodLog!$A:$A,$A181,FoodLog!$H:$H)=0,"",SUMIF(FoodLog!$A:$A,$A181,FoodLog!$H:$H)))</f>
        <v/>
      </c>
      <c r="Y181">
        <f>IF($A181="","",IFERROR(ROUND(100*AVERAGE(IF($B181="","",XLOOKUP($B181,FILTER(Dictionaries!$B:$B,Dictionaries!$A:$A="??????????"),FILTER(Dictionaries!$C:$C,Dictionaries!$A:$A="??????????"))),IF($C181="","",MIN($C181/40,1)),IF($D181="","",XLOOKUP($D181,FILTER(Dictionaries!$B:$B,Dictionaries!$A:$A="????"),FILTER(Dictionaries!$C:$C,Dictionaries!$A:$A="????"))),IF($E181="","",MIN($E181/120,1)),IF(OR($F181&lt;&gt;"",$G181&lt;&gt;""),1,""),IF($H181="","",MIN($H181/100,1)),IF($L181="","",XLOOKUP($L181,FILTER(Dictionaries!$B:$B,Dictionaries!$A:$A="???_????"),FILTER(Dictionaries!$C:$C,Dictionaries!$A:$A="???_????"))),IF($M181="","",XLOOKUP($M181,FILTER(Dictionaries!$B:$B,Dictionaries!$A:$A="?????"),FILTER(Dictionaries!$C:$C,Dictionaries!$A:$A="?????"))),IF($N181="","",MIN($N181/100,1)),IF($O181="","",XLOOKUP($O181,FILTER(Dictionaries!$B:$B,Dictionaries!$A:$A="??????????"),FILTER(Dictionaries!$C:$C,Dictionaries!$A:$A="??????????"))),IF($P181="","",XLOOKUP($P181,FILTER(Dictionaries!$B:$B,Dictionaries!$A:$A="???????"),FILTER(Dictionaries!$C:$C,Dictionaries!$A:$A="???????"))),IF($U181="","",LET(t,IF(OR($B181="????",$B181="????"),"train","rest"),k,$U181,p,$V181,f,$W181,c,$X181,k_s,IF(t="train",IF(k="","",IFS(AND(k&gt;=1900,k&lt;=2050),1,AND(k&gt;=1850,k&lt;1900),0.7,AND(k&gt;2050,k&lt;=2100),0.7,TRUE,0.2)),IF(k="","",IFS(AND(k&gt;=1700,k&lt;=1850),1,AND(k&gt;=1650,k&lt;1700),0.7,AND(k&gt;1850,k&lt;=1900),0.7,TRUE,0.2))),p_s,IF(t="train",IF(p="","",IFS(AND(p&gt;=125,p&lt;=135),1,AND(p&gt;=115,p&lt;125),0.7,AND(p&gt;135,p&lt;=145),0.7,AND(p&gt;=105,p&lt;115),0.4,AND(p&gt;145,p&lt;=155),0.4,TRUE,0.2)),IF(p="","",IFS(AND(p&gt;=120,p&lt;=130),1,AND(p&gt;=110,p&lt;120),0.7,AND(p&gt;130,p&lt;=140),0.7,AND(p&gt;=100,p&lt;110),0.4,AND(p&gt;140,p&lt;=150),0.4,TRUE,0.2))),f_s,IF(f="","",IFS(AND(f&gt;=55,f&lt;=65),1,AND(f&gt;=50,f&lt;55),0.7,AND(f&gt;65,f&lt;=70),0.7,AND(f&gt;=45,f&lt;50),0.4,AND(f&gt;70,f&lt;=75),0.4,TRUE,0.2)),c_s,IF(t="train",IF(c="","",IFS(AND(c&gt;=180,c&lt;=210),1,AND(c&gt;=160,c&lt;180),0.7,AND(c&gt;210,c&lt;=230),0.7,AND(c&gt;=140,c&lt;160),0.4,AND(c&gt;230,c&lt;=250),0.4,TRUE,0.2)),IF(c="","",IFS(AND(c&gt;=140,c&lt;=170),1,AND(c&gt;=120,c&lt;140),0.7,AND(c&gt;170,c&lt;=190),0.7,AND(c&gt;=100,c&lt;120),0.4,AND(c&gt;190,c&lt;=210),0.4,TRUE,0.2))),AVERAGE(k_s,p_s,f_s,c_s)))),1),""))</f>
        <v/>
      </c>
      <c r="Z181">
        <f>IF($A181="","",TEXTJOIN(", ",TRUE,IF($B181="","??????????",""),IF($C181="","??????",""),IF($D181="","????",""),IF($E181="","??????????",""),IF($F181="","???-?????",""),IF($G181="","???-????",""),IF($H181="","??????",""),IF($L181="","???",""),IF($M181="","?????",""),IF($N181="","??????????????",""),IF($O181="","??????????",""),IF($P181="","???????",""),IF($U181="","???","")))</f>
        <v/>
      </c>
    </row>
    <row r="182">
      <c r="U182">
        <f>IF($A182="","",IF(SUMIF(FoodLog!$A:$A,$A182,FoodLog!$I:$I)=0,"",SUMIF(FoodLog!$A:$A,$A182,FoodLog!$I:$I)))</f>
        <v/>
      </c>
      <c r="V182">
        <f>IF($A182="","",IF(SUMIF(FoodLog!$A:$A,$A182,FoodLog!$F:$F)=0,"",SUMIF(FoodLog!$A:$A,$A182,FoodLog!$F:$F)))</f>
        <v/>
      </c>
      <c r="W182">
        <f>IF($A182="","",IF(SUMIF(FoodLog!$A:$A,$A182,FoodLog!$G:$G)=0,"",SUMIF(FoodLog!$A:$A,$A182,FoodLog!$G:$G)))</f>
        <v/>
      </c>
      <c r="X182">
        <f>IF($A182="","",IF(SUMIF(FoodLog!$A:$A,$A182,FoodLog!$H:$H)=0,"",SUMIF(FoodLog!$A:$A,$A182,FoodLog!$H:$H)))</f>
        <v/>
      </c>
      <c r="Y182">
        <f>IF($A182="","",IFERROR(ROUND(100*AVERAGE(IF($B182="","",XLOOKUP($B182,FILTER(Dictionaries!$B:$B,Dictionaries!$A:$A="??????????"),FILTER(Dictionaries!$C:$C,Dictionaries!$A:$A="??????????"))),IF($C182="","",MIN($C182/40,1)),IF($D182="","",XLOOKUP($D182,FILTER(Dictionaries!$B:$B,Dictionaries!$A:$A="????"),FILTER(Dictionaries!$C:$C,Dictionaries!$A:$A="????"))),IF($E182="","",MIN($E182/120,1)),IF(OR($F182&lt;&gt;"",$G182&lt;&gt;""),1,""),IF($H182="","",MIN($H182/100,1)),IF($L182="","",XLOOKUP($L182,FILTER(Dictionaries!$B:$B,Dictionaries!$A:$A="???_????"),FILTER(Dictionaries!$C:$C,Dictionaries!$A:$A="???_????"))),IF($M182="","",XLOOKUP($M182,FILTER(Dictionaries!$B:$B,Dictionaries!$A:$A="?????"),FILTER(Dictionaries!$C:$C,Dictionaries!$A:$A="?????"))),IF($N182="","",MIN($N182/100,1)),IF($O182="","",XLOOKUP($O182,FILTER(Dictionaries!$B:$B,Dictionaries!$A:$A="??????????"),FILTER(Dictionaries!$C:$C,Dictionaries!$A:$A="??????????"))),IF($P182="","",XLOOKUP($P182,FILTER(Dictionaries!$B:$B,Dictionaries!$A:$A="???????"),FILTER(Dictionaries!$C:$C,Dictionaries!$A:$A="???????"))),IF($U182="","",LET(t,IF(OR($B182="????",$B182="????"),"train","rest"),k,$U182,p,$V182,f,$W182,c,$X182,k_s,IF(t="train",IF(k="","",IFS(AND(k&gt;=1900,k&lt;=2050),1,AND(k&gt;=1850,k&lt;1900),0.7,AND(k&gt;2050,k&lt;=2100),0.7,TRUE,0.2)),IF(k="","",IFS(AND(k&gt;=1700,k&lt;=1850),1,AND(k&gt;=1650,k&lt;1700),0.7,AND(k&gt;1850,k&lt;=1900),0.7,TRUE,0.2))),p_s,IF(t="train",IF(p="","",IFS(AND(p&gt;=125,p&lt;=135),1,AND(p&gt;=115,p&lt;125),0.7,AND(p&gt;135,p&lt;=145),0.7,AND(p&gt;=105,p&lt;115),0.4,AND(p&gt;145,p&lt;=155),0.4,TRUE,0.2)),IF(p="","",IFS(AND(p&gt;=120,p&lt;=130),1,AND(p&gt;=110,p&lt;120),0.7,AND(p&gt;130,p&lt;=140),0.7,AND(p&gt;=100,p&lt;110),0.4,AND(p&gt;140,p&lt;=150),0.4,TRUE,0.2))),f_s,IF(f="","",IFS(AND(f&gt;=55,f&lt;=65),1,AND(f&gt;=50,f&lt;55),0.7,AND(f&gt;65,f&lt;=70),0.7,AND(f&gt;=45,f&lt;50),0.4,AND(f&gt;70,f&lt;=75),0.4,TRUE,0.2)),c_s,IF(t="train",IF(c="","",IFS(AND(c&gt;=180,c&lt;=210),1,AND(c&gt;=160,c&lt;180),0.7,AND(c&gt;210,c&lt;=230),0.7,AND(c&gt;=140,c&lt;160),0.4,AND(c&gt;230,c&lt;=250),0.4,TRUE,0.2)),IF(c="","",IFS(AND(c&gt;=140,c&lt;=170),1,AND(c&gt;=120,c&lt;140),0.7,AND(c&gt;170,c&lt;=190),0.7,AND(c&gt;=100,c&lt;120),0.4,AND(c&gt;190,c&lt;=210),0.4,TRUE,0.2))),AVERAGE(k_s,p_s,f_s,c_s)))),1),""))</f>
        <v/>
      </c>
      <c r="Z182">
        <f>IF($A182="","",TEXTJOIN(", ",TRUE,IF($B182="","??????????",""),IF($C182="","??????",""),IF($D182="","????",""),IF($E182="","??????????",""),IF($F182="","???-?????",""),IF($G182="","???-????",""),IF($H182="","??????",""),IF($L182="","???",""),IF($M182="","?????",""),IF($N182="","??????????????",""),IF($O182="","??????????",""),IF($P182="","???????",""),IF($U182="","???","")))</f>
        <v/>
      </c>
    </row>
    <row r="183">
      <c r="U183">
        <f>IF($A183="","",IF(SUMIF(FoodLog!$A:$A,$A183,FoodLog!$I:$I)=0,"",SUMIF(FoodLog!$A:$A,$A183,FoodLog!$I:$I)))</f>
        <v/>
      </c>
      <c r="V183">
        <f>IF($A183="","",IF(SUMIF(FoodLog!$A:$A,$A183,FoodLog!$F:$F)=0,"",SUMIF(FoodLog!$A:$A,$A183,FoodLog!$F:$F)))</f>
        <v/>
      </c>
      <c r="W183">
        <f>IF($A183="","",IF(SUMIF(FoodLog!$A:$A,$A183,FoodLog!$G:$G)=0,"",SUMIF(FoodLog!$A:$A,$A183,FoodLog!$G:$G)))</f>
        <v/>
      </c>
      <c r="X183">
        <f>IF($A183="","",IF(SUMIF(FoodLog!$A:$A,$A183,FoodLog!$H:$H)=0,"",SUMIF(FoodLog!$A:$A,$A183,FoodLog!$H:$H)))</f>
        <v/>
      </c>
      <c r="Y183">
        <f>IF($A183="","",IFERROR(ROUND(100*AVERAGE(IF($B183="","",XLOOKUP($B183,FILTER(Dictionaries!$B:$B,Dictionaries!$A:$A="??????????"),FILTER(Dictionaries!$C:$C,Dictionaries!$A:$A="??????????"))),IF($C183="","",MIN($C183/40,1)),IF($D183="","",XLOOKUP($D183,FILTER(Dictionaries!$B:$B,Dictionaries!$A:$A="????"),FILTER(Dictionaries!$C:$C,Dictionaries!$A:$A="????"))),IF($E183="","",MIN($E183/120,1)),IF(OR($F183&lt;&gt;"",$G183&lt;&gt;""),1,""),IF($H183="","",MIN($H183/100,1)),IF($L183="","",XLOOKUP($L183,FILTER(Dictionaries!$B:$B,Dictionaries!$A:$A="???_????"),FILTER(Dictionaries!$C:$C,Dictionaries!$A:$A="???_????"))),IF($M183="","",XLOOKUP($M183,FILTER(Dictionaries!$B:$B,Dictionaries!$A:$A="?????"),FILTER(Dictionaries!$C:$C,Dictionaries!$A:$A="?????"))),IF($N183="","",MIN($N183/100,1)),IF($O183="","",XLOOKUP($O183,FILTER(Dictionaries!$B:$B,Dictionaries!$A:$A="??????????"),FILTER(Dictionaries!$C:$C,Dictionaries!$A:$A="??????????"))),IF($P183="","",XLOOKUP($P183,FILTER(Dictionaries!$B:$B,Dictionaries!$A:$A="???????"),FILTER(Dictionaries!$C:$C,Dictionaries!$A:$A="???????"))),IF($U183="","",LET(t,IF(OR($B183="????",$B183="????"),"train","rest"),k,$U183,p,$V183,f,$W183,c,$X183,k_s,IF(t="train",IF(k="","",IFS(AND(k&gt;=1900,k&lt;=2050),1,AND(k&gt;=1850,k&lt;1900),0.7,AND(k&gt;2050,k&lt;=2100),0.7,TRUE,0.2)),IF(k="","",IFS(AND(k&gt;=1700,k&lt;=1850),1,AND(k&gt;=1650,k&lt;1700),0.7,AND(k&gt;1850,k&lt;=1900),0.7,TRUE,0.2))),p_s,IF(t="train",IF(p="","",IFS(AND(p&gt;=125,p&lt;=135),1,AND(p&gt;=115,p&lt;125),0.7,AND(p&gt;135,p&lt;=145),0.7,AND(p&gt;=105,p&lt;115),0.4,AND(p&gt;145,p&lt;=155),0.4,TRUE,0.2)),IF(p="","",IFS(AND(p&gt;=120,p&lt;=130),1,AND(p&gt;=110,p&lt;120),0.7,AND(p&gt;130,p&lt;=140),0.7,AND(p&gt;=100,p&lt;110),0.4,AND(p&gt;140,p&lt;=150),0.4,TRUE,0.2))),f_s,IF(f="","",IFS(AND(f&gt;=55,f&lt;=65),1,AND(f&gt;=50,f&lt;55),0.7,AND(f&gt;65,f&lt;=70),0.7,AND(f&gt;=45,f&lt;50),0.4,AND(f&gt;70,f&lt;=75),0.4,TRUE,0.2)),c_s,IF(t="train",IF(c="","",IFS(AND(c&gt;=180,c&lt;=210),1,AND(c&gt;=160,c&lt;180),0.7,AND(c&gt;210,c&lt;=230),0.7,AND(c&gt;=140,c&lt;160),0.4,AND(c&gt;230,c&lt;=250),0.4,TRUE,0.2)),IF(c="","",IFS(AND(c&gt;=140,c&lt;=170),1,AND(c&gt;=120,c&lt;140),0.7,AND(c&gt;170,c&lt;=190),0.7,AND(c&gt;=100,c&lt;120),0.4,AND(c&gt;190,c&lt;=210),0.4,TRUE,0.2))),AVERAGE(k_s,p_s,f_s,c_s)))),1),""))</f>
        <v/>
      </c>
      <c r="Z183">
        <f>IF($A183="","",TEXTJOIN(", ",TRUE,IF($B183="","??????????",""),IF($C183="","??????",""),IF($D183="","????",""),IF($E183="","??????????",""),IF($F183="","???-?????",""),IF($G183="","???-????",""),IF($H183="","??????",""),IF($L183="","???",""),IF($M183="","?????",""),IF($N183="","??????????????",""),IF($O183="","??????????",""),IF($P183="","???????",""),IF($U183="","???","")))</f>
        <v/>
      </c>
    </row>
    <row r="184">
      <c r="U184">
        <f>IF($A184="","",IF(SUMIF(FoodLog!$A:$A,$A184,FoodLog!$I:$I)=0,"",SUMIF(FoodLog!$A:$A,$A184,FoodLog!$I:$I)))</f>
        <v/>
      </c>
      <c r="V184">
        <f>IF($A184="","",IF(SUMIF(FoodLog!$A:$A,$A184,FoodLog!$F:$F)=0,"",SUMIF(FoodLog!$A:$A,$A184,FoodLog!$F:$F)))</f>
        <v/>
      </c>
      <c r="W184">
        <f>IF($A184="","",IF(SUMIF(FoodLog!$A:$A,$A184,FoodLog!$G:$G)=0,"",SUMIF(FoodLog!$A:$A,$A184,FoodLog!$G:$G)))</f>
        <v/>
      </c>
      <c r="X184">
        <f>IF($A184="","",IF(SUMIF(FoodLog!$A:$A,$A184,FoodLog!$H:$H)=0,"",SUMIF(FoodLog!$A:$A,$A184,FoodLog!$H:$H)))</f>
        <v/>
      </c>
      <c r="Y184">
        <f>IF($A184="","",IFERROR(ROUND(100*AVERAGE(IF($B184="","",XLOOKUP($B184,FILTER(Dictionaries!$B:$B,Dictionaries!$A:$A="??????????"),FILTER(Dictionaries!$C:$C,Dictionaries!$A:$A="??????????"))),IF($C184="","",MIN($C184/40,1)),IF($D184="","",XLOOKUP($D184,FILTER(Dictionaries!$B:$B,Dictionaries!$A:$A="????"),FILTER(Dictionaries!$C:$C,Dictionaries!$A:$A="????"))),IF($E184="","",MIN($E184/120,1)),IF(OR($F184&lt;&gt;"",$G184&lt;&gt;""),1,""),IF($H184="","",MIN($H184/100,1)),IF($L184="","",XLOOKUP($L184,FILTER(Dictionaries!$B:$B,Dictionaries!$A:$A="???_????"),FILTER(Dictionaries!$C:$C,Dictionaries!$A:$A="???_????"))),IF($M184="","",XLOOKUP($M184,FILTER(Dictionaries!$B:$B,Dictionaries!$A:$A="?????"),FILTER(Dictionaries!$C:$C,Dictionaries!$A:$A="?????"))),IF($N184="","",MIN($N184/100,1)),IF($O184="","",XLOOKUP($O184,FILTER(Dictionaries!$B:$B,Dictionaries!$A:$A="??????????"),FILTER(Dictionaries!$C:$C,Dictionaries!$A:$A="??????????"))),IF($P184="","",XLOOKUP($P184,FILTER(Dictionaries!$B:$B,Dictionaries!$A:$A="???????"),FILTER(Dictionaries!$C:$C,Dictionaries!$A:$A="???????"))),IF($U184="","",LET(t,IF(OR($B184="????",$B184="????"),"train","rest"),k,$U184,p,$V184,f,$W184,c,$X184,k_s,IF(t="train",IF(k="","",IFS(AND(k&gt;=1900,k&lt;=2050),1,AND(k&gt;=1850,k&lt;1900),0.7,AND(k&gt;2050,k&lt;=2100),0.7,TRUE,0.2)),IF(k="","",IFS(AND(k&gt;=1700,k&lt;=1850),1,AND(k&gt;=1650,k&lt;1700),0.7,AND(k&gt;1850,k&lt;=1900),0.7,TRUE,0.2))),p_s,IF(t="train",IF(p="","",IFS(AND(p&gt;=125,p&lt;=135),1,AND(p&gt;=115,p&lt;125),0.7,AND(p&gt;135,p&lt;=145),0.7,AND(p&gt;=105,p&lt;115),0.4,AND(p&gt;145,p&lt;=155),0.4,TRUE,0.2)),IF(p="","",IFS(AND(p&gt;=120,p&lt;=130),1,AND(p&gt;=110,p&lt;120),0.7,AND(p&gt;130,p&lt;=140),0.7,AND(p&gt;=100,p&lt;110),0.4,AND(p&gt;140,p&lt;=150),0.4,TRUE,0.2))),f_s,IF(f="","",IFS(AND(f&gt;=55,f&lt;=65),1,AND(f&gt;=50,f&lt;55),0.7,AND(f&gt;65,f&lt;=70),0.7,AND(f&gt;=45,f&lt;50),0.4,AND(f&gt;70,f&lt;=75),0.4,TRUE,0.2)),c_s,IF(t="train",IF(c="","",IFS(AND(c&gt;=180,c&lt;=210),1,AND(c&gt;=160,c&lt;180),0.7,AND(c&gt;210,c&lt;=230),0.7,AND(c&gt;=140,c&lt;160),0.4,AND(c&gt;230,c&lt;=250),0.4,TRUE,0.2)),IF(c="","",IFS(AND(c&gt;=140,c&lt;=170),1,AND(c&gt;=120,c&lt;140),0.7,AND(c&gt;170,c&lt;=190),0.7,AND(c&gt;=100,c&lt;120),0.4,AND(c&gt;190,c&lt;=210),0.4,TRUE,0.2))),AVERAGE(k_s,p_s,f_s,c_s)))),1),""))</f>
        <v/>
      </c>
      <c r="Z184">
        <f>IF($A184="","",TEXTJOIN(", ",TRUE,IF($B184="","??????????",""),IF($C184="","??????",""),IF($D184="","????",""),IF($E184="","??????????",""),IF($F184="","???-?????",""),IF($G184="","???-????",""),IF($H184="","??????",""),IF($L184="","???",""),IF($M184="","?????",""),IF($N184="","??????????????",""),IF($O184="","??????????",""),IF($P184="","???????",""),IF($U184="","???","")))</f>
        <v/>
      </c>
    </row>
    <row r="185">
      <c r="U185">
        <f>IF($A185="","",IF(SUMIF(FoodLog!$A:$A,$A185,FoodLog!$I:$I)=0,"",SUMIF(FoodLog!$A:$A,$A185,FoodLog!$I:$I)))</f>
        <v/>
      </c>
      <c r="V185">
        <f>IF($A185="","",IF(SUMIF(FoodLog!$A:$A,$A185,FoodLog!$F:$F)=0,"",SUMIF(FoodLog!$A:$A,$A185,FoodLog!$F:$F)))</f>
        <v/>
      </c>
      <c r="W185">
        <f>IF($A185="","",IF(SUMIF(FoodLog!$A:$A,$A185,FoodLog!$G:$G)=0,"",SUMIF(FoodLog!$A:$A,$A185,FoodLog!$G:$G)))</f>
        <v/>
      </c>
      <c r="X185">
        <f>IF($A185="","",IF(SUMIF(FoodLog!$A:$A,$A185,FoodLog!$H:$H)=0,"",SUMIF(FoodLog!$A:$A,$A185,FoodLog!$H:$H)))</f>
        <v/>
      </c>
      <c r="Y185">
        <f>IF($A185="","",IFERROR(ROUND(100*AVERAGE(IF($B185="","",XLOOKUP($B185,FILTER(Dictionaries!$B:$B,Dictionaries!$A:$A="??????????"),FILTER(Dictionaries!$C:$C,Dictionaries!$A:$A="??????????"))),IF($C185="","",MIN($C185/40,1)),IF($D185="","",XLOOKUP($D185,FILTER(Dictionaries!$B:$B,Dictionaries!$A:$A="????"),FILTER(Dictionaries!$C:$C,Dictionaries!$A:$A="????"))),IF($E185="","",MIN($E185/120,1)),IF(OR($F185&lt;&gt;"",$G185&lt;&gt;""),1,""),IF($H185="","",MIN($H185/100,1)),IF($L185="","",XLOOKUP($L185,FILTER(Dictionaries!$B:$B,Dictionaries!$A:$A="???_????"),FILTER(Dictionaries!$C:$C,Dictionaries!$A:$A="???_????"))),IF($M185="","",XLOOKUP($M185,FILTER(Dictionaries!$B:$B,Dictionaries!$A:$A="?????"),FILTER(Dictionaries!$C:$C,Dictionaries!$A:$A="?????"))),IF($N185="","",MIN($N185/100,1)),IF($O185="","",XLOOKUP($O185,FILTER(Dictionaries!$B:$B,Dictionaries!$A:$A="??????????"),FILTER(Dictionaries!$C:$C,Dictionaries!$A:$A="??????????"))),IF($P185="","",XLOOKUP($P185,FILTER(Dictionaries!$B:$B,Dictionaries!$A:$A="???????"),FILTER(Dictionaries!$C:$C,Dictionaries!$A:$A="???????"))),IF($U185="","",LET(t,IF(OR($B185="????",$B185="????"),"train","rest"),k,$U185,p,$V185,f,$W185,c,$X185,k_s,IF(t="train",IF(k="","",IFS(AND(k&gt;=1900,k&lt;=2050),1,AND(k&gt;=1850,k&lt;1900),0.7,AND(k&gt;2050,k&lt;=2100),0.7,TRUE,0.2)),IF(k="","",IFS(AND(k&gt;=1700,k&lt;=1850),1,AND(k&gt;=1650,k&lt;1700),0.7,AND(k&gt;1850,k&lt;=1900),0.7,TRUE,0.2))),p_s,IF(t="train",IF(p="","",IFS(AND(p&gt;=125,p&lt;=135),1,AND(p&gt;=115,p&lt;125),0.7,AND(p&gt;135,p&lt;=145),0.7,AND(p&gt;=105,p&lt;115),0.4,AND(p&gt;145,p&lt;=155),0.4,TRUE,0.2)),IF(p="","",IFS(AND(p&gt;=120,p&lt;=130),1,AND(p&gt;=110,p&lt;120),0.7,AND(p&gt;130,p&lt;=140),0.7,AND(p&gt;=100,p&lt;110),0.4,AND(p&gt;140,p&lt;=150),0.4,TRUE,0.2))),f_s,IF(f="","",IFS(AND(f&gt;=55,f&lt;=65),1,AND(f&gt;=50,f&lt;55),0.7,AND(f&gt;65,f&lt;=70),0.7,AND(f&gt;=45,f&lt;50),0.4,AND(f&gt;70,f&lt;=75),0.4,TRUE,0.2)),c_s,IF(t="train",IF(c="","",IFS(AND(c&gt;=180,c&lt;=210),1,AND(c&gt;=160,c&lt;180),0.7,AND(c&gt;210,c&lt;=230),0.7,AND(c&gt;=140,c&lt;160),0.4,AND(c&gt;230,c&lt;=250),0.4,TRUE,0.2)),IF(c="","",IFS(AND(c&gt;=140,c&lt;=170),1,AND(c&gt;=120,c&lt;140),0.7,AND(c&gt;170,c&lt;=190),0.7,AND(c&gt;=100,c&lt;120),0.4,AND(c&gt;190,c&lt;=210),0.4,TRUE,0.2))),AVERAGE(k_s,p_s,f_s,c_s)))),1),""))</f>
        <v/>
      </c>
      <c r="Z185">
        <f>IF($A185="","",TEXTJOIN(", ",TRUE,IF($B185="","??????????",""),IF($C185="","??????",""),IF($D185="","????",""),IF($E185="","??????????",""),IF($F185="","???-?????",""),IF($G185="","???-????",""),IF($H185="","??????",""),IF($L185="","???",""),IF($M185="","?????",""),IF($N185="","??????????????",""),IF($O185="","??????????",""),IF($P185="","???????",""),IF($U185="","???","")))</f>
        <v/>
      </c>
    </row>
    <row r="186">
      <c r="U186">
        <f>IF($A186="","",IF(SUMIF(FoodLog!$A:$A,$A186,FoodLog!$I:$I)=0,"",SUMIF(FoodLog!$A:$A,$A186,FoodLog!$I:$I)))</f>
        <v/>
      </c>
      <c r="V186">
        <f>IF($A186="","",IF(SUMIF(FoodLog!$A:$A,$A186,FoodLog!$F:$F)=0,"",SUMIF(FoodLog!$A:$A,$A186,FoodLog!$F:$F)))</f>
        <v/>
      </c>
      <c r="W186">
        <f>IF($A186="","",IF(SUMIF(FoodLog!$A:$A,$A186,FoodLog!$G:$G)=0,"",SUMIF(FoodLog!$A:$A,$A186,FoodLog!$G:$G)))</f>
        <v/>
      </c>
      <c r="X186">
        <f>IF($A186="","",IF(SUMIF(FoodLog!$A:$A,$A186,FoodLog!$H:$H)=0,"",SUMIF(FoodLog!$A:$A,$A186,FoodLog!$H:$H)))</f>
        <v/>
      </c>
      <c r="Y186">
        <f>IF($A186="","",IFERROR(ROUND(100*AVERAGE(IF($B186="","",XLOOKUP($B186,FILTER(Dictionaries!$B:$B,Dictionaries!$A:$A="??????????"),FILTER(Dictionaries!$C:$C,Dictionaries!$A:$A="??????????"))),IF($C186="","",MIN($C186/40,1)),IF($D186="","",XLOOKUP($D186,FILTER(Dictionaries!$B:$B,Dictionaries!$A:$A="????"),FILTER(Dictionaries!$C:$C,Dictionaries!$A:$A="????"))),IF($E186="","",MIN($E186/120,1)),IF(OR($F186&lt;&gt;"",$G186&lt;&gt;""),1,""),IF($H186="","",MIN($H186/100,1)),IF($L186="","",XLOOKUP($L186,FILTER(Dictionaries!$B:$B,Dictionaries!$A:$A="???_????"),FILTER(Dictionaries!$C:$C,Dictionaries!$A:$A="???_????"))),IF($M186="","",XLOOKUP($M186,FILTER(Dictionaries!$B:$B,Dictionaries!$A:$A="?????"),FILTER(Dictionaries!$C:$C,Dictionaries!$A:$A="?????"))),IF($N186="","",MIN($N186/100,1)),IF($O186="","",XLOOKUP($O186,FILTER(Dictionaries!$B:$B,Dictionaries!$A:$A="??????????"),FILTER(Dictionaries!$C:$C,Dictionaries!$A:$A="??????????"))),IF($P186="","",XLOOKUP($P186,FILTER(Dictionaries!$B:$B,Dictionaries!$A:$A="???????"),FILTER(Dictionaries!$C:$C,Dictionaries!$A:$A="???????"))),IF($U186="","",LET(t,IF(OR($B186="????",$B186="????"),"train","rest"),k,$U186,p,$V186,f,$W186,c,$X186,k_s,IF(t="train",IF(k="","",IFS(AND(k&gt;=1900,k&lt;=2050),1,AND(k&gt;=1850,k&lt;1900),0.7,AND(k&gt;2050,k&lt;=2100),0.7,TRUE,0.2)),IF(k="","",IFS(AND(k&gt;=1700,k&lt;=1850),1,AND(k&gt;=1650,k&lt;1700),0.7,AND(k&gt;1850,k&lt;=1900),0.7,TRUE,0.2))),p_s,IF(t="train",IF(p="","",IFS(AND(p&gt;=125,p&lt;=135),1,AND(p&gt;=115,p&lt;125),0.7,AND(p&gt;135,p&lt;=145),0.7,AND(p&gt;=105,p&lt;115),0.4,AND(p&gt;145,p&lt;=155),0.4,TRUE,0.2)),IF(p="","",IFS(AND(p&gt;=120,p&lt;=130),1,AND(p&gt;=110,p&lt;120),0.7,AND(p&gt;130,p&lt;=140),0.7,AND(p&gt;=100,p&lt;110),0.4,AND(p&gt;140,p&lt;=150),0.4,TRUE,0.2))),f_s,IF(f="","",IFS(AND(f&gt;=55,f&lt;=65),1,AND(f&gt;=50,f&lt;55),0.7,AND(f&gt;65,f&lt;=70),0.7,AND(f&gt;=45,f&lt;50),0.4,AND(f&gt;70,f&lt;=75),0.4,TRUE,0.2)),c_s,IF(t="train",IF(c="","",IFS(AND(c&gt;=180,c&lt;=210),1,AND(c&gt;=160,c&lt;180),0.7,AND(c&gt;210,c&lt;=230),0.7,AND(c&gt;=140,c&lt;160),0.4,AND(c&gt;230,c&lt;=250),0.4,TRUE,0.2)),IF(c="","",IFS(AND(c&gt;=140,c&lt;=170),1,AND(c&gt;=120,c&lt;140),0.7,AND(c&gt;170,c&lt;=190),0.7,AND(c&gt;=100,c&lt;120),0.4,AND(c&gt;190,c&lt;=210),0.4,TRUE,0.2))),AVERAGE(k_s,p_s,f_s,c_s)))),1),""))</f>
        <v/>
      </c>
      <c r="Z186">
        <f>IF($A186="","",TEXTJOIN(", ",TRUE,IF($B186="","??????????",""),IF($C186="","??????",""),IF($D186="","????",""),IF($E186="","??????????",""),IF($F186="","???-?????",""),IF($G186="","???-????",""),IF($H186="","??????",""),IF($L186="","???",""),IF($M186="","?????",""),IF($N186="","??????????????",""),IF($O186="","??????????",""),IF($P186="","???????",""),IF($U186="","???","")))</f>
        <v/>
      </c>
    </row>
    <row r="187">
      <c r="U187">
        <f>IF($A187="","",IF(SUMIF(FoodLog!$A:$A,$A187,FoodLog!$I:$I)=0,"",SUMIF(FoodLog!$A:$A,$A187,FoodLog!$I:$I)))</f>
        <v/>
      </c>
      <c r="V187">
        <f>IF($A187="","",IF(SUMIF(FoodLog!$A:$A,$A187,FoodLog!$F:$F)=0,"",SUMIF(FoodLog!$A:$A,$A187,FoodLog!$F:$F)))</f>
        <v/>
      </c>
      <c r="W187">
        <f>IF($A187="","",IF(SUMIF(FoodLog!$A:$A,$A187,FoodLog!$G:$G)=0,"",SUMIF(FoodLog!$A:$A,$A187,FoodLog!$G:$G)))</f>
        <v/>
      </c>
      <c r="X187">
        <f>IF($A187="","",IF(SUMIF(FoodLog!$A:$A,$A187,FoodLog!$H:$H)=0,"",SUMIF(FoodLog!$A:$A,$A187,FoodLog!$H:$H)))</f>
        <v/>
      </c>
      <c r="Y187">
        <f>IF($A187="","",IFERROR(ROUND(100*AVERAGE(IF($B187="","",XLOOKUP($B187,FILTER(Dictionaries!$B:$B,Dictionaries!$A:$A="??????????"),FILTER(Dictionaries!$C:$C,Dictionaries!$A:$A="??????????"))),IF($C187="","",MIN($C187/40,1)),IF($D187="","",XLOOKUP($D187,FILTER(Dictionaries!$B:$B,Dictionaries!$A:$A="????"),FILTER(Dictionaries!$C:$C,Dictionaries!$A:$A="????"))),IF($E187="","",MIN($E187/120,1)),IF(OR($F187&lt;&gt;"",$G187&lt;&gt;""),1,""),IF($H187="","",MIN($H187/100,1)),IF($L187="","",XLOOKUP($L187,FILTER(Dictionaries!$B:$B,Dictionaries!$A:$A="???_????"),FILTER(Dictionaries!$C:$C,Dictionaries!$A:$A="???_????"))),IF($M187="","",XLOOKUP($M187,FILTER(Dictionaries!$B:$B,Dictionaries!$A:$A="?????"),FILTER(Dictionaries!$C:$C,Dictionaries!$A:$A="?????"))),IF($N187="","",MIN($N187/100,1)),IF($O187="","",XLOOKUP($O187,FILTER(Dictionaries!$B:$B,Dictionaries!$A:$A="??????????"),FILTER(Dictionaries!$C:$C,Dictionaries!$A:$A="??????????"))),IF($P187="","",XLOOKUP($P187,FILTER(Dictionaries!$B:$B,Dictionaries!$A:$A="???????"),FILTER(Dictionaries!$C:$C,Dictionaries!$A:$A="???????"))),IF($U187="","",LET(t,IF(OR($B187="????",$B187="????"),"train","rest"),k,$U187,p,$V187,f,$W187,c,$X187,k_s,IF(t="train",IF(k="","",IFS(AND(k&gt;=1900,k&lt;=2050),1,AND(k&gt;=1850,k&lt;1900),0.7,AND(k&gt;2050,k&lt;=2100),0.7,TRUE,0.2)),IF(k="","",IFS(AND(k&gt;=1700,k&lt;=1850),1,AND(k&gt;=1650,k&lt;1700),0.7,AND(k&gt;1850,k&lt;=1900),0.7,TRUE,0.2))),p_s,IF(t="train",IF(p="","",IFS(AND(p&gt;=125,p&lt;=135),1,AND(p&gt;=115,p&lt;125),0.7,AND(p&gt;135,p&lt;=145),0.7,AND(p&gt;=105,p&lt;115),0.4,AND(p&gt;145,p&lt;=155),0.4,TRUE,0.2)),IF(p="","",IFS(AND(p&gt;=120,p&lt;=130),1,AND(p&gt;=110,p&lt;120),0.7,AND(p&gt;130,p&lt;=140),0.7,AND(p&gt;=100,p&lt;110),0.4,AND(p&gt;140,p&lt;=150),0.4,TRUE,0.2))),f_s,IF(f="","",IFS(AND(f&gt;=55,f&lt;=65),1,AND(f&gt;=50,f&lt;55),0.7,AND(f&gt;65,f&lt;=70),0.7,AND(f&gt;=45,f&lt;50),0.4,AND(f&gt;70,f&lt;=75),0.4,TRUE,0.2)),c_s,IF(t="train",IF(c="","",IFS(AND(c&gt;=180,c&lt;=210),1,AND(c&gt;=160,c&lt;180),0.7,AND(c&gt;210,c&lt;=230),0.7,AND(c&gt;=140,c&lt;160),0.4,AND(c&gt;230,c&lt;=250),0.4,TRUE,0.2)),IF(c="","",IFS(AND(c&gt;=140,c&lt;=170),1,AND(c&gt;=120,c&lt;140),0.7,AND(c&gt;170,c&lt;=190),0.7,AND(c&gt;=100,c&lt;120),0.4,AND(c&gt;190,c&lt;=210),0.4,TRUE,0.2))),AVERAGE(k_s,p_s,f_s,c_s)))),1),""))</f>
        <v/>
      </c>
      <c r="Z187">
        <f>IF($A187="","",TEXTJOIN(", ",TRUE,IF($B187="","??????????",""),IF($C187="","??????",""),IF($D187="","????",""),IF($E187="","??????????",""),IF($F187="","???-?????",""),IF($G187="","???-????",""),IF($H187="","??????",""),IF($L187="","???",""),IF($M187="","?????",""),IF($N187="","??????????????",""),IF($O187="","??????????",""),IF($P187="","???????",""),IF($U187="","???","")))</f>
        <v/>
      </c>
    </row>
    <row r="188">
      <c r="U188">
        <f>IF($A188="","",IF(SUMIF(FoodLog!$A:$A,$A188,FoodLog!$I:$I)=0,"",SUMIF(FoodLog!$A:$A,$A188,FoodLog!$I:$I)))</f>
        <v/>
      </c>
      <c r="V188">
        <f>IF($A188="","",IF(SUMIF(FoodLog!$A:$A,$A188,FoodLog!$F:$F)=0,"",SUMIF(FoodLog!$A:$A,$A188,FoodLog!$F:$F)))</f>
        <v/>
      </c>
      <c r="W188">
        <f>IF($A188="","",IF(SUMIF(FoodLog!$A:$A,$A188,FoodLog!$G:$G)=0,"",SUMIF(FoodLog!$A:$A,$A188,FoodLog!$G:$G)))</f>
        <v/>
      </c>
      <c r="X188">
        <f>IF($A188="","",IF(SUMIF(FoodLog!$A:$A,$A188,FoodLog!$H:$H)=0,"",SUMIF(FoodLog!$A:$A,$A188,FoodLog!$H:$H)))</f>
        <v/>
      </c>
      <c r="Y188">
        <f>IF($A188="","",IFERROR(ROUND(100*AVERAGE(IF($B188="","",XLOOKUP($B188,FILTER(Dictionaries!$B:$B,Dictionaries!$A:$A="??????????"),FILTER(Dictionaries!$C:$C,Dictionaries!$A:$A="??????????"))),IF($C188="","",MIN($C188/40,1)),IF($D188="","",XLOOKUP($D188,FILTER(Dictionaries!$B:$B,Dictionaries!$A:$A="????"),FILTER(Dictionaries!$C:$C,Dictionaries!$A:$A="????"))),IF($E188="","",MIN($E188/120,1)),IF(OR($F188&lt;&gt;"",$G188&lt;&gt;""),1,""),IF($H188="","",MIN($H188/100,1)),IF($L188="","",XLOOKUP($L188,FILTER(Dictionaries!$B:$B,Dictionaries!$A:$A="???_????"),FILTER(Dictionaries!$C:$C,Dictionaries!$A:$A="???_????"))),IF($M188="","",XLOOKUP($M188,FILTER(Dictionaries!$B:$B,Dictionaries!$A:$A="?????"),FILTER(Dictionaries!$C:$C,Dictionaries!$A:$A="?????"))),IF($N188="","",MIN($N188/100,1)),IF($O188="","",XLOOKUP($O188,FILTER(Dictionaries!$B:$B,Dictionaries!$A:$A="??????????"),FILTER(Dictionaries!$C:$C,Dictionaries!$A:$A="??????????"))),IF($P188="","",XLOOKUP($P188,FILTER(Dictionaries!$B:$B,Dictionaries!$A:$A="???????"),FILTER(Dictionaries!$C:$C,Dictionaries!$A:$A="???????"))),IF($U188="","",LET(t,IF(OR($B188="????",$B188="????"),"train","rest"),k,$U188,p,$V188,f,$W188,c,$X188,k_s,IF(t="train",IF(k="","",IFS(AND(k&gt;=1900,k&lt;=2050),1,AND(k&gt;=1850,k&lt;1900),0.7,AND(k&gt;2050,k&lt;=2100),0.7,TRUE,0.2)),IF(k="","",IFS(AND(k&gt;=1700,k&lt;=1850),1,AND(k&gt;=1650,k&lt;1700),0.7,AND(k&gt;1850,k&lt;=1900),0.7,TRUE,0.2))),p_s,IF(t="train",IF(p="","",IFS(AND(p&gt;=125,p&lt;=135),1,AND(p&gt;=115,p&lt;125),0.7,AND(p&gt;135,p&lt;=145),0.7,AND(p&gt;=105,p&lt;115),0.4,AND(p&gt;145,p&lt;=155),0.4,TRUE,0.2)),IF(p="","",IFS(AND(p&gt;=120,p&lt;=130),1,AND(p&gt;=110,p&lt;120),0.7,AND(p&gt;130,p&lt;=140),0.7,AND(p&gt;=100,p&lt;110),0.4,AND(p&gt;140,p&lt;=150),0.4,TRUE,0.2))),f_s,IF(f="","",IFS(AND(f&gt;=55,f&lt;=65),1,AND(f&gt;=50,f&lt;55),0.7,AND(f&gt;65,f&lt;=70),0.7,AND(f&gt;=45,f&lt;50),0.4,AND(f&gt;70,f&lt;=75),0.4,TRUE,0.2)),c_s,IF(t="train",IF(c="","",IFS(AND(c&gt;=180,c&lt;=210),1,AND(c&gt;=160,c&lt;180),0.7,AND(c&gt;210,c&lt;=230),0.7,AND(c&gt;=140,c&lt;160),0.4,AND(c&gt;230,c&lt;=250),0.4,TRUE,0.2)),IF(c="","",IFS(AND(c&gt;=140,c&lt;=170),1,AND(c&gt;=120,c&lt;140),0.7,AND(c&gt;170,c&lt;=190),0.7,AND(c&gt;=100,c&lt;120),0.4,AND(c&gt;190,c&lt;=210),0.4,TRUE,0.2))),AVERAGE(k_s,p_s,f_s,c_s)))),1),""))</f>
        <v/>
      </c>
      <c r="Z188">
        <f>IF($A188="","",TEXTJOIN(", ",TRUE,IF($B188="","??????????",""),IF($C188="","??????",""),IF($D188="","????",""),IF($E188="","??????????",""),IF($F188="","???-?????",""),IF($G188="","???-????",""),IF($H188="","??????",""),IF($L188="","???",""),IF($M188="","?????",""),IF($N188="","??????????????",""),IF($O188="","??????????",""),IF($P188="","???????",""),IF($U188="","???","")))</f>
        <v/>
      </c>
    </row>
    <row r="189">
      <c r="U189">
        <f>IF($A189="","",IF(SUMIF(FoodLog!$A:$A,$A189,FoodLog!$I:$I)=0,"",SUMIF(FoodLog!$A:$A,$A189,FoodLog!$I:$I)))</f>
        <v/>
      </c>
      <c r="V189">
        <f>IF($A189="","",IF(SUMIF(FoodLog!$A:$A,$A189,FoodLog!$F:$F)=0,"",SUMIF(FoodLog!$A:$A,$A189,FoodLog!$F:$F)))</f>
        <v/>
      </c>
      <c r="W189">
        <f>IF($A189="","",IF(SUMIF(FoodLog!$A:$A,$A189,FoodLog!$G:$G)=0,"",SUMIF(FoodLog!$A:$A,$A189,FoodLog!$G:$G)))</f>
        <v/>
      </c>
      <c r="X189">
        <f>IF($A189="","",IF(SUMIF(FoodLog!$A:$A,$A189,FoodLog!$H:$H)=0,"",SUMIF(FoodLog!$A:$A,$A189,FoodLog!$H:$H)))</f>
        <v/>
      </c>
      <c r="Y189">
        <f>IF($A189="","",IFERROR(ROUND(100*AVERAGE(IF($B189="","",XLOOKUP($B189,FILTER(Dictionaries!$B:$B,Dictionaries!$A:$A="??????????"),FILTER(Dictionaries!$C:$C,Dictionaries!$A:$A="??????????"))),IF($C189="","",MIN($C189/40,1)),IF($D189="","",XLOOKUP($D189,FILTER(Dictionaries!$B:$B,Dictionaries!$A:$A="????"),FILTER(Dictionaries!$C:$C,Dictionaries!$A:$A="????"))),IF($E189="","",MIN($E189/120,1)),IF(OR($F189&lt;&gt;"",$G189&lt;&gt;""),1,""),IF($H189="","",MIN($H189/100,1)),IF($L189="","",XLOOKUP($L189,FILTER(Dictionaries!$B:$B,Dictionaries!$A:$A="???_????"),FILTER(Dictionaries!$C:$C,Dictionaries!$A:$A="???_????"))),IF($M189="","",XLOOKUP($M189,FILTER(Dictionaries!$B:$B,Dictionaries!$A:$A="?????"),FILTER(Dictionaries!$C:$C,Dictionaries!$A:$A="?????"))),IF($N189="","",MIN($N189/100,1)),IF($O189="","",XLOOKUP($O189,FILTER(Dictionaries!$B:$B,Dictionaries!$A:$A="??????????"),FILTER(Dictionaries!$C:$C,Dictionaries!$A:$A="??????????"))),IF($P189="","",XLOOKUP($P189,FILTER(Dictionaries!$B:$B,Dictionaries!$A:$A="???????"),FILTER(Dictionaries!$C:$C,Dictionaries!$A:$A="???????"))),IF($U189="","",LET(t,IF(OR($B189="????",$B189="????"),"train","rest"),k,$U189,p,$V189,f,$W189,c,$X189,k_s,IF(t="train",IF(k="","",IFS(AND(k&gt;=1900,k&lt;=2050),1,AND(k&gt;=1850,k&lt;1900),0.7,AND(k&gt;2050,k&lt;=2100),0.7,TRUE,0.2)),IF(k="","",IFS(AND(k&gt;=1700,k&lt;=1850),1,AND(k&gt;=1650,k&lt;1700),0.7,AND(k&gt;1850,k&lt;=1900),0.7,TRUE,0.2))),p_s,IF(t="train",IF(p="","",IFS(AND(p&gt;=125,p&lt;=135),1,AND(p&gt;=115,p&lt;125),0.7,AND(p&gt;135,p&lt;=145),0.7,AND(p&gt;=105,p&lt;115),0.4,AND(p&gt;145,p&lt;=155),0.4,TRUE,0.2)),IF(p="","",IFS(AND(p&gt;=120,p&lt;=130),1,AND(p&gt;=110,p&lt;120),0.7,AND(p&gt;130,p&lt;=140),0.7,AND(p&gt;=100,p&lt;110),0.4,AND(p&gt;140,p&lt;=150),0.4,TRUE,0.2))),f_s,IF(f="","",IFS(AND(f&gt;=55,f&lt;=65),1,AND(f&gt;=50,f&lt;55),0.7,AND(f&gt;65,f&lt;=70),0.7,AND(f&gt;=45,f&lt;50),0.4,AND(f&gt;70,f&lt;=75),0.4,TRUE,0.2)),c_s,IF(t="train",IF(c="","",IFS(AND(c&gt;=180,c&lt;=210),1,AND(c&gt;=160,c&lt;180),0.7,AND(c&gt;210,c&lt;=230),0.7,AND(c&gt;=140,c&lt;160),0.4,AND(c&gt;230,c&lt;=250),0.4,TRUE,0.2)),IF(c="","",IFS(AND(c&gt;=140,c&lt;=170),1,AND(c&gt;=120,c&lt;140),0.7,AND(c&gt;170,c&lt;=190),0.7,AND(c&gt;=100,c&lt;120),0.4,AND(c&gt;190,c&lt;=210),0.4,TRUE,0.2))),AVERAGE(k_s,p_s,f_s,c_s)))),1),""))</f>
        <v/>
      </c>
      <c r="Z189">
        <f>IF($A189="","",TEXTJOIN(", ",TRUE,IF($B189="","??????????",""),IF($C189="","??????",""),IF($D189="","????",""),IF($E189="","??????????",""),IF($F189="","???-?????",""),IF($G189="","???-????",""),IF($H189="","??????",""),IF($L189="","???",""),IF($M189="","?????",""),IF($N189="","??????????????",""),IF($O189="","??????????",""),IF($P189="","???????",""),IF($U189="","???","")))</f>
        <v/>
      </c>
    </row>
    <row r="190">
      <c r="U190">
        <f>IF($A190="","",IF(SUMIF(FoodLog!$A:$A,$A190,FoodLog!$I:$I)=0,"",SUMIF(FoodLog!$A:$A,$A190,FoodLog!$I:$I)))</f>
        <v/>
      </c>
      <c r="V190">
        <f>IF($A190="","",IF(SUMIF(FoodLog!$A:$A,$A190,FoodLog!$F:$F)=0,"",SUMIF(FoodLog!$A:$A,$A190,FoodLog!$F:$F)))</f>
        <v/>
      </c>
      <c r="W190">
        <f>IF($A190="","",IF(SUMIF(FoodLog!$A:$A,$A190,FoodLog!$G:$G)=0,"",SUMIF(FoodLog!$A:$A,$A190,FoodLog!$G:$G)))</f>
        <v/>
      </c>
      <c r="X190">
        <f>IF($A190="","",IF(SUMIF(FoodLog!$A:$A,$A190,FoodLog!$H:$H)=0,"",SUMIF(FoodLog!$A:$A,$A190,FoodLog!$H:$H)))</f>
        <v/>
      </c>
      <c r="Y190">
        <f>IF($A190="","",IFERROR(ROUND(100*AVERAGE(IF($B190="","",XLOOKUP($B190,FILTER(Dictionaries!$B:$B,Dictionaries!$A:$A="??????????"),FILTER(Dictionaries!$C:$C,Dictionaries!$A:$A="??????????"))),IF($C190="","",MIN($C190/40,1)),IF($D190="","",XLOOKUP($D190,FILTER(Dictionaries!$B:$B,Dictionaries!$A:$A="????"),FILTER(Dictionaries!$C:$C,Dictionaries!$A:$A="????"))),IF($E190="","",MIN($E190/120,1)),IF(OR($F190&lt;&gt;"",$G190&lt;&gt;""),1,""),IF($H190="","",MIN($H190/100,1)),IF($L190="","",XLOOKUP($L190,FILTER(Dictionaries!$B:$B,Dictionaries!$A:$A="???_????"),FILTER(Dictionaries!$C:$C,Dictionaries!$A:$A="???_????"))),IF($M190="","",XLOOKUP($M190,FILTER(Dictionaries!$B:$B,Dictionaries!$A:$A="?????"),FILTER(Dictionaries!$C:$C,Dictionaries!$A:$A="?????"))),IF($N190="","",MIN($N190/100,1)),IF($O190="","",XLOOKUP($O190,FILTER(Dictionaries!$B:$B,Dictionaries!$A:$A="??????????"),FILTER(Dictionaries!$C:$C,Dictionaries!$A:$A="??????????"))),IF($P190="","",XLOOKUP($P190,FILTER(Dictionaries!$B:$B,Dictionaries!$A:$A="???????"),FILTER(Dictionaries!$C:$C,Dictionaries!$A:$A="???????"))),IF($U190="","",LET(t,IF(OR($B190="????",$B190="????"),"train","rest"),k,$U190,p,$V190,f,$W190,c,$X190,k_s,IF(t="train",IF(k="","",IFS(AND(k&gt;=1900,k&lt;=2050),1,AND(k&gt;=1850,k&lt;1900),0.7,AND(k&gt;2050,k&lt;=2100),0.7,TRUE,0.2)),IF(k="","",IFS(AND(k&gt;=1700,k&lt;=1850),1,AND(k&gt;=1650,k&lt;1700),0.7,AND(k&gt;1850,k&lt;=1900),0.7,TRUE,0.2))),p_s,IF(t="train",IF(p="","",IFS(AND(p&gt;=125,p&lt;=135),1,AND(p&gt;=115,p&lt;125),0.7,AND(p&gt;135,p&lt;=145),0.7,AND(p&gt;=105,p&lt;115),0.4,AND(p&gt;145,p&lt;=155),0.4,TRUE,0.2)),IF(p="","",IFS(AND(p&gt;=120,p&lt;=130),1,AND(p&gt;=110,p&lt;120),0.7,AND(p&gt;130,p&lt;=140),0.7,AND(p&gt;=100,p&lt;110),0.4,AND(p&gt;140,p&lt;=150),0.4,TRUE,0.2))),f_s,IF(f="","",IFS(AND(f&gt;=55,f&lt;=65),1,AND(f&gt;=50,f&lt;55),0.7,AND(f&gt;65,f&lt;=70),0.7,AND(f&gt;=45,f&lt;50),0.4,AND(f&gt;70,f&lt;=75),0.4,TRUE,0.2)),c_s,IF(t="train",IF(c="","",IFS(AND(c&gt;=180,c&lt;=210),1,AND(c&gt;=160,c&lt;180),0.7,AND(c&gt;210,c&lt;=230),0.7,AND(c&gt;=140,c&lt;160),0.4,AND(c&gt;230,c&lt;=250),0.4,TRUE,0.2)),IF(c="","",IFS(AND(c&gt;=140,c&lt;=170),1,AND(c&gt;=120,c&lt;140),0.7,AND(c&gt;170,c&lt;=190),0.7,AND(c&gt;=100,c&lt;120),0.4,AND(c&gt;190,c&lt;=210),0.4,TRUE,0.2))),AVERAGE(k_s,p_s,f_s,c_s)))),1),""))</f>
        <v/>
      </c>
      <c r="Z190">
        <f>IF($A190="","",TEXTJOIN(", ",TRUE,IF($B190="","??????????",""),IF($C190="","??????",""),IF($D190="","????",""),IF($E190="","??????????",""),IF($F190="","???-?????",""),IF($G190="","???-????",""),IF($H190="","??????",""),IF($L190="","???",""),IF($M190="","?????",""),IF($N190="","??????????????",""),IF($O190="","??????????",""),IF($P190="","???????",""),IF($U190="","???","")))</f>
        <v/>
      </c>
    </row>
    <row r="191">
      <c r="U191">
        <f>IF($A191="","",IF(SUMIF(FoodLog!$A:$A,$A191,FoodLog!$I:$I)=0,"",SUMIF(FoodLog!$A:$A,$A191,FoodLog!$I:$I)))</f>
        <v/>
      </c>
      <c r="V191">
        <f>IF($A191="","",IF(SUMIF(FoodLog!$A:$A,$A191,FoodLog!$F:$F)=0,"",SUMIF(FoodLog!$A:$A,$A191,FoodLog!$F:$F)))</f>
        <v/>
      </c>
      <c r="W191">
        <f>IF($A191="","",IF(SUMIF(FoodLog!$A:$A,$A191,FoodLog!$G:$G)=0,"",SUMIF(FoodLog!$A:$A,$A191,FoodLog!$G:$G)))</f>
        <v/>
      </c>
      <c r="X191">
        <f>IF($A191="","",IF(SUMIF(FoodLog!$A:$A,$A191,FoodLog!$H:$H)=0,"",SUMIF(FoodLog!$A:$A,$A191,FoodLog!$H:$H)))</f>
        <v/>
      </c>
      <c r="Y191">
        <f>IF($A191="","",IFERROR(ROUND(100*AVERAGE(IF($B191="","",XLOOKUP($B191,FILTER(Dictionaries!$B:$B,Dictionaries!$A:$A="??????????"),FILTER(Dictionaries!$C:$C,Dictionaries!$A:$A="??????????"))),IF($C191="","",MIN($C191/40,1)),IF($D191="","",XLOOKUP($D191,FILTER(Dictionaries!$B:$B,Dictionaries!$A:$A="????"),FILTER(Dictionaries!$C:$C,Dictionaries!$A:$A="????"))),IF($E191="","",MIN($E191/120,1)),IF(OR($F191&lt;&gt;"",$G191&lt;&gt;""),1,""),IF($H191="","",MIN($H191/100,1)),IF($L191="","",XLOOKUP($L191,FILTER(Dictionaries!$B:$B,Dictionaries!$A:$A="???_????"),FILTER(Dictionaries!$C:$C,Dictionaries!$A:$A="???_????"))),IF($M191="","",XLOOKUP($M191,FILTER(Dictionaries!$B:$B,Dictionaries!$A:$A="?????"),FILTER(Dictionaries!$C:$C,Dictionaries!$A:$A="?????"))),IF($N191="","",MIN($N191/100,1)),IF($O191="","",XLOOKUP($O191,FILTER(Dictionaries!$B:$B,Dictionaries!$A:$A="??????????"),FILTER(Dictionaries!$C:$C,Dictionaries!$A:$A="??????????"))),IF($P191="","",XLOOKUP($P191,FILTER(Dictionaries!$B:$B,Dictionaries!$A:$A="???????"),FILTER(Dictionaries!$C:$C,Dictionaries!$A:$A="???????"))),IF($U191="","",LET(t,IF(OR($B191="????",$B191="????"),"train","rest"),k,$U191,p,$V191,f,$W191,c,$X191,k_s,IF(t="train",IF(k="","",IFS(AND(k&gt;=1900,k&lt;=2050),1,AND(k&gt;=1850,k&lt;1900),0.7,AND(k&gt;2050,k&lt;=2100),0.7,TRUE,0.2)),IF(k="","",IFS(AND(k&gt;=1700,k&lt;=1850),1,AND(k&gt;=1650,k&lt;1700),0.7,AND(k&gt;1850,k&lt;=1900),0.7,TRUE,0.2))),p_s,IF(t="train",IF(p="","",IFS(AND(p&gt;=125,p&lt;=135),1,AND(p&gt;=115,p&lt;125),0.7,AND(p&gt;135,p&lt;=145),0.7,AND(p&gt;=105,p&lt;115),0.4,AND(p&gt;145,p&lt;=155),0.4,TRUE,0.2)),IF(p="","",IFS(AND(p&gt;=120,p&lt;=130),1,AND(p&gt;=110,p&lt;120),0.7,AND(p&gt;130,p&lt;=140),0.7,AND(p&gt;=100,p&lt;110),0.4,AND(p&gt;140,p&lt;=150),0.4,TRUE,0.2))),f_s,IF(f="","",IFS(AND(f&gt;=55,f&lt;=65),1,AND(f&gt;=50,f&lt;55),0.7,AND(f&gt;65,f&lt;=70),0.7,AND(f&gt;=45,f&lt;50),0.4,AND(f&gt;70,f&lt;=75),0.4,TRUE,0.2)),c_s,IF(t="train",IF(c="","",IFS(AND(c&gt;=180,c&lt;=210),1,AND(c&gt;=160,c&lt;180),0.7,AND(c&gt;210,c&lt;=230),0.7,AND(c&gt;=140,c&lt;160),0.4,AND(c&gt;230,c&lt;=250),0.4,TRUE,0.2)),IF(c="","",IFS(AND(c&gt;=140,c&lt;=170),1,AND(c&gt;=120,c&lt;140),0.7,AND(c&gt;170,c&lt;=190),0.7,AND(c&gt;=100,c&lt;120),0.4,AND(c&gt;190,c&lt;=210),0.4,TRUE,0.2))),AVERAGE(k_s,p_s,f_s,c_s)))),1),""))</f>
        <v/>
      </c>
      <c r="Z191">
        <f>IF($A191="","",TEXTJOIN(", ",TRUE,IF($B191="","??????????",""),IF($C191="","??????",""),IF($D191="","????",""),IF($E191="","??????????",""),IF($F191="","???-?????",""),IF($G191="","???-????",""),IF($H191="","??????",""),IF($L191="","???",""),IF($M191="","?????",""),IF($N191="","??????????????",""),IF($O191="","??????????",""),IF($P191="","???????",""),IF($U191="","???","")))</f>
        <v/>
      </c>
    </row>
    <row r="192">
      <c r="U192">
        <f>IF($A192="","",IF(SUMIF(FoodLog!$A:$A,$A192,FoodLog!$I:$I)=0,"",SUMIF(FoodLog!$A:$A,$A192,FoodLog!$I:$I)))</f>
        <v/>
      </c>
      <c r="V192">
        <f>IF($A192="","",IF(SUMIF(FoodLog!$A:$A,$A192,FoodLog!$F:$F)=0,"",SUMIF(FoodLog!$A:$A,$A192,FoodLog!$F:$F)))</f>
        <v/>
      </c>
      <c r="W192">
        <f>IF($A192="","",IF(SUMIF(FoodLog!$A:$A,$A192,FoodLog!$G:$G)=0,"",SUMIF(FoodLog!$A:$A,$A192,FoodLog!$G:$G)))</f>
        <v/>
      </c>
      <c r="X192">
        <f>IF($A192="","",IF(SUMIF(FoodLog!$A:$A,$A192,FoodLog!$H:$H)=0,"",SUMIF(FoodLog!$A:$A,$A192,FoodLog!$H:$H)))</f>
        <v/>
      </c>
      <c r="Y192">
        <f>IF($A192="","",IFERROR(ROUND(100*AVERAGE(IF($B192="","",XLOOKUP($B192,FILTER(Dictionaries!$B:$B,Dictionaries!$A:$A="??????????"),FILTER(Dictionaries!$C:$C,Dictionaries!$A:$A="??????????"))),IF($C192="","",MIN($C192/40,1)),IF($D192="","",XLOOKUP($D192,FILTER(Dictionaries!$B:$B,Dictionaries!$A:$A="????"),FILTER(Dictionaries!$C:$C,Dictionaries!$A:$A="????"))),IF($E192="","",MIN($E192/120,1)),IF(OR($F192&lt;&gt;"",$G192&lt;&gt;""),1,""),IF($H192="","",MIN($H192/100,1)),IF($L192="","",XLOOKUP($L192,FILTER(Dictionaries!$B:$B,Dictionaries!$A:$A="???_????"),FILTER(Dictionaries!$C:$C,Dictionaries!$A:$A="???_????"))),IF($M192="","",XLOOKUP($M192,FILTER(Dictionaries!$B:$B,Dictionaries!$A:$A="?????"),FILTER(Dictionaries!$C:$C,Dictionaries!$A:$A="?????"))),IF($N192="","",MIN($N192/100,1)),IF($O192="","",XLOOKUP($O192,FILTER(Dictionaries!$B:$B,Dictionaries!$A:$A="??????????"),FILTER(Dictionaries!$C:$C,Dictionaries!$A:$A="??????????"))),IF($P192="","",XLOOKUP($P192,FILTER(Dictionaries!$B:$B,Dictionaries!$A:$A="???????"),FILTER(Dictionaries!$C:$C,Dictionaries!$A:$A="???????"))),IF($U192="","",LET(t,IF(OR($B192="????",$B192="????"),"train","rest"),k,$U192,p,$V192,f,$W192,c,$X192,k_s,IF(t="train",IF(k="","",IFS(AND(k&gt;=1900,k&lt;=2050),1,AND(k&gt;=1850,k&lt;1900),0.7,AND(k&gt;2050,k&lt;=2100),0.7,TRUE,0.2)),IF(k="","",IFS(AND(k&gt;=1700,k&lt;=1850),1,AND(k&gt;=1650,k&lt;1700),0.7,AND(k&gt;1850,k&lt;=1900),0.7,TRUE,0.2))),p_s,IF(t="train",IF(p="","",IFS(AND(p&gt;=125,p&lt;=135),1,AND(p&gt;=115,p&lt;125),0.7,AND(p&gt;135,p&lt;=145),0.7,AND(p&gt;=105,p&lt;115),0.4,AND(p&gt;145,p&lt;=155),0.4,TRUE,0.2)),IF(p="","",IFS(AND(p&gt;=120,p&lt;=130),1,AND(p&gt;=110,p&lt;120),0.7,AND(p&gt;130,p&lt;=140),0.7,AND(p&gt;=100,p&lt;110),0.4,AND(p&gt;140,p&lt;=150),0.4,TRUE,0.2))),f_s,IF(f="","",IFS(AND(f&gt;=55,f&lt;=65),1,AND(f&gt;=50,f&lt;55),0.7,AND(f&gt;65,f&lt;=70),0.7,AND(f&gt;=45,f&lt;50),0.4,AND(f&gt;70,f&lt;=75),0.4,TRUE,0.2)),c_s,IF(t="train",IF(c="","",IFS(AND(c&gt;=180,c&lt;=210),1,AND(c&gt;=160,c&lt;180),0.7,AND(c&gt;210,c&lt;=230),0.7,AND(c&gt;=140,c&lt;160),0.4,AND(c&gt;230,c&lt;=250),0.4,TRUE,0.2)),IF(c="","",IFS(AND(c&gt;=140,c&lt;=170),1,AND(c&gt;=120,c&lt;140),0.7,AND(c&gt;170,c&lt;=190),0.7,AND(c&gt;=100,c&lt;120),0.4,AND(c&gt;190,c&lt;=210),0.4,TRUE,0.2))),AVERAGE(k_s,p_s,f_s,c_s)))),1),""))</f>
        <v/>
      </c>
      <c r="Z192">
        <f>IF($A192="","",TEXTJOIN(", ",TRUE,IF($B192="","??????????",""),IF($C192="","??????",""),IF($D192="","????",""),IF($E192="","??????????",""),IF($F192="","???-?????",""),IF($G192="","???-????",""),IF($H192="","??????",""),IF($L192="","???",""),IF($M192="","?????",""),IF($N192="","??????????????",""),IF($O192="","??????????",""),IF($P192="","???????",""),IF($U192="","???","")))</f>
        <v/>
      </c>
    </row>
    <row r="193">
      <c r="U193">
        <f>IF($A193="","",IF(SUMIF(FoodLog!$A:$A,$A193,FoodLog!$I:$I)=0,"",SUMIF(FoodLog!$A:$A,$A193,FoodLog!$I:$I)))</f>
        <v/>
      </c>
      <c r="V193">
        <f>IF($A193="","",IF(SUMIF(FoodLog!$A:$A,$A193,FoodLog!$F:$F)=0,"",SUMIF(FoodLog!$A:$A,$A193,FoodLog!$F:$F)))</f>
        <v/>
      </c>
      <c r="W193">
        <f>IF($A193="","",IF(SUMIF(FoodLog!$A:$A,$A193,FoodLog!$G:$G)=0,"",SUMIF(FoodLog!$A:$A,$A193,FoodLog!$G:$G)))</f>
        <v/>
      </c>
      <c r="X193">
        <f>IF($A193="","",IF(SUMIF(FoodLog!$A:$A,$A193,FoodLog!$H:$H)=0,"",SUMIF(FoodLog!$A:$A,$A193,FoodLog!$H:$H)))</f>
        <v/>
      </c>
      <c r="Y193">
        <f>IF($A193="","",IFERROR(ROUND(100*AVERAGE(IF($B193="","",XLOOKUP($B193,FILTER(Dictionaries!$B:$B,Dictionaries!$A:$A="??????????"),FILTER(Dictionaries!$C:$C,Dictionaries!$A:$A="??????????"))),IF($C193="","",MIN($C193/40,1)),IF($D193="","",XLOOKUP($D193,FILTER(Dictionaries!$B:$B,Dictionaries!$A:$A="????"),FILTER(Dictionaries!$C:$C,Dictionaries!$A:$A="????"))),IF($E193="","",MIN($E193/120,1)),IF(OR($F193&lt;&gt;"",$G193&lt;&gt;""),1,""),IF($H193="","",MIN($H193/100,1)),IF($L193="","",XLOOKUP($L193,FILTER(Dictionaries!$B:$B,Dictionaries!$A:$A="???_????"),FILTER(Dictionaries!$C:$C,Dictionaries!$A:$A="???_????"))),IF($M193="","",XLOOKUP($M193,FILTER(Dictionaries!$B:$B,Dictionaries!$A:$A="?????"),FILTER(Dictionaries!$C:$C,Dictionaries!$A:$A="?????"))),IF($N193="","",MIN($N193/100,1)),IF($O193="","",XLOOKUP($O193,FILTER(Dictionaries!$B:$B,Dictionaries!$A:$A="??????????"),FILTER(Dictionaries!$C:$C,Dictionaries!$A:$A="??????????"))),IF($P193="","",XLOOKUP($P193,FILTER(Dictionaries!$B:$B,Dictionaries!$A:$A="???????"),FILTER(Dictionaries!$C:$C,Dictionaries!$A:$A="???????"))),IF($U193="","",LET(t,IF(OR($B193="????",$B193="????"),"train","rest"),k,$U193,p,$V193,f,$W193,c,$X193,k_s,IF(t="train",IF(k="","",IFS(AND(k&gt;=1900,k&lt;=2050),1,AND(k&gt;=1850,k&lt;1900),0.7,AND(k&gt;2050,k&lt;=2100),0.7,TRUE,0.2)),IF(k="","",IFS(AND(k&gt;=1700,k&lt;=1850),1,AND(k&gt;=1650,k&lt;1700),0.7,AND(k&gt;1850,k&lt;=1900),0.7,TRUE,0.2))),p_s,IF(t="train",IF(p="","",IFS(AND(p&gt;=125,p&lt;=135),1,AND(p&gt;=115,p&lt;125),0.7,AND(p&gt;135,p&lt;=145),0.7,AND(p&gt;=105,p&lt;115),0.4,AND(p&gt;145,p&lt;=155),0.4,TRUE,0.2)),IF(p="","",IFS(AND(p&gt;=120,p&lt;=130),1,AND(p&gt;=110,p&lt;120),0.7,AND(p&gt;130,p&lt;=140),0.7,AND(p&gt;=100,p&lt;110),0.4,AND(p&gt;140,p&lt;=150),0.4,TRUE,0.2))),f_s,IF(f="","",IFS(AND(f&gt;=55,f&lt;=65),1,AND(f&gt;=50,f&lt;55),0.7,AND(f&gt;65,f&lt;=70),0.7,AND(f&gt;=45,f&lt;50),0.4,AND(f&gt;70,f&lt;=75),0.4,TRUE,0.2)),c_s,IF(t="train",IF(c="","",IFS(AND(c&gt;=180,c&lt;=210),1,AND(c&gt;=160,c&lt;180),0.7,AND(c&gt;210,c&lt;=230),0.7,AND(c&gt;=140,c&lt;160),0.4,AND(c&gt;230,c&lt;=250),0.4,TRUE,0.2)),IF(c="","",IFS(AND(c&gt;=140,c&lt;=170),1,AND(c&gt;=120,c&lt;140),0.7,AND(c&gt;170,c&lt;=190),0.7,AND(c&gt;=100,c&lt;120),0.4,AND(c&gt;190,c&lt;=210),0.4,TRUE,0.2))),AVERAGE(k_s,p_s,f_s,c_s)))),1),""))</f>
        <v/>
      </c>
      <c r="Z193">
        <f>IF($A193="","",TEXTJOIN(", ",TRUE,IF($B193="","??????????",""),IF($C193="","??????",""),IF($D193="","????",""),IF($E193="","??????????",""),IF($F193="","???-?????",""),IF($G193="","???-????",""),IF($H193="","??????",""),IF($L193="","???",""),IF($M193="","?????",""),IF($N193="","??????????????",""),IF($O193="","??????????",""),IF($P193="","???????",""),IF($U193="","???","")))</f>
        <v/>
      </c>
    </row>
    <row r="194">
      <c r="U194">
        <f>IF($A194="","",IF(SUMIF(FoodLog!$A:$A,$A194,FoodLog!$I:$I)=0,"",SUMIF(FoodLog!$A:$A,$A194,FoodLog!$I:$I)))</f>
        <v/>
      </c>
      <c r="V194">
        <f>IF($A194="","",IF(SUMIF(FoodLog!$A:$A,$A194,FoodLog!$F:$F)=0,"",SUMIF(FoodLog!$A:$A,$A194,FoodLog!$F:$F)))</f>
        <v/>
      </c>
      <c r="W194">
        <f>IF($A194="","",IF(SUMIF(FoodLog!$A:$A,$A194,FoodLog!$G:$G)=0,"",SUMIF(FoodLog!$A:$A,$A194,FoodLog!$G:$G)))</f>
        <v/>
      </c>
      <c r="X194">
        <f>IF($A194="","",IF(SUMIF(FoodLog!$A:$A,$A194,FoodLog!$H:$H)=0,"",SUMIF(FoodLog!$A:$A,$A194,FoodLog!$H:$H)))</f>
        <v/>
      </c>
      <c r="Y194">
        <f>IF($A194="","",IFERROR(ROUND(100*AVERAGE(IF($B194="","",XLOOKUP($B194,FILTER(Dictionaries!$B:$B,Dictionaries!$A:$A="??????????"),FILTER(Dictionaries!$C:$C,Dictionaries!$A:$A="??????????"))),IF($C194="","",MIN($C194/40,1)),IF($D194="","",XLOOKUP($D194,FILTER(Dictionaries!$B:$B,Dictionaries!$A:$A="????"),FILTER(Dictionaries!$C:$C,Dictionaries!$A:$A="????"))),IF($E194="","",MIN($E194/120,1)),IF(OR($F194&lt;&gt;"",$G194&lt;&gt;""),1,""),IF($H194="","",MIN($H194/100,1)),IF($L194="","",XLOOKUP($L194,FILTER(Dictionaries!$B:$B,Dictionaries!$A:$A="???_????"),FILTER(Dictionaries!$C:$C,Dictionaries!$A:$A="???_????"))),IF($M194="","",XLOOKUP($M194,FILTER(Dictionaries!$B:$B,Dictionaries!$A:$A="?????"),FILTER(Dictionaries!$C:$C,Dictionaries!$A:$A="?????"))),IF($N194="","",MIN($N194/100,1)),IF($O194="","",XLOOKUP($O194,FILTER(Dictionaries!$B:$B,Dictionaries!$A:$A="??????????"),FILTER(Dictionaries!$C:$C,Dictionaries!$A:$A="??????????"))),IF($P194="","",XLOOKUP($P194,FILTER(Dictionaries!$B:$B,Dictionaries!$A:$A="???????"),FILTER(Dictionaries!$C:$C,Dictionaries!$A:$A="???????"))),IF($U194="","",LET(t,IF(OR($B194="????",$B194="????"),"train","rest"),k,$U194,p,$V194,f,$W194,c,$X194,k_s,IF(t="train",IF(k="","",IFS(AND(k&gt;=1900,k&lt;=2050),1,AND(k&gt;=1850,k&lt;1900),0.7,AND(k&gt;2050,k&lt;=2100),0.7,TRUE,0.2)),IF(k="","",IFS(AND(k&gt;=1700,k&lt;=1850),1,AND(k&gt;=1650,k&lt;1700),0.7,AND(k&gt;1850,k&lt;=1900),0.7,TRUE,0.2))),p_s,IF(t="train",IF(p="","",IFS(AND(p&gt;=125,p&lt;=135),1,AND(p&gt;=115,p&lt;125),0.7,AND(p&gt;135,p&lt;=145),0.7,AND(p&gt;=105,p&lt;115),0.4,AND(p&gt;145,p&lt;=155),0.4,TRUE,0.2)),IF(p="","",IFS(AND(p&gt;=120,p&lt;=130),1,AND(p&gt;=110,p&lt;120),0.7,AND(p&gt;130,p&lt;=140),0.7,AND(p&gt;=100,p&lt;110),0.4,AND(p&gt;140,p&lt;=150),0.4,TRUE,0.2))),f_s,IF(f="","",IFS(AND(f&gt;=55,f&lt;=65),1,AND(f&gt;=50,f&lt;55),0.7,AND(f&gt;65,f&lt;=70),0.7,AND(f&gt;=45,f&lt;50),0.4,AND(f&gt;70,f&lt;=75),0.4,TRUE,0.2)),c_s,IF(t="train",IF(c="","",IFS(AND(c&gt;=180,c&lt;=210),1,AND(c&gt;=160,c&lt;180),0.7,AND(c&gt;210,c&lt;=230),0.7,AND(c&gt;=140,c&lt;160),0.4,AND(c&gt;230,c&lt;=250),0.4,TRUE,0.2)),IF(c="","",IFS(AND(c&gt;=140,c&lt;=170),1,AND(c&gt;=120,c&lt;140),0.7,AND(c&gt;170,c&lt;=190),0.7,AND(c&gt;=100,c&lt;120),0.4,AND(c&gt;190,c&lt;=210),0.4,TRUE,0.2))),AVERAGE(k_s,p_s,f_s,c_s)))),1),""))</f>
        <v/>
      </c>
      <c r="Z194">
        <f>IF($A194="","",TEXTJOIN(", ",TRUE,IF($B194="","??????????",""),IF($C194="","??????",""),IF($D194="","????",""),IF($E194="","??????????",""),IF($F194="","???-?????",""),IF($G194="","???-????",""),IF($H194="","??????",""),IF($L194="","???",""),IF($M194="","?????",""),IF($N194="","??????????????",""),IF($O194="","??????????",""),IF($P194="","???????",""),IF($U194="","???","")))</f>
        <v/>
      </c>
    </row>
    <row r="195">
      <c r="U195">
        <f>IF($A195="","",IF(SUMIF(FoodLog!$A:$A,$A195,FoodLog!$I:$I)=0,"",SUMIF(FoodLog!$A:$A,$A195,FoodLog!$I:$I)))</f>
        <v/>
      </c>
      <c r="V195">
        <f>IF($A195="","",IF(SUMIF(FoodLog!$A:$A,$A195,FoodLog!$F:$F)=0,"",SUMIF(FoodLog!$A:$A,$A195,FoodLog!$F:$F)))</f>
        <v/>
      </c>
      <c r="W195">
        <f>IF($A195="","",IF(SUMIF(FoodLog!$A:$A,$A195,FoodLog!$G:$G)=0,"",SUMIF(FoodLog!$A:$A,$A195,FoodLog!$G:$G)))</f>
        <v/>
      </c>
      <c r="X195">
        <f>IF($A195="","",IF(SUMIF(FoodLog!$A:$A,$A195,FoodLog!$H:$H)=0,"",SUMIF(FoodLog!$A:$A,$A195,FoodLog!$H:$H)))</f>
        <v/>
      </c>
      <c r="Y195">
        <f>IF($A195="","",IFERROR(ROUND(100*AVERAGE(IF($B195="","",XLOOKUP($B195,FILTER(Dictionaries!$B:$B,Dictionaries!$A:$A="??????????"),FILTER(Dictionaries!$C:$C,Dictionaries!$A:$A="??????????"))),IF($C195="","",MIN($C195/40,1)),IF($D195="","",XLOOKUP($D195,FILTER(Dictionaries!$B:$B,Dictionaries!$A:$A="????"),FILTER(Dictionaries!$C:$C,Dictionaries!$A:$A="????"))),IF($E195="","",MIN($E195/120,1)),IF(OR($F195&lt;&gt;"",$G195&lt;&gt;""),1,""),IF($H195="","",MIN($H195/100,1)),IF($L195="","",XLOOKUP($L195,FILTER(Dictionaries!$B:$B,Dictionaries!$A:$A="???_????"),FILTER(Dictionaries!$C:$C,Dictionaries!$A:$A="???_????"))),IF($M195="","",XLOOKUP($M195,FILTER(Dictionaries!$B:$B,Dictionaries!$A:$A="?????"),FILTER(Dictionaries!$C:$C,Dictionaries!$A:$A="?????"))),IF($N195="","",MIN($N195/100,1)),IF($O195="","",XLOOKUP($O195,FILTER(Dictionaries!$B:$B,Dictionaries!$A:$A="??????????"),FILTER(Dictionaries!$C:$C,Dictionaries!$A:$A="??????????"))),IF($P195="","",XLOOKUP($P195,FILTER(Dictionaries!$B:$B,Dictionaries!$A:$A="???????"),FILTER(Dictionaries!$C:$C,Dictionaries!$A:$A="???????"))),IF($U195="","",LET(t,IF(OR($B195="????",$B195="????"),"train","rest"),k,$U195,p,$V195,f,$W195,c,$X195,k_s,IF(t="train",IF(k="","",IFS(AND(k&gt;=1900,k&lt;=2050),1,AND(k&gt;=1850,k&lt;1900),0.7,AND(k&gt;2050,k&lt;=2100),0.7,TRUE,0.2)),IF(k="","",IFS(AND(k&gt;=1700,k&lt;=1850),1,AND(k&gt;=1650,k&lt;1700),0.7,AND(k&gt;1850,k&lt;=1900),0.7,TRUE,0.2))),p_s,IF(t="train",IF(p="","",IFS(AND(p&gt;=125,p&lt;=135),1,AND(p&gt;=115,p&lt;125),0.7,AND(p&gt;135,p&lt;=145),0.7,AND(p&gt;=105,p&lt;115),0.4,AND(p&gt;145,p&lt;=155),0.4,TRUE,0.2)),IF(p="","",IFS(AND(p&gt;=120,p&lt;=130),1,AND(p&gt;=110,p&lt;120),0.7,AND(p&gt;130,p&lt;=140),0.7,AND(p&gt;=100,p&lt;110),0.4,AND(p&gt;140,p&lt;=150),0.4,TRUE,0.2))),f_s,IF(f="","",IFS(AND(f&gt;=55,f&lt;=65),1,AND(f&gt;=50,f&lt;55),0.7,AND(f&gt;65,f&lt;=70),0.7,AND(f&gt;=45,f&lt;50),0.4,AND(f&gt;70,f&lt;=75),0.4,TRUE,0.2)),c_s,IF(t="train",IF(c="","",IFS(AND(c&gt;=180,c&lt;=210),1,AND(c&gt;=160,c&lt;180),0.7,AND(c&gt;210,c&lt;=230),0.7,AND(c&gt;=140,c&lt;160),0.4,AND(c&gt;230,c&lt;=250),0.4,TRUE,0.2)),IF(c="","",IFS(AND(c&gt;=140,c&lt;=170),1,AND(c&gt;=120,c&lt;140),0.7,AND(c&gt;170,c&lt;=190),0.7,AND(c&gt;=100,c&lt;120),0.4,AND(c&gt;190,c&lt;=210),0.4,TRUE,0.2))),AVERAGE(k_s,p_s,f_s,c_s)))),1),""))</f>
        <v/>
      </c>
      <c r="Z195">
        <f>IF($A195="","",TEXTJOIN(", ",TRUE,IF($B195="","??????????",""),IF($C195="","??????",""),IF($D195="","????",""),IF($E195="","??????????",""),IF($F195="","???-?????",""),IF($G195="","???-????",""),IF($H195="","??????",""),IF($L195="","???",""),IF($M195="","?????",""),IF($N195="","??????????????",""),IF($O195="","??????????",""),IF($P195="","???????",""),IF($U195="","???","")))</f>
        <v/>
      </c>
    </row>
    <row r="196">
      <c r="U196">
        <f>IF($A196="","",IF(SUMIF(FoodLog!$A:$A,$A196,FoodLog!$I:$I)=0,"",SUMIF(FoodLog!$A:$A,$A196,FoodLog!$I:$I)))</f>
        <v/>
      </c>
      <c r="V196">
        <f>IF($A196="","",IF(SUMIF(FoodLog!$A:$A,$A196,FoodLog!$F:$F)=0,"",SUMIF(FoodLog!$A:$A,$A196,FoodLog!$F:$F)))</f>
        <v/>
      </c>
      <c r="W196">
        <f>IF($A196="","",IF(SUMIF(FoodLog!$A:$A,$A196,FoodLog!$G:$G)=0,"",SUMIF(FoodLog!$A:$A,$A196,FoodLog!$G:$G)))</f>
        <v/>
      </c>
      <c r="X196">
        <f>IF($A196="","",IF(SUMIF(FoodLog!$A:$A,$A196,FoodLog!$H:$H)=0,"",SUMIF(FoodLog!$A:$A,$A196,FoodLog!$H:$H)))</f>
        <v/>
      </c>
      <c r="Y196">
        <f>IF($A196="","",IFERROR(ROUND(100*AVERAGE(IF($B196="","",XLOOKUP($B196,FILTER(Dictionaries!$B:$B,Dictionaries!$A:$A="??????????"),FILTER(Dictionaries!$C:$C,Dictionaries!$A:$A="??????????"))),IF($C196="","",MIN($C196/40,1)),IF($D196="","",XLOOKUP($D196,FILTER(Dictionaries!$B:$B,Dictionaries!$A:$A="????"),FILTER(Dictionaries!$C:$C,Dictionaries!$A:$A="????"))),IF($E196="","",MIN($E196/120,1)),IF(OR($F196&lt;&gt;"",$G196&lt;&gt;""),1,""),IF($H196="","",MIN($H196/100,1)),IF($L196="","",XLOOKUP($L196,FILTER(Dictionaries!$B:$B,Dictionaries!$A:$A="???_????"),FILTER(Dictionaries!$C:$C,Dictionaries!$A:$A="???_????"))),IF($M196="","",XLOOKUP($M196,FILTER(Dictionaries!$B:$B,Dictionaries!$A:$A="?????"),FILTER(Dictionaries!$C:$C,Dictionaries!$A:$A="?????"))),IF($N196="","",MIN($N196/100,1)),IF($O196="","",XLOOKUP($O196,FILTER(Dictionaries!$B:$B,Dictionaries!$A:$A="??????????"),FILTER(Dictionaries!$C:$C,Dictionaries!$A:$A="??????????"))),IF($P196="","",XLOOKUP($P196,FILTER(Dictionaries!$B:$B,Dictionaries!$A:$A="???????"),FILTER(Dictionaries!$C:$C,Dictionaries!$A:$A="???????"))),IF($U196="","",LET(t,IF(OR($B196="????",$B196="????"),"train","rest"),k,$U196,p,$V196,f,$W196,c,$X196,k_s,IF(t="train",IF(k="","",IFS(AND(k&gt;=1900,k&lt;=2050),1,AND(k&gt;=1850,k&lt;1900),0.7,AND(k&gt;2050,k&lt;=2100),0.7,TRUE,0.2)),IF(k="","",IFS(AND(k&gt;=1700,k&lt;=1850),1,AND(k&gt;=1650,k&lt;1700),0.7,AND(k&gt;1850,k&lt;=1900),0.7,TRUE,0.2))),p_s,IF(t="train",IF(p="","",IFS(AND(p&gt;=125,p&lt;=135),1,AND(p&gt;=115,p&lt;125),0.7,AND(p&gt;135,p&lt;=145),0.7,AND(p&gt;=105,p&lt;115),0.4,AND(p&gt;145,p&lt;=155),0.4,TRUE,0.2)),IF(p="","",IFS(AND(p&gt;=120,p&lt;=130),1,AND(p&gt;=110,p&lt;120),0.7,AND(p&gt;130,p&lt;=140),0.7,AND(p&gt;=100,p&lt;110),0.4,AND(p&gt;140,p&lt;=150),0.4,TRUE,0.2))),f_s,IF(f="","",IFS(AND(f&gt;=55,f&lt;=65),1,AND(f&gt;=50,f&lt;55),0.7,AND(f&gt;65,f&lt;=70),0.7,AND(f&gt;=45,f&lt;50),0.4,AND(f&gt;70,f&lt;=75),0.4,TRUE,0.2)),c_s,IF(t="train",IF(c="","",IFS(AND(c&gt;=180,c&lt;=210),1,AND(c&gt;=160,c&lt;180),0.7,AND(c&gt;210,c&lt;=230),0.7,AND(c&gt;=140,c&lt;160),0.4,AND(c&gt;230,c&lt;=250),0.4,TRUE,0.2)),IF(c="","",IFS(AND(c&gt;=140,c&lt;=170),1,AND(c&gt;=120,c&lt;140),0.7,AND(c&gt;170,c&lt;=190),0.7,AND(c&gt;=100,c&lt;120),0.4,AND(c&gt;190,c&lt;=210),0.4,TRUE,0.2))),AVERAGE(k_s,p_s,f_s,c_s)))),1),""))</f>
        <v/>
      </c>
      <c r="Z196">
        <f>IF($A196="","",TEXTJOIN(", ",TRUE,IF($B196="","??????????",""),IF($C196="","??????",""),IF($D196="","????",""),IF($E196="","??????????",""),IF($F196="","???-?????",""),IF($G196="","???-????",""),IF($H196="","??????",""),IF($L196="","???",""),IF($M196="","?????",""),IF($N196="","??????????????",""),IF($O196="","??????????",""),IF($P196="","???????",""),IF($U196="","???","")))</f>
        <v/>
      </c>
    </row>
    <row r="197">
      <c r="U197">
        <f>IF($A197="","",IF(SUMIF(FoodLog!$A:$A,$A197,FoodLog!$I:$I)=0,"",SUMIF(FoodLog!$A:$A,$A197,FoodLog!$I:$I)))</f>
        <v/>
      </c>
      <c r="V197">
        <f>IF($A197="","",IF(SUMIF(FoodLog!$A:$A,$A197,FoodLog!$F:$F)=0,"",SUMIF(FoodLog!$A:$A,$A197,FoodLog!$F:$F)))</f>
        <v/>
      </c>
      <c r="W197">
        <f>IF($A197="","",IF(SUMIF(FoodLog!$A:$A,$A197,FoodLog!$G:$G)=0,"",SUMIF(FoodLog!$A:$A,$A197,FoodLog!$G:$G)))</f>
        <v/>
      </c>
      <c r="X197">
        <f>IF($A197="","",IF(SUMIF(FoodLog!$A:$A,$A197,FoodLog!$H:$H)=0,"",SUMIF(FoodLog!$A:$A,$A197,FoodLog!$H:$H)))</f>
        <v/>
      </c>
      <c r="Y197">
        <f>IF($A197="","",IFERROR(ROUND(100*AVERAGE(IF($B197="","",XLOOKUP($B197,FILTER(Dictionaries!$B:$B,Dictionaries!$A:$A="??????????"),FILTER(Dictionaries!$C:$C,Dictionaries!$A:$A="??????????"))),IF($C197="","",MIN($C197/40,1)),IF($D197="","",XLOOKUP($D197,FILTER(Dictionaries!$B:$B,Dictionaries!$A:$A="????"),FILTER(Dictionaries!$C:$C,Dictionaries!$A:$A="????"))),IF($E197="","",MIN($E197/120,1)),IF(OR($F197&lt;&gt;"",$G197&lt;&gt;""),1,""),IF($H197="","",MIN($H197/100,1)),IF($L197="","",XLOOKUP($L197,FILTER(Dictionaries!$B:$B,Dictionaries!$A:$A="???_????"),FILTER(Dictionaries!$C:$C,Dictionaries!$A:$A="???_????"))),IF($M197="","",XLOOKUP($M197,FILTER(Dictionaries!$B:$B,Dictionaries!$A:$A="?????"),FILTER(Dictionaries!$C:$C,Dictionaries!$A:$A="?????"))),IF($N197="","",MIN($N197/100,1)),IF($O197="","",XLOOKUP($O197,FILTER(Dictionaries!$B:$B,Dictionaries!$A:$A="??????????"),FILTER(Dictionaries!$C:$C,Dictionaries!$A:$A="??????????"))),IF($P197="","",XLOOKUP($P197,FILTER(Dictionaries!$B:$B,Dictionaries!$A:$A="???????"),FILTER(Dictionaries!$C:$C,Dictionaries!$A:$A="???????"))),IF($U197="","",LET(t,IF(OR($B197="????",$B197="????"),"train","rest"),k,$U197,p,$V197,f,$W197,c,$X197,k_s,IF(t="train",IF(k="","",IFS(AND(k&gt;=1900,k&lt;=2050),1,AND(k&gt;=1850,k&lt;1900),0.7,AND(k&gt;2050,k&lt;=2100),0.7,TRUE,0.2)),IF(k="","",IFS(AND(k&gt;=1700,k&lt;=1850),1,AND(k&gt;=1650,k&lt;1700),0.7,AND(k&gt;1850,k&lt;=1900),0.7,TRUE,0.2))),p_s,IF(t="train",IF(p="","",IFS(AND(p&gt;=125,p&lt;=135),1,AND(p&gt;=115,p&lt;125),0.7,AND(p&gt;135,p&lt;=145),0.7,AND(p&gt;=105,p&lt;115),0.4,AND(p&gt;145,p&lt;=155),0.4,TRUE,0.2)),IF(p="","",IFS(AND(p&gt;=120,p&lt;=130),1,AND(p&gt;=110,p&lt;120),0.7,AND(p&gt;130,p&lt;=140),0.7,AND(p&gt;=100,p&lt;110),0.4,AND(p&gt;140,p&lt;=150),0.4,TRUE,0.2))),f_s,IF(f="","",IFS(AND(f&gt;=55,f&lt;=65),1,AND(f&gt;=50,f&lt;55),0.7,AND(f&gt;65,f&lt;=70),0.7,AND(f&gt;=45,f&lt;50),0.4,AND(f&gt;70,f&lt;=75),0.4,TRUE,0.2)),c_s,IF(t="train",IF(c="","",IFS(AND(c&gt;=180,c&lt;=210),1,AND(c&gt;=160,c&lt;180),0.7,AND(c&gt;210,c&lt;=230),0.7,AND(c&gt;=140,c&lt;160),0.4,AND(c&gt;230,c&lt;=250),0.4,TRUE,0.2)),IF(c="","",IFS(AND(c&gt;=140,c&lt;=170),1,AND(c&gt;=120,c&lt;140),0.7,AND(c&gt;170,c&lt;=190),0.7,AND(c&gt;=100,c&lt;120),0.4,AND(c&gt;190,c&lt;=210),0.4,TRUE,0.2))),AVERAGE(k_s,p_s,f_s,c_s)))),1),""))</f>
        <v/>
      </c>
      <c r="Z197">
        <f>IF($A197="","",TEXTJOIN(", ",TRUE,IF($B197="","??????????",""),IF($C197="","??????",""),IF($D197="","????",""),IF($E197="","??????????",""),IF($F197="","???-?????",""),IF($G197="","???-????",""),IF($H197="","??????",""),IF($L197="","???",""),IF($M197="","?????",""),IF($N197="","??????????????",""),IF($O197="","??????????",""),IF($P197="","???????",""),IF($U197="","???","")))</f>
        <v/>
      </c>
    </row>
    <row r="198">
      <c r="U198">
        <f>IF($A198="","",IF(SUMIF(FoodLog!$A:$A,$A198,FoodLog!$I:$I)=0,"",SUMIF(FoodLog!$A:$A,$A198,FoodLog!$I:$I)))</f>
        <v/>
      </c>
      <c r="V198">
        <f>IF($A198="","",IF(SUMIF(FoodLog!$A:$A,$A198,FoodLog!$F:$F)=0,"",SUMIF(FoodLog!$A:$A,$A198,FoodLog!$F:$F)))</f>
        <v/>
      </c>
      <c r="W198">
        <f>IF($A198="","",IF(SUMIF(FoodLog!$A:$A,$A198,FoodLog!$G:$G)=0,"",SUMIF(FoodLog!$A:$A,$A198,FoodLog!$G:$G)))</f>
        <v/>
      </c>
      <c r="X198">
        <f>IF($A198="","",IF(SUMIF(FoodLog!$A:$A,$A198,FoodLog!$H:$H)=0,"",SUMIF(FoodLog!$A:$A,$A198,FoodLog!$H:$H)))</f>
        <v/>
      </c>
      <c r="Y198">
        <f>IF($A198="","",IFERROR(ROUND(100*AVERAGE(IF($B198="","",XLOOKUP($B198,FILTER(Dictionaries!$B:$B,Dictionaries!$A:$A="??????????"),FILTER(Dictionaries!$C:$C,Dictionaries!$A:$A="??????????"))),IF($C198="","",MIN($C198/40,1)),IF($D198="","",XLOOKUP($D198,FILTER(Dictionaries!$B:$B,Dictionaries!$A:$A="????"),FILTER(Dictionaries!$C:$C,Dictionaries!$A:$A="????"))),IF($E198="","",MIN($E198/120,1)),IF(OR($F198&lt;&gt;"",$G198&lt;&gt;""),1,""),IF($H198="","",MIN($H198/100,1)),IF($L198="","",XLOOKUP($L198,FILTER(Dictionaries!$B:$B,Dictionaries!$A:$A="???_????"),FILTER(Dictionaries!$C:$C,Dictionaries!$A:$A="???_????"))),IF($M198="","",XLOOKUP($M198,FILTER(Dictionaries!$B:$B,Dictionaries!$A:$A="?????"),FILTER(Dictionaries!$C:$C,Dictionaries!$A:$A="?????"))),IF($N198="","",MIN($N198/100,1)),IF($O198="","",XLOOKUP($O198,FILTER(Dictionaries!$B:$B,Dictionaries!$A:$A="??????????"),FILTER(Dictionaries!$C:$C,Dictionaries!$A:$A="??????????"))),IF($P198="","",XLOOKUP($P198,FILTER(Dictionaries!$B:$B,Dictionaries!$A:$A="???????"),FILTER(Dictionaries!$C:$C,Dictionaries!$A:$A="???????"))),IF($U198="","",LET(t,IF(OR($B198="????",$B198="????"),"train","rest"),k,$U198,p,$V198,f,$W198,c,$X198,k_s,IF(t="train",IF(k="","",IFS(AND(k&gt;=1900,k&lt;=2050),1,AND(k&gt;=1850,k&lt;1900),0.7,AND(k&gt;2050,k&lt;=2100),0.7,TRUE,0.2)),IF(k="","",IFS(AND(k&gt;=1700,k&lt;=1850),1,AND(k&gt;=1650,k&lt;1700),0.7,AND(k&gt;1850,k&lt;=1900),0.7,TRUE,0.2))),p_s,IF(t="train",IF(p="","",IFS(AND(p&gt;=125,p&lt;=135),1,AND(p&gt;=115,p&lt;125),0.7,AND(p&gt;135,p&lt;=145),0.7,AND(p&gt;=105,p&lt;115),0.4,AND(p&gt;145,p&lt;=155),0.4,TRUE,0.2)),IF(p="","",IFS(AND(p&gt;=120,p&lt;=130),1,AND(p&gt;=110,p&lt;120),0.7,AND(p&gt;130,p&lt;=140),0.7,AND(p&gt;=100,p&lt;110),0.4,AND(p&gt;140,p&lt;=150),0.4,TRUE,0.2))),f_s,IF(f="","",IFS(AND(f&gt;=55,f&lt;=65),1,AND(f&gt;=50,f&lt;55),0.7,AND(f&gt;65,f&lt;=70),0.7,AND(f&gt;=45,f&lt;50),0.4,AND(f&gt;70,f&lt;=75),0.4,TRUE,0.2)),c_s,IF(t="train",IF(c="","",IFS(AND(c&gt;=180,c&lt;=210),1,AND(c&gt;=160,c&lt;180),0.7,AND(c&gt;210,c&lt;=230),0.7,AND(c&gt;=140,c&lt;160),0.4,AND(c&gt;230,c&lt;=250),0.4,TRUE,0.2)),IF(c="","",IFS(AND(c&gt;=140,c&lt;=170),1,AND(c&gt;=120,c&lt;140),0.7,AND(c&gt;170,c&lt;=190),0.7,AND(c&gt;=100,c&lt;120),0.4,AND(c&gt;190,c&lt;=210),0.4,TRUE,0.2))),AVERAGE(k_s,p_s,f_s,c_s)))),1),""))</f>
        <v/>
      </c>
      <c r="Z198">
        <f>IF($A198="","",TEXTJOIN(", ",TRUE,IF($B198="","??????????",""),IF($C198="","??????",""),IF($D198="","????",""),IF($E198="","??????????",""),IF($F198="","???-?????",""),IF($G198="","???-????",""),IF($H198="","??????",""),IF($L198="","???",""),IF($M198="","?????",""),IF($N198="","??????????????",""),IF($O198="","??????????",""),IF($P198="","???????",""),IF($U198="","???","")))</f>
        <v/>
      </c>
    </row>
    <row r="199">
      <c r="U199">
        <f>IF($A199="","",IF(SUMIF(FoodLog!$A:$A,$A199,FoodLog!$I:$I)=0,"",SUMIF(FoodLog!$A:$A,$A199,FoodLog!$I:$I)))</f>
        <v/>
      </c>
      <c r="V199">
        <f>IF($A199="","",IF(SUMIF(FoodLog!$A:$A,$A199,FoodLog!$F:$F)=0,"",SUMIF(FoodLog!$A:$A,$A199,FoodLog!$F:$F)))</f>
        <v/>
      </c>
      <c r="W199">
        <f>IF($A199="","",IF(SUMIF(FoodLog!$A:$A,$A199,FoodLog!$G:$G)=0,"",SUMIF(FoodLog!$A:$A,$A199,FoodLog!$G:$G)))</f>
        <v/>
      </c>
      <c r="X199">
        <f>IF($A199="","",IF(SUMIF(FoodLog!$A:$A,$A199,FoodLog!$H:$H)=0,"",SUMIF(FoodLog!$A:$A,$A199,FoodLog!$H:$H)))</f>
        <v/>
      </c>
      <c r="Y199">
        <f>IF($A199="","",IFERROR(ROUND(100*AVERAGE(IF($B199="","",XLOOKUP($B199,FILTER(Dictionaries!$B:$B,Dictionaries!$A:$A="??????????"),FILTER(Dictionaries!$C:$C,Dictionaries!$A:$A="??????????"))),IF($C199="","",MIN($C199/40,1)),IF($D199="","",XLOOKUP($D199,FILTER(Dictionaries!$B:$B,Dictionaries!$A:$A="????"),FILTER(Dictionaries!$C:$C,Dictionaries!$A:$A="????"))),IF($E199="","",MIN($E199/120,1)),IF(OR($F199&lt;&gt;"",$G199&lt;&gt;""),1,""),IF($H199="","",MIN($H199/100,1)),IF($L199="","",XLOOKUP($L199,FILTER(Dictionaries!$B:$B,Dictionaries!$A:$A="???_????"),FILTER(Dictionaries!$C:$C,Dictionaries!$A:$A="???_????"))),IF($M199="","",XLOOKUP($M199,FILTER(Dictionaries!$B:$B,Dictionaries!$A:$A="?????"),FILTER(Dictionaries!$C:$C,Dictionaries!$A:$A="?????"))),IF($N199="","",MIN($N199/100,1)),IF($O199="","",XLOOKUP($O199,FILTER(Dictionaries!$B:$B,Dictionaries!$A:$A="??????????"),FILTER(Dictionaries!$C:$C,Dictionaries!$A:$A="??????????"))),IF($P199="","",XLOOKUP($P199,FILTER(Dictionaries!$B:$B,Dictionaries!$A:$A="???????"),FILTER(Dictionaries!$C:$C,Dictionaries!$A:$A="???????"))),IF($U199="","",LET(t,IF(OR($B199="????",$B199="????"),"train","rest"),k,$U199,p,$V199,f,$W199,c,$X199,k_s,IF(t="train",IF(k="","",IFS(AND(k&gt;=1900,k&lt;=2050),1,AND(k&gt;=1850,k&lt;1900),0.7,AND(k&gt;2050,k&lt;=2100),0.7,TRUE,0.2)),IF(k="","",IFS(AND(k&gt;=1700,k&lt;=1850),1,AND(k&gt;=1650,k&lt;1700),0.7,AND(k&gt;1850,k&lt;=1900),0.7,TRUE,0.2))),p_s,IF(t="train",IF(p="","",IFS(AND(p&gt;=125,p&lt;=135),1,AND(p&gt;=115,p&lt;125),0.7,AND(p&gt;135,p&lt;=145),0.7,AND(p&gt;=105,p&lt;115),0.4,AND(p&gt;145,p&lt;=155),0.4,TRUE,0.2)),IF(p="","",IFS(AND(p&gt;=120,p&lt;=130),1,AND(p&gt;=110,p&lt;120),0.7,AND(p&gt;130,p&lt;=140),0.7,AND(p&gt;=100,p&lt;110),0.4,AND(p&gt;140,p&lt;=150),0.4,TRUE,0.2))),f_s,IF(f="","",IFS(AND(f&gt;=55,f&lt;=65),1,AND(f&gt;=50,f&lt;55),0.7,AND(f&gt;65,f&lt;=70),0.7,AND(f&gt;=45,f&lt;50),0.4,AND(f&gt;70,f&lt;=75),0.4,TRUE,0.2)),c_s,IF(t="train",IF(c="","",IFS(AND(c&gt;=180,c&lt;=210),1,AND(c&gt;=160,c&lt;180),0.7,AND(c&gt;210,c&lt;=230),0.7,AND(c&gt;=140,c&lt;160),0.4,AND(c&gt;230,c&lt;=250),0.4,TRUE,0.2)),IF(c="","",IFS(AND(c&gt;=140,c&lt;=170),1,AND(c&gt;=120,c&lt;140),0.7,AND(c&gt;170,c&lt;=190),0.7,AND(c&gt;=100,c&lt;120),0.4,AND(c&gt;190,c&lt;=210),0.4,TRUE,0.2))),AVERAGE(k_s,p_s,f_s,c_s)))),1),""))</f>
        <v/>
      </c>
      <c r="Z199">
        <f>IF($A199="","",TEXTJOIN(", ",TRUE,IF($B199="","??????????",""),IF($C199="","??????",""),IF($D199="","????",""),IF($E199="","??????????",""),IF($F199="","???-?????",""),IF($G199="","???-????",""),IF($H199="","??????",""),IF($L199="","???",""),IF($M199="","?????",""),IF($N199="","??????????????",""),IF($O199="","??????????",""),IF($P199="","???????",""),IF($U199="","???","")))</f>
        <v/>
      </c>
    </row>
    <row r="200">
      <c r="U200">
        <f>IF($A200="","",IF(SUMIF(FoodLog!$A:$A,$A200,FoodLog!$I:$I)=0,"",SUMIF(FoodLog!$A:$A,$A200,FoodLog!$I:$I)))</f>
        <v/>
      </c>
      <c r="V200">
        <f>IF($A200="","",IF(SUMIF(FoodLog!$A:$A,$A200,FoodLog!$F:$F)=0,"",SUMIF(FoodLog!$A:$A,$A200,FoodLog!$F:$F)))</f>
        <v/>
      </c>
      <c r="W200">
        <f>IF($A200="","",IF(SUMIF(FoodLog!$A:$A,$A200,FoodLog!$G:$G)=0,"",SUMIF(FoodLog!$A:$A,$A200,FoodLog!$G:$G)))</f>
        <v/>
      </c>
      <c r="X200">
        <f>IF($A200="","",IF(SUMIF(FoodLog!$A:$A,$A200,FoodLog!$H:$H)=0,"",SUMIF(FoodLog!$A:$A,$A200,FoodLog!$H:$H)))</f>
        <v/>
      </c>
      <c r="Y200">
        <f>IF($A200="","",IFERROR(ROUND(100*AVERAGE(IF($B200="","",XLOOKUP($B200,FILTER(Dictionaries!$B:$B,Dictionaries!$A:$A="??????????"),FILTER(Dictionaries!$C:$C,Dictionaries!$A:$A="??????????"))),IF($C200="","",MIN($C200/40,1)),IF($D200="","",XLOOKUP($D200,FILTER(Dictionaries!$B:$B,Dictionaries!$A:$A="????"),FILTER(Dictionaries!$C:$C,Dictionaries!$A:$A="????"))),IF($E200="","",MIN($E200/120,1)),IF(OR($F200&lt;&gt;"",$G200&lt;&gt;""),1,""),IF($H200="","",MIN($H200/100,1)),IF($L200="","",XLOOKUP($L200,FILTER(Dictionaries!$B:$B,Dictionaries!$A:$A="???_????"),FILTER(Dictionaries!$C:$C,Dictionaries!$A:$A="???_????"))),IF($M200="","",XLOOKUP($M200,FILTER(Dictionaries!$B:$B,Dictionaries!$A:$A="?????"),FILTER(Dictionaries!$C:$C,Dictionaries!$A:$A="?????"))),IF($N200="","",MIN($N200/100,1)),IF($O200="","",XLOOKUP($O200,FILTER(Dictionaries!$B:$B,Dictionaries!$A:$A="??????????"),FILTER(Dictionaries!$C:$C,Dictionaries!$A:$A="??????????"))),IF($P200="","",XLOOKUP($P200,FILTER(Dictionaries!$B:$B,Dictionaries!$A:$A="???????"),FILTER(Dictionaries!$C:$C,Dictionaries!$A:$A="???????"))),IF($U200="","",LET(t,IF(OR($B200="????",$B200="????"),"train","rest"),k,$U200,p,$V200,f,$W200,c,$X200,k_s,IF(t="train",IF(k="","",IFS(AND(k&gt;=1900,k&lt;=2050),1,AND(k&gt;=1850,k&lt;1900),0.7,AND(k&gt;2050,k&lt;=2100),0.7,TRUE,0.2)),IF(k="","",IFS(AND(k&gt;=1700,k&lt;=1850),1,AND(k&gt;=1650,k&lt;1700),0.7,AND(k&gt;1850,k&lt;=1900),0.7,TRUE,0.2))),p_s,IF(t="train",IF(p="","",IFS(AND(p&gt;=125,p&lt;=135),1,AND(p&gt;=115,p&lt;125),0.7,AND(p&gt;135,p&lt;=145),0.7,AND(p&gt;=105,p&lt;115),0.4,AND(p&gt;145,p&lt;=155),0.4,TRUE,0.2)),IF(p="","",IFS(AND(p&gt;=120,p&lt;=130),1,AND(p&gt;=110,p&lt;120),0.7,AND(p&gt;130,p&lt;=140),0.7,AND(p&gt;=100,p&lt;110),0.4,AND(p&gt;140,p&lt;=150),0.4,TRUE,0.2))),f_s,IF(f="","",IFS(AND(f&gt;=55,f&lt;=65),1,AND(f&gt;=50,f&lt;55),0.7,AND(f&gt;65,f&lt;=70),0.7,AND(f&gt;=45,f&lt;50),0.4,AND(f&gt;70,f&lt;=75),0.4,TRUE,0.2)),c_s,IF(t="train",IF(c="","",IFS(AND(c&gt;=180,c&lt;=210),1,AND(c&gt;=160,c&lt;180),0.7,AND(c&gt;210,c&lt;=230),0.7,AND(c&gt;=140,c&lt;160),0.4,AND(c&gt;230,c&lt;=250),0.4,TRUE,0.2)),IF(c="","",IFS(AND(c&gt;=140,c&lt;=170),1,AND(c&gt;=120,c&lt;140),0.7,AND(c&gt;170,c&lt;=190),0.7,AND(c&gt;=100,c&lt;120),0.4,AND(c&gt;190,c&lt;=210),0.4,TRUE,0.2))),AVERAGE(k_s,p_s,f_s,c_s)))),1),""))</f>
        <v/>
      </c>
      <c r="Z200">
        <f>IF($A200="","",TEXTJOIN(", ",TRUE,IF($B200="","??????????",""),IF($C200="","??????",""),IF($D200="","????",""),IF($E200="","??????????",""),IF($F200="","???-?????",""),IF($G200="","???-????",""),IF($H200="","??????",""),IF($L200="","???",""),IF($M200="","?????",""),IF($N200="","??????????????",""),IF($O200="","??????????",""),IF($P200="","???????",""),IF($U200="","???","")))</f>
        <v/>
      </c>
    </row>
    <row r="201">
      <c r="U201">
        <f>IF($A201="","",IF(SUMIF(FoodLog!$A:$A,$A201,FoodLog!$I:$I)=0,"",SUMIF(FoodLog!$A:$A,$A201,FoodLog!$I:$I)))</f>
        <v/>
      </c>
      <c r="V201">
        <f>IF($A201="","",IF(SUMIF(FoodLog!$A:$A,$A201,FoodLog!$F:$F)=0,"",SUMIF(FoodLog!$A:$A,$A201,FoodLog!$F:$F)))</f>
        <v/>
      </c>
      <c r="W201">
        <f>IF($A201="","",IF(SUMIF(FoodLog!$A:$A,$A201,FoodLog!$G:$G)=0,"",SUMIF(FoodLog!$A:$A,$A201,FoodLog!$G:$G)))</f>
        <v/>
      </c>
      <c r="X201">
        <f>IF($A201="","",IF(SUMIF(FoodLog!$A:$A,$A201,FoodLog!$H:$H)=0,"",SUMIF(FoodLog!$A:$A,$A201,FoodLog!$H:$H)))</f>
        <v/>
      </c>
      <c r="Y201">
        <f>IF($A201="","",IFERROR(ROUND(100*AVERAGE(IF($B201="","",XLOOKUP($B201,FILTER(Dictionaries!$B:$B,Dictionaries!$A:$A="??????????"),FILTER(Dictionaries!$C:$C,Dictionaries!$A:$A="??????????"))),IF($C201="","",MIN($C201/40,1)),IF($D201="","",XLOOKUP($D201,FILTER(Dictionaries!$B:$B,Dictionaries!$A:$A="????"),FILTER(Dictionaries!$C:$C,Dictionaries!$A:$A="????"))),IF($E201="","",MIN($E201/120,1)),IF(OR($F201&lt;&gt;"",$G201&lt;&gt;""),1,""),IF($H201="","",MIN($H201/100,1)),IF($L201="","",XLOOKUP($L201,FILTER(Dictionaries!$B:$B,Dictionaries!$A:$A="???_????"),FILTER(Dictionaries!$C:$C,Dictionaries!$A:$A="???_????"))),IF($M201="","",XLOOKUP($M201,FILTER(Dictionaries!$B:$B,Dictionaries!$A:$A="?????"),FILTER(Dictionaries!$C:$C,Dictionaries!$A:$A="?????"))),IF($N201="","",MIN($N201/100,1)),IF($O201="","",XLOOKUP($O201,FILTER(Dictionaries!$B:$B,Dictionaries!$A:$A="??????????"),FILTER(Dictionaries!$C:$C,Dictionaries!$A:$A="??????????"))),IF($P201="","",XLOOKUP($P201,FILTER(Dictionaries!$B:$B,Dictionaries!$A:$A="???????"),FILTER(Dictionaries!$C:$C,Dictionaries!$A:$A="???????"))),IF($U201="","",LET(t,IF(OR($B201="????",$B201="????"),"train","rest"),k,$U201,p,$V201,f,$W201,c,$X201,k_s,IF(t="train",IF(k="","",IFS(AND(k&gt;=1900,k&lt;=2050),1,AND(k&gt;=1850,k&lt;1900),0.7,AND(k&gt;2050,k&lt;=2100),0.7,TRUE,0.2)),IF(k="","",IFS(AND(k&gt;=1700,k&lt;=1850),1,AND(k&gt;=1650,k&lt;1700),0.7,AND(k&gt;1850,k&lt;=1900),0.7,TRUE,0.2))),p_s,IF(t="train",IF(p="","",IFS(AND(p&gt;=125,p&lt;=135),1,AND(p&gt;=115,p&lt;125),0.7,AND(p&gt;135,p&lt;=145),0.7,AND(p&gt;=105,p&lt;115),0.4,AND(p&gt;145,p&lt;=155),0.4,TRUE,0.2)),IF(p="","",IFS(AND(p&gt;=120,p&lt;=130),1,AND(p&gt;=110,p&lt;120),0.7,AND(p&gt;130,p&lt;=140),0.7,AND(p&gt;=100,p&lt;110),0.4,AND(p&gt;140,p&lt;=150),0.4,TRUE,0.2))),f_s,IF(f="","",IFS(AND(f&gt;=55,f&lt;=65),1,AND(f&gt;=50,f&lt;55),0.7,AND(f&gt;65,f&lt;=70),0.7,AND(f&gt;=45,f&lt;50),0.4,AND(f&gt;70,f&lt;=75),0.4,TRUE,0.2)),c_s,IF(t="train",IF(c="","",IFS(AND(c&gt;=180,c&lt;=210),1,AND(c&gt;=160,c&lt;180),0.7,AND(c&gt;210,c&lt;=230),0.7,AND(c&gt;=140,c&lt;160),0.4,AND(c&gt;230,c&lt;=250),0.4,TRUE,0.2)),IF(c="","",IFS(AND(c&gt;=140,c&lt;=170),1,AND(c&gt;=120,c&lt;140),0.7,AND(c&gt;170,c&lt;=190),0.7,AND(c&gt;=100,c&lt;120),0.4,AND(c&gt;190,c&lt;=210),0.4,TRUE,0.2))),AVERAGE(k_s,p_s,f_s,c_s)))),1),""))</f>
        <v/>
      </c>
      <c r="Z201">
        <f>IF($A201="","",TEXTJOIN(", ",TRUE,IF($B201="","??????????",""),IF($C201="","??????",""),IF($D201="","????",""),IF($E201="","??????????",""),IF($F201="","???-?????",""),IF($G201="","???-????",""),IF($H201="","??????",""),IF($L201="","???",""),IF($M201="","?????",""),IF($N201="","??????????????",""),IF($O201="","??????????",""),IF($P201="","???????",""),IF($U201="","???","")))</f>
        <v/>
      </c>
    </row>
    <row r="202">
      <c r="U202">
        <f>IF($A202="","",IF(SUMIF(FoodLog!$A:$A,$A202,FoodLog!$I:$I)=0,"",SUMIF(FoodLog!$A:$A,$A202,FoodLog!$I:$I)))</f>
        <v/>
      </c>
      <c r="V202">
        <f>IF($A202="","",IF(SUMIF(FoodLog!$A:$A,$A202,FoodLog!$F:$F)=0,"",SUMIF(FoodLog!$A:$A,$A202,FoodLog!$F:$F)))</f>
        <v/>
      </c>
      <c r="W202">
        <f>IF($A202="","",IF(SUMIF(FoodLog!$A:$A,$A202,FoodLog!$G:$G)=0,"",SUMIF(FoodLog!$A:$A,$A202,FoodLog!$G:$G)))</f>
        <v/>
      </c>
      <c r="X202">
        <f>IF($A202="","",IF(SUMIF(FoodLog!$A:$A,$A202,FoodLog!$H:$H)=0,"",SUMIF(FoodLog!$A:$A,$A202,FoodLog!$H:$H)))</f>
        <v/>
      </c>
      <c r="Y202">
        <f>IF($A202="","",IFERROR(ROUND(100*AVERAGE(IF($B202="","",XLOOKUP($B202,FILTER(Dictionaries!$B:$B,Dictionaries!$A:$A="??????????"),FILTER(Dictionaries!$C:$C,Dictionaries!$A:$A="??????????"))),IF($C202="","",MIN($C202/40,1)),IF($D202="","",XLOOKUP($D202,FILTER(Dictionaries!$B:$B,Dictionaries!$A:$A="????"),FILTER(Dictionaries!$C:$C,Dictionaries!$A:$A="????"))),IF($E202="","",MIN($E202/120,1)),IF(OR($F202&lt;&gt;"",$G202&lt;&gt;""),1,""),IF($H202="","",MIN($H202/100,1)),IF($L202="","",XLOOKUP($L202,FILTER(Dictionaries!$B:$B,Dictionaries!$A:$A="???_????"),FILTER(Dictionaries!$C:$C,Dictionaries!$A:$A="???_????"))),IF($M202="","",XLOOKUP($M202,FILTER(Dictionaries!$B:$B,Dictionaries!$A:$A="?????"),FILTER(Dictionaries!$C:$C,Dictionaries!$A:$A="?????"))),IF($N202="","",MIN($N202/100,1)),IF($O202="","",XLOOKUP($O202,FILTER(Dictionaries!$B:$B,Dictionaries!$A:$A="??????????"),FILTER(Dictionaries!$C:$C,Dictionaries!$A:$A="??????????"))),IF($P202="","",XLOOKUP($P202,FILTER(Dictionaries!$B:$B,Dictionaries!$A:$A="???????"),FILTER(Dictionaries!$C:$C,Dictionaries!$A:$A="???????"))),IF($U202="","",LET(t,IF(OR($B202="????",$B202="????"),"train","rest"),k,$U202,p,$V202,f,$W202,c,$X202,k_s,IF(t="train",IF(k="","",IFS(AND(k&gt;=1900,k&lt;=2050),1,AND(k&gt;=1850,k&lt;1900),0.7,AND(k&gt;2050,k&lt;=2100),0.7,TRUE,0.2)),IF(k="","",IFS(AND(k&gt;=1700,k&lt;=1850),1,AND(k&gt;=1650,k&lt;1700),0.7,AND(k&gt;1850,k&lt;=1900),0.7,TRUE,0.2))),p_s,IF(t="train",IF(p="","",IFS(AND(p&gt;=125,p&lt;=135),1,AND(p&gt;=115,p&lt;125),0.7,AND(p&gt;135,p&lt;=145),0.7,AND(p&gt;=105,p&lt;115),0.4,AND(p&gt;145,p&lt;=155),0.4,TRUE,0.2)),IF(p="","",IFS(AND(p&gt;=120,p&lt;=130),1,AND(p&gt;=110,p&lt;120),0.7,AND(p&gt;130,p&lt;=140),0.7,AND(p&gt;=100,p&lt;110),0.4,AND(p&gt;140,p&lt;=150),0.4,TRUE,0.2))),f_s,IF(f="","",IFS(AND(f&gt;=55,f&lt;=65),1,AND(f&gt;=50,f&lt;55),0.7,AND(f&gt;65,f&lt;=70),0.7,AND(f&gt;=45,f&lt;50),0.4,AND(f&gt;70,f&lt;=75),0.4,TRUE,0.2)),c_s,IF(t="train",IF(c="","",IFS(AND(c&gt;=180,c&lt;=210),1,AND(c&gt;=160,c&lt;180),0.7,AND(c&gt;210,c&lt;=230),0.7,AND(c&gt;=140,c&lt;160),0.4,AND(c&gt;230,c&lt;=250),0.4,TRUE,0.2)),IF(c="","",IFS(AND(c&gt;=140,c&lt;=170),1,AND(c&gt;=120,c&lt;140),0.7,AND(c&gt;170,c&lt;=190),0.7,AND(c&gt;=100,c&lt;120),0.4,AND(c&gt;190,c&lt;=210),0.4,TRUE,0.2))),AVERAGE(k_s,p_s,f_s,c_s)))),1),""))</f>
        <v/>
      </c>
      <c r="Z202">
        <f>IF($A202="","",TEXTJOIN(", ",TRUE,IF($B202="","??????????",""),IF($C202="","??????",""),IF($D202="","????",""),IF($E202="","??????????",""),IF($F202="","???-?????",""),IF($G202="","???-????",""),IF($H202="","??????",""),IF($L202="","???",""),IF($M202="","?????",""),IF($N202="","??????????????",""),IF($O202="","??????????",""),IF($P202="","???????",""),IF($U202="","???","")))</f>
        <v/>
      </c>
    </row>
    <row r="203">
      <c r="U203">
        <f>IF($A203="","",IF(SUMIF(FoodLog!$A:$A,$A203,FoodLog!$I:$I)=0,"",SUMIF(FoodLog!$A:$A,$A203,FoodLog!$I:$I)))</f>
        <v/>
      </c>
      <c r="V203">
        <f>IF($A203="","",IF(SUMIF(FoodLog!$A:$A,$A203,FoodLog!$F:$F)=0,"",SUMIF(FoodLog!$A:$A,$A203,FoodLog!$F:$F)))</f>
        <v/>
      </c>
      <c r="W203">
        <f>IF($A203="","",IF(SUMIF(FoodLog!$A:$A,$A203,FoodLog!$G:$G)=0,"",SUMIF(FoodLog!$A:$A,$A203,FoodLog!$G:$G)))</f>
        <v/>
      </c>
      <c r="X203">
        <f>IF($A203="","",IF(SUMIF(FoodLog!$A:$A,$A203,FoodLog!$H:$H)=0,"",SUMIF(FoodLog!$A:$A,$A203,FoodLog!$H:$H)))</f>
        <v/>
      </c>
      <c r="Y203">
        <f>IF($A203="","",IFERROR(ROUND(100*AVERAGE(IF($B203="","",XLOOKUP($B203,FILTER(Dictionaries!$B:$B,Dictionaries!$A:$A="??????????"),FILTER(Dictionaries!$C:$C,Dictionaries!$A:$A="??????????"))),IF($C203="","",MIN($C203/40,1)),IF($D203="","",XLOOKUP($D203,FILTER(Dictionaries!$B:$B,Dictionaries!$A:$A="????"),FILTER(Dictionaries!$C:$C,Dictionaries!$A:$A="????"))),IF($E203="","",MIN($E203/120,1)),IF(OR($F203&lt;&gt;"",$G203&lt;&gt;""),1,""),IF($H203="","",MIN($H203/100,1)),IF($L203="","",XLOOKUP($L203,FILTER(Dictionaries!$B:$B,Dictionaries!$A:$A="???_????"),FILTER(Dictionaries!$C:$C,Dictionaries!$A:$A="???_????"))),IF($M203="","",XLOOKUP($M203,FILTER(Dictionaries!$B:$B,Dictionaries!$A:$A="?????"),FILTER(Dictionaries!$C:$C,Dictionaries!$A:$A="?????"))),IF($N203="","",MIN($N203/100,1)),IF($O203="","",XLOOKUP($O203,FILTER(Dictionaries!$B:$B,Dictionaries!$A:$A="??????????"),FILTER(Dictionaries!$C:$C,Dictionaries!$A:$A="??????????"))),IF($P203="","",XLOOKUP($P203,FILTER(Dictionaries!$B:$B,Dictionaries!$A:$A="???????"),FILTER(Dictionaries!$C:$C,Dictionaries!$A:$A="???????"))),IF($U203="","",LET(t,IF(OR($B203="????",$B203="????"),"train","rest"),k,$U203,p,$V203,f,$W203,c,$X203,k_s,IF(t="train",IF(k="","",IFS(AND(k&gt;=1900,k&lt;=2050),1,AND(k&gt;=1850,k&lt;1900),0.7,AND(k&gt;2050,k&lt;=2100),0.7,TRUE,0.2)),IF(k="","",IFS(AND(k&gt;=1700,k&lt;=1850),1,AND(k&gt;=1650,k&lt;1700),0.7,AND(k&gt;1850,k&lt;=1900),0.7,TRUE,0.2))),p_s,IF(t="train",IF(p="","",IFS(AND(p&gt;=125,p&lt;=135),1,AND(p&gt;=115,p&lt;125),0.7,AND(p&gt;135,p&lt;=145),0.7,AND(p&gt;=105,p&lt;115),0.4,AND(p&gt;145,p&lt;=155),0.4,TRUE,0.2)),IF(p="","",IFS(AND(p&gt;=120,p&lt;=130),1,AND(p&gt;=110,p&lt;120),0.7,AND(p&gt;130,p&lt;=140),0.7,AND(p&gt;=100,p&lt;110),0.4,AND(p&gt;140,p&lt;=150),0.4,TRUE,0.2))),f_s,IF(f="","",IFS(AND(f&gt;=55,f&lt;=65),1,AND(f&gt;=50,f&lt;55),0.7,AND(f&gt;65,f&lt;=70),0.7,AND(f&gt;=45,f&lt;50),0.4,AND(f&gt;70,f&lt;=75),0.4,TRUE,0.2)),c_s,IF(t="train",IF(c="","",IFS(AND(c&gt;=180,c&lt;=210),1,AND(c&gt;=160,c&lt;180),0.7,AND(c&gt;210,c&lt;=230),0.7,AND(c&gt;=140,c&lt;160),0.4,AND(c&gt;230,c&lt;=250),0.4,TRUE,0.2)),IF(c="","",IFS(AND(c&gt;=140,c&lt;=170),1,AND(c&gt;=120,c&lt;140),0.7,AND(c&gt;170,c&lt;=190),0.7,AND(c&gt;=100,c&lt;120),0.4,AND(c&gt;190,c&lt;=210),0.4,TRUE,0.2))),AVERAGE(k_s,p_s,f_s,c_s)))),1),""))</f>
        <v/>
      </c>
      <c r="Z203">
        <f>IF($A203="","",TEXTJOIN(", ",TRUE,IF($B203="","??????????",""),IF($C203="","??????",""),IF($D203="","????",""),IF($E203="","??????????",""),IF($F203="","???-?????",""),IF($G203="","???-????",""),IF($H203="","??????",""),IF($L203="","???",""),IF($M203="","?????",""),IF($N203="","??????????????",""),IF($O203="","??????????",""),IF($P203="","???????",""),IF($U203="","???","")))</f>
        <v/>
      </c>
    </row>
    <row r="204">
      <c r="U204">
        <f>IF($A204="","",IF(SUMIF(FoodLog!$A:$A,$A204,FoodLog!$I:$I)=0,"",SUMIF(FoodLog!$A:$A,$A204,FoodLog!$I:$I)))</f>
        <v/>
      </c>
      <c r="V204">
        <f>IF($A204="","",IF(SUMIF(FoodLog!$A:$A,$A204,FoodLog!$F:$F)=0,"",SUMIF(FoodLog!$A:$A,$A204,FoodLog!$F:$F)))</f>
        <v/>
      </c>
      <c r="W204">
        <f>IF($A204="","",IF(SUMIF(FoodLog!$A:$A,$A204,FoodLog!$G:$G)=0,"",SUMIF(FoodLog!$A:$A,$A204,FoodLog!$G:$G)))</f>
        <v/>
      </c>
      <c r="X204">
        <f>IF($A204="","",IF(SUMIF(FoodLog!$A:$A,$A204,FoodLog!$H:$H)=0,"",SUMIF(FoodLog!$A:$A,$A204,FoodLog!$H:$H)))</f>
        <v/>
      </c>
      <c r="Y204">
        <f>IF($A204="","",IFERROR(ROUND(100*AVERAGE(IF($B204="","",XLOOKUP($B204,FILTER(Dictionaries!$B:$B,Dictionaries!$A:$A="??????????"),FILTER(Dictionaries!$C:$C,Dictionaries!$A:$A="??????????"))),IF($C204="","",MIN($C204/40,1)),IF($D204="","",XLOOKUP($D204,FILTER(Dictionaries!$B:$B,Dictionaries!$A:$A="????"),FILTER(Dictionaries!$C:$C,Dictionaries!$A:$A="????"))),IF($E204="","",MIN($E204/120,1)),IF(OR($F204&lt;&gt;"",$G204&lt;&gt;""),1,""),IF($H204="","",MIN($H204/100,1)),IF($L204="","",XLOOKUP($L204,FILTER(Dictionaries!$B:$B,Dictionaries!$A:$A="???_????"),FILTER(Dictionaries!$C:$C,Dictionaries!$A:$A="???_????"))),IF($M204="","",XLOOKUP($M204,FILTER(Dictionaries!$B:$B,Dictionaries!$A:$A="?????"),FILTER(Dictionaries!$C:$C,Dictionaries!$A:$A="?????"))),IF($N204="","",MIN($N204/100,1)),IF($O204="","",XLOOKUP($O204,FILTER(Dictionaries!$B:$B,Dictionaries!$A:$A="??????????"),FILTER(Dictionaries!$C:$C,Dictionaries!$A:$A="??????????"))),IF($P204="","",XLOOKUP($P204,FILTER(Dictionaries!$B:$B,Dictionaries!$A:$A="???????"),FILTER(Dictionaries!$C:$C,Dictionaries!$A:$A="???????"))),IF($U204="","",LET(t,IF(OR($B204="????",$B204="????"),"train","rest"),k,$U204,p,$V204,f,$W204,c,$X204,k_s,IF(t="train",IF(k="","",IFS(AND(k&gt;=1900,k&lt;=2050),1,AND(k&gt;=1850,k&lt;1900),0.7,AND(k&gt;2050,k&lt;=2100),0.7,TRUE,0.2)),IF(k="","",IFS(AND(k&gt;=1700,k&lt;=1850),1,AND(k&gt;=1650,k&lt;1700),0.7,AND(k&gt;1850,k&lt;=1900),0.7,TRUE,0.2))),p_s,IF(t="train",IF(p="","",IFS(AND(p&gt;=125,p&lt;=135),1,AND(p&gt;=115,p&lt;125),0.7,AND(p&gt;135,p&lt;=145),0.7,AND(p&gt;=105,p&lt;115),0.4,AND(p&gt;145,p&lt;=155),0.4,TRUE,0.2)),IF(p="","",IFS(AND(p&gt;=120,p&lt;=130),1,AND(p&gt;=110,p&lt;120),0.7,AND(p&gt;130,p&lt;=140),0.7,AND(p&gt;=100,p&lt;110),0.4,AND(p&gt;140,p&lt;=150),0.4,TRUE,0.2))),f_s,IF(f="","",IFS(AND(f&gt;=55,f&lt;=65),1,AND(f&gt;=50,f&lt;55),0.7,AND(f&gt;65,f&lt;=70),0.7,AND(f&gt;=45,f&lt;50),0.4,AND(f&gt;70,f&lt;=75),0.4,TRUE,0.2)),c_s,IF(t="train",IF(c="","",IFS(AND(c&gt;=180,c&lt;=210),1,AND(c&gt;=160,c&lt;180),0.7,AND(c&gt;210,c&lt;=230),0.7,AND(c&gt;=140,c&lt;160),0.4,AND(c&gt;230,c&lt;=250),0.4,TRUE,0.2)),IF(c="","",IFS(AND(c&gt;=140,c&lt;=170),1,AND(c&gt;=120,c&lt;140),0.7,AND(c&gt;170,c&lt;=190),0.7,AND(c&gt;=100,c&lt;120),0.4,AND(c&gt;190,c&lt;=210),0.4,TRUE,0.2))),AVERAGE(k_s,p_s,f_s,c_s)))),1),""))</f>
        <v/>
      </c>
      <c r="Z204">
        <f>IF($A204="","",TEXTJOIN(", ",TRUE,IF($B204="","??????????",""),IF($C204="","??????",""),IF($D204="","????",""),IF($E204="","??????????",""),IF($F204="","???-?????",""),IF($G204="","???-????",""),IF($H204="","??????",""),IF($L204="","???",""),IF($M204="","?????",""),IF($N204="","??????????????",""),IF($O204="","??????????",""),IF($P204="","???????",""),IF($U204="","???","")))</f>
        <v/>
      </c>
    </row>
    <row r="205">
      <c r="U205">
        <f>IF($A205="","",IF(SUMIF(FoodLog!$A:$A,$A205,FoodLog!$I:$I)=0,"",SUMIF(FoodLog!$A:$A,$A205,FoodLog!$I:$I)))</f>
        <v/>
      </c>
      <c r="V205">
        <f>IF($A205="","",IF(SUMIF(FoodLog!$A:$A,$A205,FoodLog!$F:$F)=0,"",SUMIF(FoodLog!$A:$A,$A205,FoodLog!$F:$F)))</f>
        <v/>
      </c>
      <c r="W205">
        <f>IF($A205="","",IF(SUMIF(FoodLog!$A:$A,$A205,FoodLog!$G:$G)=0,"",SUMIF(FoodLog!$A:$A,$A205,FoodLog!$G:$G)))</f>
        <v/>
      </c>
      <c r="X205">
        <f>IF($A205="","",IF(SUMIF(FoodLog!$A:$A,$A205,FoodLog!$H:$H)=0,"",SUMIF(FoodLog!$A:$A,$A205,FoodLog!$H:$H)))</f>
        <v/>
      </c>
      <c r="Y205">
        <f>IF($A205="","",IFERROR(ROUND(100*AVERAGE(IF($B205="","",XLOOKUP($B205,FILTER(Dictionaries!$B:$B,Dictionaries!$A:$A="??????????"),FILTER(Dictionaries!$C:$C,Dictionaries!$A:$A="??????????"))),IF($C205="","",MIN($C205/40,1)),IF($D205="","",XLOOKUP($D205,FILTER(Dictionaries!$B:$B,Dictionaries!$A:$A="????"),FILTER(Dictionaries!$C:$C,Dictionaries!$A:$A="????"))),IF($E205="","",MIN($E205/120,1)),IF(OR($F205&lt;&gt;"",$G205&lt;&gt;""),1,""),IF($H205="","",MIN($H205/100,1)),IF($L205="","",XLOOKUP($L205,FILTER(Dictionaries!$B:$B,Dictionaries!$A:$A="???_????"),FILTER(Dictionaries!$C:$C,Dictionaries!$A:$A="???_????"))),IF($M205="","",XLOOKUP($M205,FILTER(Dictionaries!$B:$B,Dictionaries!$A:$A="?????"),FILTER(Dictionaries!$C:$C,Dictionaries!$A:$A="?????"))),IF($N205="","",MIN($N205/100,1)),IF($O205="","",XLOOKUP($O205,FILTER(Dictionaries!$B:$B,Dictionaries!$A:$A="??????????"),FILTER(Dictionaries!$C:$C,Dictionaries!$A:$A="??????????"))),IF($P205="","",XLOOKUP($P205,FILTER(Dictionaries!$B:$B,Dictionaries!$A:$A="???????"),FILTER(Dictionaries!$C:$C,Dictionaries!$A:$A="???????"))),IF($U205="","",LET(t,IF(OR($B205="????",$B205="????"),"train","rest"),k,$U205,p,$V205,f,$W205,c,$X205,k_s,IF(t="train",IF(k="","",IFS(AND(k&gt;=1900,k&lt;=2050),1,AND(k&gt;=1850,k&lt;1900),0.7,AND(k&gt;2050,k&lt;=2100),0.7,TRUE,0.2)),IF(k="","",IFS(AND(k&gt;=1700,k&lt;=1850),1,AND(k&gt;=1650,k&lt;1700),0.7,AND(k&gt;1850,k&lt;=1900),0.7,TRUE,0.2))),p_s,IF(t="train",IF(p="","",IFS(AND(p&gt;=125,p&lt;=135),1,AND(p&gt;=115,p&lt;125),0.7,AND(p&gt;135,p&lt;=145),0.7,AND(p&gt;=105,p&lt;115),0.4,AND(p&gt;145,p&lt;=155),0.4,TRUE,0.2)),IF(p="","",IFS(AND(p&gt;=120,p&lt;=130),1,AND(p&gt;=110,p&lt;120),0.7,AND(p&gt;130,p&lt;=140),0.7,AND(p&gt;=100,p&lt;110),0.4,AND(p&gt;140,p&lt;=150),0.4,TRUE,0.2))),f_s,IF(f="","",IFS(AND(f&gt;=55,f&lt;=65),1,AND(f&gt;=50,f&lt;55),0.7,AND(f&gt;65,f&lt;=70),0.7,AND(f&gt;=45,f&lt;50),0.4,AND(f&gt;70,f&lt;=75),0.4,TRUE,0.2)),c_s,IF(t="train",IF(c="","",IFS(AND(c&gt;=180,c&lt;=210),1,AND(c&gt;=160,c&lt;180),0.7,AND(c&gt;210,c&lt;=230),0.7,AND(c&gt;=140,c&lt;160),0.4,AND(c&gt;230,c&lt;=250),0.4,TRUE,0.2)),IF(c="","",IFS(AND(c&gt;=140,c&lt;=170),1,AND(c&gt;=120,c&lt;140),0.7,AND(c&gt;170,c&lt;=190),0.7,AND(c&gt;=100,c&lt;120),0.4,AND(c&gt;190,c&lt;=210),0.4,TRUE,0.2))),AVERAGE(k_s,p_s,f_s,c_s)))),1),""))</f>
        <v/>
      </c>
      <c r="Z205">
        <f>IF($A205="","",TEXTJOIN(", ",TRUE,IF($B205="","??????????",""),IF($C205="","??????",""),IF($D205="","????",""),IF($E205="","??????????",""),IF($F205="","???-?????",""),IF($G205="","???-????",""),IF($H205="","??????",""),IF($L205="","???",""),IF($M205="","?????",""),IF($N205="","??????????????",""),IF($O205="","??????????",""),IF($P205="","???????",""),IF($U205="","???","")))</f>
        <v/>
      </c>
    </row>
    <row r="206">
      <c r="U206">
        <f>IF($A206="","",IF(SUMIF(FoodLog!$A:$A,$A206,FoodLog!$I:$I)=0,"",SUMIF(FoodLog!$A:$A,$A206,FoodLog!$I:$I)))</f>
        <v/>
      </c>
      <c r="V206">
        <f>IF($A206="","",IF(SUMIF(FoodLog!$A:$A,$A206,FoodLog!$F:$F)=0,"",SUMIF(FoodLog!$A:$A,$A206,FoodLog!$F:$F)))</f>
        <v/>
      </c>
      <c r="W206">
        <f>IF($A206="","",IF(SUMIF(FoodLog!$A:$A,$A206,FoodLog!$G:$G)=0,"",SUMIF(FoodLog!$A:$A,$A206,FoodLog!$G:$G)))</f>
        <v/>
      </c>
      <c r="X206">
        <f>IF($A206="","",IF(SUMIF(FoodLog!$A:$A,$A206,FoodLog!$H:$H)=0,"",SUMIF(FoodLog!$A:$A,$A206,FoodLog!$H:$H)))</f>
        <v/>
      </c>
      <c r="Y206">
        <f>IF($A206="","",IFERROR(ROUND(100*AVERAGE(IF($B206="","",XLOOKUP($B206,FILTER(Dictionaries!$B:$B,Dictionaries!$A:$A="??????????"),FILTER(Dictionaries!$C:$C,Dictionaries!$A:$A="??????????"))),IF($C206="","",MIN($C206/40,1)),IF($D206="","",XLOOKUP($D206,FILTER(Dictionaries!$B:$B,Dictionaries!$A:$A="????"),FILTER(Dictionaries!$C:$C,Dictionaries!$A:$A="????"))),IF($E206="","",MIN($E206/120,1)),IF(OR($F206&lt;&gt;"",$G206&lt;&gt;""),1,""),IF($H206="","",MIN($H206/100,1)),IF($L206="","",XLOOKUP($L206,FILTER(Dictionaries!$B:$B,Dictionaries!$A:$A="???_????"),FILTER(Dictionaries!$C:$C,Dictionaries!$A:$A="???_????"))),IF($M206="","",XLOOKUP($M206,FILTER(Dictionaries!$B:$B,Dictionaries!$A:$A="?????"),FILTER(Dictionaries!$C:$C,Dictionaries!$A:$A="?????"))),IF($N206="","",MIN($N206/100,1)),IF($O206="","",XLOOKUP($O206,FILTER(Dictionaries!$B:$B,Dictionaries!$A:$A="??????????"),FILTER(Dictionaries!$C:$C,Dictionaries!$A:$A="??????????"))),IF($P206="","",XLOOKUP($P206,FILTER(Dictionaries!$B:$B,Dictionaries!$A:$A="???????"),FILTER(Dictionaries!$C:$C,Dictionaries!$A:$A="???????"))),IF($U206="","",LET(t,IF(OR($B206="????",$B206="????"),"train","rest"),k,$U206,p,$V206,f,$W206,c,$X206,k_s,IF(t="train",IF(k="","",IFS(AND(k&gt;=1900,k&lt;=2050),1,AND(k&gt;=1850,k&lt;1900),0.7,AND(k&gt;2050,k&lt;=2100),0.7,TRUE,0.2)),IF(k="","",IFS(AND(k&gt;=1700,k&lt;=1850),1,AND(k&gt;=1650,k&lt;1700),0.7,AND(k&gt;1850,k&lt;=1900),0.7,TRUE,0.2))),p_s,IF(t="train",IF(p="","",IFS(AND(p&gt;=125,p&lt;=135),1,AND(p&gt;=115,p&lt;125),0.7,AND(p&gt;135,p&lt;=145),0.7,AND(p&gt;=105,p&lt;115),0.4,AND(p&gt;145,p&lt;=155),0.4,TRUE,0.2)),IF(p="","",IFS(AND(p&gt;=120,p&lt;=130),1,AND(p&gt;=110,p&lt;120),0.7,AND(p&gt;130,p&lt;=140),0.7,AND(p&gt;=100,p&lt;110),0.4,AND(p&gt;140,p&lt;=150),0.4,TRUE,0.2))),f_s,IF(f="","",IFS(AND(f&gt;=55,f&lt;=65),1,AND(f&gt;=50,f&lt;55),0.7,AND(f&gt;65,f&lt;=70),0.7,AND(f&gt;=45,f&lt;50),0.4,AND(f&gt;70,f&lt;=75),0.4,TRUE,0.2)),c_s,IF(t="train",IF(c="","",IFS(AND(c&gt;=180,c&lt;=210),1,AND(c&gt;=160,c&lt;180),0.7,AND(c&gt;210,c&lt;=230),0.7,AND(c&gt;=140,c&lt;160),0.4,AND(c&gt;230,c&lt;=250),0.4,TRUE,0.2)),IF(c="","",IFS(AND(c&gt;=140,c&lt;=170),1,AND(c&gt;=120,c&lt;140),0.7,AND(c&gt;170,c&lt;=190),0.7,AND(c&gt;=100,c&lt;120),0.4,AND(c&gt;190,c&lt;=210),0.4,TRUE,0.2))),AVERAGE(k_s,p_s,f_s,c_s)))),1),""))</f>
        <v/>
      </c>
      <c r="Z206">
        <f>IF($A206="","",TEXTJOIN(", ",TRUE,IF($B206="","??????????",""),IF($C206="","??????",""),IF($D206="","????",""),IF($E206="","??????????",""),IF($F206="","???-?????",""),IF($G206="","???-????",""),IF($H206="","??????",""),IF($L206="","???",""),IF($M206="","?????",""),IF($N206="","??????????????",""),IF($O206="","??????????",""),IF($P206="","???????",""),IF($U206="","???","")))</f>
        <v/>
      </c>
    </row>
    <row r="207">
      <c r="U207">
        <f>IF($A207="","",IF(SUMIF(FoodLog!$A:$A,$A207,FoodLog!$I:$I)=0,"",SUMIF(FoodLog!$A:$A,$A207,FoodLog!$I:$I)))</f>
        <v/>
      </c>
      <c r="V207">
        <f>IF($A207="","",IF(SUMIF(FoodLog!$A:$A,$A207,FoodLog!$F:$F)=0,"",SUMIF(FoodLog!$A:$A,$A207,FoodLog!$F:$F)))</f>
        <v/>
      </c>
      <c r="W207">
        <f>IF($A207="","",IF(SUMIF(FoodLog!$A:$A,$A207,FoodLog!$G:$G)=0,"",SUMIF(FoodLog!$A:$A,$A207,FoodLog!$G:$G)))</f>
        <v/>
      </c>
      <c r="X207">
        <f>IF($A207="","",IF(SUMIF(FoodLog!$A:$A,$A207,FoodLog!$H:$H)=0,"",SUMIF(FoodLog!$A:$A,$A207,FoodLog!$H:$H)))</f>
        <v/>
      </c>
      <c r="Y207">
        <f>IF($A207="","",IFERROR(ROUND(100*AVERAGE(IF($B207="","",XLOOKUP($B207,FILTER(Dictionaries!$B:$B,Dictionaries!$A:$A="??????????"),FILTER(Dictionaries!$C:$C,Dictionaries!$A:$A="??????????"))),IF($C207="","",MIN($C207/40,1)),IF($D207="","",XLOOKUP($D207,FILTER(Dictionaries!$B:$B,Dictionaries!$A:$A="????"),FILTER(Dictionaries!$C:$C,Dictionaries!$A:$A="????"))),IF($E207="","",MIN($E207/120,1)),IF(OR($F207&lt;&gt;"",$G207&lt;&gt;""),1,""),IF($H207="","",MIN($H207/100,1)),IF($L207="","",XLOOKUP($L207,FILTER(Dictionaries!$B:$B,Dictionaries!$A:$A="???_????"),FILTER(Dictionaries!$C:$C,Dictionaries!$A:$A="???_????"))),IF($M207="","",XLOOKUP($M207,FILTER(Dictionaries!$B:$B,Dictionaries!$A:$A="?????"),FILTER(Dictionaries!$C:$C,Dictionaries!$A:$A="?????"))),IF($N207="","",MIN($N207/100,1)),IF($O207="","",XLOOKUP($O207,FILTER(Dictionaries!$B:$B,Dictionaries!$A:$A="??????????"),FILTER(Dictionaries!$C:$C,Dictionaries!$A:$A="??????????"))),IF($P207="","",XLOOKUP($P207,FILTER(Dictionaries!$B:$B,Dictionaries!$A:$A="???????"),FILTER(Dictionaries!$C:$C,Dictionaries!$A:$A="???????"))),IF($U207="","",LET(t,IF(OR($B207="????",$B207="????"),"train","rest"),k,$U207,p,$V207,f,$W207,c,$X207,k_s,IF(t="train",IF(k="","",IFS(AND(k&gt;=1900,k&lt;=2050),1,AND(k&gt;=1850,k&lt;1900),0.7,AND(k&gt;2050,k&lt;=2100),0.7,TRUE,0.2)),IF(k="","",IFS(AND(k&gt;=1700,k&lt;=1850),1,AND(k&gt;=1650,k&lt;1700),0.7,AND(k&gt;1850,k&lt;=1900),0.7,TRUE,0.2))),p_s,IF(t="train",IF(p="","",IFS(AND(p&gt;=125,p&lt;=135),1,AND(p&gt;=115,p&lt;125),0.7,AND(p&gt;135,p&lt;=145),0.7,AND(p&gt;=105,p&lt;115),0.4,AND(p&gt;145,p&lt;=155),0.4,TRUE,0.2)),IF(p="","",IFS(AND(p&gt;=120,p&lt;=130),1,AND(p&gt;=110,p&lt;120),0.7,AND(p&gt;130,p&lt;=140),0.7,AND(p&gt;=100,p&lt;110),0.4,AND(p&gt;140,p&lt;=150),0.4,TRUE,0.2))),f_s,IF(f="","",IFS(AND(f&gt;=55,f&lt;=65),1,AND(f&gt;=50,f&lt;55),0.7,AND(f&gt;65,f&lt;=70),0.7,AND(f&gt;=45,f&lt;50),0.4,AND(f&gt;70,f&lt;=75),0.4,TRUE,0.2)),c_s,IF(t="train",IF(c="","",IFS(AND(c&gt;=180,c&lt;=210),1,AND(c&gt;=160,c&lt;180),0.7,AND(c&gt;210,c&lt;=230),0.7,AND(c&gt;=140,c&lt;160),0.4,AND(c&gt;230,c&lt;=250),0.4,TRUE,0.2)),IF(c="","",IFS(AND(c&gt;=140,c&lt;=170),1,AND(c&gt;=120,c&lt;140),0.7,AND(c&gt;170,c&lt;=190),0.7,AND(c&gt;=100,c&lt;120),0.4,AND(c&gt;190,c&lt;=210),0.4,TRUE,0.2))),AVERAGE(k_s,p_s,f_s,c_s)))),1),""))</f>
        <v/>
      </c>
      <c r="Z207">
        <f>IF($A207="","",TEXTJOIN(", ",TRUE,IF($B207="","??????????",""),IF($C207="","??????",""),IF($D207="","????",""),IF($E207="","??????????",""),IF($F207="","???-?????",""),IF($G207="","???-????",""),IF($H207="","??????",""),IF($L207="","???",""),IF($M207="","?????",""),IF($N207="","??????????????",""),IF($O207="","??????????",""),IF($P207="","???????",""),IF($U207="","???","")))</f>
        <v/>
      </c>
    </row>
    <row r="208">
      <c r="U208">
        <f>IF($A208="","",IF(SUMIF(FoodLog!$A:$A,$A208,FoodLog!$I:$I)=0,"",SUMIF(FoodLog!$A:$A,$A208,FoodLog!$I:$I)))</f>
        <v/>
      </c>
      <c r="V208">
        <f>IF($A208="","",IF(SUMIF(FoodLog!$A:$A,$A208,FoodLog!$F:$F)=0,"",SUMIF(FoodLog!$A:$A,$A208,FoodLog!$F:$F)))</f>
        <v/>
      </c>
      <c r="W208">
        <f>IF($A208="","",IF(SUMIF(FoodLog!$A:$A,$A208,FoodLog!$G:$G)=0,"",SUMIF(FoodLog!$A:$A,$A208,FoodLog!$G:$G)))</f>
        <v/>
      </c>
      <c r="X208">
        <f>IF($A208="","",IF(SUMIF(FoodLog!$A:$A,$A208,FoodLog!$H:$H)=0,"",SUMIF(FoodLog!$A:$A,$A208,FoodLog!$H:$H)))</f>
        <v/>
      </c>
      <c r="Y208">
        <f>IF($A208="","",IFERROR(ROUND(100*AVERAGE(IF($B208="","",XLOOKUP($B208,FILTER(Dictionaries!$B:$B,Dictionaries!$A:$A="??????????"),FILTER(Dictionaries!$C:$C,Dictionaries!$A:$A="??????????"))),IF($C208="","",MIN($C208/40,1)),IF($D208="","",XLOOKUP($D208,FILTER(Dictionaries!$B:$B,Dictionaries!$A:$A="????"),FILTER(Dictionaries!$C:$C,Dictionaries!$A:$A="????"))),IF($E208="","",MIN($E208/120,1)),IF(OR($F208&lt;&gt;"",$G208&lt;&gt;""),1,""),IF($H208="","",MIN($H208/100,1)),IF($L208="","",XLOOKUP($L208,FILTER(Dictionaries!$B:$B,Dictionaries!$A:$A="???_????"),FILTER(Dictionaries!$C:$C,Dictionaries!$A:$A="???_????"))),IF($M208="","",XLOOKUP($M208,FILTER(Dictionaries!$B:$B,Dictionaries!$A:$A="?????"),FILTER(Dictionaries!$C:$C,Dictionaries!$A:$A="?????"))),IF($N208="","",MIN($N208/100,1)),IF($O208="","",XLOOKUP($O208,FILTER(Dictionaries!$B:$B,Dictionaries!$A:$A="??????????"),FILTER(Dictionaries!$C:$C,Dictionaries!$A:$A="??????????"))),IF($P208="","",XLOOKUP($P208,FILTER(Dictionaries!$B:$B,Dictionaries!$A:$A="???????"),FILTER(Dictionaries!$C:$C,Dictionaries!$A:$A="???????"))),IF($U208="","",LET(t,IF(OR($B208="????",$B208="????"),"train","rest"),k,$U208,p,$V208,f,$W208,c,$X208,k_s,IF(t="train",IF(k="","",IFS(AND(k&gt;=1900,k&lt;=2050),1,AND(k&gt;=1850,k&lt;1900),0.7,AND(k&gt;2050,k&lt;=2100),0.7,TRUE,0.2)),IF(k="","",IFS(AND(k&gt;=1700,k&lt;=1850),1,AND(k&gt;=1650,k&lt;1700),0.7,AND(k&gt;1850,k&lt;=1900),0.7,TRUE,0.2))),p_s,IF(t="train",IF(p="","",IFS(AND(p&gt;=125,p&lt;=135),1,AND(p&gt;=115,p&lt;125),0.7,AND(p&gt;135,p&lt;=145),0.7,AND(p&gt;=105,p&lt;115),0.4,AND(p&gt;145,p&lt;=155),0.4,TRUE,0.2)),IF(p="","",IFS(AND(p&gt;=120,p&lt;=130),1,AND(p&gt;=110,p&lt;120),0.7,AND(p&gt;130,p&lt;=140),0.7,AND(p&gt;=100,p&lt;110),0.4,AND(p&gt;140,p&lt;=150),0.4,TRUE,0.2))),f_s,IF(f="","",IFS(AND(f&gt;=55,f&lt;=65),1,AND(f&gt;=50,f&lt;55),0.7,AND(f&gt;65,f&lt;=70),0.7,AND(f&gt;=45,f&lt;50),0.4,AND(f&gt;70,f&lt;=75),0.4,TRUE,0.2)),c_s,IF(t="train",IF(c="","",IFS(AND(c&gt;=180,c&lt;=210),1,AND(c&gt;=160,c&lt;180),0.7,AND(c&gt;210,c&lt;=230),0.7,AND(c&gt;=140,c&lt;160),0.4,AND(c&gt;230,c&lt;=250),0.4,TRUE,0.2)),IF(c="","",IFS(AND(c&gt;=140,c&lt;=170),1,AND(c&gt;=120,c&lt;140),0.7,AND(c&gt;170,c&lt;=190),0.7,AND(c&gt;=100,c&lt;120),0.4,AND(c&gt;190,c&lt;=210),0.4,TRUE,0.2))),AVERAGE(k_s,p_s,f_s,c_s)))),1),""))</f>
        <v/>
      </c>
      <c r="Z208">
        <f>IF($A208="","",TEXTJOIN(", ",TRUE,IF($B208="","??????????",""),IF($C208="","??????",""),IF($D208="","????",""),IF($E208="","??????????",""),IF($F208="","???-?????",""),IF($G208="","???-????",""),IF($H208="","??????",""),IF($L208="","???",""),IF($M208="","?????",""),IF($N208="","??????????????",""),IF($O208="","??????????",""),IF($P208="","???????",""),IF($U208="","???","")))</f>
        <v/>
      </c>
    </row>
    <row r="209">
      <c r="U209">
        <f>IF($A209="","",IF(SUMIF(FoodLog!$A:$A,$A209,FoodLog!$I:$I)=0,"",SUMIF(FoodLog!$A:$A,$A209,FoodLog!$I:$I)))</f>
        <v/>
      </c>
      <c r="V209">
        <f>IF($A209="","",IF(SUMIF(FoodLog!$A:$A,$A209,FoodLog!$F:$F)=0,"",SUMIF(FoodLog!$A:$A,$A209,FoodLog!$F:$F)))</f>
        <v/>
      </c>
      <c r="W209">
        <f>IF($A209="","",IF(SUMIF(FoodLog!$A:$A,$A209,FoodLog!$G:$G)=0,"",SUMIF(FoodLog!$A:$A,$A209,FoodLog!$G:$G)))</f>
        <v/>
      </c>
      <c r="X209">
        <f>IF($A209="","",IF(SUMIF(FoodLog!$A:$A,$A209,FoodLog!$H:$H)=0,"",SUMIF(FoodLog!$A:$A,$A209,FoodLog!$H:$H)))</f>
        <v/>
      </c>
      <c r="Y209">
        <f>IF($A209="","",IFERROR(ROUND(100*AVERAGE(IF($B209="","",XLOOKUP($B209,FILTER(Dictionaries!$B:$B,Dictionaries!$A:$A="??????????"),FILTER(Dictionaries!$C:$C,Dictionaries!$A:$A="??????????"))),IF($C209="","",MIN($C209/40,1)),IF($D209="","",XLOOKUP($D209,FILTER(Dictionaries!$B:$B,Dictionaries!$A:$A="????"),FILTER(Dictionaries!$C:$C,Dictionaries!$A:$A="????"))),IF($E209="","",MIN($E209/120,1)),IF(OR($F209&lt;&gt;"",$G209&lt;&gt;""),1,""),IF($H209="","",MIN($H209/100,1)),IF($L209="","",XLOOKUP($L209,FILTER(Dictionaries!$B:$B,Dictionaries!$A:$A="???_????"),FILTER(Dictionaries!$C:$C,Dictionaries!$A:$A="???_????"))),IF($M209="","",XLOOKUP($M209,FILTER(Dictionaries!$B:$B,Dictionaries!$A:$A="?????"),FILTER(Dictionaries!$C:$C,Dictionaries!$A:$A="?????"))),IF($N209="","",MIN($N209/100,1)),IF($O209="","",XLOOKUP($O209,FILTER(Dictionaries!$B:$B,Dictionaries!$A:$A="??????????"),FILTER(Dictionaries!$C:$C,Dictionaries!$A:$A="??????????"))),IF($P209="","",XLOOKUP($P209,FILTER(Dictionaries!$B:$B,Dictionaries!$A:$A="???????"),FILTER(Dictionaries!$C:$C,Dictionaries!$A:$A="???????"))),IF($U209="","",LET(t,IF(OR($B209="????",$B209="????"),"train","rest"),k,$U209,p,$V209,f,$W209,c,$X209,k_s,IF(t="train",IF(k="","",IFS(AND(k&gt;=1900,k&lt;=2050),1,AND(k&gt;=1850,k&lt;1900),0.7,AND(k&gt;2050,k&lt;=2100),0.7,TRUE,0.2)),IF(k="","",IFS(AND(k&gt;=1700,k&lt;=1850),1,AND(k&gt;=1650,k&lt;1700),0.7,AND(k&gt;1850,k&lt;=1900),0.7,TRUE,0.2))),p_s,IF(t="train",IF(p="","",IFS(AND(p&gt;=125,p&lt;=135),1,AND(p&gt;=115,p&lt;125),0.7,AND(p&gt;135,p&lt;=145),0.7,AND(p&gt;=105,p&lt;115),0.4,AND(p&gt;145,p&lt;=155),0.4,TRUE,0.2)),IF(p="","",IFS(AND(p&gt;=120,p&lt;=130),1,AND(p&gt;=110,p&lt;120),0.7,AND(p&gt;130,p&lt;=140),0.7,AND(p&gt;=100,p&lt;110),0.4,AND(p&gt;140,p&lt;=150),0.4,TRUE,0.2))),f_s,IF(f="","",IFS(AND(f&gt;=55,f&lt;=65),1,AND(f&gt;=50,f&lt;55),0.7,AND(f&gt;65,f&lt;=70),0.7,AND(f&gt;=45,f&lt;50),0.4,AND(f&gt;70,f&lt;=75),0.4,TRUE,0.2)),c_s,IF(t="train",IF(c="","",IFS(AND(c&gt;=180,c&lt;=210),1,AND(c&gt;=160,c&lt;180),0.7,AND(c&gt;210,c&lt;=230),0.7,AND(c&gt;=140,c&lt;160),0.4,AND(c&gt;230,c&lt;=250),0.4,TRUE,0.2)),IF(c="","",IFS(AND(c&gt;=140,c&lt;=170),1,AND(c&gt;=120,c&lt;140),0.7,AND(c&gt;170,c&lt;=190),0.7,AND(c&gt;=100,c&lt;120),0.4,AND(c&gt;190,c&lt;=210),0.4,TRUE,0.2))),AVERAGE(k_s,p_s,f_s,c_s)))),1),""))</f>
        <v/>
      </c>
      <c r="Z209">
        <f>IF($A209="","",TEXTJOIN(", ",TRUE,IF($B209="","??????????",""),IF($C209="","??????",""),IF($D209="","????",""),IF($E209="","??????????",""),IF($F209="","???-?????",""),IF($G209="","???-????",""),IF($H209="","??????",""),IF($L209="","???",""),IF($M209="","?????",""),IF($N209="","??????????????",""),IF($O209="","??????????",""),IF($P209="","???????",""),IF($U209="","???","")))</f>
        <v/>
      </c>
    </row>
    <row r="210">
      <c r="U210">
        <f>IF($A210="","",IF(SUMIF(FoodLog!$A:$A,$A210,FoodLog!$I:$I)=0,"",SUMIF(FoodLog!$A:$A,$A210,FoodLog!$I:$I)))</f>
        <v/>
      </c>
      <c r="V210">
        <f>IF($A210="","",IF(SUMIF(FoodLog!$A:$A,$A210,FoodLog!$F:$F)=0,"",SUMIF(FoodLog!$A:$A,$A210,FoodLog!$F:$F)))</f>
        <v/>
      </c>
      <c r="W210">
        <f>IF($A210="","",IF(SUMIF(FoodLog!$A:$A,$A210,FoodLog!$G:$G)=0,"",SUMIF(FoodLog!$A:$A,$A210,FoodLog!$G:$G)))</f>
        <v/>
      </c>
      <c r="X210">
        <f>IF($A210="","",IF(SUMIF(FoodLog!$A:$A,$A210,FoodLog!$H:$H)=0,"",SUMIF(FoodLog!$A:$A,$A210,FoodLog!$H:$H)))</f>
        <v/>
      </c>
      <c r="Y210">
        <f>IF($A210="","",IFERROR(ROUND(100*AVERAGE(IF($B210="","",XLOOKUP($B210,FILTER(Dictionaries!$B:$B,Dictionaries!$A:$A="??????????"),FILTER(Dictionaries!$C:$C,Dictionaries!$A:$A="??????????"))),IF($C210="","",MIN($C210/40,1)),IF($D210="","",XLOOKUP($D210,FILTER(Dictionaries!$B:$B,Dictionaries!$A:$A="????"),FILTER(Dictionaries!$C:$C,Dictionaries!$A:$A="????"))),IF($E210="","",MIN($E210/120,1)),IF(OR($F210&lt;&gt;"",$G210&lt;&gt;""),1,""),IF($H210="","",MIN($H210/100,1)),IF($L210="","",XLOOKUP($L210,FILTER(Dictionaries!$B:$B,Dictionaries!$A:$A="???_????"),FILTER(Dictionaries!$C:$C,Dictionaries!$A:$A="???_????"))),IF($M210="","",XLOOKUP($M210,FILTER(Dictionaries!$B:$B,Dictionaries!$A:$A="?????"),FILTER(Dictionaries!$C:$C,Dictionaries!$A:$A="?????"))),IF($N210="","",MIN($N210/100,1)),IF($O210="","",XLOOKUP($O210,FILTER(Dictionaries!$B:$B,Dictionaries!$A:$A="??????????"),FILTER(Dictionaries!$C:$C,Dictionaries!$A:$A="??????????"))),IF($P210="","",XLOOKUP($P210,FILTER(Dictionaries!$B:$B,Dictionaries!$A:$A="???????"),FILTER(Dictionaries!$C:$C,Dictionaries!$A:$A="???????"))),IF($U210="","",LET(t,IF(OR($B210="????",$B210="????"),"train","rest"),k,$U210,p,$V210,f,$W210,c,$X210,k_s,IF(t="train",IF(k="","",IFS(AND(k&gt;=1900,k&lt;=2050),1,AND(k&gt;=1850,k&lt;1900),0.7,AND(k&gt;2050,k&lt;=2100),0.7,TRUE,0.2)),IF(k="","",IFS(AND(k&gt;=1700,k&lt;=1850),1,AND(k&gt;=1650,k&lt;1700),0.7,AND(k&gt;1850,k&lt;=1900),0.7,TRUE,0.2))),p_s,IF(t="train",IF(p="","",IFS(AND(p&gt;=125,p&lt;=135),1,AND(p&gt;=115,p&lt;125),0.7,AND(p&gt;135,p&lt;=145),0.7,AND(p&gt;=105,p&lt;115),0.4,AND(p&gt;145,p&lt;=155),0.4,TRUE,0.2)),IF(p="","",IFS(AND(p&gt;=120,p&lt;=130),1,AND(p&gt;=110,p&lt;120),0.7,AND(p&gt;130,p&lt;=140),0.7,AND(p&gt;=100,p&lt;110),0.4,AND(p&gt;140,p&lt;=150),0.4,TRUE,0.2))),f_s,IF(f="","",IFS(AND(f&gt;=55,f&lt;=65),1,AND(f&gt;=50,f&lt;55),0.7,AND(f&gt;65,f&lt;=70),0.7,AND(f&gt;=45,f&lt;50),0.4,AND(f&gt;70,f&lt;=75),0.4,TRUE,0.2)),c_s,IF(t="train",IF(c="","",IFS(AND(c&gt;=180,c&lt;=210),1,AND(c&gt;=160,c&lt;180),0.7,AND(c&gt;210,c&lt;=230),0.7,AND(c&gt;=140,c&lt;160),0.4,AND(c&gt;230,c&lt;=250),0.4,TRUE,0.2)),IF(c="","",IFS(AND(c&gt;=140,c&lt;=170),1,AND(c&gt;=120,c&lt;140),0.7,AND(c&gt;170,c&lt;=190),0.7,AND(c&gt;=100,c&lt;120),0.4,AND(c&gt;190,c&lt;=210),0.4,TRUE,0.2))),AVERAGE(k_s,p_s,f_s,c_s)))),1),""))</f>
        <v/>
      </c>
      <c r="Z210">
        <f>IF($A210="","",TEXTJOIN(", ",TRUE,IF($B210="","??????????",""),IF($C210="","??????",""),IF($D210="","????",""),IF($E210="","??????????",""),IF($F210="","???-?????",""),IF($G210="","???-????",""),IF($H210="","??????",""),IF($L210="","???",""),IF($M210="","?????",""),IF($N210="","??????????????",""),IF($O210="","??????????",""),IF($P210="","???????",""),IF($U210="","???","")))</f>
        <v/>
      </c>
    </row>
    <row r="211">
      <c r="U211">
        <f>IF($A211="","",IF(SUMIF(FoodLog!$A:$A,$A211,FoodLog!$I:$I)=0,"",SUMIF(FoodLog!$A:$A,$A211,FoodLog!$I:$I)))</f>
        <v/>
      </c>
      <c r="V211">
        <f>IF($A211="","",IF(SUMIF(FoodLog!$A:$A,$A211,FoodLog!$F:$F)=0,"",SUMIF(FoodLog!$A:$A,$A211,FoodLog!$F:$F)))</f>
        <v/>
      </c>
      <c r="W211">
        <f>IF($A211="","",IF(SUMIF(FoodLog!$A:$A,$A211,FoodLog!$G:$G)=0,"",SUMIF(FoodLog!$A:$A,$A211,FoodLog!$G:$G)))</f>
        <v/>
      </c>
      <c r="X211">
        <f>IF($A211="","",IF(SUMIF(FoodLog!$A:$A,$A211,FoodLog!$H:$H)=0,"",SUMIF(FoodLog!$A:$A,$A211,FoodLog!$H:$H)))</f>
        <v/>
      </c>
      <c r="Y211">
        <f>IF($A211="","",IFERROR(ROUND(100*AVERAGE(IF($B211="","",XLOOKUP($B211,FILTER(Dictionaries!$B:$B,Dictionaries!$A:$A="??????????"),FILTER(Dictionaries!$C:$C,Dictionaries!$A:$A="??????????"))),IF($C211="","",MIN($C211/40,1)),IF($D211="","",XLOOKUP($D211,FILTER(Dictionaries!$B:$B,Dictionaries!$A:$A="????"),FILTER(Dictionaries!$C:$C,Dictionaries!$A:$A="????"))),IF($E211="","",MIN($E211/120,1)),IF(OR($F211&lt;&gt;"",$G211&lt;&gt;""),1,""),IF($H211="","",MIN($H211/100,1)),IF($L211="","",XLOOKUP($L211,FILTER(Dictionaries!$B:$B,Dictionaries!$A:$A="???_????"),FILTER(Dictionaries!$C:$C,Dictionaries!$A:$A="???_????"))),IF($M211="","",XLOOKUP($M211,FILTER(Dictionaries!$B:$B,Dictionaries!$A:$A="?????"),FILTER(Dictionaries!$C:$C,Dictionaries!$A:$A="?????"))),IF($N211="","",MIN($N211/100,1)),IF($O211="","",XLOOKUP($O211,FILTER(Dictionaries!$B:$B,Dictionaries!$A:$A="??????????"),FILTER(Dictionaries!$C:$C,Dictionaries!$A:$A="??????????"))),IF($P211="","",XLOOKUP($P211,FILTER(Dictionaries!$B:$B,Dictionaries!$A:$A="???????"),FILTER(Dictionaries!$C:$C,Dictionaries!$A:$A="???????"))),IF($U211="","",LET(t,IF(OR($B211="????",$B211="????"),"train","rest"),k,$U211,p,$V211,f,$W211,c,$X211,k_s,IF(t="train",IF(k="","",IFS(AND(k&gt;=1900,k&lt;=2050),1,AND(k&gt;=1850,k&lt;1900),0.7,AND(k&gt;2050,k&lt;=2100),0.7,TRUE,0.2)),IF(k="","",IFS(AND(k&gt;=1700,k&lt;=1850),1,AND(k&gt;=1650,k&lt;1700),0.7,AND(k&gt;1850,k&lt;=1900),0.7,TRUE,0.2))),p_s,IF(t="train",IF(p="","",IFS(AND(p&gt;=125,p&lt;=135),1,AND(p&gt;=115,p&lt;125),0.7,AND(p&gt;135,p&lt;=145),0.7,AND(p&gt;=105,p&lt;115),0.4,AND(p&gt;145,p&lt;=155),0.4,TRUE,0.2)),IF(p="","",IFS(AND(p&gt;=120,p&lt;=130),1,AND(p&gt;=110,p&lt;120),0.7,AND(p&gt;130,p&lt;=140),0.7,AND(p&gt;=100,p&lt;110),0.4,AND(p&gt;140,p&lt;=150),0.4,TRUE,0.2))),f_s,IF(f="","",IFS(AND(f&gt;=55,f&lt;=65),1,AND(f&gt;=50,f&lt;55),0.7,AND(f&gt;65,f&lt;=70),0.7,AND(f&gt;=45,f&lt;50),0.4,AND(f&gt;70,f&lt;=75),0.4,TRUE,0.2)),c_s,IF(t="train",IF(c="","",IFS(AND(c&gt;=180,c&lt;=210),1,AND(c&gt;=160,c&lt;180),0.7,AND(c&gt;210,c&lt;=230),0.7,AND(c&gt;=140,c&lt;160),0.4,AND(c&gt;230,c&lt;=250),0.4,TRUE,0.2)),IF(c="","",IFS(AND(c&gt;=140,c&lt;=170),1,AND(c&gt;=120,c&lt;140),0.7,AND(c&gt;170,c&lt;=190),0.7,AND(c&gt;=100,c&lt;120),0.4,AND(c&gt;190,c&lt;=210),0.4,TRUE,0.2))),AVERAGE(k_s,p_s,f_s,c_s)))),1),""))</f>
        <v/>
      </c>
      <c r="Z211">
        <f>IF($A211="","",TEXTJOIN(", ",TRUE,IF($B211="","??????????",""),IF($C211="","??????",""),IF($D211="","????",""),IF($E211="","??????????",""),IF($F211="","???-?????",""),IF($G211="","???-????",""),IF($H211="","??????",""),IF($L211="","???",""),IF($M211="","?????",""),IF($N211="","??????????????",""),IF($O211="","??????????",""),IF($P211="","???????",""),IF($U211="","???","")))</f>
        <v/>
      </c>
    </row>
    <row r="212">
      <c r="U212">
        <f>IF($A212="","",IF(SUMIF(FoodLog!$A:$A,$A212,FoodLog!$I:$I)=0,"",SUMIF(FoodLog!$A:$A,$A212,FoodLog!$I:$I)))</f>
        <v/>
      </c>
      <c r="V212">
        <f>IF($A212="","",IF(SUMIF(FoodLog!$A:$A,$A212,FoodLog!$F:$F)=0,"",SUMIF(FoodLog!$A:$A,$A212,FoodLog!$F:$F)))</f>
        <v/>
      </c>
      <c r="W212">
        <f>IF($A212="","",IF(SUMIF(FoodLog!$A:$A,$A212,FoodLog!$G:$G)=0,"",SUMIF(FoodLog!$A:$A,$A212,FoodLog!$G:$G)))</f>
        <v/>
      </c>
      <c r="X212">
        <f>IF($A212="","",IF(SUMIF(FoodLog!$A:$A,$A212,FoodLog!$H:$H)=0,"",SUMIF(FoodLog!$A:$A,$A212,FoodLog!$H:$H)))</f>
        <v/>
      </c>
      <c r="Y212">
        <f>IF($A212="","",IFERROR(ROUND(100*AVERAGE(IF($B212="","",XLOOKUP($B212,FILTER(Dictionaries!$B:$B,Dictionaries!$A:$A="??????????"),FILTER(Dictionaries!$C:$C,Dictionaries!$A:$A="??????????"))),IF($C212="","",MIN($C212/40,1)),IF($D212="","",XLOOKUP($D212,FILTER(Dictionaries!$B:$B,Dictionaries!$A:$A="????"),FILTER(Dictionaries!$C:$C,Dictionaries!$A:$A="????"))),IF($E212="","",MIN($E212/120,1)),IF(OR($F212&lt;&gt;"",$G212&lt;&gt;""),1,""),IF($H212="","",MIN($H212/100,1)),IF($L212="","",XLOOKUP($L212,FILTER(Dictionaries!$B:$B,Dictionaries!$A:$A="???_????"),FILTER(Dictionaries!$C:$C,Dictionaries!$A:$A="???_????"))),IF($M212="","",XLOOKUP($M212,FILTER(Dictionaries!$B:$B,Dictionaries!$A:$A="?????"),FILTER(Dictionaries!$C:$C,Dictionaries!$A:$A="?????"))),IF($N212="","",MIN($N212/100,1)),IF($O212="","",XLOOKUP($O212,FILTER(Dictionaries!$B:$B,Dictionaries!$A:$A="??????????"),FILTER(Dictionaries!$C:$C,Dictionaries!$A:$A="??????????"))),IF($P212="","",XLOOKUP($P212,FILTER(Dictionaries!$B:$B,Dictionaries!$A:$A="???????"),FILTER(Dictionaries!$C:$C,Dictionaries!$A:$A="???????"))),IF($U212="","",LET(t,IF(OR($B212="????",$B212="????"),"train","rest"),k,$U212,p,$V212,f,$W212,c,$X212,k_s,IF(t="train",IF(k="","",IFS(AND(k&gt;=1900,k&lt;=2050),1,AND(k&gt;=1850,k&lt;1900),0.7,AND(k&gt;2050,k&lt;=2100),0.7,TRUE,0.2)),IF(k="","",IFS(AND(k&gt;=1700,k&lt;=1850),1,AND(k&gt;=1650,k&lt;1700),0.7,AND(k&gt;1850,k&lt;=1900),0.7,TRUE,0.2))),p_s,IF(t="train",IF(p="","",IFS(AND(p&gt;=125,p&lt;=135),1,AND(p&gt;=115,p&lt;125),0.7,AND(p&gt;135,p&lt;=145),0.7,AND(p&gt;=105,p&lt;115),0.4,AND(p&gt;145,p&lt;=155),0.4,TRUE,0.2)),IF(p="","",IFS(AND(p&gt;=120,p&lt;=130),1,AND(p&gt;=110,p&lt;120),0.7,AND(p&gt;130,p&lt;=140),0.7,AND(p&gt;=100,p&lt;110),0.4,AND(p&gt;140,p&lt;=150),0.4,TRUE,0.2))),f_s,IF(f="","",IFS(AND(f&gt;=55,f&lt;=65),1,AND(f&gt;=50,f&lt;55),0.7,AND(f&gt;65,f&lt;=70),0.7,AND(f&gt;=45,f&lt;50),0.4,AND(f&gt;70,f&lt;=75),0.4,TRUE,0.2)),c_s,IF(t="train",IF(c="","",IFS(AND(c&gt;=180,c&lt;=210),1,AND(c&gt;=160,c&lt;180),0.7,AND(c&gt;210,c&lt;=230),0.7,AND(c&gt;=140,c&lt;160),0.4,AND(c&gt;230,c&lt;=250),0.4,TRUE,0.2)),IF(c="","",IFS(AND(c&gt;=140,c&lt;=170),1,AND(c&gt;=120,c&lt;140),0.7,AND(c&gt;170,c&lt;=190),0.7,AND(c&gt;=100,c&lt;120),0.4,AND(c&gt;190,c&lt;=210),0.4,TRUE,0.2))),AVERAGE(k_s,p_s,f_s,c_s)))),1),""))</f>
        <v/>
      </c>
      <c r="Z212">
        <f>IF($A212="","",TEXTJOIN(", ",TRUE,IF($B212="","??????????",""),IF($C212="","??????",""),IF($D212="","????",""),IF($E212="","??????????",""),IF($F212="","???-?????",""),IF($G212="","???-????",""),IF($H212="","??????",""),IF($L212="","???",""),IF($M212="","?????",""),IF($N212="","??????????????",""),IF($O212="","??????????",""),IF($P212="","???????",""),IF($U212="","???","")))</f>
        <v/>
      </c>
    </row>
    <row r="213">
      <c r="U213">
        <f>IF($A213="","",IF(SUMIF(FoodLog!$A:$A,$A213,FoodLog!$I:$I)=0,"",SUMIF(FoodLog!$A:$A,$A213,FoodLog!$I:$I)))</f>
        <v/>
      </c>
      <c r="V213">
        <f>IF($A213="","",IF(SUMIF(FoodLog!$A:$A,$A213,FoodLog!$F:$F)=0,"",SUMIF(FoodLog!$A:$A,$A213,FoodLog!$F:$F)))</f>
        <v/>
      </c>
      <c r="W213">
        <f>IF($A213="","",IF(SUMIF(FoodLog!$A:$A,$A213,FoodLog!$G:$G)=0,"",SUMIF(FoodLog!$A:$A,$A213,FoodLog!$G:$G)))</f>
        <v/>
      </c>
      <c r="X213">
        <f>IF($A213="","",IF(SUMIF(FoodLog!$A:$A,$A213,FoodLog!$H:$H)=0,"",SUMIF(FoodLog!$A:$A,$A213,FoodLog!$H:$H)))</f>
        <v/>
      </c>
      <c r="Y213">
        <f>IF($A213="","",IFERROR(ROUND(100*AVERAGE(IF($B213="","",XLOOKUP($B213,FILTER(Dictionaries!$B:$B,Dictionaries!$A:$A="??????????"),FILTER(Dictionaries!$C:$C,Dictionaries!$A:$A="??????????"))),IF($C213="","",MIN($C213/40,1)),IF($D213="","",XLOOKUP($D213,FILTER(Dictionaries!$B:$B,Dictionaries!$A:$A="????"),FILTER(Dictionaries!$C:$C,Dictionaries!$A:$A="????"))),IF($E213="","",MIN($E213/120,1)),IF(OR($F213&lt;&gt;"",$G213&lt;&gt;""),1,""),IF($H213="","",MIN($H213/100,1)),IF($L213="","",XLOOKUP($L213,FILTER(Dictionaries!$B:$B,Dictionaries!$A:$A="???_????"),FILTER(Dictionaries!$C:$C,Dictionaries!$A:$A="???_????"))),IF($M213="","",XLOOKUP($M213,FILTER(Dictionaries!$B:$B,Dictionaries!$A:$A="?????"),FILTER(Dictionaries!$C:$C,Dictionaries!$A:$A="?????"))),IF($N213="","",MIN($N213/100,1)),IF($O213="","",XLOOKUP($O213,FILTER(Dictionaries!$B:$B,Dictionaries!$A:$A="??????????"),FILTER(Dictionaries!$C:$C,Dictionaries!$A:$A="??????????"))),IF($P213="","",XLOOKUP($P213,FILTER(Dictionaries!$B:$B,Dictionaries!$A:$A="???????"),FILTER(Dictionaries!$C:$C,Dictionaries!$A:$A="???????"))),IF($U213="","",LET(t,IF(OR($B213="????",$B213="????"),"train","rest"),k,$U213,p,$V213,f,$W213,c,$X213,k_s,IF(t="train",IF(k="","",IFS(AND(k&gt;=1900,k&lt;=2050),1,AND(k&gt;=1850,k&lt;1900),0.7,AND(k&gt;2050,k&lt;=2100),0.7,TRUE,0.2)),IF(k="","",IFS(AND(k&gt;=1700,k&lt;=1850),1,AND(k&gt;=1650,k&lt;1700),0.7,AND(k&gt;1850,k&lt;=1900),0.7,TRUE,0.2))),p_s,IF(t="train",IF(p="","",IFS(AND(p&gt;=125,p&lt;=135),1,AND(p&gt;=115,p&lt;125),0.7,AND(p&gt;135,p&lt;=145),0.7,AND(p&gt;=105,p&lt;115),0.4,AND(p&gt;145,p&lt;=155),0.4,TRUE,0.2)),IF(p="","",IFS(AND(p&gt;=120,p&lt;=130),1,AND(p&gt;=110,p&lt;120),0.7,AND(p&gt;130,p&lt;=140),0.7,AND(p&gt;=100,p&lt;110),0.4,AND(p&gt;140,p&lt;=150),0.4,TRUE,0.2))),f_s,IF(f="","",IFS(AND(f&gt;=55,f&lt;=65),1,AND(f&gt;=50,f&lt;55),0.7,AND(f&gt;65,f&lt;=70),0.7,AND(f&gt;=45,f&lt;50),0.4,AND(f&gt;70,f&lt;=75),0.4,TRUE,0.2)),c_s,IF(t="train",IF(c="","",IFS(AND(c&gt;=180,c&lt;=210),1,AND(c&gt;=160,c&lt;180),0.7,AND(c&gt;210,c&lt;=230),0.7,AND(c&gt;=140,c&lt;160),0.4,AND(c&gt;230,c&lt;=250),0.4,TRUE,0.2)),IF(c="","",IFS(AND(c&gt;=140,c&lt;=170),1,AND(c&gt;=120,c&lt;140),0.7,AND(c&gt;170,c&lt;=190),0.7,AND(c&gt;=100,c&lt;120),0.4,AND(c&gt;190,c&lt;=210),0.4,TRUE,0.2))),AVERAGE(k_s,p_s,f_s,c_s)))),1),""))</f>
        <v/>
      </c>
      <c r="Z213">
        <f>IF($A213="","",TEXTJOIN(", ",TRUE,IF($B213="","??????????",""),IF($C213="","??????",""),IF($D213="","????",""),IF($E213="","??????????",""),IF($F213="","???-?????",""),IF($G213="","???-????",""),IF($H213="","??????",""),IF($L213="","???",""),IF($M213="","?????",""),IF($N213="","??????????????",""),IF($O213="","??????????",""),IF($P213="","???????",""),IF($U213="","???","")))</f>
        <v/>
      </c>
    </row>
    <row r="214">
      <c r="U214">
        <f>IF($A214="","",IF(SUMIF(FoodLog!$A:$A,$A214,FoodLog!$I:$I)=0,"",SUMIF(FoodLog!$A:$A,$A214,FoodLog!$I:$I)))</f>
        <v/>
      </c>
      <c r="V214">
        <f>IF($A214="","",IF(SUMIF(FoodLog!$A:$A,$A214,FoodLog!$F:$F)=0,"",SUMIF(FoodLog!$A:$A,$A214,FoodLog!$F:$F)))</f>
        <v/>
      </c>
      <c r="W214">
        <f>IF($A214="","",IF(SUMIF(FoodLog!$A:$A,$A214,FoodLog!$G:$G)=0,"",SUMIF(FoodLog!$A:$A,$A214,FoodLog!$G:$G)))</f>
        <v/>
      </c>
      <c r="X214">
        <f>IF($A214="","",IF(SUMIF(FoodLog!$A:$A,$A214,FoodLog!$H:$H)=0,"",SUMIF(FoodLog!$A:$A,$A214,FoodLog!$H:$H)))</f>
        <v/>
      </c>
      <c r="Y214">
        <f>IF($A214="","",IFERROR(ROUND(100*AVERAGE(IF($B214="","",XLOOKUP($B214,FILTER(Dictionaries!$B:$B,Dictionaries!$A:$A="??????????"),FILTER(Dictionaries!$C:$C,Dictionaries!$A:$A="??????????"))),IF($C214="","",MIN($C214/40,1)),IF($D214="","",XLOOKUP($D214,FILTER(Dictionaries!$B:$B,Dictionaries!$A:$A="????"),FILTER(Dictionaries!$C:$C,Dictionaries!$A:$A="????"))),IF($E214="","",MIN($E214/120,1)),IF(OR($F214&lt;&gt;"",$G214&lt;&gt;""),1,""),IF($H214="","",MIN($H214/100,1)),IF($L214="","",XLOOKUP($L214,FILTER(Dictionaries!$B:$B,Dictionaries!$A:$A="???_????"),FILTER(Dictionaries!$C:$C,Dictionaries!$A:$A="???_????"))),IF($M214="","",XLOOKUP($M214,FILTER(Dictionaries!$B:$B,Dictionaries!$A:$A="?????"),FILTER(Dictionaries!$C:$C,Dictionaries!$A:$A="?????"))),IF($N214="","",MIN($N214/100,1)),IF($O214="","",XLOOKUP($O214,FILTER(Dictionaries!$B:$B,Dictionaries!$A:$A="??????????"),FILTER(Dictionaries!$C:$C,Dictionaries!$A:$A="??????????"))),IF($P214="","",XLOOKUP($P214,FILTER(Dictionaries!$B:$B,Dictionaries!$A:$A="???????"),FILTER(Dictionaries!$C:$C,Dictionaries!$A:$A="???????"))),IF($U214="","",LET(t,IF(OR($B214="????",$B214="????"),"train","rest"),k,$U214,p,$V214,f,$W214,c,$X214,k_s,IF(t="train",IF(k="","",IFS(AND(k&gt;=1900,k&lt;=2050),1,AND(k&gt;=1850,k&lt;1900),0.7,AND(k&gt;2050,k&lt;=2100),0.7,TRUE,0.2)),IF(k="","",IFS(AND(k&gt;=1700,k&lt;=1850),1,AND(k&gt;=1650,k&lt;1700),0.7,AND(k&gt;1850,k&lt;=1900),0.7,TRUE,0.2))),p_s,IF(t="train",IF(p="","",IFS(AND(p&gt;=125,p&lt;=135),1,AND(p&gt;=115,p&lt;125),0.7,AND(p&gt;135,p&lt;=145),0.7,AND(p&gt;=105,p&lt;115),0.4,AND(p&gt;145,p&lt;=155),0.4,TRUE,0.2)),IF(p="","",IFS(AND(p&gt;=120,p&lt;=130),1,AND(p&gt;=110,p&lt;120),0.7,AND(p&gt;130,p&lt;=140),0.7,AND(p&gt;=100,p&lt;110),0.4,AND(p&gt;140,p&lt;=150),0.4,TRUE,0.2))),f_s,IF(f="","",IFS(AND(f&gt;=55,f&lt;=65),1,AND(f&gt;=50,f&lt;55),0.7,AND(f&gt;65,f&lt;=70),0.7,AND(f&gt;=45,f&lt;50),0.4,AND(f&gt;70,f&lt;=75),0.4,TRUE,0.2)),c_s,IF(t="train",IF(c="","",IFS(AND(c&gt;=180,c&lt;=210),1,AND(c&gt;=160,c&lt;180),0.7,AND(c&gt;210,c&lt;=230),0.7,AND(c&gt;=140,c&lt;160),0.4,AND(c&gt;230,c&lt;=250),0.4,TRUE,0.2)),IF(c="","",IFS(AND(c&gt;=140,c&lt;=170),1,AND(c&gt;=120,c&lt;140),0.7,AND(c&gt;170,c&lt;=190),0.7,AND(c&gt;=100,c&lt;120),0.4,AND(c&gt;190,c&lt;=210),0.4,TRUE,0.2))),AVERAGE(k_s,p_s,f_s,c_s)))),1),""))</f>
        <v/>
      </c>
      <c r="Z214">
        <f>IF($A214="","",TEXTJOIN(", ",TRUE,IF($B214="","??????????",""),IF($C214="","??????",""),IF($D214="","????",""),IF($E214="","??????????",""),IF($F214="","???-?????",""),IF($G214="","???-????",""),IF($H214="","??????",""),IF($L214="","???",""),IF($M214="","?????",""),IF($N214="","??????????????",""),IF($O214="","??????????",""),IF($P214="","???????",""),IF($U214="","???","")))</f>
        <v/>
      </c>
    </row>
    <row r="215">
      <c r="U215">
        <f>IF($A215="","",IF(SUMIF(FoodLog!$A:$A,$A215,FoodLog!$I:$I)=0,"",SUMIF(FoodLog!$A:$A,$A215,FoodLog!$I:$I)))</f>
        <v/>
      </c>
      <c r="V215">
        <f>IF($A215="","",IF(SUMIF(FoodLog!$A:$A,$A215,FoodLog!$F:$F)=0,"",SUMIF(FoodLog!$A:$A,$A215,FoodLog!$F:$F)))</f>
        <v/>
      </c>
      <c r="W215">
        <f>IF($A215="","",IF(SUMIF(FoodLog!$A:$A,$A215,FoodLog!$G:$G)=0,"",SUMIF(FoodLog!$A:$A,$A215,FoodLog!$G:$G)))</f>
        <v/>
      </c>
      <c r="X215">
        <f>IF($A215="","",IF(SUMIF(FoodLog!$A:$A,$A215,FoodLog!$H:$H)=0,"",SUMIF(FoodLog!$A:$A,$A215,FoodLog!$H:$H)))</f>
        <v/>
      </c>
      <c r="Y215">
        <f>IF($A215="","",IFERROR(ROUND(100*AVERAGE(IF($B215="","",XLOOKUP($B215,FILTER(Dictionaries!$B:$B,Dictionaries!$A:$A="??????????"),FILTER(Dictionaries!$C:$C,Dictionaries!$A:$A="??????????"))),IF($C215="","",MIN($C215/40,1)),IF($D215="","",XLOOKUP($D215,FILTER(Dictionaries!$B:$B,Dictionaries!$A:$A="????"),FILTER(Dictionaries!$C:$C,Dictionaries!$A:$A="????"))),IF($E215="","",MIN($E215/120,1)),IF(OR($F215&lt;&gt;"",$G215&lt;&gt;""),1,""),IF($H215="","",MIN($H215/100,1)),IF($L215="","",XLOOKUP($L215,FILTER(Dictionaries!$B:$B,Dictionaries!$A:$A="???_????"),FILTER(Dictionaries!$C:$C,Dictionaries!$A:$A="???_????"))),IF($M215="","",XLOOKUP($M215,FILTER(Dictionaries!$B:$B,Dictionaries!$A:$A="?????"),FILTER(Dictionaries!$C:$C,Dictionaries!$A:$A="?????"))),IF($N215="","",MIN($N215/100,1)),IF($O215="","",XLOOKUP($O215,FILTER(Dictionaries!$B:$B,Dictionaries!$A:$A="??????????"),FILTER(Dictionaries!$C:$C,Dictionaries!$A:$A="??????????"))),IF($P215="","",XLOOKUP($P215,FILTER(Dictionaries!$B:$B,Dictionaries!$A:$A="???????"),FILTER(Dictionaries!$C:$C,Dictionaries!$A:$A="???????"))),IF($U215="","",LET(t,IF(OR($B215="????",$B215="????"),"train","rest"),k,$U215,p,$V215,f,$W215,c,$X215,k_s,IF(t="train",IF(k="","",IFS(AND(k&gt;=1900,k&lt;=2050),1,AND(k&gt;=1850,k&lt;1900),0.7,AND(k&gt;2050,k&lt;=2100),0.7,TRUE,0.2)),IF(k="","",IFS(AND(k&gt;=1700,k&lt;=1850),1,AND(k&gt;=1650,k&lt;1700),0.7,AND(k&gt;1850,k&lt;=1900),0.7,TRUE,0.2))),p_s,IF(t="train",IF(p="","",IFS(AND(p&gt;=125,p&lt;=135),1,AND(p&gt;=115,p&lt;125),0.7,AND(p&gt;135,p&lt;=145),0.7,AND(p&gt;=105,p&lt;115),0.4,AND(p&gt;145,p&lt;=155),0.4,TRUE,0.2)),IF(p="","",IFS(AND(p&gt;=120,p&lt;=130),1,AND(p&gt;=110,p&lt;120),0.7,AND(p&gt;130,p&lt;=140),0.7,AND(p&gt;=100,p&lt;110),0.4,AND(p&gt;140,p&lt;=150),0.4,TRUE,0.2))),f_s,IF(f="","",IFS(AND(f&gt;=55,f&lt;=65),1,AND(f&gt;=50,f&lt;55),0.7,AND(f&gt;65,f&lt;=70),0.7,AND(f&gt;=45,f&lt;50),0.4,AND(f&gt;70,f&lt;=75),0.4,TRUE,0.2)),c_s,IF(t="train",IF(c="","",IFS(AND(c&gt;=180,c&lt;=210),1,AND(c&gt;=160,c&lt;180),0.7,AND(c&gt;210,c&lt;=230),0.7,AND(c&gt;=140,c&lt;160),0.4,AND(c&gt;230,c&lt;=250),0.4,TRUE,0.2)),IF(c="","",IFS(AND(c&gt;=140,c&lt;=170),1,AND(c&gt;=120,c&lt;140),0.7,AND(c&gt;170,c&lt;=190),0.7,AND(c&gt;=100,c&lt;120),0.4,AND(c&gt;190,c&lt;=210),0.4,TRUE,0.2))),AVERAGE(k_s,p_s,f_s,c_s)))),1),""))</f>
        <v/>
      </c>
      <c r="Z215">
        <f>IF($A215="","",TEXTJOIN(", ",TRUE,IF($B215="","??????????",""),IF($C215="","??????",""),IF($D215="","????",""),IF($E215="","??????????",""),IF($F215="","???-?????",""),IF($G215="","???-????",""),IF($H215="","??????",""),IF($L215="","???",""),IF($M215="","?????",""),IF($N215="","??????????????",""),IF($O215="","??????????",""),IF($P215="","???????",""),IF($U215="","???","")))</f>
        <v/>
      </c>
    </row>
    <row r="216">
      <c r="U216">
        <f>IF($A216="","",IF(SUMIF(FoodLog!$A:$A,$A216,FoodLog!$I:$I)=0,"",SUMIF(FoodLog!$A:$A,$A216,FoodLog!$I:$I)))</f>
        <v/>
      </c>
      <c r="V216">
        <f>IF($A216="","",IF(SUMIF(FoodLog!$A:$A,$A216,FoodLog!$F:$F)=0,"",SUMIF(FoodLog!$A:$A,$A216,FoodLog!$F:$F)))</f>
        <v/>
      </c>
      <c r="W216">
        <f>IF($A216="","",IF(SUMIF(FoodLog!$A:$A,$A216,FoodLog!$G:$G)=0,"",SUMIF(FoodLog!$A:$A,$A216,FoodLog!$G:$G)))</f>
        <v/>
      </c>
      <c r="X216">
        <f>IF($A216="","",IF(SUMIF(FoodLog!$A:$A,$A216,FoodLog!$H:$H)=0,"",SUMIF(FoodLog!$A:$A,$A216,FoodLog!$H:$H)))</f>
        <v/>
      </c>
      <c r="Y216">
        <f>IF($A216="","",IFERROR(ROUND(100*AVERAGE(IF($B216="","",XLOOKUP($B216,FILTER(Dictionaries!$B:$B,Dictionaries!$A:$A="??????????"),FILTER(Dictionaries!$C:$C,Dictionaries!$A:$A="??????????"))),IF($C216="","",MIN($C216/40,1)),IF($D216="","",XLOOKUP($D216,FILTER(Dictionaries!$B:$B,Dictionaries!$A:$A="????"),FILTER(Dictionaries!$C:$C,Dictionaries!$A:$A="????"))),IF($E216="","",MIN($E216/120,1)),IF(OR($F216&lt;&gt;"",$G216&lt;&gt;""),1,""),IF($H216="","",MIN($H216/100,1)),IF($L216="","",XLOOKUP($L216,FILTER(Dictionaries!$B:$B,Dictionaries!$A:$A="???_????"),FILTER(Dictionaries!$C:$C,Dictionaries!$A:$A="???_????"))),IF($M216="","",XLOOKUP($M216,FILTER(Dictionaries!$B:$B,Dictionaries!$A:$A="?????"),FILTER(Dictionaries!$C:$C,Dictionaries!$A:$A="?????"))),IF($N216="","",MIN($N216/100,1)),IF($O216="","",XLOOKUP($O216,FILTER(Dictionaries!$B:$B,Dictionaries!$A:$A="??????????"),FILTER(Dictionaries!$C:$C,Dictionaries!$A:$A="??????????"))),IF($P216="","",XLOOKUP($P216,FILTER(Dictionaries!$B:$B,Dictionaries!$A:$A="???????"),FILTER(Dictionaries!$C:$C,Dictionaries!$A:$A="???????"))),IF($U216="","",LET(t,IF(OR($B216="????",$B216="????"),"train","rest"),k,$U216,p,$V216,f,$W216,c,$X216,k_s,IF(t="train",IF(k="","",IFS(AND(k&gt;=1900,k&lt;=2050),1,AND(k&gt;=1850,k&lt;1900),0.7,AND(k&gt;2050,k&lt;=2100),0.7,TRUE,0.2)),IF(k="","",IFS(AND(k&gt;=1700,k&lt;=1850),1,AND(k&gt;=1650,k&lt;1700),0.7,AND(k&gt;1850,k&lt;=1900),0.7,TRUE,0.2))),p_s,IF(t="train",IF(p="","",IFS(AND(p&gt;=125,p&lt;=135),1,AND(p&gt;=115,p&lt;125),0.7,AND(p&gt;135,p&lt;=145),0.7,AND(p&gt;=105,p&lt;115),0.4,AND(p&gt;145,p&lt;=155),0.4,TRUE,0.2)),IF(p="","",IFS(AND(p&gt;=120,p&lt;=130),1,AND(p&gt;=110,p&lt;120),0.7,AND(p&gt;130,p&lt;=140),0.7,AND(p&gt;=100,p&lt;110),0.4,AND(p&gt;140,p&lt;=150),0.4,TRUE,0.2))),f_s,IF(f="","",IFS(AND(f&gt;=55,f&lt;=65),1,AND(f&gt;=50,f&lt;55),0.7,AND(f&gt;65,f&lt;=70),0.7,AND(f&gt;=45,f&lt;50),0.4,AND(f&gt;70,f&lt;=75),0.4,TRUE,0.2)),c_s,IF(t="train",IF(c="","",IFS(AND(c&gt;=180,c&lt;=210),1,AND(c&gt;=160,c&lt;180),0.7,AND(c&gt;210,c&lt;=230),0.7,AND(c&gt;=140,c&lt;160),0.4,AND(c&gt;230,c&lt;=250),0.4,TRUE,0.2)),IF(c="","",IFS(AND(c&gt;=140,c&lt;=170),1,AND(c&gt;=120,c&lt;140),0.7,AND(c&gt;170,c&lt;=190),0.7,AND(c&gt;=100,c&lt;120),0.4,AND(c&gt;190,c&lt;=210),0.4,TRUE,0.2))),AVERAGE(k_s,p_s,f_s,c_s)))),1),""))</f>
        <v/>
      </c>
      <c r="Z216">
        <f>IF($A216="","",TEXTJOIN(", ",TRUE,IF($B216="","??????????",""),IF($C216="","??????",""),IF($D216="","????",""),IF($E216="","??????????",""),IF($F216="","???-?????",""),IF($G216="","???-????",""),IF($H216="","??????",""),IF($L216="","???",""),IF($M216="","?????",""),IF($N216="","??????????????",""),IF($O216="","??????????",""),IF($P216="","???????",""),IF($U216="","???","")))</f>
        <v/>
      </c>
    </row>
    <row r="217">
      <c r="U217">
        <f>IF($A217="","",IF(SUMIF(FoodLog!$A:$A,$A217,FoodLog!$I:$I)=0,"",SUMIF(FoodLog!$A:$A,$A217,FoodLog!$I:$I)))</f>
        <v/>
      </c>
      <c r="V217">
        <f>IF($A217="","",IF(SUMIF(FoodLog!$A:$A,$A217,FoodLog!$F:$F)=0,"",SUMIF(FoodLog!$A:$A,$A217,FoodLog!$F:$F)))</f>
        <v/>
      </c>
      <c r="W217">
        <f>IF($A217="","",IF(SUMIF(FoodLog!$A:$A,$A217,FoodLog!$G:$G)=0,"",SUMIF(FoodLog!$A:$A,$A217,FoodLog!$G:$G)))</f>
        <v/>
      </c>
      <c r="X217">
        <f>IF($A217="","",IF(SUMIF(FoodLog!$A:$A,$A217,FoodLog!$H:$H)=0,"",SUMIF(FoodLog!$A:$A,$A217,FoodLog!$H:$H)))</f>
        <v/>
      </c>
      <c r="Y217">
        <f>IF($A217="","",IFERROR(ROUND(100*AVERAGE(IF($B217="","",XLOOKUP($B217,FILTER(Dictionaries!$B:$B,Dictionaries!$A:$A="??????????"),FILTER(Dictionaries!$C:$C,Dictionaries!$A:$A="??????????"))),IF($C217="","",MIN($C217/40,1)),IF($D217="","",XLOOKUP($D217,FILTER(Dictionaries!$B:$B,Dictionaries!$A:$A="????"),FILTER(Dictionaries!$C:$C,Dictionaries!$A:$A="????"))),IF($E217="","",MIN($E217/120,1)),IF(OR($F217&lt;&gt;"",$G217&lt;&gt;""),1,""),IF($H217="","",MIN($H217/100,1)),IF($L217="","",XLOOKUP($L217,FILTER(Dictionaries!$B:$B,Dictionaries!$A:$A="???_????"),FILTER(Dictionaries!$C:$C,Dictionaries!$A:$A="???_????"))),IF($M217="","",XLOOKUP($M217,FILTER(Dictionaries!$B:$B,Dictionaries!$A:$A="?????"),FILTER(Dictionaries!$C:$C,Dictionaries!$A:$A="?????"))),IF($N217="","",MIN($N217/100,1)),IF($O217="","",XLOOKUP($O217,FILTER(Dictionaries!$B:$B,Dictionaries!$A:$A="??????????"),FILTER(Dictionaries!$C:$C,Dictionaries!$A:$A="??????????"))),IF($P217="","",XLOOKUP($P217,FILTER(Dictionaries!$B:$B,Dictionaries!$A:$A="???????"),FILTER(Dictionaries!$C:$C,Dictionaries!$A:$A="???????"))),IF($U217="","",LET(t,IF(OR($B217="????",$B217="????"),"train","rest"),k,$U217,p,$V217,f,$W217,c,$X217,k_s,IF(t="train",IF(k="","",IFS(AND(k&gt;=1900,k&lt;=2050),1,AND(k&gt;=1850,k&lt;1900),0.7,AND(k&gt;2050,k&lt;=2100),0.7,TRUE,0.2)),IF(k="","",IFS(AND(k&gt;=1700,k&lt;=1850),1,AND(k&gt;=1650,k&lt;1700),0.7,AND(k&gt;1850,k&lt;=1900),0.7,TRUE,0.2))),p_s,IF(t="train",IF(p="","",IFS(AND(p&gt;=125,p&lt;=135),1,AND(p&gt;=115,p&lt;125),0.7,AND(p&gt;135,p&lt;=145),0.7,AND(p&gt;=105,p&lt;115),0.4,AND(p&gt;145,p&lt;=155),0.4,TRUE,0.2)),IF(p="","",IFS(AND(p&gt;=120,p&lt;=130),1,AND(p&gt;=110,p&lt;120),0.7,AND(p&gt;130,p&lt;=140),0.7,AND(p&gt;=100,p&lt;110),0.4,AND(p&gt;140,p&lt;=150),0.4,TRUE,0.2))),f_s,IF(f="","",IFS(AND(f&gt;=55,f&lt;=65),1,AND(f&gt;=50,f&lt;55),0.7,AND(f&gt;65,f&lt;=70),0.7,AND(f&gt;=45,f&lt;50),0.4,AND(f&gt;70,f&lt;=75),0.4,TRUE,0.2)),c_s,IF(t="train",IF(c="","",IFS(AND(c&gt;=180,c&lt;=210),1,AND(c&gt;=160,c&lt;180),0.7,AND(c&gt;210,c&lt;=230),0.7,AND(c&gt;=140,c&lt;160),0.4,AND(c&gt;230,c&lt;=250),0.4,TRUE,0.2)),IF(c="","",IFS(AND(c&gt;=140,c&lt;=170),1,AND(c&gt;=120,c&lt;140),0.7,AND(c&gt;170,c&lt;=190),0.7,AND(c&gt;=100,c&lt;120),0.4,AND(c&gt;190,c&lt;=210),0.4,TRUE,0.2))),AVERAGE(k_s,p_s,f_s,c_s)))),1),""))</f>
        <v/>
      </c>
      <c r="Z217">
        <f>IF($A217="","",TEXTJOIN(", ",TRUE,IF($B217="","??????????",""),IF($C217="","??????",""),IF($D217="","????",""),IF($E217="","??????????",""),IF($F217="","???-?????",""),IF($G217="","???-????",""),IF($H217="","??????",""),IF($L217="","???",""),IF($M217="","?????",""),IF($N217="","??????????????",""),IF($O217="","??????????",""),IF($P217="","???????",""),IF($U217="","???","")))</f>
        <v/>
      </c>
    </row>
    <row r="218">
      <c r="U218">
        <f>IF($A218="","",IF(SUMIF(FoodLog!$A:$A,$A218,FoodLog!$I:$I)=0,"",SUMIF(FoodLog!$A:$A,$A218,FoodLog!$I:$I)))</f>
        <v/>
      </c>
      <c r="V218">
        <f>IF($A218="","",IF(SUMIF(FoodLog!$A:$A,$A218,FoodLog!$F:$F)=0,"",SUMIF(FoodLog!$A:$A,$A218,FoodLog!$F:$F)))</f>
        <v/>
      </c>
      <c r="W218">
        <f>IF($A218="","",IF(SUMIF(FoodLog!$A:$A,$A218,FoodLog!$G:$G)=0,"",SUMIF(FoodLog!$A:$A,$A218,FoodLog!$G:$G)))</f>
        <v/>
      </c>
      <c r="X218">
        <f>IF($A218="","",IF(SUMIF(FoodLog!$A:$A,$A218,FoodLog!$H:$H)=0,"",SUMIF(FoodLog!$A:$A,$A218,FoodLog!$H:$H)))</f>
        <v/>
      </c>
      <c r="Y218">
        <f>IF($A218="","",IFERROR(ROUND(100*AVERAGE(IF($B218="","",XLOOKUP($B218,FILTER(Dictionaries!$B:$B,Dictionaries!$A:$A="??????????"),FILTER(Dictionaries!$C:$C,Dictionaries!$A:$A="??????????"))),IF($C218="","",MIN($C218/40,1)),IF($D218="","",XLOOKUP($D218,FILTER(Dictionaries!$B:$B,Dictionaries!$A:$A="????"),FILTER(Dictionaries!$C:$C,Dictionaries!$A:$A="????"))),IF($E218="","",MIN($E218/120,1)),IF(OR($F218&lt;&gt;"",$G218&lt;&gt;""),1,""),IF($H218="","",MIN($H218/100,1)),IF($L218="","",XLOOKUP($L218,FILTER(Dictionaries!$B:$B,Dictionaries!$A:$A="???_????"),FILTER(Dictionaries!$C:$C,Dictionaries!$A:$A="???_????"))),IF($M218="","",XLOOKUP($M218,FILTER(Dictionaries!$B:$B,Dictionaries!$A:$A="?????"),FILTER(Dictionaries!$C:$C,Dictionaries!$A:$A="?????"))),IF($N218="","",MIN($N218/100,1)),IF($O218="","",XLOOKUP($O218,FILTER(Dictionaries!$B:$B,Dictionaries!$A:$A="??????????"),FILTER(Dictionaries!$C:$C,Dictionaries!$A:$A="??????????"))),IF($P218="","",XLOOKUP($P218,FILTER(Dictionaries!$B:$B,Dictionaries!$A:$A="???????"),FILTER(Dictionaries!$C:$C,Dictionaries!$A:$A="???????"))),IF($U218="","",LET(t,IF(OR($B218="????",$B218="????"),"train","rest"),k,$U218,p,$V218,f,$W218,c,$X218,k_s,IF(t="train",IF(k="","",IFS(AND(k&gt;=1900,k&lt;=2050),1,AND(k&gt;=1850,k&lt;1900),0.7,AND(k&gt;2050,k&lt;=2100),0.7,TRUE,0.2)),IF(k="","",IFS(AND(k&gt;=1700,k&lt;=1850),1,AND(k&gt;=1650,k&lt;1700),0.7,AND(k&gt;1850,k&lt;=1900),0.7,TRUE,0.2))),p_s,IF(t="train",IF(p="","",IFS(AND(p&gt;=125,p&lt;=135),1,AND(p&gt;=115,p&lt;125),0.7,AND(p&gt;135,p&lt;=145),0.7,AND(p&gt;=105,p&lt;115),0.4,AND(p&gt;145,p&lt;=155),0.4,TRUE,0.2)),IF(p="","",IFS(AND(p&gt;=120,p&lt;=130),1,AND(p&gt;=110,p&lt;120),0.7,AND(p&gt;130,p&lt;=140),0.7,AND(p&gt;=100,p&lt;110),0.4,AND(p&gt;140,p&lt;=150),0.4,TRUE,0.2))),f_s,IF(f="","",IFS(AND(f&gt;=55,f&lt;=65),1,AND(f&gt;=50,f&lt;55),0.7,AND(f&gt;65,f&lt;=70),0.7,AND(f&gt;=45,f&lt;50),0.4,AND(f&gt;70,f&lt;=75),0.4,TRUE,0.2)),c_s,IF(t="train",IF(c="","",IFS(AND(c&gt;=180,c&lt;=210),1,AND(c&gt;=160,c&lt;180),0.7,AND(c&gt;210,c&lt;=230),0.7,AND(c&gt;=140,c&lt;160),0.4,AND(c&gt;230,c&lt;=250),0.4,TRUE,0.2)),IF(c="","",IFS(AND(c&gt;=140,c&lt;=170),1,AND(c&gt;=120,c&lt;140),0.7,AND(c&gt;170,c&lt;=190),0.7,AND(c&gt;=100,c&lt;120),0.4,AND(c&gt;190,c&lt;=210),0.4,TRUE,0.2))),AVERAGE(k_s,p_s,f_s,c_s)))),1),""))</f>
        <v/>
      </c>
      <c r="Z218">
        <f>IF($A218="","",TEXTJOIN(", ",TRUE,IF($B218="","??????????",""),IF($C218="","??????",""),IF($D218="","????",""),IF($E218="","??????????",""),IF($F218="","???-?????",""),IF($G218="","???-????",""),IF($H218="","??????",""),IF($L218="","???",""),IF($M218="","?????",""),IF($N218="","??????????????",""),IF($O218="","??????????",""),IF($P218="","???????",""),IF($U218="","???","")))</f>
        <v/>
      </c>
    </row>
    <row r="219">
      <c r="U219">
        <f>IF($A219="","",IF(SUMIF(FoodLog!$A:$A,$A219,FoodLog!$I:$I)=0,"",SUMIF(FoodLog!$A:$A,$A219,FoodLog!$I:$I)))</f>
        <v/>
      </c>
      <c r="V219">
        <f>IF($A219="","",IF(SUMIF(FoodLog!$A:$A,$A219,FoodLog!$F:$F)=0,"",SUMIF(FoodLog!$A:$A,$A219,FoodLog!$F:$F)))</f>
        <v/>
      </c>
      <c r="W219">
        <f>IF($A219="","",IF(SUMIF(FoodLog!$A:$A,$A219,FoodLog!$G:$G)=0,"",SUMIF(FoodLog!$A:$A,$A219,FoodLog!$G:$G)))</f>
        <v/>
      </c>
      <c r="X219">
        <f>IF($A219="","",IF(SUMIF(FoodLog!$A:$A,$A219,FoodLog!$H:$H)=0,"",SUMIF(FoodLog!$A:$A,$A219,FoodLog!$H:$H)))</f>
        <v/>
      </c>
      <c r="Y219">
        <f>IF($A219="","",IFERROR(ROUND(100*AVERAGE(IF($B219="","",XLOOKUP($B219,FILTER(Dictionaries!$B:$B,Dictionaries!$A:$A="??????????"),FILTER(Dictionaries!$C:$C,Dictionaries!$A:$A="??????????"))),IF($C219="","",MIN($C219/40,1)),IF($D219="","",XLOOKUP($D219,FILTER(Dictionaries!$B:$B,Dictionaries!$A:$A="????"),FILTER(Dictionaries!$C:$C,Dictionaries!$A:$A="????"))),IF($E219="","",MIN($E219/120,1)),IF(OR($F219&lt;&gt;"",$G219&lt;&gt;""),1,""),IF($H219="","",MIN($H219/100,1)),IF($L219="","",XLOOKUP($L219,FILTER(Dictionaries!$B:$B,Dictionaries!$A:$A="???_????"),FILTER(Dictionaries!$C:$C,Dictionaries!$A:$A="???_????"))),IF($M219="","",XLOOKUP($M219,FILTER(Dictionaries!$B:$B,Dictionaries!$A:$A="?????"),FILTER(Dictionaries!$C:$C,Dictionaries!$A:$A="?????"))),IF($N219="","",MIN($N219/100,1)),IF($O219="","",XLOOKUP($O219,FILTER(Dictionaries!$B:$B,Dictionaries!$A:$A="??????????"),FILTER(Dictionaries!$C:$C,Dictionaries!$A:$A="??????????"))),IF($P219="","",XLOOKUP($P219,FILTER(Dictionaries!$B:$B,Dictionaries!$A:$A="???????"),FILTER(Dictionaries!$C:$C,Dictionaries!$A:$A="???????"))),IF($U219="","",LET(t,IF(OR($B219="????",$B219="????"),"train","rest"),k,$U219,p,$V219,f,$W219,c,$X219,k_s,IF(t="train",IF(k="","",IFS(AND(k&gt;=1900,k&lt;=2050),1,AND(k&gt;=1850,k&lt;1900),0.7,AND(k&gt;2050,k&lt;=2100),0.7,TRUE,0.2)),IF(k="","",IFS(AND(k&gt;=1700,k&lt;=1850),1,AND(k&gt;=1650,k&lt;1700),0.7,AND(k&gt;1850,k&lt;=1900),0.7,TRUE,0.2))),p_s,IF(t="train",IF(p="","",IFS(AND(p&gt;=125,p&lt;=135),1,AND(p&gt;=115,p&lt;125),0.7,AND(p&gt;135,p&lt;=145),0.7,AND(p&gt;=105,p&lt;115),0.4,AND(p&gt;145,p&lt;=155),0.4,TRUE,0.2)),IF(p="","",IFS(AND(p&gt;=120,p&lt;=130),1,AND(p&gt;=110,p&lt;120),0.7,AND(p&gt;130,p&lt;=140),0.7,AND(p&gt;=100,p&lt;110),0.4,AND(p&gt;140,p&lt;=150),0.4,TRUE,0.2))),f_s,IF(f="","",IFS(AND(f&gt;=55,f&lt;=65),1,AND(f&gt;=50,f&lt;55),0.7,AND(f&gt;65,f&lt;=70),0.7,AND(f&gt;=45,f&lt;50),0.4,AND(f&gt;70,f&lt;=75),0.4,TRUE,0.2)),c_s,IF(t="train",IF(c="","",IFS(AND(c&gt;=180,c&lt;=210),1,AND(c&gt;=160,c&lt;180),0.7,AND(c&gt;210,c&lt;=230),0.7,AND(c&gt;=140,c&lt;160),0.4,AND(c&gt;230,c&lt;=250),0.4,TRUE,0.2)),IF(c="","",IFS(AND(c&gt;=140,c&lt;=170),1,AND(c&gt;=120,c&lt;140),0.7,AND(c&gt;170,c&lt;=190),0.7,AND(c&gt;=100,c&lt;120),0.4,AND(c&gt;190,c&lt;=210),0.4,TRUE,0.2))),AVERAGE(k_s,p_s,f_s,c_s)))),1),""))</f>
        <v/>
      </c>
      <c r="Z219">
        <f>IF($A219="","",TEXTJOIN(", ",TRUE,IF($B219="","??????????",""),IF($C219="","??????",""),IF($D219="","????",""),IF($E219="","??????????",""),IF($F219="","???-?????",""),IF($G219="","???-????",""),IF($H219="","??????",""),IF($L219="","???",""),IF($M219="","?????",""),IF($N219="","??????????????",""),IF($O219="","??????????",""),IF($P219="","???????",""),IF($U219="","???","")))</f>
        <v/>
      </c>
    </row>
    <row r="220">
      <c r="U220">
        <f>IF($A220="","",IF(SUMIF(FoodLog!$A:$A,$A220,FoodLog!$I:$I)=0,"",SUMIF(FoodLog!$A:$A,$A220,FoodLog!$I:$I)))</f>
        <v/>
      </c>
      <c r="V220">
        <f>IF($A220="","",IF(SUMIF(FoodLog!$A:$A,$A220,FoodLog!$F:$F)=0,"",SUMIF(FoodLog!$A:$A,$A220,FoodLog!$F:$F)))</f>
        <v/>
      </c>
      <c r="W220">
        <f>IF($A220="","",IF(SUMIF(FoodLog!$A:$A,$A220,FoodLog!$G:$G)=0,"",SUMIF(FoodLog!$A:$A,$A220,FoodLog!$G:$G)))</f>
        <v/>
      </c>
      <c r="X220">
        <f>IF($A220="","",IF(SUMIF(FoodLog!$A:$A,$A220,FoodLog!$H:$H)=0,"",SUMIF(FoodLog!$A:$A,$A220,FoodLog!$H:$H)))</f>
        <v/>
      </c>
      <c r="Y220">
        <f>IF($A220="","",IFERROR(ROUND(100*AVERAGE(IF($B220="","",XLOOKUP($B220,FILTER(Dictionaries!$B:$B,Dictionaries!$A:$A="??????????"),FILTER(Dictionaries!$C:$C,Dictionaries!$A:$A="??????????"))),IF($C220="","",MIN($C220/40,1)),IF($D220="","",XLOOKUP($D220,FILTER(Dictionaries!$B:$B,Dictionaries!$A:$A="????"),FILTER(Dictionaries!$C:$C,Dictionaries!$A:$A="????"))),IF($E220="","",MIN($E220/120,1)),IF(OR($F220&lt;&gt;"",$G220&lt;&gt;""),1,""),IF($H220="","",MIN($H220/100,1)),IF($L220="","",XLOOKUP($L220,FILTER(Dictionaries!$B:$B,Dictionaries!$A:$A="???_????"),FILTER(Dictionaries!$C:$C,Dictionaries!$A:$A="???_????"))),IF($M220="","",XLOOKUP($M220,FILTER(Dictionaries!$B:$B,Dictionaries!$A:$A="?????"),FILTER(Dictionaries!$C:$C,Dictionaries!$A:$A="?????"))),IF($N220="","",MIN($N220/100,1)),IF($O220="","",XLOOKUP($O220,FILTER(Dictionaries!$B:$B,Dictionaries!$A:$A="??????????"),FILTER(Dictionaries!$C:$C,Dictionaries!$A:$A="??????????"))),IF($P220="","",XLOOKUP($P220,FILTER(Dictionaries!$B:$B,Dictionaries!$A:$A="???????"),FILTER(Dictionaries!$C:$C,Dictionaries!$A:$A="???????"))),IF($U220="","",LET(t,IF(OR($B220="????",$B220="????"),"train","rest"),k,$U220,p,$V220,f,$W220,c,$X220,k_s,IF(t="train",IF(k="","",IFS(AND(k&gt;=1900,k&lt;=2050),1,AND(k&gt;=1850,k&lt;1900),0.7,AND(k&gt;2050,k&lt;=2100),0.7,TRUE,0.2)),IF(k="","",IFS(AND(k&gt;=1700,k&lt;=1850),1,AND(k&gt;=1650,k&lt;1700),0.7,AND(k&gt;1850,k&lt;=1900),0.7,TRUE,0.2))),p_s,IF(t="train",IF(p="","",IFS(AND(p&gt;=125,p&lt;=135),1,AND(p&gt;=115,p&lt;125),0.7,AND(p&gt;135,p&lt;=145),0.7,AND(p&gt;=105,p&lt;115),0.4,AND(p&gt;145,p&lt;=155),0.4,TRUE,0.2)),IF(p="","",IFS(AND(p&gt;=120,p&lt;=130),1,AND(p&gt;=110,p&lt;120),0.7,AND(p&gt;130,p&lt;=140),0.7,AND(p&gt;=100,p&lt;110),0.4,AND(p&gt;140,p&lt;=150),0.4,TRUE,0.2))),f_s,IF(f="","",IFS(AND(f&gt;=55,f&lt;=65),1,AND(f&gt;=50,f&lt;55),0.7,AND(f&gt;65,f&lt;=70),0.7,AND(f&gt;=45,f&lt;50),0.4,AND(f&gt;70,f&lt;=75),0.4,TRUE,0.2)),c_s,IF(t="train",IF(c="","",IFS(AND(c&gt;=180,c&lt;=210),1,AND(c&gt;=160,c&lt;180),0.7,AND(c&gt;210,c&lt;=230),0.7,AND(c&gt;=140,c&lt;160),0.4,AND(c&gt;230,c&lt;=250),0.4,TRUE,0.2)),IF(c="","",IFS(AND(c&gt;=140,c&lt;=170),1,AND(c&gt;=120,c&lt;140),0.7,AND(c&gt;170,c&lt;=190),0.7,AND(c&gt;=100,c&lt;120),0.4,AND(c&gt;190,c&lt;=210),0.4,TRUE,0.2))),AVERAGE(k_s,p_s,f_s,c_s)))),1),""))</f>
        <v/>
      </c>
      <c r="Z220">
        <f>IF($A220="","",TEXTJOIN(", ",TRUE,IF($B220="","??????????",""),IF($C220="","??????",""),IF($D220="","????",""),IF($E220="","??????????",""),IF($F220="","???-?????",""),IF($G220="","???-????",""),IF($H220="","??????",""),IF($L220="","???",""),IF($M220="","?????",""),IF($N220="","??????????????",""),IF($O220="","??????????",""),IF($P220="","???????",""),IF($U220="","???","")))</f>
        <v/>
      </c>
    </row>
    <row r="221">
      <c r="U221">
        <f>IF($A221="","",IF(SUMIF(FoodLog!$A:$A,$A221,FoodLog!$I:$I)=0,"",SUMIF(FoodLog!$A:$A,$A221,FoodLog!$I:$I)))</f>
        <v/>
      </c>
      <c r="V221">
        <f>IF($A221="","",IF(SUMIF(FoodLog!$A:$A,$A221,FoodLog!$F:$F)=0,"",SUMIF(FoodLog!$A:$A,$A221,FoodLog!$F:$F)))</f>
        <v/>
      </c>
      <c r="W221">
        <f>IF($A221="","",IF(SUMIF(FoodLog!$A:$A,$A221,FoodLog!$G:$G)=0,"",SUMIF(FoodLog!$A:$A,$A221,FoodLog!$G:$G)))</f>
        <v/>
      </c>
      <c r="X221">
        <f>IF($A221="","",IF(SUMIF(FoodLog!$A:$A,$A221,FoodLog!$H:$H)=0,"",SUMIF(FoodLog!$A:$A,$A221,FoodLog!$H:$H)))</f>
        <v/>
      </c>
      <c r="Y221">
        <f>IF($A221="","",IFERROR(ROUND(100*AVERAGE(IF($B221="","",XLOOKUP($B221,FILTER(Dictionaries!$B:$B,Dictionaries!$A:$A="??????????"),FILTER(Dictionaries!$C:$C,Dictionaries!$A:$A="??????????"))),IF($C221="","",MIN($C221/40,1)),IF($D221="","",XLOOKUP($D221,FILTER(Dictionaries!$B:$B,Dictionaries!$A:$A="????"),FILTER(Dictionaries!$C:$C,Dictionaries!$A:$A="????"))),IF($E221="","",MIN($E221/120,1)),IF(OR($F221&lt;&gt;"",$G221&lt;&gt;""),1,""),IF($H221="","",MIN($H221/100,1)),IF($L221="","",XLOOKUP($L221,FILTER(Dictionaries!$B:$B,Dictionaries!$A:$A="???_????"),FILTER(Dictionaries!$C:$C,Dictionaries!$A:$A="???_????"))),IF($M221="","",XLOOKUP($M221,FILTER(Dictionaries!$B:$B,Dictionaries!$A:$A="?????"),FILTER(Dictionaries!$C:$C,Dictionaries!$A:$A="?????"))),IF($N221="","",MIN($N221/100,1)),IF($O221="","",XLOOKUP($O221,FILTER(Dictionaries!$B:$B,Dictionaries!$A:$A="??????????"),FILTER(Dictionaries!$C:$C,Dictionaries!$A:$A="??????????"))),IF($P221="","",XLOOKUP($P221,FILTER(Dictionaries!$B:$B,Dictionaries!$A:$A="???????"),FILTER(Dictionaries!$C:$C,Dictionaries!$A:$A="???????"))),IF($U221="","",LET(t,IF(OR($B221="????",$B221="????"),"train","rest"),k,$U221,p,$V221,f,$W221,c,$X221,k_s,IF(t="train",IF(k="","",IFS(AND(k&gt;=1900,k&lt;=2050),1,AND(k&gt;=1850,k&lt;1900),0.7,AND(k&gt;2050,k&lt;=2100),0.7,TRUE,0.2)),IF(k="","",IFS(AND(k&gt;=1700,k&lt;=1850),1,AND(k&gt;=1650,k&lt;1700),0.7,AND(k&gt;1850,k&lt;=1900),0.7,TRUE,0.2))),p_s,IF(t="train",IF(p="","",IFS(AND(p&gt;=125,p&lt;=135),1,AND(p&gt;=115,p&lt;125),0.7,AND(p&gt;135,p&lt;=145),0.7,AND(p&gt;=105,p&lt;115),0.4,AND(p&gt;145,p&lt;=155),0.4,TRUE,0.2)),IF(p="","",IFS(AND(p&gt;=120,p&lt;=130),1,AND(p&gt;=110,p&lt;120),0.7,AND(p&gt;130,p&lt;=140),0.7,AND(p&gt;=100,p&lt;110),0.4,AND(p&gt;140,p&lt;=150),0.4,TRUE,0.2))),f_s,IF(f="","",IFS(AND(f&gt;=55,f&lt;=65),1,AND(f&gt;=50,f&lt;55),0.7,AND(f&gt;65,f&lt;=70),0.7,AND(f&gt;=45,f&lt;50),0.4,AND(f&gt;70,f&lt;=75),0.4,TRUE,0.2)),c_s,IF(t="train",IF(c="","",IFS(AND(c&gt;=180,c&lt;=210),1,AND(c&gt;=160,c&lt;180),0.7,AND(c&gt;210,c&lt;=230),0.7,AND(c&gt;=140,c&lt;160),0.4,AND(c&gt;230,c&lt;=250),0.4,TRUE,0.2)),IF(c="","",IFS(AND(c&gt;=140,c&lt;=170),1,AND(c&gt;=120,c&lt;140),0.7,AND(c&gt;170,c&lt;=190),0.7,AND(c&gt;=100,c&lt;120),0.4,AND(c&gt;190,c&lt;=210),0.4,TRUE,0.2))),AVERAGE(k_s,p_s,f_s,c_s)))),1),""))</f>
        <v/>
      </c>
      <c r="Z221">
        <f>IF($A221="","",TEXTJOIN(", ",TRUE,IF($B221="","??????????",""),IF($C221="","??????",""),IF($D221="","????",""),IF($E221="","??????????",""),IF($F221="","???-?????",""),IF($G221="","???-????",""),IF($H221="","??????",""),IF($L221="","???",""),IF($M221="","?????",""),IF($N221="","??????????????",""),IF($O221="","??????????",""),IF($P221="","???????",""),IF($U221="","???","")))</f>
        <v/>
      </c>
    </row>
    <row r="222">
      <c r="U222">
        <f>IF($A222="","",IF(SUMIF(FoodLog!$A:$A,$A222,FoodLog!$I:$I)=0,"",SUMIF(FoodLog!$A:$A,$A222,FoodLog!$I:$I)))</f>
        <v/>
      </c>
      <c r="V222">
        <f>IF($A222="","",IF(SUMIF(FoodLog!$A:$A,$A222,FoodLog!$F:$F)=0,"",SUMIF(FoodLog!$A:$A,$A222,FoodLog!$F:$F)))</f>
        <v/>
      </c>
      <c r="W222">
        <f>IF($A222="","",IF(SUMIF(FoodLog!$A:$A,$A222,FoodLog!$G:$G)=0,"",SUMIF(FoodLog!$A:$A,$A222,FoodLog!$G:$G)))</f>
        <v/>
      </c>
      <c r="X222">
        <f>IF($A222="","",IF(SUMIF(FoodLog!$A:$A,$A222,FoodLog!$H:$H)=0,"",SUMIF(FoodLog!$A:$A,$A222,FoodLog!$H:$H)))</f>
        <v/>
      </c>
      <c r="Y222">
        <f>IF($A222="","",IFERROR(ROUND(100*AVERAGE(IF($B222="","",XLOOKUP($B222,FILTER(Dictionaries!$B:$B,Dictionaries!$A:$A="??????????"),FILTER(Dictionaries!$C:$C,Dictionaries!$A:$A="??????????"))),IF($C222="","",MIN($C222/40,1)),IF($D222="","",XLOOKUP($D222,FILTER(Dictionaries!$B:$B,Dictionaries!$A:$A="????"),FILTER(Dictionaries!$C:$C,Dictionaries!$A:$A="????"))),IF($E222="","",MIN($E222/120,1)),IF(OR($F222&lt;&gt;"",$G222&lt;&gt;""),1,""),IF($H222="","",MIN($H222/100,1)),IF($L222="","",XLOOKUP($L222,FILTER(Dictionaries!$B:$B,Dictionaries!$A:$A="???_????"),FILTER(Dictionaries!$C:$C,Dictionaries!$A:$A="???_????"))),IF($M222="","",XLOOKUP($M222,FILTER(Dictionaries!$B:$B,Dictionaries!$A:$A="?????"),FILTER(Dictionaries!$C:$C,Dictionaries!$A:$A="?????"))),IF($N222="","",MIN($N222/100,1)),IF($O222="","",XLOOKUP($O222,FILTER(Dictionaries!$B:$B,Dictionaries!$A:$A="??????????"),FILTER(Dictionaries!$C:$C,Dictionaries!$A:$A="??????????"))),IF($P222="","",XLOOKUP($P222,FILTER(Dictionaries!$B:$B,Dictionaries!$A:$A="???????"),FILTER(Dictionaries!$C:$C,Dictionaries!$A:$A="???????"))),IF($U222="","",LET(t,IF(OR($B222="????",$B222="????"),"train","rest"),k,$U222,p,$V222,f,$W222,c,$X222,k_s,IF(t="train",IF(k="","",IFS(AND(k&gt;=1900,k&lt;=2050),1,AND(k&gt;=1850,k&lt;1900),0.7,AND(k&gt;2050,k&lt;=2100),0.7,TRUE,0.2)),IF(k="","",IFS(AND(k&gt;=1700,k&lt;=1850),1,AND(k&gt;=1650,k&lt;1700),0.7,AND(k&gt;1850,k&lt;=1900),0.7,TRUE,0.2))),p_s,IF(t="train",IF(p="","",IFS(AND(p&gt;=125,p&lt;=135),1,AND(p&gt;=115,p&lt;125),0.7,AND(p&gt;135,p&lt;=145),0.7,AND(p&gt;=105,p&lt;115),0.4,AND(p&gt;145,p&lt;=155),0.4,TRUE,0.2)),IF(p="","",IFS(AND(p&gt;=120,p&lt;=130),1,AND(p&gt;=110,p&lt;120),0.7,AND(p&gt;130,p&lt;=140),0.7,AND(p&gt;=100,p&lt;110),0.4,AND(p&gt;140,p&lt;=150),0.4,TRUE,0.2))),f_s,IF(f="","",IFS(AND(f&gt;=55,f&lt;=65),1,AND(f&gt;=50,f&lt;55),0.7,AND(f&gt;65,f&lt;=70),0.7,AND(f&gt;=45,f&lt;50),0.4,AND(f&gt;70,f&lt;=75),0.4,TRUE,0.2)),c_s,IF(t="train",IF(c="","",IFS(AND(c&gt;=180,c&lt;=210),1,AND(c&gt;=160,c&lt;180),0.7,AND(c&gt;210,c&lt;=230),0.7,AND(c&gt;=140,c&lt;160),0.4,AND(c&gt;230,c&lt;=250),0.4,TRUE,0.2)),IF(c="","",IFS(AND(c&gt;=140,c&lt;=170),1,AND(c&gt;=120,c&lt;140),0.7,AND(c&gt;170,c&lt;=190),0.7,AND(c&gt;=100,c&lt;120),0.4,AND(c&gt;190,c&lt;=210),0.4,TRUE,0.2))),AVERAGE(k_s,p_s,f_s,c_s)))),1),""))</f>
        <v/>
      </c>
      <c r="Z222">
        <f>IF($A222="","",TEXTJOIN(", ",TRUE,IF($B222="","??????????",""),IF($C222="","??????",""),IF($D222="","????",""),IF($E222="","??????????",""),IF($F222="","???-?????",""),IF($G222="","???-????",""),IF($H222="","??????",""),IF($L222="","???",""),IF($M222="","?????",""),IF($N222="","??????????????",""),IF($O222="","??????????",""),IF($P222="","???????",""),IF($U222="","???","")))</f>
        <v/>
      </c>
    </row>
    <row r="223">
      <c r="U223">
        <f>IF($A223="","",IF(SUMIF(FoodLog!$A:$A,$A223,FoodLog!$I:$I)=0,"",SUMIF(FoodLog!$A:$A,$A223,FoodLog!$I:$I)))</f>
        <v/>
      </c>
      <c r="V223">
        <f>IF($A223="","",IF(SUMIF(FoodLog!$A:$A,$A223,FoodLog!$F:$F)=0,"",SUMIF(FoodLog!$A:$A,$A223,FoodLog!$F:$F)))</f>
        <v/>
      </c>
      <c r="W223">
        <f>IF($A223="","",IF(SUMIF(FoodLog!$A:$A,$A223,FoodLog!$G:$G)=0,"",SUMIF(FoodLog!$A:$A,$A223,FoodLog!$G:$G)))</f>
        <v/>
      </c>
      <c r="X223">
        <f>IF($A223="","",IF(SUMIF(FoodLog!$A:$A,$A223,FoodLog!$H:$H)=0,"",SUMIF(FoodLog!$A:$A,$A223,FoodLog!$H:$H)))</f>
        <v/>
      </c>
      <c r="Y223">
        <f>IF($A223="","",IFERROR(ROUND(100*AVERAGE(IF($B223="","",XLOOKUP($B223,FILTER(Dictionaries!$B:$B,Dictionaries!$A:$A="??????????"),FILTER(Dictionaries!$C:$C,Dictionaries!$A:$A="??????????"))),IF($C223="","",MIN($C223/40,1)),IF($D223="","",XLOOKUP($D223,FILTER(Dictionaries!$B:$B,Dictionaries!$A:$A="????"),FILTER(Dictionaries!$C:$C,Dictionaries!$A:$A="????"))),IF($E223="","",MIN($E223/120,1)),IF(OR($F223&lt;&gt;"",$G223&lt;&gt;""),1,""),IF($H223="","",MIN($H223/100,1)),IF($L223="","",XLOOKUP($L223,FILTER(Dictionaries!$B:$B,Dictionaries!$A:$A="???_????"),FILTER(Dictionaries!$C:$C,Dictionaries!$A:$A="???_????"))),IF($M223="","",XLOOKUP($M223,FILTER(Dictionaries!$B:$B,Dictionaries!$A:$A="?????"),FILTER(Dictionaries!$C:$C,Dictionaries!$A:$A="?????"))),IF($N223="","",MIN($N223/100,1)),IF($O223="","",XLOOKUP($O223,FILTER(Dictionaries!$B:$B,Dictionaries!$A:$A="??????????"),FILTER(Dictionaries!$C:$C,Dictionaries!$A:$A="??????????"))),IF($P223="","",XLOOKUP($P223,FILTER(Dictionaries!$B:$B,Dictionaries!$A:$A="???????"),FILTER(Dictionaries!$C:$C,Dictionaries!$A:$A="???????"))),IF($U223="","",LET(t,IF(OR($B223="????",$B223="????"),"train","rest"),k,$U223,p,$V223,f,$W223,c,$X223,k_s,IF(t="train",IF(k="","",IFS(AND(k&gt;=1900,k&lt;=2050),1,AND(k&gt;=1850,k&lt;1900),0.7,AND(k&gt;2050,k&lt;=2100),0.7,TRUE,0.2)),IF(k="","",IFS(AND(k&gt;=1700,k&lt;=1850),1,AND(k&gt;=1650,k&lt;1700),0.7,AND(k&gt;1850,k&lt;=1900),0.7,TRUE,0.2))),p_s,IF(t="train",IF(p="","",IFS(AND(p&gt;=125,p&lt;=135),1,AND(p&gt;=115,p&lt;125),0.7,AND(p&gt;135,p&lt;=145),0.7,AND(p&gt;=105,p&lt;115),0.4,AND(p&gt;145,p&lt;=155),0.4,TRUE,0.2)),IF(p="","",IFS(AND(p&gt;=120,p&lt;=130),1,AND(p&gt;=110,p&lt;120),0.7,AND(p&gt;130,p&lt;=140),0.7,AND(p&gt;=100,p&lt;110),0.4,AND(p&gt;140,p&lt;=150),0.4,TRUE,0.2))),f_s,IF(f="","",IFS(AND(f&gt;=55,f&lt;=65),1,AND(f&gt;=50,f&lt;55),0.7,AND(f&gt;65,f&lt;=70),0.7,AND(f&gt;=45,f&lt;50),0.4,AND(f&gt;70,f&lt;=75),0.4,TRUE,0.2)),c_s,IF(t="train",IF(c="","",IFS(AND(c&gt;=180,c&lt;=210),1,AND(c&gt;=160,c&lt;180),0.7,AND(c&gt;210,c&lt;=230),0.7,AND(c&gt;=140,c&lt;160),0.4,AND(c&gt;230,c&lt;=250),0.4,TRUE,0.2)),IF(c="","",IFS(AND(c&gt;=140,c&lt;=170),1,AND(c&gt;=120,c&lt;140),0.7,AND(c&gt;170,c&lt;=190),0.7,AND(c&gt;=100,c&lt;120),0.4,AND(c&gt;190,c&lt;=210),0.4,TRUE,0.2))),AVERAGE(k_s,p_s,f_s,c_s)))),1),""))</f>
        <v/>
      </c>
      <c r="Z223">
        <f>IF($A223="","",TEXTJOIN(", ",TRUE,IF($B223="","??????????",""),IF($C223="","??????",""),IF($D223="","????",""),IF($E223="","??????????",""),IF($F223="","???-?????",""),IF($G223="","???-????",""),IF($H223="","??????",""),IF($L223="","???",""),IF($M223="","?????",""),IF($N223="","??????????????",""),IF($O223="","??????????",""),IF($P223="","???????",""),IF($U223="","???","")))</f>
        <v/>
      </c>
    </row>
    <row r="224">
      <c r="U224">
        <f>IF($A224="","",IF(SUMIF(FoodLog!$A:$A,$A224,FoodLog!$I:$I)=0,"",SUMIF(FoodLog!$A:$A,$A224,FoodLog!$I:$I)))</f>
        <v/>
      </c>
      <c r="V224">
        <f>IF($A224="","",IF(SUMIF(FoodLog!$A:$A,$A224,FoodLog!$F:$F)=0,"",SUMIF(FoodLog!$A:$A,$A224,FoodLog!$F:$F)))</f>
        <v/>
      </c>
      <c r="W224">
        <f>IF($A224="","",IF(SUMIF(FoodLog!$A:$A,$A224,FoodLog!$G:$G)=0,"",SUMIF(FoodLog!$A:$A,$A224,FoodLog!$G:$G)))</f>
        <v/>
      </c>
      <c r="X224">
        <f>IF($A224="","",IF(SUMIF(FoodLog!$A:$A,$A224,FoodLog!$H:$H)=0,"",SUMIF(FoodLog!$A:$A,$A224,FoodLog!$H:$H)))</f>
        <v/>
      </c>
      <c r="Y224">
        <f>IF($A224="","",IFERROR(ROUND(100*AVERAGE(IF($B224="","",XLOOKUP($B224,FILTER(Dictionaries!$B:$B,Dictionaries!$A:$A="??????????"),FILTER(Dictionaries!$C:$C,Dictionaries!$A:$A="??????????"))),IF($C224="","",MIN($C224/40,1)),IF($D224="","",XLOOKUP($D224,FILTER(Dictionaries!$B:$B,Dictionaries!$A:$A="????"),FILTER(Dictionaries!$C:$C,Dictionaries!$A:$A="????"))),IF($E224="","",MIN($E224/120,1)),IF(OR($F224&lt;&gt;"",$G224&lt;&gt;""),1,""),IF($H224="","",MIN($H224/100,1)),IF($L224="","",XLOOKUP($L224,FILTER(Dictionaries!$B:$B,Dictionaries!$A:$A="???_????"),FILTER(Dictionaries!$C:$C,Dictionaries!$A:$A="???_????"))),IF($M224="","",XLOOKUP($M224,FILTER(Dictionaries!$B:$B,Dictionaries!$A:$A="?????"),FILTER(Dictionaries!$C:$C,Dictionaries!$A:$A="?????"))),IF($N224="","",MIN($N224/100,1)),IF($O224="","",XLOOKUP($O224,FILTER(Dictionaries!$B:$B,Dictionaries!$A:$A="??????????"),FILTER(Dictionaries!$C:$C,Dictionaries!$A:$A="??????????"))),IF($P224="","",XLOOKUP($P224,FILTER(Dictionaries!$B:$B,Dictionaries!$A:$A="???????"),FILTER(Dictionaries!$C:$C,Dictionaries!$A:$A="???????"))),IF($U224="","",LET(t,IF(OR($B224="????",$B224="????"),"train","rest"),k,$U224,p,$V224,f,$W224,c,$X224,k_s,IF(t="train",IF(k="","",IFS(AND(k&gt;=1900,k&lt;=2050),1,AND(k&gt;=1850,k&lt;1900),0.7,AND(k&gt;2050,k&lt;=2100),0.7,TRUE,0.2)),IF(k="","",IFS(AND(k&gt;=1700,k&lt;=1850),1,AND(k&gt;=1650,k&lt;1700),0.7,AND(k&gt;1850,k&lt;=1900),0.7,TRUE,0.2))),p_s,IF(t="train",IF(p="","",IFS(AND(p&gt;=125,p&lt;=135),1,AND(p&gt;=115,p&lt;125),0.7,AND(p&gt;135,p&lt;=145),0.7,AND(p&gt;=105,p&lt;115),0.4,AND(p&gt;145,p&lt;=155),0.4,TRUE,0.2)),IF(p="","",IFS(AND(p&gt;=120,p&lt;=130),1,AND(p&gt;=110,p&lt;120),0.7,AND(p&gt;130,p&lt;=140),0.7,AND(p&gt;=100,p&lt;110),0.4,AND(p&gt;140,p&lt;=150),0.4,TRUE,0.2))),f_s,IF(f="","",IFS(AND(f&gt;=55,f&lt;=65),1,AND(f&gt;=50,f&lt;55),0.7,AND(f&gt;65,f&lt;=70),0.7,AND(f&gt;=45,f&lt;50),0.4,AND(f&gt;70,f&lt;=75),0.4,TRUE,0.2)),c_s,IF(t="train",IF(c="","",IFS(AND(c&gt;=180,c&lt;=210),1,AND(c&gt;=160,c&lt;180),0.7,AND(c&gt;210,c&lt;=230),0.7,AND(c&gt;=140,c&lt;160),0.4,AND(c&gt;230,c&lt;=250),0.4,TRUE,0.2)),IF(c="","",IFS(AND(c&gt;=140,c&lt;=170),1,AND(c&gt;=120,c&lt;140),0.7,AND(c&gt;170,c&lt;=190),0.7,AND(c&gt;=100,c&lt;120),0.4,AND(c&gt;190,c&lt;=210),0.4,TRUE,0.2))),AVERAGE(k_s,p_s,f_s,c_s)))),1),""))</f>
        <v/>
      </c>
      <c r="Z224">
        <f>IF($A224="","",TEXTJOIN(", ",TRUE,IF($B224="","??????????",""),IF($C224="","??????",""),IF($D224="","????",""),IF($E224="","??????????",""),IF($F224="","???-?????",""),IF($G224="","???-????",""),IF($H224="","??????",""),IF($L224="","???",""),IF($M224="","?????",""),IF($N224="","??????????????",""),IF($O224="","??????????",""),IF($P224="","???????",""),IF($U224="","???","")))</f>
        <v/>
      </c>
    </row>
    <row r="225">
      <c r="U225">
        <f>IF($A225="","",IF(SUMIF(FoodLog!$A:$A,$A225,FoodLog!$I:$I)=0,"",SUMIF(FoodLog!$A:$A,$A225,FoodLog!$I:$I)))</f>
        <v/>
      </c>
      <c r="V225">
        <f>IF($A225="","",IF(SUMIF(FoodLog!$A:$A,$A225,FoodLog!$F:$F)=0,"",SUMIF(FoodLog!$A:$A,$A225,FoodLog!$F:$F)))</f>
        <v/>
      </c>
      <c r="W225">
        <f>IF($A225="","",IF(SUMIF(FoodLog!$A:$A,$A225,FoodLog!$G:$G)=0,"",SUMIF(FoodLog!$A:$A,$A225,FoodLog!$G:$G)))</f>
        <v/>
      </c>
      <c r="X225">
        <f>IF($A225="","",IF(SUMIF(FoodLog!$A:$A,$A225,FoodLog!$H:$H)=0,"",SUMIF(FoodLog!$A:$A,$A225,FoodLog!$H:$H)))</f>
        <v/>
      </c>
      <c r="Y225">
        <f>IF($A225="","",IFERROR(ROUND(100*AVERAGE(IF($B225="","",XLOOKUP($B225,FILTER(Dictionaries!$B:$B,Dictionaries!$A:$A="??????????"),FILTER(Dictionaries!$C:$C,Dictionaries!$A:$A="??????????"))),IF($C225="","",MIN($C225/40,1)),IF($D225="","",XLOOKUP($D225,FILTER(Dictionaries!$B:$B,Dictionaries!$A:$A="????"),FILTER(Dictionaries!$C:$C,Dictionaries!$A:$A="????"))),IF($E225="","",MIN($E225/120,1)),IF(OR($F225&lt;&gt;"",$G225&lt;&gt;""),1,""),IF($H225="","",MIN($H225/100,1)),IF($L225="","",XLOOKUP($L225,FILTER(Dictionaries!$B:$B,Dictionaries!$A:$A="???_????"),FILTER(Dictionaries!$C:$C,Dictionaries!$A:$A="???_????"))),IF($M225="","",XLOOKUP($M225,FILTER(Dictionaries!$B:$B,Dictionaries!$A:$A="?????"),FILTER(Dictionaries!$C:$C,Dictionaries!$A:$A="?????"))),IF($N225="","",MIN($N225/100,1)),IF($O225="","",XLOOKUP($O225,FILTER(Dictionaries!$B:$B,Dictionaries!$A:$A="??????????"),FILTER(Dictionaries!$C:$C,Dictionaries!$A:$A="??????????"))),IF($P225="","",XLOOKUP($P225,FILTER(Dictionaries!$B:$B,Dictionaries!$A:$A="???????"),FILTER(Dictionaries!$C:$C,Dictionaries!$A:$A="???????"))),IF($U225="","",LET(t,IF(OR($B225="????",$B225="????"),"train","rest"),k,$U225,p,$V225,f,$W225,c,$X225,k_s,IF(t="train",IF(k="","",IFS(AND(k&gt;=1900,k&lt;=2050),1,AND(k&gt;=1850,k&lt;1900),0.7,AND(k&gt;2050,k&lt;=2100),0.7,TRUE,0.2)),IF(k="","",IFS(AND(k&gt;=1700,k&lt;=1850),1,AND(k&gt;=1650,k&lt;1700),0.7,AND(k&gt;1850,k&lt;=1900),0.7,TRUE,0.2))),p_s,IF(t="train",IF(p="","",IFS(AND(p&gt;=125,p&lt;=135),1,AND(p&gt;=115,p&lt;125),0.7,AND(p&gt;135,p&lt;=145),0.7,AND(p&gt;=105,p&lt;115),0.4,AND(p&gt;145,p&lt;=155),0.4,TRUE,0.2)),IF(p="","",IFS(AND(p&gt;=120,p&lt;=130),1,AND(p&gt;=110,p&lt;120),0.7,AND(p&gt;130,p&lt;=140),0.7,AND(p&gt;=100,p&lt;110),0.4,AND(p&gt;140,p&lt;=150),0.4,TRUE,0.2))),f_s,IF(f="","",IFS(AND(f&gt;=55,f&lt;=65),1,AND(f&gt;=50,f&lt;55),0.7,AND(f&gt;65,f&lt;=70),0.7,AND(f&gt;=45,f&lt;50),0.4,AND(f&gt;70,f&lt;=75),0.4,TRUE,0.2)),c_s,IF(t="train",IF(c="","",IFS(AND(c&gt;=180,c&lt;=210),1,AND(c&gt;=160,c&lt;180),0.7,AND(c&gt;210,c&lt;=230),0.7,AND(c&gt;=140,c&lt;160),0.4,AND(c&gt;230,c&lt;=250),0.4,TRUE,0.2)),IF(c="","",IFS(AND(c&gt;=140,c&lt;=170),1,AND(c&gt;=120,c&lt;140),0.7,AND(c&gt;170,c&lt;=190),0.7,AND(c&gt;=100,c&lt;120),0.4,AND(c&gt;190,c&lt;=210),0.4,TRUE,0.2))),AVERAGE(k_s,p_s,f_s,c_s)))),1),""))</f>
        <v/>
      </c>
      <c r="Z225">
        <f>IF($A225="","",TEXTJOIN(", ",TRUE,IF($B225="","??????????",""),IF($C225="","??????",""),IF($D225="","????",""),IF($E225="","??????????",""),IF($F225="","???-?????",""),IF($G225="","???-????",""),IF($H225="","??????",""),IF($L225="","???",""),IF($M225="","?????",""),IF($N225="","??????????????",""),IF($O225="","??????????",""),IF($P225="","???????",""),IF($U225="","???","")))</f>
        <v/>
      </c>
    </row>
    <row r="226">
      <c r="U226">
        <f>IF($A226="","",IF(SUMIF(FoodLog!$A:$A,$A226,FoodLog!$I:$I)=0,"",SUMIF(FoodLog!$A:$A,$A226,FoodLog!$I:$I)))</f>
        <v/>
      </c>
      <c r="V226">
        <f>IF($A226="","",IF(SUMIF(FoodLog!$A:$A,$A226,FoodLog!$F:$F)=0,"",SUMIF(FoodLog!$A:$A,$A226,FoodLog!$F:$F)))</f>
        <v/>
      </c>
      <c r="W226">
        <f>IF($A226="","",IF(SUMIF(FoodLog!$A:$A,$A226,FoodLog!$G:$G)=0,"",SUMIF(FoodLog!$A:$A,$A226,FoodLog!$G:$G)))</f>
        <v/>
      </c>
      <c r="X226">
        <f>IF($A226="","",IF(SUMIF(FoodLog!$A:$A,$A226,FoodLog!$H:$H)=0,"",SUMIF(FoodLog!$A:$A,$A226,FoodLog!$H:$H)))</f>
        <v/>
      </c>
      <c r="Y226">
        <f>IF($A226="","",IFERROR(ROUND(100*AVERAGE(IF($B226="","",XLOOKUP($B226,FILTER(Dictionaries!$B:$B,Dictionaries!$A:$A="??????????"),FILTER(Dictionaries!$C:$C,Dictionaries!$A:$A="??????????"))),IF($C226="","",MIN($C226/40,1)),IF($D226="","",XLOOKUP($D226,FILTER(Dictionaries!$B:$B,Dictionaries!$A:$A="????"),FILTER(Dictionaries!$C:$C,Dictionaries!$A:$A="????"))),IF($E226="","",MIN($E226/120,1)),IF(OR($F226&lt;&gt;"",$G226&lt;&gt;""),1,""),IF($H226="","",MIN($H226/100,1)),IF($L226="","",XLOOKUP($L226,FILTER(Dictionaries!$B:$B,Dictionaries!$A:$A="???_????"),FILTER(Dictionaries!$C:$C,Dictionaries!$A:$A="???_????"))),IF($M226="","",XLOOKUP($M226,FILTER(Dictionaries!$B:$B,Dictionaries!$A:$A="?????"),FILTER(Dictionaries!$C:$C,Dictionaries!$A:$A="?????"))),IF($N226="","",MIN($N226/100,1)),IF($O226="","",XLOOKUP($O226,FILTER(Dictionaries!$B:$B,Dictionaries!$A:$A="??????????"),FILTER(Dictionaries!$C:$C,Dictionaries!$A:$A="??????????"))),IF($P226="","",XLOOKUP($P226,FILTER(Dictionaries!$B:$B,Dictionaries!$A:$A="???????"),FILTER(Dictionaries!$C:$C,Dictionaries!$A:$A="???????"))),IF($U226="","",LET(t,IF(OR($B226="????",$B226="????"),"train","rest"),k,$U226,p,$V226,f,$W226,c,$X226,k_s,IF(t="train",IF(k="","",IFS(AND(k&gt;=1900,k&lt;=2050),1,AND(k&gt;=1850,k&lt;1900),0.7,AND(k&gt;2050,k&lt;=2100),0.7,TRUE,0.2)),IF(k="","",IFS(AND(k&gt;=1700,k&lt;=1850),1,AND(k&gt;=1650,k&lt;1700),0.7,AND(k&gt;1850,k&lt;=1900),0.7,TRUE,0.2))),p_s,IF(t="train",IF(p="","",IFS(AND(p&gt;=125,p&lt;=135),1,AND(p&gt;=115,p&lt;125),0.7,AND(p&gt;135,p&lt;=145),0.7,AND(p&gt;=105,p&lt;115),0.4,AND(p&gt;145,p&lt;=155),0.4,TRUE,0.2)),IF(p="","",IFS(AND(p&gt;=120,p&lt;=130),1,AND(p&gt;=110,p&lt;120),0.7,AND(p&gt;130,p&lt;=140),0.7,AND(p&gt;=100,p&lt;110),0.4,AND(p&gt;140,p&lt;=150),0.4,TRUE,0.2))),f_s,IF(f="","",IFS(AND(f&gt;=55,f&lt;=65),1,AND(f&gt;=50,f&lt;55),0.7,AND(f&gt;65,f&lt;=70),0.7,AND(f&gt;=45,f&lt;50),0.4,AND(f&gt;70,f&lt;=75),0.4,TRUE,0.2)),c_s,IF(t="train",IF(c="","",IFS(AND(c&gt;=180,c&lt;=210),1,AND(c&gt;=160,c&lt;180),0.7,AND(c&gt;210,c&lt;=230),0.7,AND(c&gt;=140,c&lt;160),0.4,AND(c&gt;230,c&lt;=250),0.4,TRUE,0.2)),IF(c="","",IFS(AND(c&gt;=140,c&lt;=170),1,AND(c&gt;=120,c&lt;140),0.7,AND(c&gt;170,c&lt;=190),0.7,AND(c&gt;=100,c&lt;120),0.4,AND(c&gt;190,c&lt;=210),0.4,TRUE,0.2))),AVERAGE(k_s,p_s,f_s,c_s)))),1),""))</f>
        <v/>
      </c>
      <c r="Z226">
        <f>IF($A226="","",TEXTJOIN(", ",TRUE,IF($B226="","??????????",""),IF($C226="","??????",""),IF($D226="","????",""),IF($E226="","??????????",""),IF($F226="","???-?????",""),IF($G226="","???-????",""),IF($H226="","??????",""),IF($L226="","???",""),IF($M226="","?????",""),IF($N226="","??????????????",""),IF($O226="","??????????",""),IF($P226="","???????",""),IF($U226="","???","")))</f>
        <v/>
      </c>
    </row>
    <row r="227">
      <c r="U227">
        <f>IF($A227="","",IF(SUMIF(FoodLog!$A:$A,$A227,FoodLog!$I:$I)=0,"",SUMIF(FoodLog!$A:$A,$A227,FoodLog!$I:$I)))</f>
        <v/>
      </c>
      <c r="V227">
        <f>IF($A227="","",IF(SUMIF(FoodLog!$A:$A,$A227,FoodLog!$F:$F)=0,"",SUMIF(FoodLog!$A:$A,$A227,FoodLog!$F:$F)))</f>
        <v/>
      </c>
      <c r="W227">
        <f>IF($A227="","",IF(SUMIF(FoodLog!$A:$A,$A227,FoodLog!$G:$G)=0,"",SUMIF(FoodLog!$A:$A,$A227,FoodLog!$G:$G)))</f>
        <v/>
      </c>
      <c r="X227">
        <f>IF($A227="","",IF(SUMIF(FoodLog!$A:$A,$A227,FoodLog!$H:$H)=0,"",SUMIF(FoodLog!$A:$A,$A227,FoodLog!$H:$H)))</f>
        <v/>
      </c>
      <c r="Y227">
        <f>IF($A227="","",IFERROR(ROUND(100*AVERAGE(IF($B227="","",XLOOKUP($B227,FILTER(Dictionaries!$B:$B,Dictionaries!$A:$A="??????????"),FILTER(Dictionaries!$C:$C,Dictionaries!$A:$A="??????????"))),IF($C227="","",MIN($C227/40,1)),IF($D227="","",XLOOKUP($D227,FILTER(Dictionaries!$B:$B,Dictionaries!$A:$A="????"),FILTER(Dictionaries!$C:$C,Dictionaries!$A:$A="????"))),IF($E227="","",MIN($E227/120,1)),IF(OR($F227&lt;&gt;"",$G227&lt;&gt;""),1,""),IF($H227="","",MIN($H227/100,1)),IF($L227="","",XLOOKUP($L227,FILTER(Dictionaries!$B:$B,Dictionaries!$A:$A="???_????"),FILTER(Dictionaries!$C:$C,Dictionaries!$A:$A="???_????"))),IF($M227="","",XLOOKUP($M227,FILTER(Dictionaries!$B:$B,Dictionaries!$A:$A="?????"),FILTER(Dictionaries!$C:$C,Dictionaries!$A:$A="?????"))),IF($N227="","",MIN($N227/100,1)),IF($O227="","",XLOOKUP($O227,FILTER(Dictionaries!$B:$B,Dictionaries!$A:$A="??????????"),FILTER(Dictionaries!$C:$C,Dictionaries!$A:$A="??????????"))),IF($P227="","",XLOOKUP($P227,FILTER(Dictionaries!$B:$B,Dictionaries!$A:$A="???????"),FILTER(Dictionaries!$C:$C,Dictionaries!$A:$A="???????"))),IF($U227="","",LET(t,IF(OR($B227="????",$B227="????"),"train","rest"),k,$U227,p,$V227,f,$W227,c,$X227,k_s,IF(t="train",IF(k="","",IFS(AND(k&gt;=1900,k&lt;=2050),1,AND(k&gt;=1850,k&lt;1900),0.7,AND(k&gt;2050,k&lt;=2100),0.7,TRUE,0.2)),IF(k="","",IFS(AND(k&gt;=1700,k&lt;=1850),1,AND(k&gt;=1650,k&lt;1700),0.7,AND(k&gt;1850,k&lt;=1900),0.7,TRUE,0.2))),p_s,IF(t="train",IF(p="","",IFS(AND(p&gt;=125,p&lt;=135),1,AND(p&gt;=115,p&lt;125),0.7,AND(p&gt;135,p&lt;=145),0.7,AND(p&gt;=105,p&lt;115),0.4,AND(p&gt;145,p&lt;=155),0.4,TRUE,0.2)),IF(p="","",IFS(AND(p&gt;=120,p&lt;=130),1,AND(p&gt;=110,p&lt;120),0.7,AND(p&gt;130,p&lt;=140),0.7,AND(p&gt;=100,p&lt;110),0.4,AND(p&gt;140,p&lt;=150),0.4,TRUE,0.2))),f_s,IF(f="","",IFS(AND(f&gt;=55,f&lt;=65),1,AND(f&gt;=50,f&lt;55),0.7,AND(f&gt;65,f&lt;=70),0.7,AND(f&gt;=45,f&lt;50),0.4,AND(f&gt;70,f&lt;=75),0.4,TRUE,0.2)),c_s,IF(t="train",IF(c="","",IFS(AND(c&gt;=180,c&lt;=210),1,AND(c&gt;=160,c&lt;180),0.7,AND(c&gt;210,c&lt;=230),0.7,AND(c&gt;=140,c&lt;160),0.4,AND(c&gt;230,c&lt;=250),0.4,TRUE,0.2)),IF(c="","",IFS(AND(c&gt;=140,c&lt;=170),1,AND(c&gt;=120,c&lt;140),0.7,AND(c&gt;170,c&lt;=190),0.7,AND(c&gt;=100,c&lt;120),0.4,AND(c&gt;190,c&lt;=210),0.4,TRUE,0.2))),AVERAGE(k_s,p_s,f_s,c_s)))),1),""))</f>
        <v/>
      </c>
      <c r="Z227">
        <f>IF($A227="","",TEXTJOIN(", ",TRUE,IF($B227="","??????????",""),IF($C227="","??????",""),IF($D227="","????",""),IF($E227="","??????????",""),IF($F227="","???-?????",""),IF($G227="","???-????",""),IF($H227="","??????",""),IF($L227="","???",""),IF($M227="","?????",""),IF($N227="","??????????????",""),IF($O227="","??????????",""),IF($P227="","???????",""),IF($U227="","???","")))</f>
        <v/>
      </c>
    </row>
    <row r="228">
      <c r="U228">
        <f>IF($A228="","",IF(SUMIF(FoodLog!$A:$A,$A228,FoodLog!$I:$I)=0,"",SUMIF(FoodLog!$A:$A,$A228,FoodLog!$I:$I)))</f>
        <v/>
      </c>
      <c r="V228">
        <f>IF($A228="","",IF(SUMIF(FoodLog!$A:$A,$A228,FoodLog!$F:$F)=0,"",SUMIF(FoodLog!$A:$A,$A228,FoodLog!$F:$F)))</f>
        <v/>
      </c>
      <c r="W228">
        <f>IF($A228="","",IF(SUMIF(FoodLog!$A:$A,$A228,FoodLog!$G:$G)=0,"",SUMIF(FoodLog!$A:$A,$A228,FoodLog!$G:$G)))</f>
        <v/>
      </c>
      <c r="X228">
        <f>IF($A228="","",IF(SUMIF(FoodLog!$A:$A,$A228,FoodLog!$H:$H)=0,"",SUMIF(FoodLog!$A:$A,$A228,FoodLog!$H:$H)))</f>
        <v/>
      </c>
      <c r="Y228">
        <f>IF($A228="","",IFERROR(ROUND(100*AVERAGE(IF($B228="","",XLOOKUP($B228,FILTER(Dictionaries!$B:$B,Dictionaries!$A:$A="??????????"),FILTER(Dictionaries!$C:$C,Dictionaries!$A:$A="??????????"))),IF($C228="","",MIN($C228/40,1)),IF($D228="","",XLOOKUP($D228,FILTER(Dictionaries!$B:$B,Dictionaries!$A:$A="????"),FILTER(Dictionaries!$C:$C,Dictionaries!$A:$A="????"))),IF($E228="","",MIN($E228/120,1)),IF(OR($F228&lt;&gt;"",$G228&lt;&gt;""),1,""),IF($H228="","",MIN($H228/100,1)),IF($L228="","",XLOOKUP($L228,FILTER(Dictionaries!$B:$B,Dictionaries!$A:$A="???_????"),FILTER(Dictionaries!$C:$C,Dictionaries!$A:$A="???_????"))),IF($M228="","",XLOOKUP($M228,FILTER(Dictionaries!$B:$B,Dictionaries!$A:$A="?????"),FILTER(Dictionaries!$C:$C,Dictionaries!$A:$A="?????"))),IF($N228="","",MIN($N228/100,1)),IF($O228="","",XLOOKUP($O228,FILTER(Dictionaries!$B:$B,Dictionaries!$A:$A="??????????"),FILTER(Dictionaries!$C:$C,Dictionaries!$A:$A="??????????"))),IF($P228="","",XLOOKUP($P228,FILTER(Dictionaries!$B:$B,Dictionaries!$A:$A="???????"),FILTER(Dictionaries!$C:$C,Dictionaries!$A:$A="???????"))),IF($U228="","",LET(t,IF(OR($B228="????",$B228="????"),"train","rest"),k,$U228,p,$V228,f,$W228,c,$X228,k_s,IF(t="train",IF(k="","",IFS(AND(k&gt;=1900,k&lt;=2050),1,AND(k&gt;=1850,k&lt;1900),0.7,AND(k&gt;2050,k&lt;=2100),0.7,TRUE,0.2)),IF(k="","",IFS(AND(k&gt;=1700,k&lt;=1850),1,AND(k&gt;=1650,k&lt;1700),0.7,AND(k&gt;1850,k&lt;=1900),0.7,TRUE,0.2))),p_s,IF(t="train",IF(p="","",IFS(AND(p&gt;=125,p&lt;=135),1,AND(p&gt;=115,p&lt;125),0.7,AND(p&gt;135,p&lt;=145),0.7,AND(p&gt;=105,p&lt;115),0.4,AND(p&gt;145,p&lt;=155),0.4,TRUE,0.2)),IF(p="","",IFS(AND(p&gt;=120,p&lt;=130),1,AND(p&gt;=110,p&lt;120),0.7,AND(p&gt;130,p&lt;=140),0.7,AND(p&gt;=100,p&lt;110),0.4,AND(p&gt;140,p&lt;=150),0.4,TRUE,0.2))),f_s,IF(f="","",IFS(AND(f&gt;=55,f&lt;=65),1,AND(f&gt;=50,f&lt;55),0.7,AND(f&gt;65,f&lt;=70),0.7,AND(f&gt;=45,f&lt;50),0.4,AND(f&gt;70,f&lt;=75),0.4,TRUE,0.2)),c_s,IF(t="train",IF(c="","",IFS(AND(c&gt;=180,c&lt;=210),1,AND(c&gt;=160,c&lt;180),0.7,AND(c&gt;210,c&lt;=230),0.7,AND(c&gt;=140,c&lt;160),0.4,AND(c&gt;230,c&lt;=250),0.4,TRUE,0.2)),IF(c="","",IFS(AND(c&gt;=140,c&lt;=170),1,AND(c&gt;=120,c&lt;140),0.7,AND(c&gt;170,c&lt;=190),0.7,AND(c&gt;=100,c&lt;120),0.4,AND(c&gt;190,c&lt;=210),0.4,TRUE,0.2))),AVERAGE(k_s,p_s,f_s,c_s)))),1),""))</f>
        <v/>
      </c>
      <c r="Z228">
        <f>IF($A228="","",TEXTJOIN(", ",TRUE,IF($B228="","??????????",""),IF($C228="","??????",""),IF($D228="","????",""),IF($E228="","??????????",""),IF($F228="","???-?????",""),IF($G228="","???-????",""),IF($H228="","??????",""),IF($L228="","???",""),IF($M228="","?????",""),IF($N228="","??????????????",""),IF($O228="","??????????",""),IF($P228="","???????",""),IF($U228="","???","")))</f>
        <v/>
      </c>
    </row>
    <row r="229">
      <c r="U229">
        <f>IF($A229="","",IF(SUMIF(FoodLog!$A:$A,$A229,FoodLog!$I:$I)=0,"",SUMIF(FoodLog!$A:$A,$A229,FoodLog!$I:$I)))</f>
        <v/>
      </c>
      <c r="V229">
        <f>IF($A229="","",IF(SUMIF(FoodLog!$A:$A,$A229,FoodLog!$F:$F)=0,"",SUMIF(FoodLog!$A:$A,$A229,FoodLog!$F:$F)))</f>
        <v/>
      </c>
      <c r="W229">
        <f>IF($A229="","",IF(SUMIF(FoodLog!$A:$A,$A229,FoodLog!$G:$G)=0,"",SUMIF(FoodLog!$A:$A,$A229,FoodLog!$G:$G)))</f>
        <v/>
      </c>
      <c r="X229">
        <f>IF($A229="","",IF(SUMIF(FoodLog!$A:$A,$A229,FoodLog!$H:$H)=0,"",SUMIF(FoodLog!$A:$A,$A229,FoodLog!$H:$H)))</f>
        <v/>
      </c>
      <c r="Y229">
        <f>IF($A229="","",IFERROR(ROUND(100*AVERAGE(IF($B229="","",XLOOKUP($B229,FILTER(Dictionaries!$B:$B,Dictionaries!$A:$A="??????????"),FILTER(Dictionaries!$C:$C,Dictionaries!$A:$A="??????????"))),IF($C229="","",MIN($C229/40,1)),IF($D229="","",XLOOKUP($D229,FILTER(Dictionaries!$B:$B,Dictionaries!$A:$A="????"),FILTER(Dictionaries!$C:$C,Dictionaries!$A:$A="????"))),IF($E229="","",MIN($E229/120,1)),IF(OR($F229&lt;&gt;"",$G229&lt;&gt;""),1,""),IF($H229="","",MIN($H229/100,1)),IF($L229="","",XLOOKUP($L229,FILTER(Dictionaries!$B:$B,Dictionaries!$A:$A="???_????"),FILTER(Dictionaries!$C:$C,Dictionaries!$A:$A="???_????"))),IF($M229="","",XLOOKUP($M229,FILTER(Dictionaries!$B:$B,Dictionaries!$A:$A="?????"),FILTER(Dictionaries!$C:$C,Dictionaries!$A:$A="?????"))),IF($N229="","",MIN($N229/100,1)),IF($O229="","",XLOOKUP($O229,FILTER(Dictionaries!$B:$B,Dictionaries!$A:$A="??????????"),FILTER(Dictionaries!$C:$C,Dictionaries!$A:$A="??????????"))),IF($P229="","",XLOOKUP($P229,FILTER(Dictionaries!$B:$B,Dictionaries!$A:$A="???????"),FILTER(Dictionaries!$C:$C,Dictionaries!$A:$A="???????"))),IF($U229="","",LET(t,IF(OR($B229="????",$B229="????"),"train","rest"),k,$U229,p,$V229,f,$W229,c,$X229,k_s,IF(t="train",IF(k="","",IFS(AND(k&gt;=1900,k&lt;=2050),1,AND(k&gt;=1850,k&lt;1900),0.7,AND(k&gt;2050,k&lt;=2100),0.7,TRUE,0.2)),IF(k="","",IFS(AND(k&gt;=1700,k&lt;=1850),1,AND(k&gt;=1650,k&lt;1700),0.7,AND(k&gt;1850,k&lt;=1900),0.7,TRUE,0.2))),p_s,IF(t="train",IF(p="","",IFS(AND(p&gt;=125,p&lt;=135),1,AND(p&gt;=115,p&lt;125),0.7,AND(p&gt;135,p&lt;=145),0.7,AND(p&gt;=105,p&lt;115),0.4,AND(p&gt;145,p&lt;=155),0.4,TRUE,0.2)),IF(p="","",IFS(AND(p&gt;=120,p&lt;=130),1,AND(p&gt;=110,p&lt;120),0.7,AND(p&gt;130,p&lt;=140),0.7,AND(p&gt;=100,p&lt;110),0.4,AND(p&gt;140,p&lt;=150),0.4,TRUE,0.2))),f_s,IF(f="","",IFS(AND(f&gt;=55,f&lt;=65),1,AND(f&gt;=50,f&lt;55),0.7,AND(f&gt;65,f&lt;=70),0.7,AND(f&gt;=45,f&lt;50),0.4,AND(f&gt;70,f&lt;=75),0.4,TRUE,0.2)),c_s,IF(t="train",IF(c="","",IFS(AND(c&gt;=180,c&lt;=210),1,AND(c&gt;=160,c&lt;180),0.7,AND(c&gt;210,c&lt;=230),0.7,AND(c&gt;=140,c&lt;160),0.4,AND(c&gt;230,c&lt;=250),0.4,TRUE,0.2)),IF(c="","",IFS(AND(c&gt;=140,c&lt;=170),1,AND(c&gt;=120,c&lt;140),0.7,AND(c&gt;170,c&lt;=190),0.7,AND(c&gt;=100,c&lt;120),0.4,AND(c&gt;190,c&lt;=210),0.4,TRUE,0.2))),AVERAGE(k_s,p_s,f_s,c_s)))),1),""))</f>
        <v/>
      </c>
      <c r="Z229">
        <f>IF($A229="","",TEXTJOIN(", ",TRUE,IF($B229="","??????????",""),IF($C229="","??????",""),IF($D229="","????",""),IF($E229="","??????????",""),IF($F229="","???-?????",""),IF($G229="","???-????",""),IF($H229="","??????",""),IF($L229="","???",""),IF($M229="","?????",""),IF($N229="","??????????????",""),IF($O229="","??????????",""),IF($P229="","???????",""),IF($U229="","???","")))</f>
        <v/>
      </c>
    </row>
    <row r="230">
      <c r="U230">
        <f>IF($A230="","",IF(SUMIF(FoodLog!$A:$A,$A230,FoodLog!$I:$I)=0,"",SUMIF(FoodLog!$A:$A,$A230,FoodLog!$I:$I)))</f>
        <v/>
      </c>
      <c r="V230">
        <f>IF($A230="","",IF(SUMIF(FoodLog!$A:$A,$A230,FoodLog!$F:$F)=0,"",SUMIF(FoodLog!$A:$A,$A230,FoodLog!$F:$F)))</f>
        <v/>
      </c>
      <c r="W230">
        <f>IF($A230="","",IF(SUMIF(FoodLog!$A:$A,$A230,FoodLog!$G:$G)=0,"",SUMIF(FoodLog!$A:$A,$A230,FoodLog!$G:$G)))</f>
        <v/>
      </c>
      <c r="X230">
        <f>IF($A230="","",IF(SUMIF(FoodLog!$A:$A,$A230,FoodLog!$H:$H)=0,"",SUMIF(FoodLog!$A:$A,$A230,FoodLog!$H:$H)))</f>
        <v/>
      </c>
      <c r="Y230">
        <f>IF($A230="","",IFERROR(ROUND(100*AVERAGE(IF($B230="","",XLOOKUP($B230,FILTER(Dictionaries!$B:$B,Dictionaries!$A:$A="??????????"),FILTER(Dictionaries!$C:$C,Dictionaries!$A:$A="??????????"))),IF($C230="","",MIN($C230/40,1)),IF($D230="","",XLOOKUP($D230,FILTER(Dictionaries!$B:$B,Dictionaries!$A:$A="????"),FILTER(Dictionaries!$C:$C,Dictionaries!$A:$A="????"))),IF($E230="","",MIN($E230/120,1)),IF(OR($F230&lt;&gt;"",$G230&lt;&gt;""),1,""),IF($H230="","",MIN($H230/100,1)),IF($L230="","",XLOOKUP($L230,FILTER(Dictionaries!$B:$B,Dictionaries!$A:$A="???_????"),FILTER(Dictionaries!$C:$C,Dictionaries!$A:$A="???_????"))),IF($M230="","",XLOOKUP($M230,FILTER(Dictionaries!$B:$B,Dictionaries!$A:$A="?????"),FILTER(Dictionaries!$C:$C,Dictionaries!$A:$A="?????"))),IF($N230="","",MIN($N230/100,1)),IF($O230="","",XLOOKUP($O230,FILTER(Dictionaries!$B:$B,Dictionaries!$A:$A="??????????"),FILTER(Dictionaries!$C:$C,Dictionaries!$A:$A="??????????"))),IF($P230="","",XLOOKUP($P230,FILTER(Dictionaries!$B:$B,Dictionaries!$A:$A="???????"),FILTER(Dictionaries!$C:$C,Dictionaries!$A:$A="???????"))),IF($U230="","",LET(t,IF(OR($B230="????",$B230="????"),"train","rest"),k,$U230,p,$V230,f,$W230,c,$X230,k_s,IF(t="train",IF(k="","",IFS(AND(k&gt;=1900,k&lt;=2050),1,AND(k&gt;=1850,k&lt;1900),0.7,AND(k&gt;2050,k&lt;=2100),0.7,TRUE,0.2)),IF(k="","",IFS(AND(k&gt;=1700,k&lt;=1850),1,AND(k&gt;=1650,k&lt;1700),0.7,AND(k&gt;1850,k&lt;=1900),0.7,TRUE,0.2))),p_s,IF(t="train",IF(p="","",IFS(AND(p&gt;=125,p&lt;=135),1,AND(p&gt;=115,p&lt;125),0.7,AND(p&gt;135,p&lt;=145),0.7,AND(p&gt;=105,p&lt;115),0.4,AND(p&gt;145,p&lt;=155),0.4,TRUE,0.2)),IF(p="","",IFS(AND(p&gt;=120,p&lt;=130),1,AND(p&gt;=110,p&lt;120),0.7,AND(p&gt;130,p&lt;=140),0.7,AND(p&gt;=100,p&lt;110),0.4,AND(p&gt;140,p&lt;=150),0.4,TRUE,0.2))),f_s,IF(f="","",IFS(AND(f&gt;=55,f&lt;=65),1,AND(f&gt;=50,f&lt;55),0.7,AND(f&gt;65,f&lt;=70),0.7,AND(f&gt;=45,f&lt;50),0.4,AND(f&gt;70,f&lt;=75),0.4,TRUE,0.2)),c_s,IF(t="train",IF(c="","",IFS(AND(c&gt;=180,c&lt;=210),1,AND(c&gt;=160,c&lt;180),0.7,AND(c&gt;210,c&lt;=230),0.7,AND(c&gt;=140,c&lt;160),0.4,AND(c&gt;230,c&lt;=250),0.4,TRUE,0.2)),IF(c="","",IFS(AND(c&gt;=140,c&lt;=170),1,AND(c&gt;=120,c&lt;140),0.7,AND(c&gt;170,c&lt;=190),0.7,AND(c&gt;=100,c&lt;120),0.4,AND(c&gt;190,c&lt;=210),0.4,TRUE,0.2))),AVERAGE(k_s,p_s,f_s,c_s)))),1),""))</f>
        <v/>
      </c>
      <c r="Z230">
        <f>IF($A230="","",TEXTJOIN(", ",TRUE,IF($B230="","??????????",""),IF($C230="","??????",""),IF($D230="","????",""),IF($E230="","??????????",""),IF($F230="","???-?????",""),IF($G230="","???-????",""),IF($H230="","??????",""),IF($L230="","???",""),IF($M230="","?????",""),IF($N230="","??????????????",""),IF($O230="","??????????",""),IF($P230="","???????",""),IF($U230="","???","")))</f>
        <v/>
      </c>
    </row>
    <row r="231">
      <c r="U231">
        <f>IF($A231="","",IF(SUMIF(FoodLog!$A:$A,$A231,FoodLog!$I:$I)=0,"",SUMIF(FoodLog!$A:$A,$A231,FoodLog!$I:$I)))</f>
        <v/>
      </c>
      <c r="V231">
        <f>IF($A231="","",IF(SUMIF(FoodLog!$A:$A,$A231,FoodLog!$F:$F)=0,"",SUMIF(FoodLog!$A:$A,$A231,FoodLog!$F:$F)))</f>
        <v/>
      </c>
      <c r="W231">
        <f>IF($A231="","",IF(SUMIF(FoodLog!$A:$A,$A231,FoodLog!$G:$G)=0,"",SUMIF(FoodLog!$A:$A,$A231,FoodLog!$G:$G)))</f>
        <v/>
      </c>
      <c r="X231">
        <f>IF($A231="","",IF(SUMIF(FoodLog!$A:$A,$A231,FoodLog!$H:$H)=0,"",SUMIF(FoodLog!$A:$A,$A231,FoodLog!$H:$H)))</f>
        <v/>
      </c>
      <c r="Y231">
        <f>IF($A231="","",IFERROR(ROUND(100*AVERAGE(IF($B231="","",XLOOKUP($B231,FILTER(Dictionaries!$B:$B,Dictionaries!$A:$A="??????????"),FILTER(Dictionaries!$C:$C,Dictionaries!$A:$A="??????????"))),IF($C231="","",MIN($C231/40,1)),IF($D231="","",XLOOKUP($D231,FILTER(Dictionaries!$B:$B,Dictionaries!$A:$A="????"),FILTER(Dictionaries!$C:$C,Dictionaries!$A:$A="????"))),IF($E231="","",MIN($E231/120,1)),IF(OR($F231&lt;&gt;"",$G231&lt;&gt;""),1,""),IF($H231="","",MIN($H231/100,1)),IF($L231="","",XLOOKUP($L231,FILTER(Dictionaries!$B:$B,Dictionaries!$A:$A="???_????"),FILTER(Dictionaries!$C:$C,Dictionaries!$A:$A="???_????"))),IF($M231="","",XLOOKUP($M231,FILTER(Dictionaries!$B:$B,Dictionaries!$A:$A="?????"),FILTER(Dictionaries!$C:$C,Dictionaries!$A:$A="?????"))),IF($N231="","",MIN($N231/100,1)),IF($O231="","",XLOOKUP($O231,FILTER(Dictionaries!$B:$B,Dictionaries!$A:$A="??????????"),FILTER(Dictionaries!$C:$C,Dictionaries!$A:$A="??????????"))),IF($P231="","",XLOOKUP($P231,FILTER(Dictionaries!$B:$B,Dictionaries!$A:$A="???????"),FILTER(Dictionaries!$C:$C,Dictionaries!$A:$A="???????"))),IF($U231="","",LET(t,IF(OR($B231="????",$B231="????"),"train","rest"),k,$U231,p,$V231,f,$W231,c,$X231,k_s,IF(t="train",IF(k="","",IFS(AND(k&gt;=1900,k&lt;=2050),1,AND(k&gt;=1850,k&lt;1900),0.7,AND(k&gt;2050,k&lt;=2100),0.7,TRUE,0.2)),IF(k="","",IFS(AND(k&gt;=1700,k&lt;=1850),1,AND(k&gt;=1650,k&lt;1700),0.7,AND(k&gt;1850,k&lt;=1900),0.7,TRUE,0.2))),p_s,IF(t="train",IF(p="","",IFS(AND(p&gt;=125,p&lt;=135),1,AND(p&gt;=115,p&lt;125),0.7,AND(p&gt;135,p&lt;=145),0.7,AND(p&gt;=105,p&lt;115),0.4,AND(p&gt;145,p&lt;=155),0.4,TRUE,0.2)),IF(p="","",IFS(AND(p&gt;=120,p&lt;=130),1,AND(p&gt;=110,p&lt;120),0.7,AND(p&gt;130,p&lt;=140),0.7,AND(p&gt;=100,p&lt;110),0.4,AND(p&gt;140,p&lt;=150),0.4,TRUE,0.2))),f_s,IF(f="","",IFS(AND(f&gt;=55,f&lt;=65),1,AND(f&gt;=50,f&lt;55),0.7,AND(f&gt;65,f&lt;=70),0.7,AND(f&gt;=45,f&lt;50),0.4,AND(f&gt;70,f&lt;=75),0.4,TRUE,0.2)),c_s,IF(t="train",IF(c="","",IFS(AND(c&gt;=180,c&lt;=210),1,AND(c&gt;=160,c&lt;180),0.7,AND(c&gt;210,c&lt;=230),0.7,AND(c&gt;=140,c&lt;160),0.4,AND(c&gt;230,c&lt;=250),0.4,TRUE,0.2)),IF(c="","",IFS(AND(c&gt;=140,c&lt;=170),1,AND(c&gt;=120,c&lt;140),0.7,AND(c&gt;170,c&lt;=190),0.7,AND(c&gt;=100,c&lt;120),0.4,AND(c&gt;190,c&lt;=210),0.4,TRUE,0.2))),AVERAGE(k_s,p_s,f_s,c_s)))),1),""))</f>
        <v/>
      </c>
      <c r="Z231">
        <f>IF($A231="","",TEXTJOIN(", ",TRUE,IF($B231="","??????????",""),IF($C231="","??????",""),IF($D231="","????",""),IF($E231="","??????????",""),IF($F231="","???-?????",""),IF($G231="","???-????",""),IF($H231="","??????",""),IF($L231="","???",""),IF($M231="","?????",""),IF($N231="","??????????????",""),IF($O231="","??????????",""),IF($P231="","???????",""),IF($U231="","???","")))</f>
        <v/>
      </c>
    </row>
    <row r="232">
      <c r="U232">
        <f>IF($A232="","",IF(SUMIF(FoodLog!$A:$A,$A232,FoodLog!$I:$I)=0,"",SUMIF(FoodLog!$A:$A,$A232,FoodLog!$I:$I)))</f>
        <v/>
      </c>
      <c r="V232">
        <f>IF($A232="","",IF(SUMIF(FoodLog!$A:$A,$A232,FoodLog!$F:$F)=0,"",SUMIF(FoodLog!$A:$A,$A232,FoodLog!$F:$F)))</f>
        <v/>
      </c>
      <c r="W232">
        <f>IF($A232="","",IF(SUMIF(FoodLog!$A:$A,$A232,FoodLog!$G:$G)=0,"",SUMIF(FoodLog!$A:$A,$A232,FoodLog!$G:$G)))</f>
        <v/>
      </c>
      <c r="X232">
        <f>IF($A232="","",IF(SUMIF(FoodLog!$A:$A,$A232,FoodLog!$H:$H)=0,"",SUMIF(FoodLog!$A:$A,$A232,FoodLog!$H:$H)))</f>
        <v/>
      </c>
      <c r="Y232">
        <f>IF($A232="","",IFERROR(ROUND(100*AVERAGE(IF($B232="","",XLOOKUP($B232,FILTER(Dictionaries!$B:$B,Dictionaries!$A:$A="??????????"),FILTER(Dictionaries!$C:$C,Dictionaries!$A:$A="??????????"))),IF($C232="","",MIN($C232/40,1)),IF($D232="","",XLOOKUP($D232,FILTER(Dictionaries!$B:$B,Dictionaries!$A:$A="????"),FILTER(Dictionaries!$C:$C,Dictionaries!$A:$A="????"))),IF($E232="","",MIN($E232/120,1)),IF(OR($F232&lt;&gt;"",$G232&lt;&gt;""),1,""),IF($H232="","",MIN($H232/100,1)),IF($L232="","",XLOOKUP($L232,FILTER(Dictionaries!$B:$B,Dictionaries!$A:$A="???_????"),FILTER(Dictionaries!$C:$C,Dictionaries!$A:$A="???_????"))),IF($M232="","",XLOOKUP($M232,FILTER(Dictionaries!$B:$B,Dictionaries!$A:$A="?????"),FILTER(Dictionaries!$C:$C,Dictionaries!$A:$A="?????"))),IF($N232="","",MIN($N232/100,1)),IF($O232="","",XLOOKUP($O232,FILTER(Dictionaries!$B:$B,Dictionaries!$A:$A="??????????"),FILTER(Dictionaries!$C:$C,Dictionaries!$A:$A="??????????"))),IF($P232="","",XLOOKUP($P232,FILTER(Dictionaries!$B:$B,Dictionaries!$A:$A="???????"),FILTER(Dictionaries!$C:$C,Dictionaries!$A:$A="???????"))),IF($U232="","",LET(t,IF(OR($B232="????",$B232="????"),"train","rest"),k,$U232,p,$V232,f,$W232,c,$X232,k_s,IF(t="train",IF(k="","",IFS(AND(k&gt;=1900,k&lt;=2050),1,AND(k&gt;=1850,k&lt;1900),0.7,AND(k&gt;2050,k&lt;=2100),0.7,TRUE,0.2)),IF(k="","",IFS(AND(k&gt;=1700,k&lt;=1850),1,AND(k&gt;=1650,k&lt;1700),0.7,AND(k&gt;1850,k&lt;=1900),0.7,TRUE,0.2))),p_s,IF(t="train",IF(p="","",IFS(AND(p&gt;=125,p&lt;=135),1,AND(p&gt;=115,p&lt;125),0.7,AND(p&gt;135,p&lt;=145),0.7,AND(p&gt;=105,p&lt;115),0.4,AND(p&gt;145,p&lt;=155),0.4,TRUE,0.2)),IF(p="","",IFS(AND(p&gt;=120,p&lt;=130),1,AND(p&gt;=110,p&lt;120),0.7,AND(p&gt;130,p&lt;=140),0.7,AND(p&gt;=100,p&lt;110),0.4,AND(p&gt;140,p&lt;=150),0.4,TRUE,0.2))),f_s,IF(f="","",IFS(AND(f&gt;=55,f&lt;=65),1,AND(f&gt;=50,f&lt;55),0.7,AND(f&gt;65,f&lt;=70),0.7,AND(f&gt;=45,f&lt;50),0.4,AND(f&gt;70,f&lt;=75),0.4,TRUE,0.2)),c_s,IF(t="train",IF(c="","",IFS(AND(c&gt;=180,c&lt;=210),1,AND(c&gt;=160,c&lt;180),0.7,AND(c&gt;210,c&lt;=230),0.7,AND(c&gt;=140,c&lt;160),0.4,AND(c&gt;230,c&lt;=250),0.4,TRUE,0.2)),IF(c="","",IFS(AND(c&gt;=140,c&lt;=170),1,AND(c&gt;=120,c&lt;140),0.7,AND(c&gt;170,c&lt;=190),0.7,AND(c&gt;=100,c&lt;120),0.4,AND(c&gt;190,c&lt;=210),0.4,TRUE,0.2))),AVERAGE(k_s,p_s,f_s,c_s)))),1),""))</f>
        <v/>
      </c>
      <c r="Z232">
        <f>IF($A232="","",TEXTJOIN(", ",TRUE,IF($B232="","??????????",""),IF($C232="","??????",""),IF($D232="","????",""),IF($E232="","??????????",""),IF($F232="","???-?????",""),IF($G232="","???-????",""),IF($H232="","??????",""),IF($L232="","???",""),IF($M232="","?????",""),IF($N232="","??????????????",""),IF($O232="","??????????",""),IF($P232="","???????",""),IF($U232="","???","")))</f>
        <v/>
      </c>
    </row>
    <row r="233">
      <c r="U233">
        <f>IF($A233="","",IF(SUMIF(FoodLog!$A:$A,$A233,FoodLog!$I:$I)=0,"",SUMIF(FoodLog!$A:$A,$A233,FoodLog!$I:$I)))</f>
        <v/>
      </c>
      <c r="V233">
        <f>IF($A233="","",IF(SUMIF(FoodLog!$A:$A,$A233,FoodLog!$F:$F)=0,"",SUMIF(FoodLog!$A:$A,$A233,FoodLog!$F:$F)))</f>
        <v/>
      </c>
      <c r="W233">
        <f>IF($A233="","",IF(SUMIF(FoodLog!$A:$A,$A233,FoodLog!$G:$G)=0,"",SUMIF(FoodLog!$A:$A,$A233,FoodLog!$G:$G)))</f>
        <v/>
      </c>
      <c r="X233">
        <f>IF($A233="","",IF(SUMIF(FoodLog!$A:$A,$A233,FoodLog!$H:$H)=0,"",SUMIF(FoodLog!$A:$A,$A233,FoodLog!$H:$H)))</f>
        <v/>
      </c>
      <c r="Y233">
        <f>IF($A233="","",IFERROR(ROUND(100*AVERAGE(IF($B233="","",XLOOKUP($B233,FILTER(Dictionaries!$B:$B,Dictionaries!$A:$A="??????????"),FILTER(Dictionaries!$C:$C,Dictionaries!$A:$A="??????????"))),IF($C233="","",MIN($C233/40,1)),IF($D233="","",XLOOKUP($D233,FILTER(Dictionaries!$B:$B,Dictionaries!$A:$A="????"),FILTER(Dictionaries!$C:$C,Dictionaries!$A:$A="????"))),IF($E233="","",MIN($E233/120,1)),IF(OR($F233&lt;&gt;"",$G233&lt;&gt;""),1,""),IF($H233="","",MIN($H233/100,1)),IF($L233="","",XLOOKUP($L233,FILTER(Dictionaries!$B:$B,Dictionaries!$A:$A="???_????"),FILTER(Dictionaries!$C:$C,Dictionaries!$A:$A="???_????"))),IF($M233="","",XLOOKUP($M233,FILTER(Dictionaries!$B:$B,Dictionaries!$A:$A="?????"),FILTER(Dictionaries!$C:$C,Dictionaries!$A:$A="?????"))),IF($N233="","",MIN($N233/100,1)),IF($O233="","",XLOOKUP($O233,FILTER(Dictionaries!$B:$B,Dictionaries!$A:$A="??????????"),FILTER(Dictionaries!$C:$C,Dictionaries!$A:$A="??????????"))),IF($P233="","",XLOOKUP($P233,FILTER(Dictionaries!$B:$B,Dictionaries!$A:$A="???????"),FILTER(Dictionaries!$C:$C,Dictionaries!$A:$A="???????"))),IF($U233="","",LET(t,IF(OR($B233="????",$B233="????"),"train","rest"),k,$U233,p,$V233,f,$W233,c,$X233,k_s,IF(t="train",IF(k="","",IFS(AND(k&gt;=1900,k&lt;=2050),1,AND(k&gt;=1850,k&lt;1900),0.7,AND(k&gt;2050,k&lt;=2100),0.7,TRUE,0.2)),IF(k="","",IFS(AND(k&gt;=1700,k&lt;=1850),1,AND(k&gt;=1650,k&lt;1700),0.7,AND(k&gt;1850,k&lt;=1900),0.7,TRUE,0.2))),p_s,IF(t="train",IF(p="","",IFS(AND(p&gt;=125,p&lt;=135),1,AND(p&gt;=115,p&lt;125),0.7,AND(p&gt;135,p&lt;=145),0.7,AND(p&gt;=105,p&lt;115),0.4,AND(p&gt;145,p&lt;=155),0.4,TRUE,0.2)),IF(p="","",IFS(AND(p&gt;=120,p&lt;=130),1,AND(p&gt;=110,p&lt;120),0.7,AND(p&gt;130,p&lt;=140),0.7,AND(p&gt;=100,p&lt;110),0.4,AND(p&gt;140,p&lt;=150),0.4,TRUE,0.2))),f_s,IF(f="","",IFS(AND(f&gt;=55,f&lt;=65),1,AND(f&gt;=50,f&lt;55),0.7,AND(f&gt;65,f&lt;=70),0.7,AND(f&gt;=45,f&lt;50),0.4,AND(f&gt;70,f&lt;=75),0.4,TRUE,0.2)),c_s,IF(t="train",IF(c="","",IFS(AND(c&gt;=180,c&lt;=210),1,AND(c&gt;=160,c&lt;180),0.7,AND(c&gt;210,c&lt;=230),0.7,AND(c&gt;=140,c&lt;160),0.4,AND(c&gt;230,c&lt;=250),0.4,TRUE,0.2)),IF(c="","",IFS(AND(c&gt;=140,c&lt;=170),1,AND(c&gt;=120,c&lt;140),0.7,AND(c&gt;170,c&lt;=190),0.7,AND(c&gt;=100,c&lt;120),0.4,AND(c&gt;190,c&lt;=210),0.4,TRUE,0.2))),AVERAGE(k_s,p_s,f_s,c_s)))),1),""))</f>
        <v/>
      </c>
      <c r="Z233">
        <f>IF($A233="","",TEXTJOIN(", ",TRUE,IF($B233="","??????????",""),IF($C233="","??????",""),IF($D233="","????",""),IF($E233="","??????????",""),IF($F233="","???-?????",""),IF($G233="","???-????",""),IF($H233="","??????",""),IF($L233="","???",""),IF($M233="","?????",""),IF($N233="","??????????????",""),IF($O233="","??????????",""),IF($P233="","???????",""),IF($U233="","???","")))</f>
        <v/>
      </c>
    </row>
    <row r="234">
      <c r="U234">
        <f>IF($A234="","",IF(SUMIF(FoodLog!$A:$A,$A234,FoodLog!$I:$I)=0,"",SUMIF(FoodLog!$A:$A,$A234,FoodLog!$I:$I)))</f>
        <v/>
      </c>
      <c r="V234">
        <f>IF($A234="","",IF(SUMIF(FoodLog!$A:$A,$A234,FoodLog!$F:$F)=0,"",SUMIF(FoodLog!$A:$A,$A234,FoodLog!$F:$F)))</f>
        <v/>
      </c>
      <c r="W234">
        <f>IF($A234="","",IF(SUMIF(FoodLog!$A:$A,$A234,FoodLog!$G:$G)=0,"",SUMIF(FoodLog!$A:$A,$A234,FoodLog!$G:$G)))</f>
        <v/>
      </c>
      <c r="X234">
        <f>IF($A234="","",IF(SUMIF(FoodLog!$A:$A,$A234,FoodLog!$H:$H)=0,"",SUMIF(FoodLog!$A:$A,$A234,FoodLog!$H:$H)))</f>
        <v/>
      </c>
      <c r="Y234">
        <f>IF($A234="","",IFERROR(ROUND(100*AVERAGE(IF($B234="","",XLOOKUP($B234,FILTER(Dictionaries!$B:$B,Dictionaries!$A:$A="??????????"),FILTER(Dictionaries!$C:$C,Dictionaries!$A:$A="??????????"))),IF($C234="","",MIN($C234/40,1)),IF($D234="","",XLOOKUP($D234,FILTER(Dictionaries!$B:$B,Dictionaries!$A:$A="????"),FILTER(Dictionaries!$C:$C,Dictionaries!$A:$A="????"))),IF($E234="","",MIN($E234/120,1)),IF(OR($F234&lt;&gt;"",$G234&lt;&gt;""),1,""),IF($H234="","",MIN($H234/100,1)),IF($L234="","",XLOOKUP($L234,FILTER(Dictionaries!$B:$B,Dictionaries!$A:$A="???_????"),FILTER(Dictionaries!$C:$C,Dictionaries!$A:$A="???_????"))),IF($M234="","",XLOOKUP($M234,FILTER(Dictionaries!$B:$B,Dictionaries!$A:$A="?????"),FILTER(Dictionaries!$C:$C,Dictionaries!$A:$A="?????"))),IF($N234="","",MIN($N234/100,1)),IF($O234="","",XLOOKUP($O234,FILTER(Dictionaries!$B:$B,Dictionaries!$A:$A="??????????"),FILTER(Dictionaries!$C:$C,Dictionaries!$A:$A="??????????"))),IF($P234="","",XLOOKUP($P234,FILTER(Dictionaries!$B:$B,Dictionaries!$A:$A="???????"),FILTER(Dictionaries!$C:$C,Dictionaries!$A:$A="???????"))),IF($U234="","",LET(t,IF(OR($B234="????",$B234="????"),"train","rest"),k,$U234,p,$V234,f,$W234,c,$X234,k_s,IF(t="train",IF(k="","",IFS(AND(k&gt;=1900,k&lt;=2050),1,AND(k&gt;=1850,k&lt;1900),0.7,AND(k&gt;2050,k&lt;=2100),0.7,TRUE,0.2)),IF(k="","",IFS(AND(k&gt;=1700,k&lt;=1850),1,AND(k&gt;=1650,k&lt;1700),0.7,AND(k&gt;1850,k&lt;=1900),0.7,TRUE,0.2))),p_s,IF(t="train",IF(p="","",IFS(AND(p&gt;=125,p&lt;=135),1,AND(p&gt;=115,p&lt;125),0.7,AND(p&gt;135,p&lt;=145),0.7,AND(p&gt;=105,p&lt;115),0.4,AND(p&gt;145,p&lt;=155),0.4,TRUE,0.2)),IF(p="","",IFS(AND(p&gt;=120,p&lt;=130),1,AND(p&gt;=110,p&lt;120),0.7,AND(p&gt;130,p&lt;=140),0.7,AND(p&gt;=100,p&lt;110),0.4,AND(p&gt;140,p&lt;=150),0.4,TRUE,0.2))),f_s,IF(f="","",IFS(AND(f&gt;=55,f&lt;=65),1,AND(f&gt;=50,f&lt;55),0.7,AND(f&gt;65,f&lt;=70),0.7,AND(f&gt;=45,f&lt;50),0.4,AND(f&gt;70,f&lt;=75),0.4,TRUE,0.2)),c_s,IF(t="train",IF(c="","",IFS(AND(c&gt;=180,c&lt;=210),1,AND(c&gt;=160,c&lt;180),0.7,AND(c&gt;210,c&lt;=230),0.7,AND(c&gt;=140,c&lt;160),0.4,AND(c&gt;230,c&lt;=250),0.4,TRUE,0.2)),IF(c="","",IFS(AND(c&gt;=140,c&lt;=170),1,AND(c&gt;=120,c&lt;140),0.7,AND(c&gt;170,c&lt;=190),0.7,AND(c&gt;=100,c&lt;120),0.4,AND(c&gt;190,c&lt;=210),0.4,TRUE,0.2))),AVERAGE(k_s,p_s,f_s,c_s)))),1),""))</f>
        <v/>
      </c>
      <c r="Z234">
        <f>IF($A234="","",TEXTJOIN(", ",TRUE,IF($B234="","??????????",""),IF($C234="","??????",""),IF($D234="","????",""),IF($E234="","??????????",""),IF($F234="","???-?????",""),IF($G234="","???-????",""),IF($H234="","??????",""),IF($L234="","???",""),IF($M234="","?????",""),IF($N234="","??????????????",""),IF($O234="","??????????",""),IF($P234="","???????",""),IF($U234="","???","")))</f>
        <v/>
      </c>
    </row>
    <row r="235">
      <c r="U235">
        <f>IF($A235="","",IF(SUMIF(FoodLog!$A:$A,$A235,FoodLog!$I:$I)=0,"",SUMIF(FoodLog!$A:$A,$A235,FoodLog!$I:$I)))</f>
        <v/>
      </c>
      <c r="V235">
        <f>IF($A235="","",IF(SUMIF(FoodLog!$A:$A,$A235,FoodLog!$F:$F)=0,"",SUMIF(FoodLog!$A:$A,$A235,FoodLog!$F:$F)))</f>
        <v/>
      </c>
      <c r="W235">
        <f>IF($A235="","",IF(SUMIF(FoodLog!$A:$A,$A235,FoodLog!$G:$G)=0,"",SUMIF(FoodLog!$A:$A,$A235,FoodLog!$G:$G)))</f>
        <v/>
      </c>
      <c r="X235">
        <f>IF($A235="","",IF(SUMIF(FoodLog!$A:$A,$A235,FoodLog!$H:$H)=0,"",SUMIF(FoodLog!$A:$A,$A235,FoodLog!$H:$H)))</f>
        <v/>
      </c>
      <c r="Y235">
        <f>IF($A235="","",IFERROR(ROUND(100*AVERAGE(IF($B235="","",XLOOKUP($B235,FILTER(Dictionaries!$B:$B,Dictionaries!$A:$A="??????????"),FILTER(Dictionaries!$C:$C,Dictionaries!$A:$A="??????????"))),IF($C235="","",MIN($C235/40,1)),IF($D235="","",XLOOKUP($D235,FILTER(Dictionaries!$B:$B,Dictionaries!$A:$A="????"),FILTER(Dictionaries!$C:$C,Dictionaries!$A:$A="????"))),IF($E235="","",MIN($E235/120,1)),IF(OR($F235&lt;&gt;"",$G235&lt;&gt;""),1,""),IF($H235="","",MIN($H235/100,1)),IF($L235="","",XLOOKUP($L235,FILTER(Dictionaries!$B:$B,Dictionaries!$A:$A="???_????"),FILTER(Dictionaries!$C:$C,Dictionaries!$A:$A="???_????"))),IF($M235="","",XLOOKUP($M235,FILTER(Dictionaries!$B:$B,Dictionaries!$A:$A="?????"),FILTER(Dictionaries!$C:$C,Dictionaries!$A:$A="?????"))),IF($N235="","",MIN($N235/100,1)),IF($O235="","",XLOOKUP($O235,FILTER(Dictionaries!$B:$B,Dictionaries!$A:$A="??????????"),FILTER(Dictionaries!$C:$C,Dictionaries!$A:$A="??????????"))),IF($P235="","",XLOOKUP($P235,FILTER(Dictionaries!$B:$B,Dictionaries!$A:$A="???????"),FILTER(Dictionaries!$C:$C,Dictionaries!$A:$A="???????"))),IF($U235="","",LET(t,IF(OR($B235="????",$B235="????"),"train","rest"),k,$U235,p,$V235,f,$W235,c,$X235,k_s,IF(t="train",IF(k="","",IFS(AND(k&gt;=1900,k&lt;=2050),1,AND(k&gt;=1850,k&lt;1900),0.7,AND(k&gt;2050,k&lt;=2100),0.7,TRUE,0.2)),IF(k="","",IFS(AND(k&gt;=1700,k&lt;=1850),1,AND(k&gt;=1650,k&lt;1700),0.7,AND(k&gt;1850,k&lt;=1900),0.7,TRUE,0.2))),p_s,IF(t="train",IF(p="","",IFS(AND(p&gt;=125,p&lt;=135),1,AND(p&gt;=115,p&lt;125),0.7,AND(p&gt;135,p&lt;=145),0.7,AND(p&gt;=105,p&lt;115),0.4,AND(p&gt;145,p&lt;=155),0.4,TRUE,0.2)),IF(p="","",IFS(AND(p&gt;=120,p&lt;=130),1,AND(p&gt;=110,p&lt;120),0.7,AND(p&gt;130,p&lt;=140),0.7,AND(p&gt;=100,p&lt;110),0.4,AND(p&gt;140,p&lt;=150),0.4,TRUE,0.2))),f_s,IF(f="","",IFS(AND(f&gt;=55,f&lt;=65),1,AND(f&gt;=50,f&lt;55),0.7,AND(f&gt;65,f&lt;=70),0.7,AND(f&gt;=45,f&lt;50),0.4,AND(f&gt;70,f&lt;=75),0.4,TRUE,0.2)),c_s,IF(t="train",IF(c="","",IFS(AND(c&gt;=180,c&lt;=210),1,AND(c&gt;=160,c&lt;180),0.7,AND(c&gt;210,c&lt;=230),0.7,AND(c&gt;=140,c&lt;160),0.4,AND(c&gt;230,c&lt;=250),0.4,TRUE,0.2)),IF(c="","",IFS(AND(c&gt;=140,c&lt;=170),1,AND(c&gt;=120,c&lt;140),0.7,AND(c&gt;170,c&lt;=190),0.7,AND(c&gt;=100,c&lt;120),0.4,AND(c&gt;190,c&lt;=210),0.4,TRUE,0.2))),AVERAGE(k_s,p_s,f_s,c_s)))),1),""))</f>
        <v/>
      </c>
      <c r="Z235">
        <f>IF($A235="","",TEXTJOIN(", ",TRUE,IF($B235="","??????????",""),IF($C235="","??????",""),IF($D235="","????",""),IF($E235="","??????????",""),IF($F235="","???-?????",""),IF($G235="","???-????",""),IF($H235="","??????",""),IF($L235="","???",""),IF($M235="","?????",""),IF($N235="","??????????????",""),IF($O235="","??????????",""),IF($P235="","???????",""),IF($U235="","???","")))</f>
        <v/>
      </c>
    </row>
    <row r="236">
      <c r="U236">
        <f>IF($A236="","",IF(SUMIF(FoodLog!$A:$A,$A236,FoodLog!$I:$I)=0,"",SUMIF(FoodLog!$A:$A,$A236,FoodLog!$I:$I)))</f>
        <v/>
      </c>
      <c r="V236">
        <f>IF($A236="","",IF(SUMIF(FoodLog!$A:$A,$A236,FoodLog!$F:$F)=0,"",SUMIF(FoodLog!$A:$A,$A236,FoodLog!$F:$F)))</f>
        <v/>
      </c>
      <c r="W236">
        <f>IF($A236="","",IF(SUMIF(FoodLog!$A:$A,$A236,FoodLog!$G:$G)=0,"",SUMIF(FoodLog!$A:$A,$A236,FoodLog!$G:$G)))</f>
        <v/>
      </c>
      <c r="X236">
        <f>IF($A236="","",IF(SUMIF(FoodLog!$A:$A,$A236,FoodLog!$H:$H)=0,"",SUMIF(FoodLog!$A:$A,$A236,FoodLog!$H:$H)))</f>
        <v/>
      </c>
      <c r="Y236">
        <f>IF($A236="","",IFERROR(ROUND(100*AVERAGE(IF($B236="","",XLOOKUP($B236,FILTER(Dictionaries!$B:$B,Dictionaries!$A:$A="??????????"),FILTER(Dictionaries!$C:$C,Dictionaries!$A:$A="??????????"))),IF($C236="","",MIN($C236/40,1)),IF($D236="","",XLOOKUP($D236,FILTER(Dictionaries!$B:$B,Dictionaries!$A:$A="????"),FILTER(Dictionaries!$C:$C,Dictionaries!$A:$A="????"))),IF($E236="","",MIN($E236/120,1)),IF(OR($F236&lt;&gt;"",$G236&lt;&gt;""),1,""),IF($H236="","",MIN($H236/100,1)),IF($L236="","",XLOOKUP($L236,FILTER(Dictionaries!$B:$B,Dictionaries!$A:$A="???_????"),FILTER(Dictionaries!$C:$C,Dictionaries!$A:$A="???_????"))),IF($M236="","",XLOOKUP($M236,FILTER(Dictionaries!$B:$B,Dictionaries!$A:$A="?????"),FILTER(Dictionaries!$C:$C,Dictionaries!$A:$A="?????"))),IF($N236="","",MIN($N236/100,1)),IF($O236="","",XLOOKUP($O236,FILTER(Dictionaries!$B:$B,Dictionaries!$A:$A="??????????"),FILTER(Dictionaries!$C:$C,Dictionaries!$A:$A="??????????"))),IF($P236="","",XLOOKUP($P236,FILTER(Dictionaries!$B:$B,Dictionaries!$A:$A="???????"),FILTER(Dictionaries!$C:$C,Dictionaries!$A:$A="???????"))),IF($U236="","",LET(t,IF(OR($B236="????",$B236="????"),"train","rest"),k,$U236,p,$V236,f,$W236,c,$X236,k_s,IF(t="train",IF(k="","",IFS(AND(k&gt;=1900,k&lt;=2050),1,AND(k&gt;=1850,k&lt;1900),0.7,AND(k&gt;2050,k&lt;=2100),0.7,TRUE,0.2)),IF(k="","",IFS(AND(k&gt;=1700,k&lt;=1850),1,AND(k&gt;=1650,k&lt;1700),0.7,AND(k&gt;1850,k&lt;=1900),0.7,TRUE,0.2))),p_s,IF(t="train",IF(p="","",IFS(AND(p&gt;=125,p&lt;=135),1,AND(p&gt;=115,p&lt;125),0.7,AND(p&gt;135,p&lt;=145),0.7,AND(p&gt;=105,p&lt;115),0.4,AND(p&gt;145,p&lt;=155),0.4,TRUE,0.2)),IF(p="","",IFS(AND(p&gt;=120,p&lt;=130),1,AND(p&gt;=110,p&lt;120),0.7,AND(p&gt;130,p&lt;=140),0.7,AND(p&gt;=100,p&lt;110),0.4,AND(p&gt;140,p&lt;=150),0.4,TRUE,0.2))),f_s,IF(f="","",IFS(AND(f&gt;=55,f&lt;=65),1,AND(f&gt;=50,f&lt;55),0.7,AND(f&gt;65,f&lt;=70),0.7,AND(f&gt;=45,f&lt;50),0.4,AND(f&gt;70,f&lt;=75),0.4,TRUE,0.2)),c_s,IF(t="train",IF(c="","",IFS(AND(c&gt;=180,c&lt;=210),1,AND(c&gt;=160,c&lt;180),0.7,AND(c&gt;210,c&lt;=230),0.7,AND(c&gt;=140,c&lt;160),0.4,AND(c&gt;230,c&lt;=250),0.4,TRUE,0.2)),IF(c="","",IFS(AND(c&gt;=140,c&lt;=170),1,AND(c&gt;=120,c&lt;140),0.7,AND(c&gt;170,c&lt;=190),0.7,AND(c&gt;=100,c&lt;120),0.4,AND(c&gt;190,c&lt;=210),0.4,TRUE,0.2))),AVERAGE(k_s,p_s,f_s,c_s)))),1),""))</f>
        <v/>
      </c>
      <c r="Z236">
        <f>IF($A236="","",TEXTJOIN(", ",TRUE,IF($B236="","??????????",""),IF($C236="","??????",""),IF($D236="","????",""),IF($E236="","??????????",""),IF($F236="","???-?????",""),IF($G236="","???-????",""),IF($H236="","??????",""),IF($L236="","???",""),IF($M236="","?????",""),IF($N236="","??????????????",""),IF($O236="","??????????",""),IF($P236="","???????",""),IF($U236="","???","")))</f>
        <v/>
      </c>
    </row>
    <row r="237">
      <c r="U237">
        <f>IF($A237="","",IF(SUMIF(FoodLog!$A:$A,$A237,FoodLog!$I:$I)=0,"",SUMIF(FoodLog!$A:$A,$A237,FoodLog!$I:$I)))</f>
        <v/>
      </c>
      <c r="V237">
        <f>IF($A237="","",IF(SUMIF(FoodLog!$A:$A,$A237,FoodLog!$F:$F)=0,"",SUMIF(FoodLog!$A:$A,$A237,FoodLog!$F:$F)))</f>
        <v/>
      </c>
      <c r="W237">
        <f>IF($A237="","",IF(SUMIF(FoodLog!$A:$A,$A237,FoodLog!$G:$G)=0,"",SUMIF(FoodLog!$A:$A,$A237,FoodLog!$G:$G)))</f>
        <v/>
      </c>
      <c r="X237">
        <f>IF($A237="","",IF(SUMIF(FoodLog!$A:$A,$A237,FoodLog!$H:$H)=0,"",SUMIF(FoodLog!$A:$A,$A237,FoodLog!$H:$H)))</f>
        <v/>
      </c>
      <c r="Y237">
        <f>IF($A237="","",IFERROR(ROUND(100*AVERAGE(IF($B237="","",XLOOKUP($B237,FILTER(Dictionaries!$B:$B,Dictionaries!$A:$A="??????????"),FILTER(Dictionaries!$C:$C,Dictionaries!$A:$A="??????????"))),IF($C237="","",MIN($C237/40,1)),IF($D237="","",XLOOKUP($D237,FILTER(Dictionaries!$B:$B,Dictionaries!$A:$A="????"),FILTER(Dictionaries!$C:$C,Dictionaries!$A:$A="????"))),IF($E237="","",MIN($E237/120,1)),IF(OR($F237&lt;&gt;"",$G237&lt;&gt;""),1,""),IF($H237="","",MIN($H237/100,1)),IF($L237="","",XLOOKUP($L237,FILTER(Dictionaries!$B:$B,Dictionaries!$A:$A="???_????"),FILTER(Dictionaries!$C:$C,Dictionaries!$A:$A="???_????"))),IF($M237="","",XLOOKUP($M237,FILTER(Dictionaries!$B:$B,Dictionaries!$A:$A="?????"),FILTER(Dictionaries!$C:$C,Dictionaries!$A:$A="?????"))),IF($N237="","",MIN($N237/100,1)),IF($O237="","",XLOOKUP($O237,FILTER(Dictionaries!$B:$B,Dictionaries!$A:$A="??????????"),FILTER(Dictionaries!$C:$C,Dictionaries!$A:$A="??????????"))),IF($P237="","",XLOOKUP($P237,FILTER(Dictionaries!$B:$B,Dictionaries!$A:$A="???????"),FILTER(Dictionaries!$C:$C,Dictionaries!$A:$A="???????"))),IF($U237="","",LET(t,IF(OR($B237="????",$B237="????"),"train","rest"),k,$U237,p,$V237,f,$W237,c,$X237,k_s,IF(t="train",IF(k="","",IFS(AND(k&gt;=1900,k&lt;=2050),1,AND(k&gt;=1850,k&lt;1900),0.7,AND(k&gt;2050,k&lt;=2100),0.7,TRUE,0.2)),IF(k="","",IFS(AND(k&gt;=1700,k&lt;=1850),1,AND(k&gt;=1650,k&lt;1700),0.7,AND(k&gt;1850,k&lt;=1900),0.7,TRUE,0.2))),p_s,IF(t="train",IF(p="","",IFS(AND(p&gt;=125,p&lt;=135),1,AND(p&gt;=115,p&lt;125),0.7,AND(p&gt;135,p&lt;=145),0.7,AND(p&gt;=105,p&lt;115),0.4,AND(p&gt;145,p&lt;=155),0.4,TRUE,0.2)),IF(p="","",IFS(AND(p&gt;=120,p&lt;=130),1,AND(p&gt;=110,p&lt;120),0.7,AND(p&gt;130,p&lt;=140),0.7,AND(p&gt;=100,p&lt;110),0.4,AND(p&gt;140,p&lt;=150),0.4,TRUE,0.2))),f_s,IF(f="","",IFS(AND(f&gt;=55,f&lt;=65),1,AND(f&gt;=50,f&lt;55),0.7,AND(f&gt;65,f&lt;=70),0.7,AND(f&gt;=45,f&lt;50),0.4,AND(f&gt;70,f&lt;=75),0.4,TRUE,0.2)),c_s,IF(t="train",IF(c="","",IFS(AND(c&gt;=180,c&lt;=210),1,AND(c&gt;=160,c&lt;180),0.7,AND(c&gt;210,c&lt;=230),0.7,AND(c&gt;=140,c&lt;160),0.4,AND(c&gt;230,c&lt;=250),0.4,TRUE,0.2)),IF(c="","",IFS(AND(c&gt;=140,c&lt;=170),1,AND(c&gt;=120,c&lt;140),0.7,AND(c&gt;170,c&lt;=190),0.7,AND(c&gt;=100,c&lt;120),0.4,AND(c&gt;190,c&lt;=210),0.4,TRUE,0.2))),AVERAGE(k_s,p_s,f_s,c_s)))),1),""))</f>
        <v/>
      </c>
      <c r="Z237">
        <f>IF($A237="","",TEXTJOIN(", ",TRUE,IF($B237="","??????????",""),IF($C237="","??????",""),IF($D237="","????",""),IF($E237="","??????????",""),IF($F237="","???-?????",""),IF($G237="","???-????",""),IF($H237="","??????",""),IF($L237="","???",""),IF($M237="","?????",""),IF($N237="","??????????????",""),IF($O237="","??????????",""),IF($P237="","???????",""),IF($U237="","???","")))</f>
        <v/>
      </c>
    </row>
    <row r="238">
      <c r="U238">
        <f>IF($A238="","",IF(SUMIF(FoodLog!$A:$A,$A238,FoodLog!$I:$I)=0,"",SUMIF(FoodLog!$A:$A,$A238,FoodLog!$I:$I)))</f>
        <v/>
      </c>
      <c r="V238">
        <f>IF($A238="","",IF(SUMIF(FoodLog!$A:$A,$A238,FoodLog!$F:$F)=0,"",SUMIF(FoodLog!$A:$A,$A238,FoodLog!$F:$F)))</f>
        <v/>
      </c>
      <c r="W238">
        <f>IF($A238="","",IF(SUMIF(FoodLog!$A:$A,$A238,FoodLog!$G:$G)=0,"",SUMIF(FoodLog!$A:$A,$A238,FoodLog!$G:$G)))</f>
        <v/>
      </c>
      <c r="X238">
        <f>IF($A238="","",IF(SUMIF(FoodLog!$A:$A,$A238,FoodLog!$H:$H)=0,"",SUMIF(FoodLog!$A:$A,$A238,FoodLog!$H:$H)))</f>
        <v/>
      </c>
      <c r="Y238">
        <f>IF($A238="","",IFERROR(ROUND(100*AVERAGE(IF($B238="","",XLOOKUP($B238,FILTER(Dictionaries!$B:$B,Dictionaries!$A:$A="??????????"),FILTER(Dictionaries!$C:$C,Dictionaries!$A:$A="??????????"))),IF($C238="","",MIN($C238/40,1)),IF($D238="","",XLOOKUP($D238,FILTER(Dictionaries!$B:$B,Dictionaries!$A:$A="????"),FILTER(Dictionaries!$C:$C,Dictionaries!$A:$A="????"))),IF($E238="","",MIN($E238/120,1)),IF(OR($F238&lt;&gt;"",$G238&lt;&gt;""),1,""),IF($H238="","",MIN($H238/100,1)),IF($L238="","",XLOOKUP($L238,FILTER(Dictionaries!$B:$B,Dictionaries!$A:$A="???_????"),FILTER(Dictionaries!$C:$C,Dictionaries!$A:$A="???_????"))),IF($M238="","",XLOOKUP($M238,FILTER(Dictionaries!$B:$B,Dictionaries!$A:$A="?????"),FILTER(Dictionaries!$C:$C,Dictionaries!$A:$A="?????"))),IF($N238="","",MIN($N238/100,1)),IF($O238="","",XLOOKUP($O238,FILTER(Dictionaries!$B:$B,Dictionaries!$A:$A="??????????"),FILTER(Dictionaries!$C:$C,Dictionaries!$A:$A="??????????"))),IF($P238="","",XLOOKUP($P238,FILTER(Dictionaries!$B:$B,Dictionaries!$A:$A="???????"),FILTER(Dictionaries!$C:$C,Dictionaries!$A:$A="???????"))),IF($U238="","",LET(t,IF(OR($B238="????",$B238="????"),"train","rest"),k,$U238,p,$V238,f,$W238,c,$X238,k_s,IF(t="train",IF(k="","",IFS(AND(k&gt;=1900,k&lt;=2050),1,AND(k&gt;=1850,k&lt;1900),0.7,AND(k&gt;2050,k&lt;=2100),0.7,TRUE,0.2)),IF(k="","",IFS(AND(k&gt;=1700,k&lt;=1850),1,AND(k&gt;=1650,k&lt;1700),0.7,AND(k&gt;1850,k&lt;=1900),0.7,TRUE,0.2))),p_s,IF(t="train",IF(p="","",IFS(AND(p&gt;=125,p&lt;=135),1,AND(p&gt;=115,p&lt;125),0.7,AND(p&gt;135,p&lt;=145),0.7,AND(p&gt;=105,p&lt;115),0.4,AND(p&gt;145,p&lt;=155),0.4,TRUE,0.2)),IF(p="","",IFS(AND(p&gt;=120,p&lt;=130),1,AND(p&gt;=110,p&lt;120),0.7,AND(p&gt;130,p&lt;=140),0.7,AND(p&gt;=100,p&lt;110),0.4,AND(p&gt;140,p&lt;=150),0.4,TRUE,0.2))),f_s,IF(f="","",IFS(AND(f&gt;=55,f&lt;=65),1,AND(f&gt;=50,f&lt;55),0.7,AND(f&gt;65,f&lt;=70),0.7,AND(f&gt;=45,f&lt;50),0.4,AND(f&gt;70,f&lt;=75),0.4,TRUE,0.2)),c_s,IF(t="train",IF(c="","",IFS(AND(c&gt;=180,c&lt;=210),1,AND(c&gt;=160,c&lt;180),0.7,AND(c&gt;210,c&lt;=230),0.7,AND(c&gt;=140,c&lt;160),0.4,AND(c&gt;230,c&lt;=250),0.4,TRUE,0.2)),IF(c="","",IFS(AND(c&gt;=140,c&lt;=170),1,AND(c&gt;=120,c&lt;140),0.7,AND(c&gt;170,c&lt;=190),0.7,AND(c&gt;=100,c&lt;120),0.4,AND(c&gt;190,c&lt;=210),0.4,TRUE,0.2))),AVERAGE(k_s,p_s,f_s,c_s)))),1),""))</f>
        <v/>
      </c>
      <c r="Z238">
        <f>IF($A238="","",TEXTJOIN(", ",TRUE,IF($B238="","??????????",""),IF($C238="","??????",""),IF($D238="","????",""),IF($E238="","??????????",""),IF($F238="","???-?????",""),IF($G238="","???-????",""),IF($H238="","??????",""),IF($L238="","???",""),IF($M238="","?????",""),IF($N238="","??????????????",""),IF($O238="","??????????",""),IF($P238="","???????",""),IF($U238="","???","")))</f>
        <v/>
      </c>
    </row>
    <row r="239">
      <c r="U239">
        <f>IF($A239="","",IF(SUMIF(FoodLog!$A:$A,$A239,FoodLog!$I:$I)=0,"",SUMIF(FoodLog!$A:$A,$A239,FoodLog!$I:$I)))</f>
        <v/>
      </c>
      <c r="V239">
        <f>IF($A239="","",IF(SUMIF(FoodLog!$A:$A,$A239,FoodLog!$F:$F)=0,"",SUMIF(FoodLog!$A:$A,$A239,FoodLog!$F:$F)))</f>
        <v/>
      </c>
      <c r="W239">
        <f>IF($A239="","",IF(SUMIF(FoodLog!$A:$A,$A239,FoodLog!$G:$G)=0,"",SUMIF(FoodLog!$A:$A,$A239,FoodLog!$G:$G)))</f>
        <v/>
      </c>
      <c r="X239">
        <f>IF($A239="","",IF(SUMIF(FoodLog!$A:$A,$A239,FoodLog!$H:$H)=0,"",SUMIF(FoodLog!$A:$A,$A239,FoodLog!$H:$H)))</f>
        <v/>
      </c>
      <c r="Y239">
        <f>IF($A239="","",IFERROR(ROUND(100*AVERAGE(IF($B239="","",XLOOKUP($B239,FILTER(Dictionaries!$B:$B,Dictionaries!$A:$A="??????????"),FILTER(Dictionaries!$C:$C,Dictionaries!$A:$A="??????????"))),IF($C239="","",MIN($C239/40,1)),IF($D239="","",XLOOKUP($D239,FILTER(Dictionaries!$B:$B,Dictionaries!$A:$A="????"),FILTER(Dictionaries!$C:$C,Dictionaries!$A:$A="????"))),IF($E239="","",MIN($E239/120,1)),IF(OR($F239&lt;&gt;"",$G239&lt;&gt;""),1,""),IF($H239="","",MIN($H239/100,1)),IF($L239="","",XLOOKUP($L239,FILTER(Dictionaries!$B:$B,Dictionaries!$A:$A="???_????"),FILTER(Dictionaries!$C:$C,Dictionaries!$A:$A="???_????"))),IF($M239="","",XLOOKUP($M239,FILTER(Dictionaries!$B:$B,Dictionaries!$A:$A="?????"),FILTER(Dictionaries!$C:$C,Dictionaries!$A:$A="?????"))),IF($N239="","",MIN($N239/100,1)),IF($O239="","",XLOOKUP($O239,FILTER(Dictionaries!$B:$B,Dictionaries!$A:$A="??????????"),FILTER(Dictionaries!$C:$C,Dictionaries!$A:$A="??????????"))),IF($P239="","",XLOOKUP($P239,FILTER(Dictionaries!$B:$B,Dictionaries!$A:$A="???????"),FILTER(Dictionaries!$C:$C,Dictionaries!$A:$A="???????"))),IF($U239="","",LET(t,IF(OR($B239="????",$B239="????"),"train","rest"),k,$U239,p,$V239,f,$W239,c,$X239,k_s,IF(t="train",IF(k="","",IFS(AND(k&gt;=1900,k&lt;=2050),1,AND(k&gt;=1850,k&lt;1900),0.7,AND(k&gt;2050,k&lt;=2100),0.7,TRUE,0.2)),IF(k="","",IFS(AND(k&gt;=1700,k&lt;=1850),1,AND(k&gt;=1650,k&lt;1700),0.7,AND(k&gt;1850,k&lt;=1900),0.7,TRUE,0.2))),p_s,IF(t="train",IF(p="","",IFS(AND(p&gt;=125,p&lt;=135),1,AND(p&gt;=115,p&lt;125),0.7,AND(p&gt;135,p&lt;=145),0.7,AND(p&gt;=105,p&lt;115),0.4,AND(p&gt;145,p&lt;=155),0.4,TRUE,0.2)),IF(p="","",IFS(AND(p&gt;=120,p&lt;=130),1,AND(p&gt;=110,p&lt;120),0.7,AND(p&gt;130,p&lt;=140),0.7,AND(p&gt;=100,p&lt;110),0.4,AND(p&gt;140,p&lt;=150),0.4,TRUE,0.2))),f_s,IF(f="","",IFS(AND(f&gt;=55,f&lt;=65),1,AND(f&gt;=50,f&lt;55),0.7,AND(f&gt;65,f&lt;=70),0.7,AND(f&gt;=45,f&lt;50),0.4,AND(f&gt;70,f&lt;=75),0.4,TRUE,0.2)),c_s,IF(t="train",IF(c="","",IFS(AND(c&gt;=180,c&lt;=210),1,AND(c&gt;=160,c&lt;180),0.7,AND(c&gt;210,c&lt;=230),0.7,AND(c&gt;=140,c&lt;160),0.4,AND(c&gt;230,c&lt;=250),0.4,TRUE,0.2)),IF(c="","",IFS(AND(c&gt;=140,c&lt;=170),1,AND(c&gt;=120,c&lt;140),0.7,AND(c&gt;170,c&lt;=190),0.7,AND(c&gt;=100,c&lt;120),0.4,AND(c&gt;190,c&lt;=210),0.4,TRUE,0.2))),AVERAGE(k_s,p_s,f_s,c_s)))),1),""))</f>
        <v/>
      </c>
      <c r="Z239">
        <f>IF($A239="","",TEXTJOIN(", ",TRUE,IF($B239="","??????????",""),IF($C239="","??????",""),IF($D239="","????",""),IF($E239="","??????????",""),IF($F239="","???-?????",""),IF($G239="","???-????",""),IF($H239="","??????",""),IF($L239="","???",""),IF($M239="","?????",""),IF($N239="","??????????????",""),IF($O239="","??????????",""),IF($P239="","???????",""),IF($U239="","???","")))</f>
        <v/>
      </c>
    </row>
    <row r="240">
      <c r="U240">
        <f>IF($A240="","",IF(SUMIF(FoodLog!$A:$A,$A240,FoodLog!$I:$I)=0,"",SUMIF(FoodLog!$A:$A,$A240,FoodLog!$I:$I)))</f>
        <v/>
      </c>
      <c r="V240">
        <f>IF($A240="","",IF(SUMIF(FoodLog!$A:$A,$A240,FoodLog!$F:$F)=0,"",SUMIF(FoodLog!$A:$A,$A240,FoodLog!$F:$F)))</f>
        <v/>
      </c>
      <c r="W240">
        <f>IF($A240="","",IF(SUMIF(FoodLog!$A:$A,$A240,FoodLog!$G:$G)=0,"",SUMIF(FoodLog!$A:$A,$A240,FoodLog!$G:$G)))</f>
        <v/>
      </c>
      <c r="X240">
        <f>IF($A240="","",IF(SUMIF(FoodLog!$A:$A,$A240,FoodLog!$H:$H)=0,"",SUMIF(FoodLog!$A:$A,$A240,FoodLog!$H:$H)))</f>
        <v/>
      </c>
      <c r="Y240">
        <f>IF($A240="","",IFERROR(ROUND(100*AVERAGE(IF($B240="","",XLOOKUP($B240,FILTER(Dictionaries!$B:$B,Dictionaries!$A:$A="??????????"),FILTER(Dictionaries!$C:$C,Dictionaries!$A:$A="??????????"))),IF($C240="","",MIN($C240/40,1)),IF($D240="","",XLOOKUP($D240,FILTER(Dictionaries!$B:$B,Dictionaries!$A:$A="????"),FILTER(Dictionaries!$C:$C,Dictionaries!$A:$A="????"))),IF($E240="","",MIN($E240/120,1)),IF(OR($F240&lt;&gt;"",$G240&lt;&gt;""),1,""),IF($H240="","",MIN($H240/100,1)),IF($L240="","",XLOOKUP($L240,FILTER(Dictionaries!$B:$B,Dictionaries!$A:$A="???_????"),FILTER(Dictionaries!$C:$C,Dictionaries!$A:$A="???_????"))),IF($M240="","",XLOOKUP($M240,FILTER(Dictionaries!$B:$B,Dictionaries!$A:$A="?????"),FILTER(Dictionaries!$C:$C,Dictionaries!$A:$A="?????"))),IF($N240="","",MIN($N240/100,1)),IF($O240="","",XLOOKUP($O240,FILTER(Dictionaries!$B:$B,Dictionaries!$A:$A="??????????"),FILTER(Dictionaries!$C:$C,Dictionaries!$A:$A="??????????"))),IF($P240="","",XLOOKUP($P240,FILTER(Dictionaries!$B:$B,Dictionaries!$A:$A="???????"),FILTER(Dictionaries!$C:$C,Dictionaries!$A:$A="???????"))),IF($U240="","",LET(t,IF(OR($B240="????",$B240="????"),"train","rest"),k,$U240,p,$V240,f,$W240,c,$X240,k_s,IF(t="train",IF(k="","",IFS(AND(k&gt;=1900,k&lt;=2050),1,AND(k&gt;=1850,k&lt;1900),0.7,AND(k&gt;2050,k&lt;=2100),0.7,TRUE,0.2)),IF(k="","",IFS(AND(k&gt;=1700,k&lt;=1850),1,AND(k&gt;=1650,k&lt;1700),0.7,AND(k&gt;1850,k&lt;=1900),0.7,TRUE,0.2))),p_s,IF(t="train",IF(p="","",IFS(AND(p&gt;=125,p&lt;=135),1,AND(p&gt;=115,p&lt;125),0.7,AND(p&gt;135,p&lt;=145),0.7,AND(p&gt;=105,p&lt;115),0.4,AND(p&gt;145,p&lt;=155),0.4,TRUE,0.2)),IF(p="","",IFS(AND(p&gt;=120,p&lt;=130),1,AND(p&gt;=110,p&lt;120),0.7,AND(p&gt;130,p&lt;=140),0.7,AND(p&gt;=100,p&lt;110),0.4,AND(p&gt;140,p&lt;=150),0.4,TRUE,0.2))),f_s,IF(f="","",IFS(AND(f&gt;=55,f&lt;=65),1,AND(f&gt;=50,f&lt;55),0.7,AND(f&gt;65,f&lt;=70),0.7,AND(f&gt;=45,f&lt;50),0.4,AND(f&gt;70,f&lt;=75),0.4,TRUE,0.2)),c_s,IF(t="train",IF(c="","",IFS(AND(c&gt;=180,c&lt;=210),1,AND(c&gt;=160,c&lt;180),0.7,AND(c&gt;210,c&lt;=230),0.7,AND(c&gt;=140,c&lt;160),0.4,AND(c&gt;230,c&lt;=250),0.4,TRUE,0.2)),IF(c="","",IFS(AND(c&gt;=140,c&lt;=170),1,AND(c&gt;=120,c&lt;140),0.7,AND(c&gt;170,c&lt;=190),0.7,AND(c&gt;=100,c&lt;120),0.4,AND(c&gt;190,c&lt;=210),0.4,TRUE,0.2))),AVERAGE(k_s,p_s,f_s,c_s)))),1),""))</f>
        <v/>
      </c>
      <c r="Z240">
        <f>IF($A240="","",TEXTJOIN(", ",TRUE,IF($B240="","??????????",""),IF($C240="","??????",""),IF($D240="","????",""),IF($E240="","??????????",""),IF($F240="","???-?????",""),IF($G240="","???-????",""),IF($H240="","??????",""),IF($L240="","???",""),IF($M240="","?????",""),IF($N240="","??????????????",""),IF($O240="","??????????",""),IF($P240="","???????",""),IF($U240="","???","")))</f>
        <v/>
      </c>
    </row>
    <row r="241">
      <c r="U241">
        <f>IF($A241="","",IF(SUMIF(FoodLog!$A:$A,$A241,FoodLog!$I:$I)=0,"",SUMIF(FoodLog!$A:$A,$A241,FoodLog!$I:$I)))</f>
        <v/>
      </c>
      <c r="V241">
        <f>IF($A241="","",IF(SUMIF(FoodLog!$A:$A,$A241,FoodLog!$F:$F)=0,"",SUMIF(FoodLog!$A:$A,$A241,FoodLog!$F:$F)))</f>
        <v/>
      </c>
      <c r="W241">
        <f>IF($A241="","",IF(SUMIF(FoodLog!$A:$A,$A241,FoodLog!$G:$G)=0,"",SUMIF(FoodLog!$A:$A,$A241,FoodLog!$G:$G)))</f>
        <v/>
      </c>
      <c r="X241">
        <f>IF($A241="","",IF(SUMIF(FoodLog!$A:$A,$A241,FoodLog!$H:$H)=0,"",SUMIF(FoodLog!$A:$A,$A241,FoodLog!$H:$H)))</f>
        <v/>
      </c>
      <c r="Y241">
        <f>IF($A241="","",IFERROR(ROUND(100*AVERAGE(IF($B241="","",XLOOKUP($B241,FILTER(Dictionaries!$B:$B,Dictionaries!$A:$A="??????????"),FILTER(Dictionaries!$C:$C,Dictionaries!$A:$A="??????????"))),IF($C241="","",MIN($C241/40,1)),IF($D241="","",XLOOKUP($D241,FILTER(Dictionaries!$B:$B,Dictionaries!$A:$A="????"),FILTER(Dictionaries!$C:$C,Dictionaries!$A:$A="????"))),IF($E241="","",MIN($E241/120,1)),IF(OR($F241&lt;&gt;"",$G241&lt;&gt;""),1,""),IF($H241="","",MIN($H241/100,1)),IF($L241="","",XLOOKUP($L241,FILTER(Dictionaries!$B:$B,Dictionaries!$A:$A="???_????"),FILTER(Dictionaries!$C:$C,Dictionaries!$A:$A="???_????"))),IF($M241="","",XLOOKUP($M241,FILTER(Dictionaries!$B:$B,Dictionaries!$A:$A="?????"),FILTER(Dictionaries!$C:$C,Dictionaries!$A:$A="?????"))),IF($N241="","",MIN($N241/100,1)),IF($O241="","",XLOOKUP($O241,FILTER(Dictionaries!$B:$B,Dictionaries!$A:$A="??????????"),FILTER(Dictionaries!$C:$C,Dictionaries!$A:$A="??????????"))),IF($P241="","",XLOOKUP($P241,FILTER(Dictionaries!$B:$B,Dictionaries!$A:$A="???????"),FILTER(Dictionaries!$C:$C,Dictionaries!$A:$A="???????"))),IF($U241="","",LET(t,IF(OR($B241="????",$B241="????"),"train","rest"),k,$U241,p,$V241,f,$W241,c,$X241,k_s,IF(t="train",IF(k="","",IFS(AND(k&gt;=1900,k&lt;=2050),1,AND(k&gt;=1850,k&lt;1900),0.7,AND(k&gt;2050,k&lt;=2100),0.7,TRUE,0.2)),IF(k="","",IFS(AND(k&gt;=1700,k&lt;=1850),1,AND(k&gt;=1650,k&lt;1700),0.7,AND(k&gt;1850,k&lt;=1900),0.7,TRUE,0.2))),p_s,IF(t="train",IF(p="","",IFS(AND(p&gt;=125,p&lt;=135),1,AND(p&gt;=115,p&lt;125),0.7,AND(p&gt;135,p&lt;=145),0.7,AND(p&gt;=105,p&lt;115),0.4,AND(p&gt;145,p&lt;=155),0.4,TRUE,0.2)),IF(p="","",IFS(AND(p&gt;=120,p&lt;=130),1,AND(p&gt;=110,p&lt;120),0.7,AND(p&gt;130,p&lt;=140),0.7,AND(p&gt;=100,p&lt;110),0.4,AND(p&gt;140,p&lt;=150),0.4,TRUE,0.2))),f_s,IF(f="","",IFS(AND(f&gt;=55,f&lt;=65),1,AND(f&gt;=50,f&lt;55),0.7,AND(f&gt;65,f&lt;=70),0.7,AND(f&gt;=45,f&lt;50),0.4,AND(f&gt;70,f&lt;=75),0.4,TRUE,0.2)),c_s,IF(t="train",IF(c="","",IFS(AND(c&gt;=180,c&lt;=210),1,AND(c&gt;=160,c&lt;180),0.7,AND(c&gt;210,c&lt;=230),0.7,AND(c&gt;=140,c&lt;160),0.4,AND(c&gt;230,c&lt;=250),0.4,TRUE,0.2)),IF(c="","",IFS(AND(c&gt;=140,c&lt;=170),1,AND(c&gt;=120,c&lt;140),0.7,AND(c&gt;170,c&lt;=190),0.7,AND(c&gt;=100,c&lt;120),0.4,AND(c&gt;190,c&lt;=210),0.4,TRUE,0.2))),AVERAGE(k_s,p_s,f_s,c_s)))),1),""))</f>
        <v/>
      </c>
      <c r="Z241">
        <f>IF($A241="","",TEXTJOIN(", ",TRUE,IF($B241="","??????????",""),IF($C241="","??????",""),IF($D241="","????",""),IF($E241="","??????????",""),IF($F241="","???-?????",""),IF($G241="","???-????",""),IF($H241="","??????",""),IF($L241="","???",""),IF($M241="","?????",""),IF($N241="","??????????????",""),IF($O241="","??????????",""),IF($P241="","???????",""),IF($U241="","???","")))</f>
        <v/>
      </c>
    </row>
    <row r="242">
      <c r="U242">
        <f>IF($A242="","",IF(SUMIF(FoodLog!$A:$A,$A242,FoodLog!$I:$I)=0,"",SUMIF(FoodLog!$A:$A,$A242,FoodLog!$I:$I)))</f>
        <v/>
      </c>
      <c r="V242">
        <f>IF($A242="","",IF(SUMIF(FoodLog!$A:$A,$A242,FoodLog!$F:$F)=0,"",SUMIF(FoodLog!$A:$A,$A242,FoodLog!$F:$F)))</f>
        <v/>
      </c>
      <c r="W242">
        <f>IF($A242="","",IF(SUMIF(FoodLog!$A:$A,$A242,FoodLog!$G:$G)=0,"",SUMIF(FoodLog!$A:$A,$A242,FoodLog!$G:$G)))</f>
        <v/>
      </c>
      <c r="X242">
        <f>IF($A242="","",IF(SUMIF(FoodLog!$A:$A,$A242,FoodLog!$H:$H)=0,"",SUMIF(FoodLog!$A:$A,$A242,FoodLog!$H:$H)))</f>
        <v/>
      </c>
      <c r="Y242">
        <f>IF($A242="","",IFERROR(ROUND(100*AVERAGE(IF($B242="","",XLOOKUP($B242,FILTER(Dictionaries!$B:$B,Dictionaries!$A:$A="??????????"),FILTER(Dictionaries!$C:$C,Dictionaries!$A:$A="??????????"))),IF($C242="","",MIN($C242/40,1)),IF($D242="","",XLOOKUP($D242,FILTER(Dictionaries!$B:$B,Dictionaries!$A:$A="????"),FILTER(Dictionaries!$C:$C,Dictionaries!$A:$A="????"))),IF($E242="","",MIN($E242/120,1)),IF(OR($F242&lt;&gt;"",$G242&lt;&gt;""),1,""),IF($H242="","",MIN($H242/100,1)),IF($L242="","",XLOOKUP($L242,FILTER(Dictionaries!$B:$B,Dictionaries!$A:$A="???_????"),FILTER(Dictionaries!$C:$C,Dictionaries!$A:$A="???_????"))),IF($M242="","",XLOOKUP($M242,FILTER(Dictionaries!$B:$B,Dictionaries!$A:$A="?????"),FILTER(Dictionaries!$C:$C,Dictionaries!$A:$A="?????"))),IF($N242="","",MIN($N242/100,1)),IF($O242="","",XLOOKUP($O242,FILTER(Dictionaries!$B:$B,Dictionaries!$A:$A="??????????"),FILTER(Dictionaries!$C:$C,Dictionaries!$A:$A="??????????"))),IF($P242="","",XLOOKUP($P242,FILTER(Dictionaries!$B:$B,Dictionaries!$A:$A="???????"),FILTER(Dictionaries!$C:$C,Dictionaries!$A:$A="???????"))),IF($U242="","",LET(t,IF(OR($B242="????",$B242="????"),"train","rest"),k,$U242,p,$V242,f,$W242,c,$X242,k_s,IF(t="train",IF(k="","",IFS(AND(k&gt;=1900,k&lt;=2050),1,AND(k&gt;=1850,k&lt;1900),0.7,AND(k&gt;2050,k&lt;=2100),0.7,TRUE,0.2)),IF(k="","",IFS(AND(k&gt;=1700,k&lt;=1850),1,AND(k&gt;=1650,k&lt;1700),0.7,AND(k&gt;1850,k&lt;=1900),0.7,TRUE,0.2))),p_s,IF(t="train",IF(p="","",IFS(AND(p&gt;=125,p&lt;=135),1,AND(p&gt;=115,p&lt;125),0.7,AND(p&gt;135,p&lt;=145),0.7,AND(p&gt;=105,p&lt;115),0.4,AND(p&gt;145,p&lt;=155),0.4,TRUE,0.2)),IF(p="","",IFS(AND(p&gt;=120,p&lt;=130),1,AND(p&gt;=110,p&lt;120),0.7,AND(p&gt;130,p&lt;=140),0.7,AND(p&gt;=100,p&lt;110),0.4,AND(p&gt;140,p&lt;=150),0.4,TRUE,0.2))),f_s,IF(f="","",IFS(AND(f&gt;=55,f&lt;=65),1,AND(f&gt;=50,f&lt;55),0.7,AND(f&gt;65,f&lt;=70),0.7,AND(f&gt;=45,f&lt;50),0.4,AND(f&gt;70,f&lt;=75),0.4,TRUE,0.2)),c_s,IF(t="train",IF(c="","",IFS(AND(c&gt;=180,c&lt;=210),1,AND(c&gt;=160,c&lt;180),0.7,AND(c&gt;210,c&lt;=230),0.7,AND(c&gt;=140,c&lt;160),0.4,AND(c&gt;230,c&lt;=250),0.4,TRUE,0.2)),IF(c="","",IFS(AND(c&gt;=140,c&lt;=170),1,AND(c&gt;=120,c&lt;140),0.7,AND(c&gt;170,c&lt;=190),0.7,AND(c&gt;=100,c&lt;120),0.4,AND(c&gt;190,c&lt;=210),0.4,TRUE,0.2))),AVERAGE(k_s,p_s,f_s,c_s)))),1),""))</f>
        <v/>
      </c>
      <c r="Z242">
        <f>IF($A242="","",TEXTJOIN(", ",TRUE,IF($B242="","??????????",""),IF($C242="","??????",""),IF($D242="","????",""),IF($E242="","??????????",""),IF($F242="","???-?????",""),IF($G242="","???-????",""),IF($H242="","??????",""),IF($L242="","???",""),IF($M242="","?????",""),IF($N242="","??????????????",""),IF($O242="","??????????",""),IF($P242="","???????",""),IF($U242="","???","")))</f>
        <v/>
      </c>
    </row>
    <row r="243">
      <c r="U243">
        <f>IF($A243="","",IF(SUMIF(FoodLog!$A:$A,$A243,FoodLog!$I:$I)=0,"",SUMIF(FoodLog!$A:$A,$A243,FoodLog!$I:$I)))</f>
        <v/>
      </c>
      <c r="V243">
        <f>IF($A243="","",IF(SUMIF(FoodLog!$A:$A,$A243,FoodLog!$F:$F)=0,"",SUMIF(FoodLog!$A:$A,$A243,FoodLog!$F:$F)))</f>
        <v/>
      </c>
      <c r="W243">
        <f>IF($A243="","",IF(SUMIF(FoodLog!$A:$A,$A243,FoodLog!$G:$G)=0,"",SUMIF(FoodLog!$A:$A,$A243,FoodLog!$G:$G)))</f>
        <v/>
      </c>
      <c r="X243">
        <f>IF($A243="","",IF(SUMIF(FoodLog!$A:$A,$A243,FoodLog!$H:$H)=0,"",SUMIF(FoodLog!$A:$A,$A243,FoodLog!$H:$H)))</f>
        <v/>
      </c>
      <c r="Y243">
        <f>IF($A243="","",IFERROR(ROUND(100*AVERAGE(IF($B243="","",XLOOKUP($B243,FILTER(Dictionaries!$B:$B,Dictionaries!$A:$A="??????????"),FILTER(Dictionaries!$C:$C,Dictionaries!$A:$A="??????????"))),IF($C243="","",MIN($C243/40,1)),IF($D243="","",XLOOKUP($D243,FILTER(Dictionaries!$B:$B,Dictionaries!$A:$A="????"),FILTER(Dictionaries!$C:$C,Dictionaries!$A:$A="????"))),IF($E243="","",MIN($E243/120,1)),IF(OR($F243&lt;&gt;"",$G243&lt;&gt;""),1,""),IF($H243="","",MIN($H243/100,1)),IF($L243="","",XLOOKUP($L243,FILTER(Dictionaries!$B:$B,Dictionaries!$A:$A="???_????"),FILTER(Dictionaries!$C:$C,Dictionaries!$A:$A="???_????"))),IF($M243="","",XLOOKUP($M243,FILTER(Dictionaries!$B:$B,Dictionaries!$A:$A="?????"),FILTER(Dictionaries!$C:$C,Dictionaries!$A:$A="?????"))),IF($N243="","",MIN($N243/100,1)),IF($O243="","",XLOOKUP($O243,FILTER(Dictionaries!$B:$B,Dictionaries!$A:$A="??????????"),FILTER(Dictionaries!$C:$C,Dictionaries!$A:$A="??????????"))),IF($P243="","",XLOOKUP($P243,FILTER(Dictionaries!$B:$B,Dictionaries!$A:$A="???????"),FILTER(Dictionaries!$C:$C,Dictionaries!$A:$A="???????"))),IF($U243="","",LET(t,IF(OR($B243="????",$B243="????"),"train","rest"),k,$U243,p,$V243,f,$W243,c,$X243,k_s,IF(t="train",IF(k="","",IFS(AND(k&gt;=1900,k&lt;=2050),1,AND(k&gt;=1850,k&lt;1900),0.7,AND(k&gt;2050,k&lt;=2100),0.7,TRUE,0.2)),IF(k="","",IFS(AND(k&gt;=1700,k&lt;=1850),1,AND(k&gt;=1650,k&lt;1700),0.7,AND(k&gt;1850,k&lt;=1900),0.7,TRUE,0.2))),p_s,IF(t="train",IF(p="","",IFS(AND(p&gt;=125,p&lt;=135),1,AND(p&gt;=115,p&lt;125),0.7,AND(p&gt;135,p&lt;=145),0.7,AND(p&gt;=105,p&lt;115),0.4,AND(p&gt;145,p&lt;=155),0.4,TRUE,0.2)),IF(p="","",IFS(AND(p&gt;=120,p&lt;=130),1,AND(p&gt;=110,p&lt;120),0.7,AND(p&gt;130,p&lt;=140),0.7,AND(p&gt;=100,p&lt;110),0.4,AND(p&gt;140,p&lt;=150),0.4,TRUE,0.2))),f_s,IF(f="","",IFS(AND(f&gt;=55,f&lt;=65),1,AND(f&gt;=50,f&lt;55),0.7,AND(f&gt;65,f&lt;=70),0.7,AND(f&gt;=45,f&lt;50),0.4,AND(f&gt;70,f&lt;=75),0.4,TRUE,0.2)),c_s,IF(t="train",IF(c="","",IFS(AND(c&gt;=180,c&lt;=210),1,AND(c&gt;=160,c&lt;180),0.7,AND(c&gt;210,c&lt;=230),0.7,AND(c&gt;=140,c&lt;160),0.4,AND(c&gt;230,c&lt;=250),0.4,TRUE,0.2)),IF(c="","",IFS(AND(c&gt;=140,c&lt;=170),1,AND(c&gt;=120,c&lt;140),0.7,AND(c&gt;170,c&lt;=190),0.7,AND(c&gt;=100,c&lt;120),0.4,AND(c&gt;190,c&lt;=210),0.4,TRUE,0.2))),AVERAGE(k_s,p_s,f_s,c_s)))),1),""))</f>
        <v/>
      </c>
      <c r="Z243">
        <f>IF($A243="","",TEXTJOIN(", ",TRUE,IF($B243="","??????????",""),IF($C243="","??????",""),IF($D243="","????",""),IF($E243="","??????????",""),IF($F243="","???-?????",""),IF($G243="","???-????",""),IF($H243="","??????",""),IF($L243="","???",""),IF($M243="","?????",""),IF($N243="","??????????????",""),IF($O243="","??????????",""),IF($P243="","???????",""),IF($U243="","???","")))</f>
        <v/>
      </c>
    </row>
    <row r="244">
      <c r="U244">
        <f>IF($A244="","",IF(SUMIF(FoodLog!$A:$A,$A244,FoodLog!$I:$I)=0,"",SUMIF(FoodLog!$A:$A,$A244,FoodLog!$I:$I)))</f>
        <v/>
      </c>
      <c r="V244">
        <f>IF($A244="","",IF(SUMIF(FoodLog!$A:$A,$A244,FoodLog!$F:$F)=0,"",SUMIF(FoodLog!$A:$A,$A244,FoodLog!$F:$F)))</f>
        <v/>
      </c>
      <c r="W244">
        <f>IF($A244="","",IF(SUMIF(FoodLog!$A:$A,$A244,FoodLog!$G:$G)=0,"",SUMIF(FoodLog!$A:$A,$A244,FoodLog!$G:$G)))</f>
        <v/>
      </c>
      <c r="X244">
        <f>IF($A244="","",IF(SUMIF(FoodLog!$A:$A,$A244,FoodLog!$H:$H)=0,"",SUMIF(FoodLog!$A:$A,$A244,FoodLog!$H:$H)))</f>
        <v/>
      </c>
      <c r="Y244">
        <f>IF($A244="","",IFERROR(ROUND(100*AVERAGE(IF($B244="","",XLOOKUP($B244,FILTER(Dictionaries!$B:$B,Dictionaries!$A:$A="??????????"),FILTER(Dictionaries!$C:$C,Dictionaries!$A:$A="??????????"))),IF($C244="","",MIN($C244/40,1)),IF($D244="","",XLOOKUP($D244,FILTER(Dictionaries!$B:$B,Dictionaries!$A:$A="????"),FILTER(Dictionaries!$C:$C,Dictionaries!$A:$A="????"))),IF($E244="","",MIN($E244/120,1)),IF(OR($F244&lt;&gt;"",$G244&lt;&gt;""),1,""),IF($H244="","",MIN($H244/100,1)),IF($L244="","",XLOOKUP($L244,FILTER(Dictionaries!$B:$B,Dictionaries!$A:$A="???_????"),FILTER(Dictionaries!$C:$C,Dictionaries!$A:$A="???_????"))),IF($M244="","",XLOOKUP($M244,FILTER(Dictionaries!$B:$B,Dictionaries!$A:$A="?????"),FILTER(Dictionaries!$C:$C,Dictionaries!$A:$A="?????"))),IF($N244="","",MIN($N244/100,1)),IF($O244="","",XLOOKUP($O244,FILTER(Dictionaries!$B:$B,Dictionaries!$A:$A="??????????"),FILTER(Dictionaries!$C:$C,Dictionaries!$A:$A="??????????"))),IF($P244="","",XLOOKUP($P244,FILTER(Dictionaries!$B:$B,Dictionaries!$A:$A="???????"),FILTER(Dictionaries!$C:$C,Dictionaries!$A:$A="???????"))),IF($U244="","",LET(t,IF(OR($B244="????",$B244="????"),"train","rest"),k,$U244,p,$V244,f,$W244,c,$X244,k_s,IF(t="train",IF(k="","",IFS(AND(k&gt;=1900,k&lt;=2050),1,AND(k&gt;=1850,k&lt;1900),0.7,AND(k&gt;2050,k&lt;=2100),0.7,TRUE,0.2)),IF(k="","",IFS(AND(k&gt;=1700,k&lt;=1850),1,AND(k&gt;=1650,k&lt;1700),0.7,AND(k&gt;1850,k&lt;=1900),0.7,TRUE,0.2))),p_s,IF(t="train",IF(p="","",IFS(AND(p&gt;=125,p&lt;=135),1,AND(p&gt;=115,p&lt;125),0.7,AND(p&gt;135,p&lt;=145),0.7,AND(p&gt;=105,p&lt;115),0.4,AND(p&gt;145,p&lt;=155),0.4,TRUE,0.2)),IF(p="","",IFS(AND(p&gt;=120,p&lt;=130),1,AND(p&gt;=110,p&lt;120),0.7,AND(p&gt;130,p&lt;=140),0.7,AND(p&gt;=100,p&lt;110),0.4,AND(p&gt;140,p&lt;=150),0.4,TRUE,0.2))),f_s,IF(f="","",IFS(AND(f&gt;=55,f&lt;=65),1,AND(f&gt;=50,f&lt;55),0.7,AND(f&gt;65,f&lt;=70),0.7,AND(f&gt;=45,f&lt;50),0.4,AND(f&gt;70,f&lt;=75),0.4,TRUE,0.2)),c_s,IF(t="train",IF(c="","",IFS(AND(c&gt;=180,c&lt;=210),1,AND(c&gt;=160,c&lt;180),0.7,AND(c&gt;210,c&lt;=230),0.7,AND(c&gt;=140,c&lt;160),0.4,AND(c&gt;230,c&lt;=250),0.4,TRUE,0.2)),IF(c="","",IFS(AND(c&gt;=140,c&lt;=170),1,AND(c&gt;=120,c&lt;140),0.7,AND(c&gt;170,c&lt;=190),0.7,AND(c&gt;=100,c&lt;120),0.4,AND(c&gt;190,c&lt;=210),0.4,TRUE,0.2))),AVERAGE(k_s,p_s,f_s,c_s)))),1),""))</f>
        <v/>
      </c>
      <c r="Z244">
        <f>IF($A244="","",TEXTJOIN(", ",TRUE,IF($B244="","??????????",""),IF($C244="","??????",""),IF($D244="","????",""),IF($E244="","??????????",""),IF($F244="","???-?????",""),IF($G244="","???-????",""),IF($H244="","??????",""),IF($L244="","???",""),IF($M244="","?????",""),IF($N244="","??????????????",""),IF($O244="","??????????",""),IF($P244="","???????",""),IF($U244="","???","")))</f>
        <v/>
      </c>
    </row>
    <row r="245">
      <c r="U245">
        <f>IF($A245="","",IF(SUMIF(FoodLog!$A:$A,$A245,FoodLog!$I:$I)=0,"",SUMIF(FoodLog!$A:$A,$A245,FoodLog!$I:$I)))</f>
        <v/>
      </c>
      <c r="V245">
        <f>IF($A245="","",IF(SUMIF(FoodLog!$A:$A,$A245,FoodLog!$F:$F)=0,"",SUMIF(FoodLog!$A:$A,$A245,FoodLog!$F:$F)))</f>
        <v/>
      </c>
      <c r="W245">
        <f>IF($A245="","",IF(SUMIF(FoodLog!$A:$A,$A245,FoodLog!$G:$G)=0,"",SUMIF(FoodLog!$A:$A,$A245,FoodLog!$G:$G)))</f>
        <v/>
      </c>
      <c r="X245">
        <f>IF($A245="","",IF(SUMIF(FoodLog!$A:$A,$A245,FoodLog!$H:$H)=0,"",SUMIF(FoodLog!$A:$A,$A245,FoodLog!$H:$H)))</f>
        <v/>
      </c>
      <c r="Y245">
        <f>IF($A245="","",IFERROR(ROUND(100*AVERAGE(IF($B245="","",XLOOKUP($B245,FILTER(Dictionaries!$B:$B,Dictionaries!$A:$A="??????????"),FILTER(Dictionaries!$C:$C,Dictionaries!$A:$A="??????????"))),IF($C245="","",MIN($C245/40,1)),IF($D245="","",XLOOKUP($D245,FILTER(Dictionaries!$B:$B,Dictionaries!$A:$A="????"),FILTER(Dictionaries!$C:$C,Dictionaries!$A:$A="????"))),IF($E245="","",MIN($E245/120,1)),IF(OR($F245&lt;&gt;"",$G245&lt;&gt;""),1,""),IF($H245="","",MIN($H245/100,1)),IF($L245="","",XLOOKUP($L245,FILTER(Dictionaries!$B:$B,Dictionaries!$A:$A="???_????"),FILTER(Dictionaries!$C:$C,Dictionaries!$A:$A="???_????"))),IF($M245="","",XLOOKUP($M245,FILTER(Dictionaries!$B:$B,Dictionaries!$A:$A="?????"),FILTER(Dictionaries!$C:$C,Dictionaries!$A:$A="?????"))),IF($N245="","",MIN($N245/100,1)),IF($O245="","",XLOOKUP($O245,FILTER(Dictionaries!$B:$B,Dictionaries!$A:$A="??????????"),FILTER(Dictionaries!$C:$C,Dictionaries!$A:$A="??????????"))),IF($P245="","",XLOOKUP($P245,FILTER(Dictionaries!$B:$B,Dictionaries!$A:$A="???????"),FILTER(Dictionaries!$C:$C,Dictionaries!$A:$A="???????"))),IF($U245="","",LET(t,IF(OR($B245="????",$B245="????"),"train","rest"),k,$U245,p,$V245,f,$W245,c,$X245,k_s,IF(t="train",IF(k="","",IFS(AND(k&gt;=1900,k&lt;=2050),1,AND(k&gt;=1850,k&lt;1900),0.7,AND(k&gt;2050,k&lt;=2100),0.7,TRUE,0.2)),IF(k="","",IFS(AND(k&gt;=1700,k&lt;=1850),1,AND(k&gt;=1650,k&lt;1700),0.7,AND(k&gt;1850,k&lt;=1900),0.7,TRUE,0.2))),p_s,IF(t="train",IF(p="","",IFS(AND(p&gt;=125,p&lt;=135),1,AND(p&gt;=115,p&lt;125),0.7,AND(p&gt;135,p&lt;=145),0.7,AND(p&gt;=105,p&lt;115),0.4,AND(p&gt;145,p&lt;=155),0.4,TRUE,0.2)),IF(p="","",IFS(AND(p&gt;=120,p&lt;=130),1,AND(p&gt;=110,p&lt;120),0.7,AND(p&gt;130,p&lt;=140),0.7,AND(p&gt;=100,p&lt;110),0.4,AND(p&gt;140,p&lt;=150),0.4,TRUE,0.2))),f_s,IF(f="","",IFS(AND(f&gt;=55,f&lt;=65),1,AND(f&gt;=50,f&lt;55),0.7,AND(f&gt;65,f&lt;=70),0.7,AND(f&gt;=45,f&lt;50),0.4,AND(f&gt;70,f&lt;=75),0.4,TRUE,0.2)),c_s,IF(t="train",IF(c="","",IFS(AND(c&gt;=180,c&lt;=210),1,AND(c&gt;=160,c&lt;180),0.7,AND(c&gt;210,c&lt;=230),0.7,AND(c&gt;=140,c&lt;160),0.4,AND(c&gt;230,c&lt;=250),0.4,TRUE,0.2)),IF(c="","",IFS(AND(c&gt;=140,c&lt;=170),1,AND(c&gt;=120,c&lt;140),0.7,AND(c&gt;170,c&lt;=190),0.7,AND(c&gt;=100,c&lt;120),0.4,AND(c&gt;190,c&lt;=210),0.4,TRUE,0.2))),AVERAGE(k_s,p_s,f_s,c_s)))),1),""))</f>
        <v/>
      </c>
      <c r="Z245">
        <f>IF($A245="","",TEXTJOIN(", ",TRUE,IF($B245="","??????????",""),IF($C245="","??????",""),IF($D245="","????",""),IF($E245="","??????????",""),IF($F245="","???-?????",""),IF($G245="","???-????",""),IF($H245="","??????",""),IF($L245="","???",""),IF($M245="","?????",""),IF($N245="","??????????????",""),IF($O245="","??????????",""),IF($P245="","???????",""),IF($U245="","???","")))</f>
        <v/>
      </c>
    </row>
    <row r="246">
      <c r="U246">
        <f>IF($A246="","",IF(SUMIF(FoodLog!$A:$A,$A246,FoodLog!$I:$I)=0,"",SUMIF(FoodLog!$A:$A,$A246,FoodLog!$I:$I)))</f>
        <v/>
      </c>
      <c r="V246">
        <f>IF($A246="","",IF(SUMIF(FoodLog!$A:$A,$A246,FoodLog!$F:$F)=0,"",SUMIF(FoodLog!$A:$A,$A246,FoodLog!$F:$F)))</f>
        <v/>
      </c>
      <c r="W246">
        <f>IF($A246="","",IF(SUMIF(FoodLog!$A:$A,$A246,FoodLog!$G:$G)=0,"",SUMIF(FoodLog!$A:$A,$A246,FoodLog!$G:$G)))</f>
        <v/>
      </c>
      <c r="X246">
        <f>IF($A246="","",IF(SUMIF(FoodLog!$A:$A,$A246,FoodLog!$H:$H)=0,"",SUMIF(FoodLog!$A:$A,$A246,FoodLog!$H:$H)))</f>
        <v/>
      </c>
      <c r="Y246">
        <f>IF($A246="","",IFERROR(ROUND(100*AVERAGE(IF($B246="","",XLOOKUP($B246,FILTER(Dictionaries!$B:$B,Dictionaries!$A:$A="??????????"),FILTER(Dictionaries!$C:$C,Dictionaries!$A:$A="??????????"))),IF($C246="","",MIN($C246/40,1)),IF($D246="","",XLOOKUP($D246,FILTER(Dictionaries!$B:$B,Dictionaries!$A:$A="????"),FILTER(Dictionaries!$C:$C,Dictionaries!$A:$A="????"))),IF($E246="","",MIN($E246/120,1)),IF(OR($F246&lt;&gt;"",$G246&lt;&gt;""),1,""),IF($H246="","",MIN($H246/100,1)),IF($L246="","",XLOOKUP($L246,FILTER(Dictionaries!$B:$B,Dictionaries!$A:$A="???_????"),FILTER(Dictionaries!$C:$C,Dictionaries!$A:$A="???_????"))),IF($M246="","",XLOOKUP($M246,FILTER(Dictionaries!$B:$B,Dictionaries!$A:$A="?????"),FILTER(Dictionaries!$C:$C,Dictionaries!$A:$A="?????"))),IF($N246="","",MIN($N246/100,1)),IF($O246="","",XLOOKUP($O246,FILTER(Dictionaries!$B:$B,Dictionaries!$A:$A="??????????"),FILTER(Dictionaries!$C:$C,Dictionaries!$A:$A="??????????"))),IF($P246="","",XLOOKUP($P246,FILTER(Dictionaries!$B:$B,Dictionaries!$A:$A="???????"),FILTER(Dictionaries!$C:$C,Dictionaries!$A:$A="???????"))),IF($U246="","",LET(t,IF(OR($B246="????",$B246="????"),"train","rest"),k,$U246,p,$V246,f,$W246,c,$X246,k_s,IF(t="train",IF(k="","",IFS(AND(k&gt;=1900,k&lt;=2050),1,AND(k&gt;=1850,k&lt;1900),0.7,AND(k&gt;2050,k&lt;=2100),0.7,TRUE,0.2)),IF(k="","",IFS(AND(k&gt;=1700,k&lt;=1850),1,AND(k&gt;=1650,k&lt;1700),0.7,AND(k&gt;1850,k&lt;=1900),0.7,TRUE,0.2))),p_s,IF(t="train",IF(p="","",IFS(AND(p&gt;=125,p&lt;=135),1,AND(p&gt;=115,p&lt;125),0.7,AND(p&gt;135,p&lt;=145),0.7,AND(p&gt;=105,p&lt;115),0.4,AND(p&gt;145,p&lt;=155),0.4,TRUE,0.2)),IF(p="","",IFS(AND(p&gt;=120,p&lt;=130),1,AND(p&gt;=110,p&lt;120),0.7,AND(p&gt;130,p&lt;=140),0.7,AND(p&gt;=100,p&lt;110),0.4,AND(p&gt;140,p&lt;=150),0.4,TRUE,0.2))),f_s,IF(f="","",IFS(AND(f&gt;=55,f&lt;=65),1,AND(f&gt;=50,f&lt;55),0.7,AND(f&gt;65,f&lt;=70),0.7,AND(f&gt;=45,f&lt;50),0.4,AND(f&gt;70,f&lt;=75),0.4,TRUE,0.2)),c_s,IF(t="train",IF(c="","",IFS(AND(c&gt;=180,c&lt;=210),1,AND(c&gt;=160,c&lt;180),0.7,AND(c&gt;210,c&lt;=230),0.7,AND(c&gt;=140,c&lt;160),0.4,AND(c&gt;230,c&lt;=250),0.4,TRUE,0.2)),IF(c="","",IFS(AND(c&gt;=140,c&lt;=170),1,AND(c&gt;=120,c&lt;140),0.7,AND(c&gt;170,c&lt;=190),0.7,AND(c&gt;=100,c&lt;120),0.4,AND(c&gt;190,c&lt;=210),0.4,TRUE,0.2))),AVERAGE(k_s,p_s,f_s,c_s)))),1),""))</f>
        <v/>
      </c>
      <c r="Z246">
        <f>IF($A246="","",TEXTJOIN(", ",TRUE,IF($B246="","??????????",""),IF($C246="","??????",""),IF($D246="","????",""),IF($E246="","??????????",""),IF($F246="","???-?????",""),IF($G246="","???-????",""),IF($H246="","??????",""),IF($L246="","???",""),IF($M246="","?????",""),IF($N246="","??????????????",""),IF($O246="","??????????",""),IF($P246="","???????",""),IF($U246="","???","")))</f>
        <v/>
      </c>
    </row>
    <row r="247">
      <c r="U247">
        <f>IF($A247="","",IF(SUMIF(FoodLog!$A:$A,$A247,FoodLog!$I:$I)=0,"",SUMIF(FoodLog!$A:$A,$A247,FoodLog!$I:$I)))</f>
        <v/>
      </c>
      <c r="V247">
        <f>IF($A247="","",IF(SUMIF(FoodLog!$A:$A,$A247,FoodLog!$F:$F)=0,"",SUMIF(FoodLog!$A:$A,$A247,FoodLog!$F:$F)))</f>
        <v/>
      </c>
      <c r="W247">
        <f>IF($A247="","",IF(SUMIF(FoodLog!$A:$A,$A247,FoodLog!$G:$G)=0,"",SUMIF(FoodLog!$A:$A,$A247,FoodLog!$G:$G)))</f>
        <v/>
      </c>
      <c r="X247">
        <f>IF($A247="","",IF(SUMIF(FoodLog!$A:$A,$A247,FoodLog!$H:$H)=0,"",SUMIF(FoodLog!$A:$A,$A247,FoodLog!$H:$H)))</f>
        <v/>
      </c>
      <c r="Y247">
        <f>IF($A247="","",IFERROR(ROUND(100*AVERAGE(IF($B247="","",XLOOKUP($B247,FILTER(Dictionaries!$B:$B,Dictionaries!$A:$A="??????????"),FILTER(Dictionaries!$C:$C,Dictionaries!$A:$A="??????????"))),IF($C247="","",MIN($C247/40,1)),IF($D247="","",XLOOKUP($D247,FILTER(Dictionaries!$B:$B,Dictionaries!$A:$A="????"),FILTER(Dictionaries!$C:$C,Dictionaries!$A:$A="????"))),IF($E247="","",MIN($E247/120,1)),IF(OR($F247&lt;&gt;"",$G247&lt;&gt;""),1,""),IF($H247="","",MIN($H247/100,1)),IF($L247="","",XLOOKUP($L247,FILTER(Dictionaries!$B:$B,Dictionaries!$A:$A="???_????"),FILTER(Dictionaries!$C:$C,Dictionaries!$A:$A="???_????"))),IF($M247="","",XLOOKUP($M247,FILTER(Dictionaries!$B:$B,Dictionaries!$A:$A="?????"),FILTER(Dictionaries!$C:$C,Dictionaries!$A:$A="?????"))),IF($N247="","",MIN($N247/100,1)),IF($O247="","",XLOOKUP($O247,FILTER(Dictionaries!$B:$B,Dictionaries!$A:$A="??????????"),FILTER(Dictionaries!$C:$C,Dictionaries!$A:$A="??????????"))),IF($P247="","",XLOOKUP($P247,FILTER(Dictionaries!$B:$B,Dictionaries!$A:$A="???????"),FILTER(Dictionaries!$C:$C,Dictionaries!$A:$A="???????"))),IF($U247="","",LET(t,IF(OR($B247="????",$B247="????"),"train","rest"),k,$U247,p,$V247,f,$W247,c,$X247,k_s,IF(t="train",IF(k="","",IFS(AND(k&gt;=1900,k&lt;=2050),1,AND(k&gt;=1850,k&lt;1900),0.7,AND(k&gt;2050,k&lt;=2100),0.7,TRUE,0.2)),IF(k="","",IFS(AND(k&gt;=1700,k&lt;=1850),1,AND(k&gt;=1650,k&lt;1700),0.7,AND(k&gt;1850,k&lt;=1900),0.7,TRUE,0.2))),p_s,IF(t="train",IF(p="","",IFS(AND(p&gt;=125,p&lt;=135),1,AND(p&gt;=115,p&lt;125),0.7,AND(p&gt;135,p&lt;=145),0.7,AND(p&gt;=105,p&lt;115),0.4,AND(p&gt;145,p&lt;=155),0.4,TRUE,0.2)),IF(p="","",IFS(AND(p&gt;=120,p&lt;=130),1,AND(p&gt;=110,p&lt;120),0.7,AND(p&gt;130,p&lt;=140),0.7,AND(p&gt;=100,p&lt;110),0.4,AND(p&gt;140,p&lt;=150),0.4,TRUE,0.2))),f_s,IF(f="","",IFS(AND(f&gt;=55,f&lt;=65),1,AND(f&gt;=50,f&lt;55),0.7,AND(f&gt;65,f&lt;=70),0.7,AND(f&gt;=45,f&lt;50),0.4,AND(f&gt;70,f&lt;=75),0.4,TRUE,0.2)),c_s,IF(t="train",IF(c="","",IFS(AND(c&gt;=180,c&lt;=210),1,AND(c&gt;=160,c&lt;180),0.7,AND(c&gt;210,c&lt;=230),0.7,AND(c&gt;=140,c&lt;160),0.4,AND(c&gt;230,c&lt;=250),0.4,TRUE,0.2)),IF(c="","",IFS(AND(c&gt;=140,c&lt;=170),1,AND(c&gt;=120,c&lt;140),0.7,AND(c&gt;170,c&lt;=190),0.7,AND(c&gt;=100,c&lt;120),0.4,AND(c&gt;190,c&lt;=210),0.4,TRUE,0.2))),AVERAGE(k_s,p_s,f_s,c_s)))),1),""))</f>
        <v/>
      </c>
      <c r="Z247">
        <f>IF($A247="","",TEXTJOIN(", ",TRUE,IF($B247="","??????????",""),IF($C247="","??????",""),IF($D247="","????",""),IF($E247="","??????????",""),IF($F247="","???-?????",""),IF($G247="","???-????",""),IF($H247="","??????",""),IF($L247="","???",""),IF($M247="","?????",""),IF($N247="","??????????????",""),IF($O247="","??????????",""),IF($P247="","???????",""),IF($U247="","???","")))</f>
        <v/>
      </c>
    </row>
    <row r="248">
      <c r="U248">
        <f>IF($A248="","",IF(SUMIF(FoodLog!$A:$A,$A248,FoodLog!$I:$I)=0,"",SUMIF(FoodLog!$A:$A,$A248,FoodLog!$I:$I)))</f>
        <v/>
      </c>
      <c r="V248">
        <f>IF($A248="","",IF(SUMIF(FoodLog!$A:$A,$A248,FoodLog!$F:$F)=0,"",SUMIF(FoodLog!$A:$A,$A248,FoodLog!$F:$F)))</f>
        <v/>
      </c>
      <c r="W248">
        <f>IF($A248="","",IF(SUMIF(FoodLog!$A:$A,$A248,FoodLog!$G:$G)=0,"",SUMIF(FoodLog!$A:$A,$A248,FoodLog!$G:$G)))</f>
        <v/>
      </c>
      <c r="X248">
        <f>IF($A248="","",IF(SUMIF(FoodLog!$A:$A,$A248,FoodLog!$H:$H)=0,"",SUMIF(FoodLog!$A:$A,$A248,FoodLog!$H:$H)))</f>
        <v/>
      </c>
      <c r="Y248">
        <f>IF($A248="","",IFERROR(ROUND(100*AVERAGE(IF($B248="","",XLOOKUP($B248,FILTER(Dictionaries!$B:$B,Dictionaries!$A:$A="??????????"),FILTER(Dictionaries!$C:$C,Dictionaries!$A:$A="??????????"))),IF($C248="","",MIN($C248/40,1)),IF($D248="","",XLOOKUP($D248,FILTER(Dictionaries!$B:$B,Dictionaries!$A:$A="????"),FILTER(Dictionaries!$C:$C,Dictionaries!$A:$A="????"))),IF($E248="","",MIN($E248/120,1)),IF(OR($F248&lt;&gt;"",$G248&lt;&gt;""),1,""),IF($H248="","",MIN($H248/100,1)),IF($L248="","",XLOOKUP($L248,FILTER(Dictionaries!$B:$B,Dictionaries!$A:$A="???_????"),FILTER(Dictionaries!$C:$C,Dictionaries!$A:$A="???_????"))),IF($M248="","",XLOOKUP($M248,FILTER(Dictionaries!$B:$B,Dictionaries!$A:$A="?????"),FILTER(Dictionaries!$C:$C,Dictionaries!$A:$A="?????"))),IF($N248="","",MIN($N248/100,1)),IF($O248="","",XLOOKUP($O248,FILTER(Dictionaries!$B:$B,Dictionaries!$A:$A="??????????"),FILTER(Dictionaries!$C:$C,Dictionaries!$A:$A="??????????"))),IF($P248="","",XLOOKUP($P248,FILTER(Dictionaries!$B:$B,Dictionaries!$A:$A="???????"),FILTER(Dictionaries!$C:$C,Dictionaries!$A:$A="???????"))),IF($U248="","",LET(t,IF(OR($B248="????",$B248="????"),"train","rest"),k,$U248,p,$V248,f,$W248,c,$X248,k_s,IF(t="train",IF(k="","",IFS(AND(k&gt;=1900,k&lt;=2050),1,AND(k&gt;=1850,k&lt;1900),0.7,AND(k&gt;2050,k&lt;=2100),0.7,TRUE,0.2)),IF(k="","",IFS(AND(k&gt;=1700,k&lt;=1850),1,AND(k&gt;=1650,k&lt;1700),0.7,AND(k&gt;1850,k&lt;=1900),0.7,TRUE,0.2))),p_s,IF(t="train",IF(p="","",IFS(AND(p&gt;=125,p&lt;=135),1,AND(p&gt;=115,p&lt;125),0.7,AND(p&gt;135,p&lt;=145),0.7,AND(p&gt;=105,p&lt;115),0.4,AND(p&gt;145,p&lt;=155),0.4,TRUE,0.2)),IF(p="","",IFS(AND(p&gt;=120,p&lt;=130),1,AND(p&gt;=110,p&lt;120),0.7,AND(p&gt;130,p&lt;=140),0.7,AND(p&gt;=100,p&lt;110),0.4,AND(p&gt;140,p&lt;=150),0.4,TRUE,0.2))),f_s,IF(f="","",IFS(AND(f&gt;=55,f&lt;=65),1,AND(f&gt;=50,f&lt;55),0.7,AND(f&gt;65,f&lt;=70),0.7,AND(f&gt;=45,f&lt;50),0.4,AND(f&gt;70,f&lt;=75),0.4,TRUE,0.2)),c_s,IF(t="train",IF(c="","",IFS(AND(c&gt;=180,c&lt;=210),1,AND(c&gt;=160,c&lt;180),0.7,AND(c&gt;210,c&lt;=230),0.7,AND(c&gt;=140,c&lt;160),0.4,AND(c&gt;230,c&lt;=250),0.4,TRUE,0.2)),IF(c="","",IFS(AND(c&gt;=140,c&lt;=170),1,AND(c&gt;=120,c&lt;140),0.7,AND(c&gt;170,c&lt;=190),0.7,AND(c&gt;=100,c&lt;120),0.4,AND(c&gt;190,c&lt;=210),0.4,TRUE,0.2))),AVERAGE(k_s,p_s,f_s,c_s)))),1),""))</f>
        <v/>
      </c>
      <c r="Z248">
        <f>IF($A248="","",TEXTJOIN(", ",TRUE,IF($B248="","??????????",""),IF($C248="","??????",""),IF($D248="","????",""),IF($E248="","??????????",""),IF($F248="","???-?????",""),IF($G248="","???-????",""),IF($H248="","??????",""),IF($L248="","???",""),IF($M248="","?????",""),IF($N248="","??????????????",""),IF($O248="","??????????",""),IF($P248="","???????",""),IF($U248="","???","")))</f>
        <v/>
      </c>
    </row>
    <row r="249">
      <c r="U249">
        <f>IF($A249="","",IF(SUMIF(FoodLog!$A:$A,$A249,FoodLog!$I:$I)=0,"",SUMIF(FoodLog!$A:$A,$A249,FoodLog!$I:$I)))</f>
        <v/>
      </c>
      <c r="V249">
        <f>IF($A249="","",IF(SUMIF(FoodLog!$A:$A,$A249,FoodLog!$F:$F)=0,"",SUMIF(FoodLog!$A:$A,$A249,FoodLog!$F:$F)))</f>
        <v/>
      </c>
      <c r="W249">
        <f>IF($A249="","",IF(SUMIF(FoodLog!$A:$A,$A249,FoodLog!$G:$G)=0,"",SUMIF(FoodLog!$A:$A,$A249,FoodLog!$G:$G)))</f>
        <v/>
      </c>
      <c r="X249">
        <f>IF($A249="","",IF(SUMIF(FoodLog!$A:$A,$A249,FoodLog!$H:$H)=0,"",SUMIF(FoodLog!$A:$A,$A249,FoodLog!$H:$H)))</f>
        <v/>
      </c>
      <c r="Y249">
        <f>IF($A249="","",IFERROR(ROUND(100*AVERAGE(IF($B249="","",XLOOKUP($B249,FILTER(Dictionaries!$B:$B,Dictionaries!$A:$A="??????????"),FILTER(Dictionaries!$C:$C,Dictionaries!$A:$A="??????????"))),IF($C249="","",MIN($C249/40,1)),IF($D249="","",XLOOKUP($D249,FILTER(Dictionaries!$B:$B,Dictionaries!$A:$A="????"),FILTER(Dictionaries!$C:$C,Dictionaries!$A:$A="????"))),IF($E249="","",MIN($E249/120,1)),IF(OR($F249&lt;&gt;"",$G249&lt;&gt;""),1,""),IF($H249="","",MIN($H249/100,1)),IF($L249="","",XLOOKUP($L249,FILTER(Dictionaries!$B:$B,Dictionaries!$A:$A="???_????"),FILTER(Dictionaries!$C:$C,Dictionaries!$A:$A="???_????"))),IF($M249="","",XLOOKUP($M249,FILTER(Dictionaries!$B:$B,Dictionaries!$A:$A="?????"),FILTER(Dictionaries!$C:$C,Dictionaries!$A:$A="?????"))),IF($N249="","",MIN($N249/100,1)),IF($O249="","",XLOOKUP($O249,FILTER(Dictionaries!$B:$B,Dictionaries!$A:$A="??????????"),FILTER(Dictionaries!$C:$C,Dictionaries!$A:$A="??????????"))),IF($P249="","",XLOOKUP($P249,FILTER(Dictionaries!$B:$B,Dictionaries!$A:$A="???????"),FILTER(Dictionaries!$C:$C,Dictionaries!$A:$A="???????"))),IF($U249="","",LET(t,IF(OR($B249="????",$B249="????"),"train","rest"),k,$U249,p,$V249,f,$W249,c,$X249,k_s,IF(t="train",IF(k="","",IFS(AND(k&gt;=1900,k&lt;=2050),1,AND(k&gt;=1850,k&lt;1900),0.7,AND(k&gt;2050,k&lt;=2100),0.7,TRUE,0.2)),IF(k="","",IFS(AND(k&gt;=1700,k&lt;=1850),1,AND(k&gt;=1650,k&lt;1700),0.7,AND(k&gt;1850,k&lt;=1900),0.7,TRUE,0.2))),p_s,IF(t="train",IF(p="","",IFS(AND(p&gt;=125,p&lt;=135),1,AND(p&gt;=115,p&lt;125),0.7,AND(p&gt;135,p&lt;=145),0.7,AND(p&gt;=105,p&lt;115),0.4,AND(p&gt;145,p&lt;=155),0.4,TRUE,0.2)),IF(p="","",IFS(AND(p&gt;=120,p&lt;=130),1,AND(p&gt;=110,p&lt;120),0.7,AND(p&gt;130,p&lt;=140),0.7,AND(p&gt;=100,p&lt;110),0.4,AND(p&gt;140,p&lt;=150),0.4,TRUE,0.2))),f_s,IF(f="","",IFS(AND(f&gt;=55,f&lt;=65),1,AND(f&gt;=50,f&lt;55),0.7,AND(f&gt;65,f&lt;=70),0.7,AND(f&gt;=45,f&lt;50),0.4,AND(f&gt;70,f&lt;=75),0.4,TRUE,0.2)),c_s,IF(t="train",IF(c="","",IFS(AND(c&gt;=180,c&lt;=210),1,AND(c&gt;=160,c&lt;180),0.7,AND(c&gt;210,c&lt;=230),0.7,AND(c&gt;=140,c&lt;160),0.4,AND(c&gt;230,c&lt;=250),0.4,TRUE,0.2)),IF(c="","",IFS(AND(c&gt;=140,c&lt;=170),1,AND(c&gt;=120,c&lt;140),0.7,AND(c&gt;170,c&lt;=190),0.7,AND(c&gt;=100,c&lt;120),0.4,AND(c&gt;190,c&lt;=210),0.4,TRUE,0.2))),AVERAGE(k_s,p_s,f_s,c_s)))),1),""))</f>
        <v/>
      </c>
      <c r="Z249">
        <f>IF($A249="","",TEXTJOIN(", ",TRUE,IF($B249="","??????????",""),IF($C249="","??????",""),IF($D249="","????",""),IF($E249="","??????????",""),IF($F249="","???-?????",""),IF($G249="","???-????",""),IF($H249="","??????",""),IF($L249="","???",""),IF($M249="","?????",""),IF($N249="","??????????????",""),IF($O249="","??????????",""),IF($P249="","???????",""),IF($U249="","???","")))</f>
        <v/>
      </c>
    </row>
    <row r="250">
      <c r="U250">
        <f>IF($A250="","",IF(SUMIF(FoodLog!$A:$A,$A250,FoodLog!$I:$I)=0,"",SUMIF(FoodLog!$A:$A,$A250,FoodLog!$I:$I)))</f>
        <v/>
      </c>
      <c r="V250">
        <f>IF($A250="","",IF(SUMIF(FoodLog!$A:$A,$A250,FoodLog!$F:$F)=0,"",SUMIF(FoodLog!$A:$A,$A250,FoodLog!$F:$F)))</f>
        <v/>
      </c>
      <c r="W250">
        <f>IF($A250="","",IF(SUMIF(FoodLog!$A:$A,$A250,FoodLog!$G:$G)=0,"",SUMIF(FoodLog!$A:$A,$A250,FoodLog!$G:$G)))</f>
        <v/>
      </c>
      <c r="X250">
        <f>IF($A250="","",IF(SUMIF(FoodLog!$A:$A,$A250,FoodLog!$H:$H)=0,"",SUMIF(FoodLog!$A:$A,$A250,FoodLog!$H:$H)))</f>
        <v/>
      </c>
      <c r="Y250">
        <f>IF($A250="","",IFERROR(ROUND(100*AVERAGE(IF($B250="","",XLOOKUP($B250,FILTER(Dictionaries!$B:$B,Dictionaries!$A:$A="??????????"),FILTER(Dictionaries!$C:$C,Dictionaries!$A:$A="??????????"))),IF($C250="","",MIN($C250/40,1)),IF($D250="","",XLOOKUP($D250,FILTER(Dictionaries!$B:$B,Dictionaries!$A:$A="????"),FILTER(Dictionaries!$C:$C,Dictionaries!$A:$A="????"))),IF($E250="","",MIN($E250/120,1)),IF(OR($F250&lt;&gt;"",$G250&lt;&gt;""),1,""),IF($H250="","",MIN($H250/100,1)),IF($L250="","",XLOOKUP($L250,FILTER(Dictionaries!$B:$B,Dictionaries!$A:$A="???_????"),FILTER(Dictionaries!$C:$C,Dictionaries!$A:$A="???_????"))),IF($M250="","",XLOOKUP($M250,FILTER(Dictionaries!$B:$B,Dictionaries!$A:$A="?????"),FILTER(Dictionaries!$C:$C,Dictionaries!$A:$A="?????"))),IF($N250="","",MIN($N250/100,1)),IF($O250="","",XLOOKUP($O250,FILTER(Dictionaries!$B:$B,Dictionaries!$A:$A="??????????"),FILTER(Dictionaries!$C:$C,Dictionaries!$A:$A="??????????"))),IF($P250="","",XLOOKUP($P250,FILTER(Dictionaries!$B:$B,Dictionaries!$A:$A="???????"),FILTER(Dictionaries!$C:$C,Dictionaries!$A:$A="???????"))),IF($U250="","",LET(t,IF(OR($B250="????",$B250="????"),"train","rest"),k,$U250,p,$V250,f,$W250,c,$X250,k_s,IF(t="train",IF(k="","",IFS(AND(k&gt;=1900,k&lt;=2050),1,AND(k&gt;=1850,k&lt;1900),0.7,AND(k&gt;2050,k&lt;=2100),0.7,TRUE,0.2)),IF(k="","",IFS(AND(k&gt;=1700,k&lt;=1850),1,AND(k&gt;=1650,k&lt;1700),0.7,AND(k&gt;1850,k&lt;=1900),0.7,TRUE,0.2))),p_s,IF(t="train",IF(p="","",IFS(AND(p&gt;=125,p&lt;=135),1,AND(p&gt;=115,p&lt;125),0.7,AND(p&gt;135,p&lt;=145),0.7,AND(p&gt;=105,p&lt;115),0.4,AND(p&gt;145,p&lt;=155),0.4,TRUE,0.2)),IF(p="","",IFS(AND(p&gt;=120,p&lt;=130),1,AND(p&gt;=110,p&lt;120),0.7,AND(p&gt;130,p&lt;=140),0.7,AND(p&gt;=100,p&lt;110),0.4,AND(p&gt;140,p&lt;=150),0.4,TRUE,0.2))),f_s,IF(f="","",IFS(AND(f&gt;=55,f&lt;=65),1,AND(f&gt;=50,f&lt;55),0.7,AND(f&gt;65,f&lt;=70),0.7,AND(f&gt;=45,f&lt;50),0.4,AND(f&gt;70,f&lt;=75),0.4,TRUE,0.2)),c_s,IF(t="train",IF(c="","",IFS(AND(c&gt;=180,c&lt;=210),1,AND(c&gt;=160,c&lt;180),0.7,AND(c&gt;210,c&lt;=230),0.7,AND(c&gt;=140,c&lt;160),0.4,AND(c&gt;230,c&lt;=250),0.4,TRUE,0.2)),IF(c="","",IFS(AND(c&gt;=140,c&lt;=170),1,AND(c&gt;=120,c&lt;140),0.7,AND(c&gt;170,c&lt;=190),0.7,AND(c&gt;=100,c&lt;120),0.4,AND(c&gt;190,c&lt;=210),0.4,TRUE,0.2))),AVERAGE(k_s,p_s,f_s,c_s)))),1),""))</f>
        <v/>
      </c>
      <c r="Z250">
        <f>IF($A250="","",TEXTJOIN(", ",TRUE,IF($B250="","??????????",""),IF($C250="","??????",""),IF($D250="","????",""),IF($E250="","??????????",""),IF($F250="","???-?????",""),IF($G250="","???-????",""),IF($H250="","??????",""),IF($L250="","???",""),IF($M250="","?????",""),IF($N250="","??????????????",""),IF($O250="","??????????",""),IF($P250="","???????",""),IF($U250="","???","")))</f>
        <v/>
      </c>
    </row>
    <row r="251">
      <c r="U251">
        <f>IF($A251="","",IF(SUMIF(FoodLog!$A:$A,$A251,FoodLog!$I:$I)=0,"",SUMIF(FoodLog!$A:$A,$A251,FoodLog!$I:$I)))</f>
        <v/>
      </c>
      <c r="V251">
        <f>IF($A251="","",IF(SUMIF(FoodLog!$A:$A,$A251,FoodLog!$F:$F)=0,"",SUMIF(FoodLog!$A:$A,$A251,FoodLog!$F:$F)))</f>
        <v/>
      </c>
      <c r="W251">
        <f>IF($A251="","",IF(SUMIF(FoodLog!$A:$A,$A251,FoodLog!$G:$G)=0,"",SUMIF(FoodLog!$A:$A,$A251,FoodLog!$G:$G)))</f>
        <v/>
      </c>
      <c r="X251">
        <f>IF($A251="","",IF(SUMIF(FoodLog!$A:$A,$A251,FoodLog!$H:$H)=0,"",SUMIF(FoodLog!$A:$A,$A251,FoodLog!$H:$H)))</f>
        <v/>
      </c>
      <c r="Y251">
        <f>IF($A251="","",IFERROR(ROUND(100*AVERAGE(IF($B251="","",XLOOKUP($B251,FILTER(Dictionaries!$B:$B,Dictionaries!$A:$A="??????????"),FILTER(Dictionaries!$C:$C,Dictionaries!$A:$A="??????????"))),IF($C251="","",MIN($C251/40,1)),IF($D251="","",XLOOKUP($D251,FILTER(Dictionaries!$B:$B,Dictionaries!$A:$A="????"),FILTER(Dictionaries!$C:$C,Dictionaries!$A:$A="????"))),IF($E251="","",MIN($E251/120,1)),IF(OR($F251&lt;&gt;"",$G251&lt;&gt;""),1,""),IF($H251="","",MIN($H251/100,1)),IF($L251="","",XLOOKUP($L251,FILTER(Dictionaries!$B:$B,Dictionaries!$A:$A="???_????"),FILTER(Dictionaries!$C:$C,Dictionaries!$A:$A="???_????"))),IF($M251="","",XLOOKUP($M251,FILTER(Dictionaries!$B:$B,Dictionaries!$A:$A="?????"),FILTER(Dictionaries!$C:$C,Dictionaries!$A:$A="?????"))),IF($N251="","",MIN($N251/100,1)),IF($O251="","",XLOOKUP($O251,FILTER(Dictionaries!$B:$B,Dictionaries!$A:$A="??????????"),FILTER(Dictionaries!$C:$C,Dictionaries!$A:$A="??????????"))),IF($P251="","",XLOOKUP($P251,FILTER(Dictionaries!$B:$B,Dictionaries!$A:$A="???????"),FILTER(Dictionaries!$C:$C,Dictionaries!$A:$A="???????"))),IF($U251="","",LET(t,IF(OR($B251="????",$B251="????"),"train","rest"),k,$U251,p,$V251,f,$W251,c,$X251,k_s,IF(t="train",IF(k="","",IFS(AND(k&gt;=1900,k&lt;=2050),1,AND(k&gt;=1850,k&lt;1900),0.7,AND(k&gt;2050,k&lt;=2100),0.7,TRUE,0.2)),IF(k="","",IFS(AND(k&gt;=1700,k&lt;=1850),1,AND(k&gt;=1650,k&lt;1700),0.7,AND(k&gt;1850,k&lt;=1900),0.7,TRUE,0.2))),p_s,IF(t="train",IF(p="","",IFS(AND(p&gt;=125,p&lt;=135),1,AND(p&gt;=115,p&lt;125),0.7,AND(p&gt;135,p&lt;=145),0.7,AND(p&gt;=105,p&lt;115),0.4,AND(p&gt;145,p&lt;=155),0.4,TRUE,0.2)),IF(p="","",IFS(AND(p&gt;=120,p&lt;=130),1,AND(p&gt;=110,p&lt;120),0.7,AND(p&gt;130,p&lt;=140),0.7,AND(p&gt;=100,p&lt;110),0.4,AND(p&gt;140,p&lt;=150),0.4,TRUE,0.2))),f_s,IF(f="","",IFS(AND(f&gt;=55,f&lt;=65),1,AND(f&gt;=50,f&lt;55),0.7,AND(f&gt;65,f&lt;=70),0.7,AND(f&gt;=45,f&lt;50),0.4,AND(f&gt;70,f&lt;=75),0.4,TRUE,0.2)),c_s,IF(t="train",IF(c="","",IFS(AND(c&gt;=180,c&lt;=210),1,AND(c&gt;=160,c&lt;180),0.7,AND(c&gt;210,c&lt;=230),0.7,AND(c&gt;=140,c&lt;160),0.4,AND(c&gt;230,c&lt;=250),0.4,TRUE,0.2)),IF(c="","",IFS(AND(c&gt;=140,c&lt;=170),1,AND(c&gt;=120,c&lt;140),0.7,AND(c&gt;170,c&lt;=190),0.7,AND(c&gt;=100,c&lt;120),0.4,AND(c&gt;190,c&lt;=210),0.4,TRUE,0.2))),AVERAGE(k_s,p_s,f_s,c_s)))),1),""))</f>
        <v/>
      </c>
      <c r="Z251">
        <f>IF($A251="","",TEXTJOIN(", ",TRUE,IF($B251="","??????????",""),IF($C251="","??????",""),IF($D251="","????",""),IF($E251="","??????????",""),IF($F251="","???-?????",""),IF($G251="","???-????",""),IF($H251="","??????",""),IF($L251="","???",""),IF($M251="","?????",""),IF($N251="","??????????????",""),IF($O251="","??????????",""),IF($P251="","???????",""),IF($U251="","???","")))</f>
        <v/>
      </c>
    </row>
    <row r="252">
      <c r="U252">
        <f>IF($A252="","",IF(SUMIF(FoodLog!$A:$A,$A252,FoodLog!$I:$I)=0,"",SUMIF(FoodLog!$A:$A,$A252,FoodLog!$I:$I)))</f>
        <v/>
      </c>
      <c r="V252">
        <f>IF($A252="","",IF(SUMIF(FoodLog!$A:$A,$A252,FoodLog!$F:$F)=0,"",SUMIF(FoodLog!$A:$A,$A252,FoodLog!$F:$F)))</f>
        <v/>
      </c>
      <c r="W252">
        <f>IF($A252="","",IF(SUMIF(FoodLog!$A:$A,$A252,FoodLog!$G:$G)=0,"",SUMIF(FoodLog!$A:$A,$A252,FoodLog!$G:$G)))</f>
        <v/>
      </c>
      <c r="X252">
        <f>IF($A252="","",IF(SUMIF(FoodLog!$A:$A,$A252,FoodLog!$H:$H)=0,"",SUMIF(FoodLog!$A:$A,$A252,FoodLog!$H:$H)))</f>
        <v/>
      </c>
      <c r="Y252">
        <f>IF($A252="","",IFERROR(ROUND(100*AVERAGE(IF($B252="","",XLOOKUP($B252,FILTER(Dictionaries!$B:$B,Dictionaries!$A:$A="??????????"),FILTER(Dictionaries!$C:$C,Dictionaries!$A:$A="??????????"))),IF($C252="","",MIN($C252/40,1)),IF($D252="","",XLOOKUP($D252,FILTER(Dictionaries!$B:$B,Dictionaries!$A:$A="????"),FILTER(Dictionaries!$C:$C,Dictionaries!$A:$A="????"))),IF($E252="","",MIN($E252/120,1)),IF(OR($F252&lt;&gt;"",$G252&lt;&gt;""),1,""),IF($H252="","",MIN($H252/100,1)),IF($L252="","",XLOOKUP($L252,FILTER(Dictionaries!$B:$B,Dictionaries!$A:$A="???_????"),FILTER(Dictionaries!$C:$C,Dictionaries!$A:$A="???_????"))),IF($M252="","",XLOOKUP($M252,FILTER(Dictionaries!$B:$B,Dictionaries!$A:$A="?????"),FILTER(Dictionaries!$C:$C,Dictionaries!$A:$A="?????"))),IF($N252="","",MIN($N252/100,1)),IF($O252="","",XLOOKUP($O252,FILTER(Dictionaries!$B:$B,Dictionaries!$A:$A="??????????"),FILTER(Dictionaries!$C:$C,Dictionaries!$A:$A="??????????"))),IF($P252="","",XLOOKUP($P252,FILTER(Dictionaries!$B:$B,Dictionaries!$A:$A="???????"),FILTER(Dictionaries!$C:$C,Dictionaries!$A:$A="???????"))),IF($U252="","",LET(t,IF(OR($B252="????",$B252="????"),"train","rest"),k,$U252,p,$V252,f,$W252,c,$X252,k_s,IF(t="train",IF(k="","",IFS(AND(k&gt;=1900,k&lt;=2050),1,AND(k&gt;=1850,k&lt;1900),0.7,AND(k&gt;2050,k&lt;=2100),0.7,TRUE,0.2)),IF(k="","",IFS(AND(k&gt;=1700,k&lt;=1850),1,AND(k&gt;=1650,k&lt;1700),0.7,AND(k&gt;1850,k&lt;=1900),0.7,TRUE,0.2))),p_s,IF(t="train",IF(p="","",IFS(AND(p&gt;=125,p&lt;=135),1,AND(p&gt;=115,p&lt;125),0.7,AND(p&gt;135,p&lt;=145),0.7,AND(p&gt;=105,p&lt;115),0.4,AND(p&gt;145,p&lt;=155),0.4,TRUE,0.2)),IF(p="","",IFS(AND(p&gt;=120,p&lt;=130),1,AND(p&gt;=110,p&lt;120),0.7,AND(p&gt;130,p&lt;=140),0.7,AND(p&gt;=100,p&lt;110),0.4,AND(p&gt;140,p&lt;=150),0.4,TRUE,0.2))),f_s,IF(f="","",IFS(AND(f&gt;=55,f&lt;=65),1,AND(f&gt;=50,f&lt;55),0.7,AND(f&gt;65,f&lt;=70),0.7,AND(f&gt;=45,f&lt;50),0.4,AND(f&gt;70,f&lt;=75),0.4,TRUE,0.2)),c_s,IF(t="train",IF(c="","",IFS(AND(c&gt;=180,c&lt;=210),1,AND(c&gt;=160,c&lt;180),0.7,AND(c&gt;210,c&lt;=230),0.7,AND(c&gt;=140,c&lt;160),0.4,AND(c&gt;230,c&lt;=250),0.4,TRUE,0.2)),IF(c="","",IFS(AND(c&gt;=140,c&lt;=170),1,AND(c&gt;=120,c&lt;140),0.7,AND(c&gt;170,c&lt;=190),0.7,AND(c&gt;=100,c&lt;120),0.4,AND(c&gt;190,c&lt;=210),0.4,TRUE,0.2))),AVERAGE(k_s,p_s,f_s,c_s)))),1),""))</f>
        <v/>
      </c>
      <c r="Z252">
        <f>IF($A252="","",TEXTJOIN(", ",TRUE,IF($B252="","??????????",""),IF($C252="","??????",""),IF($D252="","????",""),IF($E252="","??????????",""),IF($F252="","???-?????",""),IF($G252="","???-????",""),IF($H252="","??????",""),IF($L252="","???",""),IF($M252="","?????",""),IF($N252="","??????????????",""),IF($O252="","??????????",""),IF($P252="","???????",""),IF($U252="","???","")))</f>
        <v/>
      </c>
    </row>
    <row r="253">
      <c r="U253">
        <f>IF($A253="","",IF(SUMIF(FoodLog!$A:$A,$A253,FoodLog!$I:$I)=0,"",SUMIF(FoodLog!$A:$A,$A253,FoodLog!$I:$I)))</f>
        <v/>
      </c>
      <c r="V253">
        <f>IF($A253="","",IF(SUMIF(FoodLog!$A:$A,$A253,FoodLog!$F:$F)=0,"",SUMIF(FoodLog!$A:$A,$A253,FoodLog!$F:$F)))</f>
        <v/>
      </c>
      <c r="W253">
        <f>IF($A253="","",IF(SUMIF(FoodLog!$A:$A,$A253,FoodLog!$G:$G)=0,"",SUMIF(FoodLog!$A:$A,$A253,FoodLog!$G:$G)))</f>
        <v/>
      </c>
      <c r="X253">
        <f>IF($A253="","",IF(SUMIF(FoodLog!$A:$A,$A253,FoodLog!$H:$H)=0,"",SUMIF(FoodLog!$A:$A,$A253,FoodLog!$H:$H)))</f>
        <v/>
      </c>
      <c r="Y253">
        <f>IF($A253="","",IFERROR(ROUND(100*AVERAGE(IF($B253="","",XLOOKUP($B253,FILTER(Dictionaries!$B:$B,Dictionaries!$A:$A="??????????"),FILTER(Dictionaries!$C:$C,Dictionaries!$A:$A="??????????"))),IF($C253="","",MIN($C253/40,1)),IF($D253="","",XLOOKUP($D253,FILTER(Dictionaries!$B:$B,Dictionaries!$A:$A="????"),FILTER(Dictionaries!$C:$C,Dictionaries!$A:$A="????"))),IF($E253="","",MIN($E253/120,1)),IF(OR($F253&lt;&gt;"",$G253&lt;&gt;""),1,""),IF($H253="","",MIN($H253/100,1)),IF($L253="","",XLOOKUP($L253,FILTER(Dictionaries!$B:$B,Dictionaries!$A:$A="???_????"),FILTER(Dictionaries!$C:$C,Dictionaries!$A:$A="???_????"))),IF($M253="","",XLOOKUP($M253,FILTER(Dictionaries!$B:$B,Dictionaries!$A:$A="?????"),FILTER(Dictionaries!$C:$C,Dictionaries!$A:$A="?????"))),IF($N253="","",MIN($N253/100,1)),IF($O253="","",XLOOKUP($O253,FILTER(Dictionaries!$B:$B,Dictionaries!$A:$A="??????????"),FILTER(Dictionaries!$C:$C,Dictionaries!$A:$A="??????????"))),IF($P253="","",XLOOKUP($P253,FILTER(Dictionaries!$B:$B,Dictionaries!$A:$A="???????"),FILTER(Dictionaries!$C:$C,Dictionaries!$A:$A="???????"))),IF($U253="","",LET(t,IF(OR($B253="????",$B253="????"),"train","rest"),k,$U253,p,$V253,f,$W253,c,$X253,k_s,IF(t="train",IF(k="","",IFS(AND(k&gt;=1900,k&lt;=2050),1,AND(k&gt;=1850,k&lt;1900),0.7,AND(k&gt;2050,k&lt;=2100),0.7,TRUE,0.2)),IF(k="","",IFS(AND(k&gt;=1700,k&lt;=1850),1,AND(k&gt;=1650,k&lt;1700),0.7,AND(k&gt;1850,k&lt;=1900),0.7,TRUE,0.2))),p_s,IF(t="train",IF(p="","",IFS(AND(p&gt;=125,p&lt;=135),1,AND(p&gt;=115,p&lt;125),0.7,AND(p&gt;135,p&lt;=145),0.7,AND(p&gt;=105,p&lt;115),0.4,AND(p&gt;145,p&lt;=155),0.4,TRUE,0.2)),IF(p="","",IFS(AND(p&gt;=120,p&lt;=130),1,AND(p&gt;=110,p&lt;120),0.7,AND(p&gt;130,p&lt;=140),0.7,AND(p&gt;=100,p&lt;110),0.4,AND(p&gt;140,p&lt;=150),0.4,TRUE,0.2))),f_s,IF(f="","",IFS(AND(f&gt;=55,f&lt;=65),1,AND(f&gt;=50,f&lt;55),0.7,AND(f&gt;65,f&lt;=70),0.7,AND(f&gt;=45,f&lt;50),0.4,AND(f&gt;70,f&lt;=75),0.4,TRUE,0.2)),c_s,IF(t="train",IF(c="","",IFS(AND(c&gt;=180,c&lt;=210),1,AND(c&gt;=160,c&lt;180),0.7,AND(c&gt;210,c&lt;=230),0.7,AND(c&gt;=140,c&lt;160),0.4,AND(c&gt;230,c&lt;=250),0.4,TRUE,0.2)),IF(c="","",IFS(AND(c&gt;=140,c&lt;=170),1,AND(c&gt;=120,c&lt;140),0.7,AND(c&gt;170,c&lt;=190),0.7,AND(c&gt;=100,c&lt;120),0.4,AND(c&gt;190,c&lt;=210),0.4,TRUE,0.2))),AVERAGE(k_s,p_s,f_s,c_s)))),1),""))</f>
        <v/>
      </c>
      <c r="Z253">
        <f>IF($A253="","",TEXTJOIN(", ",TRUE,IF($B253="","??????????",""),IF($C253="","??????",""),IF($D253="","????",""),IF($E253="","??????????",""),IF($F253="","???-?????",""),IF($G253="","???-????",""),IF($H253="","??????",""),IF($L253="","???",""),IF($M253="","?????",""),IF($N253="","??????????????",""),IF($O253="","??????????",""),IF($P253="","???????",""),IF($U253="","???","")))</f>
        <v/>
      </c>
    </row>
    <row r="254">
      <c r="U254">
        <f>IF($A254="","",IF(SUMIF(FoodLog!$A:$A,$A254,FoodLog!$I:$I)=0,"",SUMIF(FoodLog!$A:$A,$A254,FoodLog!$I:$I)))</f>
        <v/>
      </c>
      <c r="V254">
        <f>IF($A254="","",IF(SUMIF(FoodLog!$A:$A,$A254,FoodLog!$F:$F)=0,"",SUMIF(FoodLog!$A:$A,$A254,FoodLog!$F:$F)))</f>
        <v/>
      </c>
      <c r="W254">
        <f>IF($A254="","",IF(SUMIF(FoodLog!$A:$A,$A254,FoodLog!$G:$G)=0,"",SUMIF(FoodLog!$A:$A,$A254,FoodLog!$G:$G)))</f>
        <v/>
      </c>
      <c r="X254">
        <f>IF($A254="","",IF(SUMIF(FoodLog!$A:$A,$A254,FoodLog!$H:$H)=0,"",SUMIF(FoodLog!$A:$A,$A254,FoodLog!$H:$H)))</f>
        <v/>
      </c>
      <c r="Y254">
        <f>IF($A254="","",IFERROR(ROUND(100*AVERAGE(IF($B254="","",XLOOKUP($B254,FILTER(Dictionaries!$B:$B,Dictionaries!$A:$A="??????????"),FILTER(Dictionaries!$C:$C,Dictionaries!$A:$A="??????????"))),IF($C254="","",MIN($C254/40,1)),IF($D254="","",XLOOKUP($D254,FILTER(Dictionaries!$B:$B,Dictionaries!$A:$A="????"),FILTER(Dictionaries!$C:$C,Dictionaries!$A:$A="????"))),IF($E254="","",MIN($E254/120,1)),IF(OR($F254&lt;&gt;"",$G254&lt;&gt;""),1,""),IF($H254="","",MIN($H254/100,1)),IF($L254="","",XLOOKUP($L254,FILTER(Dictionaries!$B:$B,Dictionaries!$A:$A="???_????"),FILTER(Dictionaries!$C:$C,Dictionaries!$A:$A="???_????"))),IF($M254="","",XLOOKUP($M254,FILTER(Dictionaries!$B:$B,Dictionaries!$A:$A="?????"),FILTER(Dictionaries!$C:$C,Dictionaries!$A:$A="?????"))),IF($N254="","",MIN($N254/100,1)),IF($O254="","",XLOOKUP($O254,FILTER(Dictionaries!$B:$B,Dictionaries!$A:$A="??????????"),FILTER(Dictionaries!$C:$C,Dictionaries!$A:$A="??????????"))),IF($P254="","",XLOOKUP($P254,FILTER(Dictionaries!$B:$B,Dictionaries!$A:$A="???????"),FILTER(Dictionaries!$C:$C,Dictionaries!$A:$A="???????"))),IF($U254="","",LET(t,IF(OR($B254="????",$B254="????"),"train","rest"),k,$U254,p,$V254,f,$W254,c,$X254,k_s,IF(t="train",IF(k="","",IFS(AND(k&gt;=1900,k&lt;=2050),1,AND(k&gt;=1850,k&lt;1900),0.7,AND(k&gt;2050,k&lt;=2100),0.7,TRUE,0.2)),IF(k="","",IFS(AND(k&gt;=1700,k&lt;=1850),1,AND(k&gt;=1650,k&lt;1700),0.7,AND(k&gt;1850,k&lt;=1900),0.7,TRUE,0.2))),p_s,IF(t="train",IF(p="","",IFS(AND(p&gt;=125,p&lt;=135),1,AND(p&gt;=115,p&lt;125),0.7,AND(p&gt;135,p&lt;=145),0.7,AND(p&gt;=105,p&lt;115),0.4,AND(p&gt;145,p&lt;=155),0.4,TRUE,0.2)),IF(p="","",IFS(AND(p&gt;=120,p&lt;=130),1,AND(p&gt;=110,p&lt;120),0.7,AND(p&gt;130,p&lt;=140),0.7,AND(p&gt;=100,p&lt;110),0.4,AND(p&gt;140,p&lt;=150),0.4,TRUE,0.2))),f_s,IF(f="","",IFS(AND(f&gt;=55,f&lt;=65),1,AND(f&gt;=50,f&lt;55),0.7,AND(f&gt;65,f&lt;=70),0.7,AND(f&gt;=45,f&lt;50),0.4,AND(f&gt;70,f&lt;=75),0.4,TRUE,0.2)),c_s,IF(t="train",IF(c="","",IFS(AND(c&gt;=180,c&lt;=210),1,AND(c&gt;=160,c&lt;180),0.7,AND(c&gt;210,c&lt;=230),0.7,AND(c&gt;=140,c&lt;160),0.4,AND(c&gt;230,c&lt;=250),0.4,TRUE,0.2)),IF(c="","",IFS(AND(c&gt;=140,c&lt;=170),1,AND(c&gt;=120,c&lt;140),0.7,AND(c&gt;170,c&lt;=190),0.7,AND(c&gt;=100,c&lt;120),0.4,AND(c&gt;190,c&lt;=210),0.4,TRUE,0.2))),AVERAGE(k_s,p_s,f_s,c_s)))),1),""))</f>
        <v/>
      </c>
      <c r="Z254">
        <f>IF($A254="","",TEXTJOIN(", ",TRUE,IF($B254="","??????????",""),IF($C254="","??????",""),IF($D254="","????",""),IF($E254="","??????????",""),IF($F254="","???-?????",""),IF($G254="","???-????",""),IF($H254="","??????",""),IF($L254="","???",""),IF($M254="","?????",""),IF($N254="","??????????????",""),IF($O254="","??????????",""),IF($P254="","???????",""),IF($U254="","???","")))</f>
        <v/>
      </c>
    </row>
    <row r="255">
      <c r="U255">
        <f>IF($A255="","",IF(SUMIF(FoodLog!$A:$A,$A255,FoodLog!$I:$I)=0,"",SUMIF(FoodLog!$A:$A,$A255,FoodLog!$I:$I)))</f>
        <v/>
      </c>
      <c r="V255">
        <f>IF($A255="","",IF(SUMIF(FoodLog!$A:$A,$A255,FoodLog!$F:$F)=0,"",SUMIF(FoodLog!$A:$A,$A255,FoodLog!$F:$F)))</f>
        <v/>
      </c>
      <c r="W255">
        <f>IF($A255="","",IF(SUMIF(FoodLog!$A:$A,$A255,FoodLog!$G:$G)=0,"",SUMIF(FoodLog!$A:$A,$A255,FoodLog!$G:$G)))</f>
        <v/>
      </c>
      <c r="X255">
        <f>IF($A255="","",IF(SUMIF(FoodLog!$A:$A,$A255,FoodLog!$H:$H)=0,"",SUMIF(FoodLog!$A:$A,$A255,FoodLog!$H:$H)))</f>
        <v/>
      </c>
      <c r="Y255">
        <f>IF($A255="","",IFERROR(ROUND(100*AVERAGE(IF($B255="","",XLOOKUP($B255,FILTER(Dictionaries!$B:$B,Dictionaries!$A:$A="??????????"),FILTER(Dictionaries!$C:$C,Dictionaries!$A:$A="??????????"))),IF($C255="","",MIN($C255/40,1)),IF($D255="","",XLOOKUP($D255,FILTER(Dictionaries!$B:$B,Dictionaries!$A:$A="????"),FILTER(Dictionaries!$C:$C,Dictionaries!$A:$A="????"))),IF($E255="","",MIN($E255/120,1)),IF(OR($F255&lt;&gt;"",$G255&lt;&gt;""),1,""),IF($H255="","",MIN($H255/100,1)),IF($L255="","",XLOOKUP($L255,FILTER(Dictionaries!$B:$B,Dictionaries!$A:$A="???_????"),FILTER(Dictionaries!$C:$C,Dictionaries!$A:$A="???_????"))),IF($M255="","",XLOOKUP($M255,FILTER(Dictionaries!$B:$B,Dictionaries!$A:$A="?????"),FILTER(Dictionaries!$C:$C,Dictionaries!$A:$A="?????"))),IF($N255="","",MIN($N255/100,1)),IF($O255="","",XLOOKUP($O255,FILTER(Dictionaries!$B:$B,Dictionaries!$A:$A="??????????"),FILTER(Dictionaries!$C:$C,Dictionaries!$A:$A="??????????"))),IF($P255="","",XLOOKUP($P255,FILTER(Dictionaries!$B:$B,Dictionaries!$A:$A="???????"),FILTER(Dictionaries!$C:$C,Dictionaries!$A:$A="???????"))),IF($U255="","",LET(t,IF(OR($B255="????",$B255="????"),"train","rest"),k,$U255,p,$V255,f,$W255,c,$X255,k_s,IF(t="train",IF(k="","",IFS(AND(k&gt;=1900,k&lt;=2050),1,AND(k&gt;=1850,k&lt;1900),0.7,AND(k&gt;2050,k&lt;=2100),0.7,TRUE,0.2)),IF(k="","",IFS(AND(k&gt;=1700,k&lt;=1850),1,AND(k&gt;=1650,k&lt;1700),0.7,AND(k&gt;1850,k&lt;=1900),0.7,TRUE,0.2))),p_s,IF(t="train",IF(p="","",IFS(AND(p&gt;=125,p&lt;=135),1,AND(p&gt;=115,p&lt;125),0.7,AND(p&gt;135,p&lt;=145),0.7,AND(p&gt;=105,p&lt;115),0.4,AND(p&gt;145,p&lt;=155),0.4,TRUE,0.2)),IF(p="","",IFS(AND(p&gt;=120,p&lt;=130),1,AND(p&gt;=110,p&lt;120),0.7,AND(p&gt;130,p&lt;=140),0.7,AND(p&gt;=100,p&lt;110),0.4,AND(p&gt;140,p&lt;=150),0.4,TRUE,0.2))),f_s,IF(f="","",IFS(AND(f&gt;=55,f&lt;=65),1,AND(f&gt;=50,f&lt;55),0.7,AND(f&gt;65,f&lt;=70),0.7,AND(f&gt;=45,f&lt;50),0.4,AND(f&gt;70,f&lt;=75),0.4,TRUE,0.2)),c_s,IF(t="train",IF(c="","",IFS(AND(c&gt;=180,c&lt;=210),1,AND(c&gt;=160,c&lt;180),0.7,AND(c&gt;210,c&lt;=230),0.7,AND(c&gt;=140,c&lt;160),0.4,AND(c&gt;230,c&lt;=250),0.4,TRUE,0.2)),IF(c="","",IFS(AND(c&gt;=140,c&lt;=170),1,AND(c&gt;=120,c&lt;140),0.7,AND(c&gt;170,c&lt;=190),0.7,AND(c&gt;=100,c&lt;120),0.4,AND(c&gt;190,c&lt;=210),0.4,TRUE,0.2))),AVERAGE(k_s,p_s,f_s,c_s)))),1),""))</f>
        <v/>
      </c>
      <c r="Z255">
        <f>IF($A255="","",TEXTJOIN(", ",TRUE,IF($B255="","??????????",""),IF($C255="","??????",""),IF($D255="","????",""),IF($E255="","??????????",""),IF($F255="","???-?????",""),IF($G255="","???-????",""),IF($H255="","??????",""),IF($L255="","???",""),IF($M255="","?????",""),IF($N255="","??????????????",""),IF($O255="","??????????",""),IF($P255="","???????",""),IF($U255="","???","")))</f>
        <v/>
      </c>
    </row>
    <row r="256">
      <c r="U256">
        <f>IF($A256="","",IF(SUMIF(FoodLog!$A:$A,$A256,FoodLog!$I:$I)=0,"",SUMIF(FoodLog!$A:$A,$A256,FoodLog!$I:$I)))</f>
        <v/>
      </c>
      <c r="V256">
        <f>IF($A256="","",IF(SUMIF(FoodLog!$A:$A,$A256,FoodLog!$F:$F)=0,"",SUMIF(FoodLog!$A:$A,$A256,FoodLog!$F:$F)))</f>
        <v/>
      </c>
      <c r="W256">
        <f>IF($A256="","",IF(SUMIF(FoodLog!$A:$A,$A256,FoodLog!$G:$G)=0,"",SUMIF(FoodLog!$A:$A,$A256,FoodLog!$G:$G)))</f>
        <v/>
      </c>
      <c r="X256">
        <f>IF($A256="","",IF(SUMIF(FoodLog!$A:$A,$A256,FoodLog!$H:$H)=0,"",SUMIF(FoodLog!$A:$A,$A256,FoodLog!$H:$H)))</f>
        <v/>
      </c>
      <c r="Y256">
        <f>IF($A256="","",IFERROR(ROUND(100*AVERAGE(IF($B256="","",XLOOKUP($B256,FILTER(Dictionaries!$B:$B,Dictionaries!$A:$A="??????????"),FILTER(Dictionaries!$C:$C,Dictionaries!$A:$A="??????????"))),IF($C256="","",MIN($C256/40,1)),IF($D256="","",XLOOKUP($D256,FILTER(Dictionaries!$B:$B,Dictionaries!$A:$A="????"),FILTER(Dictionaries!$C:$C,Dictionaries!$A:$A="????"))),IF($E256="","",MIN($E256/120,1)),IF(OR($F256&lt;&gt;"",$G256&lt;&gt;""),1,""),IF($H256="","",MIN($H256/100,1)),IF($L256="","",XLOOKUP($L256,FILTER(Dictionaries!$B:$B,Dictionaries!$A:$A="???_????"),FILTER(Dictionaries!$C:$C,Dictionaries!$A:$A="???_????"))),IF($M256="","",XLOOKUP($M256,FILTER(Dictionaries!$B:$B,Dictionaries!$A:$A="?????"),FILTER(Dictionaries!$C:$C,Dictionaries!$A:$A="?????"))),IF($N256="","",MIN($N256/100,1)),IF($O256="","",XLOOKUP($O256,FILTER(Dictionaries!$B:$B,Dictionaries!$A:$A="??????????"),FILTER(Dictionaries!$C:$C,Dictionaries!$A:$A="??????????"))),IF($P256="","",XLOOKUP($P256,FILTER(Dictionaries!$B:$B,Dictionaries!$A:$A="???????"),FILTER(Dictionaries!$C:$C,Dictionaries!$A:$A="???????"))),IF($U256="","",LET(t,IF(OR($B256="????",$B256="????"),"train","rest"),k,$U256,p,$V256,f,$W256,c,$X256,k_s,IF(t="train",IF(k="","",IFS(AND(k&gt;=1900,k&lt;=2050),1,AND(k&gt;=1850,k&lt;1900),0.7,AND(k&gt;2050,k&lt;=2100),0.7,TRUE,0.2)),IF(k="","",IFS(AND(k&gt;=1700,k&lt;=1850),1,AND(k&gt;=1650,k&lt;1700),0.7,AND(k&gt;1850,k&lt;=1900),0.7,TRUE,0.2))),p_s,IF(t="train",IF(p="","",IFS(AND(p&gt;=125,p&lt;=135),1,AND(p&gt;=115,p&lt;125),0.7,AND(p&gt;135,p&lt;=145),0.7,AND(p&gt;=105,p&lt;115),0.4,AND(p&gt;145,p&lt;=155),0.4,TRUE,0.2)),IF(p="","",IFS(AND(p&gt;=120,p&lt;=130),1,AND(p&gt;=110,p&lt;120),0.7,AND(p&gt;130,p&lt;=140),0.7,AND(p&gt;=100,p&lt;110),0.4,AND(p&gt;140,p&lt;=150),0.4,TRUE,0.2))),f_s,IF(f="","",IFS(AND(f&gt;=55,f&lt;=65),1,AND(f&gt;=50,f&lt;55),0.7,AND(f&gt;65,f&lt;=70),0.7,AND(f&gt;=45,f&lt;50),0.4,AND(f&gt;70,f&lt;=75),0.4,TRUE,0.2)),c_s,IF(t="train",IF(c="","",IFS(AND(c&gt;=180,c&lt;=210),1,AND(c&gt;=160,c&lt;180),0.7,AND(c&gt;210,c&lt;=230),0.7,AND(c&gt;=140,c&lt;160),0.4,AND(c&gt;230,c&lt;=250),0.4,TRUE,0.2)),IF(c="","",IFS(AND(c&gt;=140,c&lt;=170),1,AND(c&gt;=120,c&lt;140),0.7,AND(c&gt;170,c&lt;=190),0.7,AND(c&gt;=100,c&lt;120),0.4,AND(c&gt;190,c&lt;=210),0.4,TRUE,0.2))),AVERAGE(k_s,p_s,f_s,c_s)))),1),""))</f>
        <v/>
      </c>
      <c r="Z256">
        <f>IF($A256="","",TEXTJOIN(", ",TRUE,IF($B256="","??????????",""),IF($C256="","??????",""),IF($D256="","????",""),IF($E256="","??????????",""),IF($F256="","???-?????",""),IF($G256="","???-????",""),IF($H256="","??????",""),IF($L256="","???",""),IF($M256="","?????",""),IF($N256="","??????????????",""),IF($O256="","??????????",""),IF($P256="","???????",""),IF($U256="","???","")))</f>
        <v/>
      </c>
    </row>
    <row r="257">
      <c r="U257">
        <f>IF($A257="","",IF(SUMIF(FoodLog!$A:$A,$A257,FoodLog!$I:$I)=0,"",SUMIF(FoodLog!$A:$A,$A257,FoodLog!$I:$I)))</f>
        <v/>
      </c>
      <c r="V257">
        <f>IF($A257="","",IF(SUMIF(FoodLog!$A:$A,$A257,FoodLog!$F:$F)=0,"",SUMIF(FoodLog!$A:$A,$A257,FoodLog!$F:$F)))</f>
        <v/>
      </c>
      <c r="W257">
        <f>IF($A257="","",IF(SUMIF(FoodLog!$A:$A,$A257,FoodLog!$G:$G)=0,"",SUMIF(FoodLog!$A:$A,$A257,FoodLog!$G:$G)))</f>
        <v/>
      </c>
      <c r="X257">
        <f>IF($A257="","",IF(SUMIF(FoodLog!$A:$A,$A257,FoodLog!$H:$H)=0,"",SUMIF(FoodLog!$A:$A,$A257,FoodLog!$H:$H)))</f>
        <v/>
      </c>
      <c r="Y257">
        <f>IF($A257="","",IFERROR(ROUND(100*AVERAGE(IF($B257="","",XLOOKUP($B257,FILTER(Dictionaries!$B:$B,Dictionaries!$A:$A="??????????"),FILTER(Dictionaries!$C:$C,Dictionaries!$A:$A="??????????"))),IF($C257="","",MIN($C257/40,1)),IF($D257="","",XLOOKUP($D257,FILTER(Dictionaries!$B:$B,Dictionaries!$A:$A="????"),FILTER(Dictionaries!$C:$C,Dictionaries!$A:$A="????"))),IF($E257="","",MIN($E257/120,1)),IF(OR($F257&lt;&gt;"",$G257&lt;&gt;""),1,""),IF($H257="","",MIN($H257/100,1)),IF($L257="","",XLOOKUP($L257,FILTER(Dictionaries!$B:$B,Dictionaries!$A:$A="???_????"),FILTER(Dictionaries!$C:$C,Dictionaries!$A:$A="???_????"))),IF($M257="","",XLOOKUP($M257,FILTER(Dictionaries!$B:$B,Dictionaries!$A:$A="?????"),FILTER(Dictionaries!$C:$C,Dictionaries!$A:$A="?????"))),IF($N257="","",MIN($N257/100,1)),IF($O257="","",XLOOKUP($O257,FILTER(Dictionaries!$B:$B,Dictionaries!$A:$A="??????????"),FILTER(Dictionaries!$C:$C,Dictionaries!$A:$A="??????????"))),IF($P257="","",XLOOKUP($P257,FILTER(Dictionaries!$B:$B,Dictionaries!$A:$A="???????"),FILTER(Dictionaries!$C:$C,Dictionaries!$A:$A="???????"))),IF($U257="","",LET(t,IF(OR($B257="????",$B257="????"),"train","rest"),k,$U257,p,$V257,f,$W257,c,$X257,k_s,IF(t="train",IF(k="","",IFS(AND(k&gt;=1900,k&lt;=2050),1,AND(k&gt;=1850,k&lt;1900),0.7,AND(k&gt;2050,k&lt;=2100),0.7,TRUE,0.2)),IF(k="","",IFS(AND(k&gt;=1700,k&lt;=1850),1,AND(k&gt;=1650,k&lt;1700),0.7,AND(k&gt;1850,k&lt;=1900),0.7,TRUE,0.2))),p_s,IF(t="train",IF(p="","",IFS(AND(p&gt;=125,p&lt;=135),1,AND(p&gt;=115,p&lt;125),0.7,AND(p&gt;135,p&lt;=145),0.7,AND(p&gt;=105,p&lt;115),0.4,AND(p&gt;145,p&lt;=155),0.4,TRUE,0.2)),IF(p="","",IFS(AND(p&gt;=120,p&lt;=130),1,AND(p&gt;=110,p&lt;120),0.7,AND(p&gt;130,p&lt;=140),0.7,AND(p&gt;=100,p&lt;110),0.4,AND(p&gt;140,p&lt;=150),0.4,TRUE,0.2))),f_s,IF(f="","",IFS(AND(f&gt;=55,f&lt;=65),1,AND(f&gt;=50,f&lt;55),0.7,AND(f&gt;65,f&lt;=70),0.7,AND(f&gt;=45,f&lt;50),0.4,AND(f&gt;70,f&lt;=75),0.4,TRUE,0.2)),c_s,IF(t="train",IF(c="","",IFS(AND(c&gt;=180,c&lt;=210),1,AND(c&gt;=160,c&lt;180),0.7,AND(c&gt;210,c&lt;=230),0.7,AND(c&gt;=140,c&lt;160),0.4,AND(c&gt;230,c&lt;=250),0.4,TRUE,0.2)),IF(c="","",IFS(AND(c&gt;=140,c&lt;=170),1,AND(c&gt;=120,c&lt;140),0.7,AND(c&gt;170,c&lt;=190),0.7,AND(c&gt;=100,c&lt;120),0.4,AND(c&gt;190,c&lt;=210),0.4,TRUE,0.2))),AVERAGE(k_s,p_s,f_s,c_s)))),1),""))</f>
        <v/>
      </c>
      <c r="Z257">
        <f>IF($A257="","",TEXTJOIN(", ",TRUE,IF($B257="","??????????",""),IF($C257="","??????",""),IF($D257="","????",""),IF($E257="","??????????",""),IF($F257="","???-?????",""),IF($G257="","???-????",""),IF($H257="","??????",""),IF($L257="","???",""),IF($M257="","?????",""),IF($N257="","??????????????",""),IF($O257="","??????????",""),IF($P257="","???????",""),IF($U257="","???","")))</f>
        <v/>
      </c>
    </row>
    <row r="258">
      <c r="U258">
        <f>IF($A258="","",IF(SUMIF(FoodLog!$A:$A,$A258,FoodLog!$I:$I)=0,"",SUMIF(FoodLog!$A:$A,$A258,FoodLog!$I:$I)))</f>
        <v/>
      </c>
      <c r="V258">
        <f>IF($A258="","",IF(SUMIF(FoodLog!$A:$A,$A258,FoodLog!$F:$F)=0,"",SUMIF(FoodLog!$A:$A,$A258,FoodLog!$F:$F)))</f>
        <v/>
      </c>
      <c r="W258">
        <f>IF($A258="","",IF(SUMIF(FoodLog!$A:$A,$A258,FoodLog!$G:$G)=0,"",SUMIF(FoodLog!$A:$A,$A258,FoodLog!$G:$G)))</f>
        <v/>
      </c>
      <c r="X258">
        <f>IF($A258="","",IF(SUMIF(FoodLog!$A:$A,$A258,FoodLog!$H:$H)=0,"",SUMIF(FoodLog!$A:$A,$A258,FoodLog!$H:$H)))</f>
        <v/>
      </c>
      <c r="Y258">
        <f>IF($A258="","",IFERROR(ROUND(100*AVERAGE(IF($B258="","",XLOOKUP($B258,FILTER(Dictionaries!$B:$B,Dictionaries!$A:$A="??????????"),FILTER(Dictionaries!$C:$C,Dictionaries!$A:$A="??????????"))),IF($C258="","",MIN($C258/40,1)),IF($D258="","",XLOOKUP($D258,FILTER(Dictionaries!$B:$B,Dictionaries!$A:$A="????"),FILTER(Dictionaries!$C:$C,Dictionaries!$A:$A="????"))),IF($E258="","",MIN($E258/120,1)),IF(OR($F258&lt;&gt;"",$G258&lt;&gt;""),1,""),IF($H258="","",MIN($H258/100,1)),IF($L258="","",XLOOKUP($L258,FILTER(Dictionaries!$B:$B,Dictionaries!$A:$A="???_????"),FILTER(Dictionaries!$C:$C,Dictionaries!$A:$A="???_????"))),IF($M258="","",XLOOKUP($M258,FILTER(Dictionaries!$B:$B,Dictionaries!$A:$A="?????"),FILTER(Dictionaries!$C:$C,Dictionaries!$A:$A="?????"))),IF($N258="","",MIN($N258/100,1)),IF($O258="","",XLOOKUP($O258,FILTER(Dictionaries!$B:$B,Dictionaries!$A:$A="??????????"),FILTER(Dictionaries!$C:$C,Dictionaries!$A:$A="??????????"))),IF($P258="","",XLOOKUP($P258,FILTER(Dictionaries!$B:$B,Dictionaries!$A:$A="???????"),FILTER(Dictionaries!$C:$C,Dictionaries!$A:$A="???????"))),IF($U258="","",LET(t,IF(OR($B258="????",$B258="????"),"train","rest"),k,$U258,p,$V258,f,$W258,c,$X258,k_s,IF(t="train",IF(k="","",IFS(AND(k&gt;=1900,k&lt;=2050),1,AND(k&gt;=1850,k&lt;1900),0.7,AND(k&gt;2050,k&lt;=2100),0.7,TRUE,0.2)),IF(k="","",IFS(AND(k&gt;=1700,k&lt;=1850),1,AND(k&gt;=1650,k&lt;1700),0.7,AND(k&gt;1850,k&lt;=1900),0.7,TRUE,0.2))),p_s,IF(t="train",IF(p="","",IFS(AND(p&gt;=125,p&lt;=135),1,AND(p&gt;=115,p&lt;125),0.7,AND(p&gt;135,p&lt;=145),0.7,AND(p&gt;=105,p&lt;115),0.4,AND(p&gt;145,p&lt;=155),0.4,TRUE,0.2)),IF(p="","",IFS(AND(p&gt;=120,p&lt;=130),1,AND(p&gt;=110,p&lt;120),0.7,AND(p&gt;130,p&lt;=140),0.7,AND(p&gt;=100,p&lt;110),0.4,AND(p&gt;140,p&lt;=150),0.4,TRUE,0.2))),f_s,IF(f="","",IFS(AND(f&gt;=55,f&lt;=65),1,AND(f&gt;=50,f&lt;55),0.7,AND(f&gt;65,f&lt;=70),0.7,AND(f&gt;=45,f&lt;50),0.4,AND(f&gt;70,f&lt;=75),0.4,TRUE,0.2)),c_s,IF(t="train",IF(c="","",IFS(AND(c&gt;=180,c&lt;=210),1,AND(c&gt;=160,c&lt;180),0.7,AND(c&gt;210,c&lt;=230),0.7,AND(c&gt;=140,c&lt;160),0.4,AND(c&gt;230,c&lt;=250),0.4,TRUE,0.2)),IF(c="","",IFS(AND(c&gt;=140,c&lt;=170),1,AND(c&gt;=120,c&lt;140),0.7,AND(c&gt;170,c&lt;=190),0.7,AND(c&gt;=100,c&lt;120),0.4,AND(c&gt;190,c&lt;=210),0.4,TRUE,0.2))),AVERAGE(k_s,p_s,f_s,c_s)))),1),""))</f>
        <v/>
      </c>
      <c r="Z258">
        <f>IF($A258="","",TEXTJOIN(", ",TRUE,IF($B258="","??????????",""),IF($C258="","??????",""),IF($D258="","????",""),IF($E258="","??????????",""),IF($F258="","???-?????",""),IF($G258="","???-????",""),IF($H258="","??????",""),IF($L258="","???",""),IF($M258="","?????",""),IF($N258="","??????????????",""),IF($O258="","??????????",""),IF($P258="","???????",""),IF($U258="","???","")))</f>
        <v/>
      </c>
    </row>
    <row r="259">
      <c r="U259">
        <f>IF($A259="","",IF(SUMIF(FoodLog!$A:$A,$A259,FoodLog!$I:$I)=0,"",SUMIF(FoodLog!$A:$A,$A259,FoodLog!$I:$I)))</f>
        <v/>
      </c>
      <c r="V259">
        <f>IF($A259="","",IF(SUMIF(FoodLog!$A:$A,$A259,FoodLog!$F:$F)=0,"",SUMIF(FoodLog!$A:$A,$A259,FoodLog!$F:$F)))</f>
        <v/>
      </c>
      <c r="W259">
        <f>IF($A259="","",IF(SUMIF(FoodLog!$A:$A,$A259,FoodLog!$G:$G)=0,"",SUMIF(FoodLog!$A:$A,$A259,FoodLog!$G:$G)))</f>
        <v/>
      </c>
      <c r="X259">
        <f>IF($A259="","",IF(SUMIF(FoodLog!$A:$A,$A259,FoodLog!$H:$H)=0,"",SUMIF(FoodLog!$A:$A,$A259,FoodLog!$H:$H)))</f>
        <v/>
      </c>
      <c r="Y259">
        <f>IF($A259="","",IFERROR(ROUND(100*AVERAGE(IF($B259="","",XLOOKUP($B259,FILTER(Dictionaries!$B:$B,Dictionaries!$A:$A="??????????"),FILTER(Dictionaries!$C:$C,Dictionaries!$A:$A="??????????"))),IF($C259="","",MIN($C259/40,1)),IF($D259="","",XLOOKUP($D259,FILTER(Dictionaries!$B:$B,Dictionaries!$A:$A="????"),FILTER(Dictionaries!$C:$C,Dictionaries!$A:$A="????"))),IF($E259="","",MIN($E259/120,1)),IF(OR($F259&lt;&gt;"",$G259&lt;&gt;""),1,""),IF($H259="","",MIN($H259/100,1)),IF($L259="","",XLOOKUP($L259,FILTER(Dictionaries!$B:$B,Dictionaries!$A:$A="???_????"),FILTER(Dictionaries!$C:$C,Dictionaries!$A:$A="???_????"))),IF($M259="","",XLOOKUP($M259,FILTER(Dictionaries!$B:$B,Dictionaries!$A:$A="?????"),FILTER(Dictionaries!$C:$C,Dictionaries!$A:$A="?????"))),IF($N259="","",MIN($N259/100,1)),IF($O259="","",XLOOKUP($O259,FILTER(Dictionaries!$B:$B,Dictionaries!$A:$A="??????????"),FILTER(Dictionaries!$C:$C,Dictionaries!$A:$A="??????????"))),IF($P259="","",XLOOKUP($P259,FILTER(Dictionaries!$B:$B,Dictionaries!$A:$A="???????"),FILTER(Dictionaries!$C:$C,Dictionaries!$A:$A="???????"))),IF($U259="","",LET(t,IF(OR($B259="????",$B259="????"),"train","rest"),k,$U259,p,$V259,f,$W259,c,$X259,k_s,IF(t="train",IF(k="","",IFS(AND(k&gt;=1900,k&lt;=2050),1,AND(k&gt;=1850,k&lt;1900),0.7,AND(k&gt;2050,k&lt;=2100),0.7,TRUE,0.2)),IF(k="","",IFS(AND(k&gt;=1700,k&lt;=1850),1,AND(k&gt;=1650,k&lt;1700),0.7,AND(k&gt;1850,k&lt;=1900),0.7,TRUE,0.2))),p_s,IF(t="train",IF(p="","",IFS(AND(p&gt;=125,p&lt;=135),1,AND(p&gt;=115,p&lt;125),0.7,AND(p&gt;135,p&lt;=145),0.7,AND(p&gt;=105,p&lt;115),0.4,AND(p&gt;145,p&lt;=155),0.4,TRUE,0.2)),IF(p="","",IFS(AND(p&gt;=120,p&lt;=130),1,AND(p&gt;=110,p&lt;120),0.7,AND(p&gt;130,p&lt;=140),0.7,AND(p&gt;=100,p&lt;110),0.4,AND(p&gt;140,p&lt;=150),0.4,TRUE,0.2))),f_s,IF(f="","",IFS(AND(f&gt;=55,f&lt;=65),1,AND(f&gt;=50,f&lt;55),0.7,AND(f&gt;65,f&lt;=70),0.7,AND(f&gt;=45,f&lt;50),0.4,AND(f&gt;70,f&lt;=75),0.4,TRUE,0.2)),c_s,IF(t="train",IF(c="","",IFS(AND(c&gt;=180,c&lt;=210),1,AND(c&gt;=160,c&lt;180),0.7,AND(c&gt;210,c&lt;=230),0.7,AND(c&gt;=140,c&lt;160),0.4,AND(c&gt;230,c&lt;=250),0.4,TRUE,0.2)),IF(c="","",IFS(AND(c&gt;=140,c&lt;=170),1,AND(c&gt;=120,c&lt;140),0.7,AND(c&gt;170,c&lt;=190),0.7,AND(c&gt;=100,c&lt;120),0.4,AND(c&gt;190,c&lt;=210),0.4,TRUE,0.2))),AVERAGE(k_s,p_s,f_s,c_s)))),1),""))</f>
        <v/>
      </c>
      <c r="Z259">
        <f>IF($A259="","",TEXTJOIN(", ",TRUE,IF($B259="","??????????",""),IF($C259="","??????",""),IF($D259="","????",""),IF($E259="","??????????",""),IF($F259="","???-?????",""),IF($G259="","???-????",""),IF($H259="","??????",""),IF($L259="","???",""),IF($M259="","?????",""),IF($N259="","??????????????",""),IF($O259="","??????????",""),IF($P259="","???????",""),IF($U259="","???","")))</f>
        <v/>
      </c>
    </row>
    <row r="260">
      <c r="U260">
        <f>IF($A260="","",IF(SUMIF(FoodLog!$A:$A,$A260,FoodLog!$I:$I)=0,"",SUMIF(FoodLog!$A:$A,$A260,FoodLog!$I:$I)))</f>
        <v/>
      </c>
      <c r="V260">
        <f>IF($A260="","",IF(SUMIF(FoodLog!$A:$A,$A260,FoodLog!$F:$F)=0,"",SUMIF(FoodLog!$A:$A,$A260,FoodLog!$F:$F)))</f>
        <v/>
      </c>
      <c r="W260">
        <f>IF($A260="","",IF(SUMIF(FoodLog!$A:$A,$A260,FoodLog!$G:$G)=0,"",SUMIF(FoodLog!$A:$A,$A260,FoodLog!$G:$G)))</f>
        <v/>
      </c>
      <c r="X260">
        <f>IF($A260="","",IF(SUMIF(FoodLog!$A:$A,$A260,FoodLog!$H:$H)=0,"",SUMIF(FoodLog!$A:$A,$A260,FoodLog!$H:$H)))</f>
        <v/>
      </c>
      <c r="Y260">
        <f>IF($A260="","",IFERROR(ROUND(100*AVERAGE(IF($B260="","",XLOOKUP($B260,FILTER(Dictionaries!$B:$B,Dictionaries!$A:$A="??????????"),FILTER(Dictionaries!$C:$C,Dictionaries!$A:$A="??????????"))),IF($C260="","",MIN($C260/40,1)),IF($D260="","",XLOOKUP($D260,FILTER(Dictionaries!$B:$B,Dictionaries!$A:$A="????"),FILTER(Dictionaries!$C:$C,Dictionaries!$A:$A="????"))),IF($E260="","",MIN($E260/120,1)),IF(OR($F260&lt;&gt;"",$G260&lt;&gt;""),1,""),IF($H260="","",MIN($H260/100,1)),IF($L260="","",XLOOKUP($L260,FILTER(Dictionaries!$B:$B,Dictionaries!$A:$A="???_????"),FILTER(Dictionaries!$C:$C,Dictionaries!$A:$A="???_????"))),IF($M260="","",XLOOKUP($M260,FILTER(Dictionaries!$B:$B,Dictionaries!$A:$A="?????"),FILTER(Dictionaries!$C:$C,Dictionaries!$A:$A="?????"))),IF($N260="","",MIN($N260/100,1)),IF($O260="","",XLOOKUP($O260,FILTER(Dictionaries!$B:$B,Dictionaries!$A:$A="??????????"),FILTER(Dictionaries!$C:$C,Dictionaries!$A:$A="??????????"))),IF($P260="","",XLOOKUP($P260,FILTER(Dictionaries!$B:$B,Dictionaries!$A:$A="???????"),FILTER(Dictionaries!$C:$C,Dictionaries!$A:$A="???????"))),IF($U260="","",LET(t,IF(OR($B260="????",$B260="????"),"train","rest"),k,$U260,p,$V260,f,$W260,c,$X260,k_s,IF(t="train",IF(k="","",IFS(AND(k&gt;=1900,k&lt;=2050),1,AND(k&gt;=1850,k&lt;1900),0.7,AND(k&gt;2050,k&lt;=2100),0.7,TRUE,0.2)),IF(k="","",IFS(AND(k&gt;=1700,k&lt;=1850),1,AND(k&gt;=1650,k&lt;1700),0.7,AND(k&gt;1850,k&lt;=1900),0.7,TRUE,0.2))),p_s,IF(t="train",IF(p="","",IFS(AND(p&gt;=125,p&lt;=135),1,AND(p&gt;=115,p&lt;125),0.7,AND(p&gt;135,p&lt;=145),0.7,AND(p&gt;=105,p&lt;115),0.4,AND(p&gt;145,p&lt;=155),0.4,TRUE,0.2)),IF(p="","",IFS(AND(p&gt;=120,p&lt;=130),1,AND(p&gt;=110,p&lt;120),0.7,AND(p&gt;130,p&lt;=140),0.7,AND(p&gt;=100,p&lt;110),0.4,AND(p&gt;140,p&lt;=150),0.4,TRUE,0.2))),f_s,IF(f="","",IFS(AND(f&gt;=55,f&lt;=65),1,AND(f&gt;=50,f&lt;55),0.7,AND(f&gt;65,f&lt;=70),0.7,AND(f&gt;=45,f&lt;50),0.4,AND(f&gt;70,f&lt;=75),0.4,TRUE,0.2)),c_s,IF(t="train",IF(c="","",IFS(AND(c&gt;=180,c&lt;=210),1,AND(c&gt;=160,c&lt;180),0.7,AND(c&gt;210,c&lt;=230),0.7,AND(c&gt;=140,c&lt;160),0.4,AND(c&gt;230,c&lt;=250),0.4,TRUE,0.2)),IF(c="","",IFS(AND(c&gt;=140,c&lt;=170),1,AND(c&gt;=120,c&lt;140),0.7,AND(c&gt;170,c&lt;=190),0.7,AND(c&gt;=100,c&lt;120),0.4,AND(c&gt;190,c&lt;=210),0.4,TRUE,0.2))),AVERAGE(k_s,p_s,f_s,c_s)))),1),""))</f>
        <v/>
      </c>
      <c r="Z260">
        <f>IF($A260="","",TEXTJOIN(", ",TRUE,IF($B260="","??????????",""),IF($C260="","??????",""),IF($D260="","????",""),IF($E260="","??????????",""),IF($F260="","???-?????",""),IF($G260="","???-????",""),IF($H260="","??????",""),IF($L260="","???",""),IF($M260="","?????",""),IF($N260="","??????????????",""),IF($O260="","??????????",""),IF($P260="","???????",""),IF($U260="","???","")))</f>
        <v/>
      </c>
    </row>
    <row r="261">
      <c r="U261">
        <f>IF($A261="","",IF(SUMIF(FoodLog!$A:$A,$A261,FoodLog!$I:$I)=0,"",SUMIF(FoodLog!$A:$A,$A261,FoodLog!$I:$I)))</f>
        <v/>
      </c>
      <c r="V261">
        <f>IF($A261="","",IF(SUMIF(FoodLog!$A:$A,$A261,FoodLog!$F:$F)=0,"",SUMIF(FoodLog!$A:$A,$A261,FoodLog!$F:$F)))</f>
        <v/>
      </c>
      <c r="W261">
        <f>IF($A261="","",IF(SUMIF(FoodLog!$A:$A,$A261,FoodLog!$G:$G)=0,"",SUMIF(FoodLog!$A:$A,$A261,FoodLog!$G:$G)))</f>
        <v/>
      </c>
      <c r="X261">
        <f>IF($A261="","",IF(SUMIF(FoodLog!$A:$A,$A261,FoodLog!$H:$H)=0,"",SUMIF(FoodLog!$A:$A,$A261,FoodLog!$H:$H)))</f>
        <v/>
      </c>
      <c r="Y261">
        <f>IF($A261="","",IFERROR(ROUND(100*AVERAGE(IF($B261="","",XLOOKUP($B261,FILTER(Dictionaries!$B:$B,Dictionaries!$A:$A="??????????"),FILTER(Dictionaries!$C:$C,Dictionaries!$A:$A="??????????"))),IF($C261="","",MIN($C261/40,1)),IF($D261="","",XLOOKUP($D261,FILTER(Dictionaries!$B:$B,Dictionaries!$A:$A="????"),FILTER(Dictionaries!$C:$C,Dictionaries!$A:$A="????"))),IF($E261="","",MIN($E261/120,1)),IF(OR($F261&lt;&gt;"",$G261&lt;&gt;""),1,""),IF($H261="","",MIN($H261/100,1)),IF($L261="","",XLOOKUP($L261,FILTER(Dictionaries!$B:$B,Dictionaries!$A:$A="???_????"),FILTER(Dictionaries!$C:$C,Dictionaries!$A:$A="???_????"))),IF($M261="","",XLOOKUP($M261,FILTER(Dictionaries!$B:$B,Dictionaries!$A:$A="?????"),FILTER(Dictionaries!$C:$C,Dictionaries!$A:$A="?????"))),IF($N261="","",MIN($N261/100,1)),IF($O261="","",XLOOKUP($O261,FILTER(Dictionaries!$B:$B,Dictionaries!$A:$A="??????????"),FILTER(Dictionaries!$C:$C,Dictionaries!$A:$A="??????????"))),IF($P261="","",XLOOKUP($P261,FILTER(Dictionaries!$B:$B,Dictionaries!$A:$A="???????"),FILTER(Dictionaries!$C:$C,Dictionaries!$A:$A="???????"))),IF($U261="","",LET(t,IF(OR($B261="????",$B261="????"),"train","rest"),k,$U261,p,$V261,f,$W261,c,$X261,k_s,IF(t="train",IF(k="","",IFS(AND(k&gt;=1900,k&lt;=2050),1,AND(k&gt;=1850,k&lt;1900),0.7,AND(k&gt;2050,k&lt;=2100),0.7,TRUE,0.2)),IF(k="","",IFS(AND(k&gt;=1700,k&lt;=1850),1,AND(k&gt;=1650,k&lt;1700),0.7,AND(k&gt;1850,k&lt;=1900),0.7,TRUE,0.2))),p_s,IF(t="train",IF(p="","",IFS(AND(p&gt;=125,p&lt;=135),1,AND(p&gt;=115,p&lt;125),0.7,AND(p&gt;135,p&lt;=145),0.7,AND(p&gt;=105,p&lt;115),0.4,AND(p&gt;145,p&lt;=155),0.4,TRUE,0.2)),IF(p="","",IFS(AND(p&gt;=120,p&lt;=130),1,AND(p&gt;=110,p&lt;120),0.7,AND(p&gt;130,p&lt;=140),0.7,AND(p&gt;=100,p&lt;110),0.4,AND(p&gt;140,p&lt;=150),0.4,TRUE,0.2))),f_s,IF(f="","",IFS(AND(f&gt;=55,f&lt;=65),1,AND(f&gt;=50,f&lt;55),0.7,AND(f&gt;65,f&lt;=70),0.7,AND(f&gt;=45,f&lt;50),0.4,AND(f&gt;70,f&lt;=75),0.4,TRUE,0.2)),c_s,IF(t="train",IF(c="","",IFS(AND(c&gt;=180,c&lt;=210),1,AND(c&gt;=160,c&lt;180),0.7,AND(c&gt;210,c&lt;=230),0.7,AND(c&gt;=140,c&lt;160),0.4,AND(c&gt;230,c&lt;=250),0.4,TRUE,0.2)),IF(c="","",IFS(AND(c&gt;=140,c&lt;=170),1,AND(c&gt;=120,c&lt;140),0.7,AND(c&gt;170,c&lt;=190),0.7,AND(c&gt;=100,c&lt;120),0.4,AND(c&gt;190,c&lt;=210),0.4,TRUE,0.2))),AVERAGE(k_s,p_s,f_s,c_s)))),1),""))</f>
        <v/>
      </c>
      <c r="Z261">
        <f>IF($A261="","",TEXTJOIN(", ",TRUE,IF($B261="","??????????",""),IF($C261="","??????",""),IF($D261="","????",""),IF($E261="","??????????",""),IF($F261="","???-?????",""),IF($G261="","???-????",""),IF($H261="","??????",""),IF($L261="","???",""),IF($M261="","?????",""),IF($N261="","??????????????",""),IF($O261="","??????????",""),IF($P261="","???????",""),IF($U261="","???","")))</f>
        <v/>
      </c>
    </row>
    <row r="262">
      <c r="U262">
        <f>IF($A262="","",IF(SUMIF(FoodLog!$A:$A,$A262,FoodLog!$I:$I)=0,"",SUMIF(FoodLog!$A:$A,$A262,FoodLog!$I:$I)))</f>
        <v/>
      </c>
      <c r="V262">
        <f>IF($A262="","",IF(SUMIF(FoodLog!$A:$A,$A262,FoodLog!$F:$F)=0,"",SUMIF(FoodLog!$A:$A,$A262,FoodLog!$F:$F)))</f>
        <v/>
      </c>
      <c r="W262">
        <f>IF($A262="","",IF(SUMIF(FoodLog!$A:$A,$A262,FoodLog!$G:$G)=0,"",SUMIF(FoodLog!$A:$A,$A262,FoodLog!$G:$G)))</f>
        <v/>
      </c>
      <c r="X262">
        <f>IF($A262="","",IF(SUMIF(FoodLog!$A:$A,$A262,FoodLog!$H:$H)=0,"",SUMIF(FoodLog!$A:$A,$A262,FoodLog!$H:$H)))</f>
        <v/>
      </c>
      <c r="Y262">
        <f>IF($A262="","",IFERROR(ROUND(100*AVERAGE(IF($B262="","",XLOOKUP($B262,FILTER(Dictionaries!$B:$B,Dictionaries!$A:$A="??????????"),FILTER(Dictionaries!$C:$C,Dictionaries!$A:$A="??????????"))),IF($C262="","",MIN($C262/40,1)),IF($D262="","",XLOOKUP($D262,FILTER(Dictionaries!$B:$B,Dictionaries!$A:$A="????"),FILTER(Dictionaries!$C:$C,Dictionaries!$A:$A="????"))),IF($E262="","",MIN($E262/120,1)),IF(OR($F262&lt;&gt;"",$G262&lt;&gt;""),1,""),IF($H262="","",MIN($H262/100,1)),IF($L262="","",XLOOKUP($L262,FILTER(Dictionaries!$B:$B,Dictionaries!$A:$A="???_????"),FILTER(Dictionaries!$C:$C,Dictionaries!$A:$A="???_????"))),IF($M262="","",XLOOKUP($M262,FILTER(Dictionaries!$B:$B,Dictionaries!$A:$A="?????"),FILTER(Dictionaries!$C:$C,Dictionaries!$A:$A="?????"))),IF($N262="","",MIN($N262/100,1)),IF($O262="","",XLOOKUP($O262,FILTER(Dictionaries!$B:$B,Dictionaries!$A:$A="??????????"),FILTER(Dictionaries!$C:$C,Dictionaries!$A:$A="??????????"))),IF($P262="","",XLOOKUP($P262,FILTER(Dictionaries!$B:$B,Dictionaries!$A:$A="???????"),FILTER(Dictionaries!$C:$C,Dictionaries!$A:$A="???????"))),IF($U262="","",LET(t,IF(OR($B262="????",$B262="????"),"train","rest"),k,$U262,p,$V262,f,$W262,c,$X262,k_s,IF(t="train",IF(k="","",IFS(AND(k&gt;=1900,k&lt;=2050),1,AND(k&gt;=1850,k&lt;1900),0.7,AND(k&gt;2050,k&lt;=2100),0.7,TRUE,0.2)),IF(k="","",IFS(AND(k&gt;=1700,k&lt;=1850),1,AND(k&gt;=1650,k&lt;1700),0.7,AND(k&gt;1850,k&lt;=1900),0.7,TRUE,0.2))),p_s,IF(t="train",IF(p="","",IFS(AND(p&gt;=125,p&lt;=135),1,AND(p&gt;=115,p&lt;125),0.7,AND(p&gt;135,p&lt;=145),0.7,AND(p&gt;=105,p&lt;115),0.4,AND(p&gt;145,p&lt;=155),0.4,TRUE,0.2)),IF(p="","",IFS(AND(p&gt;=120,p&lt;=130),1,AND(p&gt;=110,p&lt;120),0.7,AND(p&gt;130,p&lt;=140),0.7,AND(p&gt;=100,p&lt;110),0.4,AND(p&gt;140,p&lt;=150),0.4,TRUE,0.2))),f_s,IF(f="","",IFS(AND(f&gt;=55,f&lt;=65),1,AND(f&gt;=50,f&lt;55),0.7,AND(f&gt;65,f&lt;=70),0.7,AND(f&gt;=45,f&lt;50),0.4,AND(f&gt;70,f&lt;=75),0.4,TRUE,0.2)),c_s,IF(t="train",IF(c="","",IFS(AND(c&gt;=180,c&lt;=210),1,AND(c&gt;=160,c&lt;180),0.7,AND(c&gt;210,c&lt;=230),0.7,AND(c&gt;=140,c&lt;160),0.4,AND(c&gt;230,c&lt;=250),0.4,TRUE,0.2)),IF(c="","",IFS(AND(c&gt;=140,c&lt;=170),1,AND(c&gt;=120,c&lt;140),0.7,AND(c&gt;170,c&lt;=190),0.7,AND(c&gt;=100,c&lt;120),0.4,AND(c&gt;190,c&lt;=210),0.4,TRUE,0.2))),AVERAGE(k_s,p_s,f_s,c_s)))),1),""))</f>
        <v/>
      </c>
      <c r="Z262">
        <f>IF($A262="","",TEXTJOIN(", ",TRUE,IF($B262="","??????????",""),IF($C262="","??????",""),IF($D262="","????",""),IF($E262="","??????????",""),IF($F262="","???-?????",""),IF($G262="","???-????",""),IF($H262="","??????",""),IF($L262="","???",""),IF($M262="","?????",""),IF($N262="","??????????????",""),IF($O262="","??????????",""),IF($P262="","???????",""),IF($U262="","???","")))</f>
        <v/>
      </c>
    </row>
    <row r="263">
      <c r="U263">
        <f>IF($A263="","",IF(SUMIF(FoodLog!$A:$A,$A263,FoodLog!$I:$I)=0,"",SUMIF(FoodLog!$A:$A,$A263,FoodLog!$I:$I)))</f>
        <v/>
      </c>
      <c r="V263">
        <f>IF($A263="","",IF(SUMIF(FoodLog!$A:$A,$A263,FoodLog!$F:$F)=0,"",SUMIF(FoodLog!$A:$A,$A263,FoodLog!$F:$F)))</f>
        <v/>
      </c>
      <c r="W263">
        <f>IF($A263="","",IF(SUMIF(FoodLog!$A:$A,$A263,FoodLog!$G:$G)=0,"",SUMIF(FoodLog!$A:$A,$A263,FoodLog!$G:$G)))</f>
        <v/>
      </c>
      <c r="X263">
        <f>IF($A263="","",IF(SUMIF(FoodLog!$A:$A,$A263,FoodLog!$H:$H)=0,"",SUMIF(FoodLog!$A:$A,$A263,FoodLog!$H:$H)))</f>
        <v/>
      </c>
      <c r="Y263">
        <f>IF($A263="","",IFERROR(ROUND(100*AVERAGE(IF($B263="","",XLOOKUP($B263,FILTER(Dictionaries!$B:$B,Dictionaries!$A:$A="??????????"),FILTER(Dictionaries!$C:$C,Dictionaries!$A:$A="??????????"))),IF($C263="","",MIN($C263/40,1)),IF($D263="","",XLOOKUP($D263,FILTER(Dictionaries!$B:$B,Dictionaries!$A:$A="????"),FILTER(Dictionaries!$C:$C,Dictionaries!$A:$A="????"))),IF($E263="","",MIN($E263/120,1)),IF(OR($F263&lt;&gt;"",$G263&lt;&gt;""),1,""),IF($H263="","",MIN($H263/100,1)),IF($L263="","",XLOOKUP($L263,FILTER(Dictionaries!$B:$B,Dictionaries!$A:$A="???_????"),FILTER(Dictionaries!$C:$C,Dictionaries!$A:$A="???_????"))),IF($M263="","",XLOOKUP($M263,FILTER(Dictionaries!$B:$B,Dictionaries!$A:$A="?????"),FILTER(Dictionaries!$C:$C,Dictionaries!$A:$A="?????"))),IF($N263="","",MIN($N263/100,1)),IF($O263="","",XLOOKUP($O263,FILTER(Dictionaries!$B:$B,Dictionaries!$A:$A="??????????"),FILTER(Dictionaries!$C:$C,Dictionaries!$A:$A="??????????"))),IF($P263="","",XLOOKUP($P263,FILTER(Dictionaries!$B:$B,Dictionaries!$A:$A="???????"),FILTER(Dictionaries!$C:$C,Dictionaries!$A:$A="???????"))),IF($U263="","",LET(t,IF(OR($B263="????",$B263="????"),"train","rest"),k,$U263,p,$V263,f,$W263,c,$X263,k_s,IF(t="train",IF(k="","",IFS(AND(k&gt;=1900,k&lt;=2050),1,AND(k&gt;=1850,k&lt;1900),0.7,AND(k&gt;2050,k&lt;=2100),0.7,TRUE,0.2)),IF(k="","",IFS(AND(k&gt;=1700,k&lt;=1850),1,AND(k&gt;=1650,k&lt;1700),0.7,AND(k&gt;1850,k&lt;=1900),0.7,TRUE,0.2))),p_s,IF(t="train",IF(p="","",IFS(AND(p&gt;=125,p&lt;=135),1,AND(p&gt;=115,p&lt;125),0.7,AND(p&gt;135,p&lt;=145),0.7,AND(p&gt;=105,p&lt;115),0.4,AND(p&gt;145,p&lt;=155),0.4,TRUE,0.2)),IF(p="","",IFS(AND(p&gt;=120,p&lt;=130),1,AND(p&gt;=110,p&lt;120),0.7,AND(p&gt;130,p&lt;=140),0.7,AND(p&gt;=100,p&lt;110),0.4,AND(p&gt;140,p&lt;=150),0.4,TRUE,0.2))),f_s,IF(f="","",IFS(AND(f&gt;=55,f&lt;=65),1,AND(f&gt;=50,f&lt;55),0.7,AND(f&gt;65,f&lt;=70),0.7,AND(f&gt;=45,f&lt;50),0.4,AND(f&gt;70,f&lt;=75),0.4,TRUE,0.2)),c_s,IF(t="train",IF(c="","",IFS(AND(c&gt;=180,c&lt;=210),1,AND(c&gt;=160,c&lt;180),0.7,AND(c&gt;210,c&lt;=230),0.7,AND(c&gt;=140,c&lt;160),0.4,AND(c&gt;230,c&lt;=250),0.4,TRUE,0.2)),IF(c="","",IFS(AND(c&gt;=140,c&lt;=170),1,AND(c&gt;=120,c&lt;140),0.7,AND(c&gt;170,c&lt;=190),0.7,AND(c&gt;=100,c&lt;120),0.4,AND(c&gt;190,c&lt;=210),0.4,TRUE,0.2))),AVERAGE(k_s,p_s,f_s,c_s)))),1),""))</f>
        <v/>
      </c>
      <c r="Z263">
        <f>IF($A263="","",TEXTJOIN(", ",TRUE,IF($B263="","??????????",""),IF($C263="","??????",""),IF($D263="","????",""),IF($E263="","??????????",""),IF($F263="","???-?????",""),IF($G263="","???-????",""),IF($H263="","??????",""),IF($L263="","???",""),IF($M263="","?????",""),IF($N263="","??????????????",""),IF($O263="","??????????",""),IF($P263="","???????",""),IF($U263="","???","")))</f>
        <v/>
      </c>
    </row>
    <row r="264">
      <c r="U264">
        <f>IF($A264="","",IF(SUMIF(FoodLog!$A:$A,$A264,FoodLog!$I:$I)=0,"",SUMIF(FoodLog!$A:$A,$A264,FoodLog!$I:$I)))</f>
        <v/>
      </c>
      <c r="V264">
        <f>IF($A264="","",IF(SUMIF(FoodLog!$A:$A,$A264,FoodLog!$F:$F)=0,"",SUMIF(FoodLog!$A:$A,$A264,FoodLog!$F:$F)))</f>
        <v/>
      </c>
      <c r="W264">
        <f>IF($A264="","",IF(SUMIF(FoodLog!$A:$A,$A264,FoodLog!$G:$G)=0,"",SUMIF(FoodLog!$A:$A,$A264,FoodLog!$G:$G)))</f>
        <v/>
      </c>
      <c r="X264">
        <f>IF($A264="","",IF(SUMIF(FoodLog!$A:$A,$A264,FoodLog!$H:$H)=0,"",SUMIF(FoodLog!$A:$A,$A264,FoodLog!$H:$H)))</f>
        <v/>
      </c>
      <c r="Y264">
        <f>IF($A264="","",IFERROR(ROUND(100*AVERAGE(IF($B264="","",XLOOKUP($B264,FILTER(Dictionaries!$B:$B,Dictionaries!$A:$A="??????????"),FILTER(Dictionaries!$C:$C,Dictionaries!$A:$A="??????????"))),IF($C264="","",MIN($C264/40,1)),IF($D264="","",XLOOKUP($D264,FILTER(Dictionaries!$B:$B,Dictionaries!$A:$A="????"),FILTER(Dictionaries!$C:$C,Dictionaries!$A:$A="????"))),IF($E264="","",MIN($E264/120,1)),IF(OR($F264&lt;&gt;"",$G264&lt;&gt;""),1,""),IF($H264="","",MIN($H264/100,1)),IF($L264="","",XLOOKUP($L264,FILTER(Dictionaries!$B:$B,Dictionaries!$A:$A="???_????"),FILTER(Dictionaries!$C:$C,Dictionaries!$A:$A="???_????"))),IF($M264="","",XLOOKUP($M264,FILTER(Dictionaries!$B:$B,Dictionaries!$A:$A="?????"),FILTER(Dictionaries!$C:$C,Dictionaries!$A:$A="?????"))),IF($N264="","",MIN($N264/100,1)),IF($O264="","",XLOOKUP($O264,FILTER(Dictionaries!$B:$B,Dictionaries!$A:$A="??????????"),FILTER(Dictionaries!$C:$C,Dictionaries!$A:$A="??????????"))),IF($P264="","",XLOOKUP($P264,FILTER(Dictionaries!$B:$B,Dictionaries!$A:$A="???????"),FILTER(Dictionaries!$C:$C,Dictionaries!$A:$A="???????"))),IF($U264="","",LET(t,IF(OR($B264="????",$B264="????"),"train","rest"),k,$U264,p,$V264,f,$W264,c,$X264,k_s,IF(t="train",IF(k="","",IFS(AND(k&gt;=1900,k&lt;=2050),1,AND(k&gt;=1850,k&lt;1900),0.7,AND(k&gt;2050,k&lt;=2100),0.7,TRUE,0.2)),IF(k="","",IFS(AND(k&gt;=1700,k&lt;=1850),1,AND(k&gt;=1650,k&lt;1700),0.7,AND(k&gt;1850,k&lt;=1900),0.7,TRUE,0.2))),p_s,IF(t="train",IF(p="","",IFS(AND(p&gt;=125,p&lt;=135),1,AND(p&gt;=115,p&lt;125),0.7,AND(p&gt;135,p&lt;=145),0.7,AND(p&gt;=105,p&lt;115),0.4,AND(p&gt;145,p&lt;=155),0.4,TRUE,0.2)),IF(p="","",IFS(AND(p&gt;=120,p&lt;=130),1,AND(p&gt;=110,p&lt;120),0.7,AND(p&gt;130,p&lt;=140),0.7,AND(p&gt;=100,p&lt;110),0.4,AND(p&gt;140,p&lt;=150),0.4,TRUE,0.2))),f_s,IF(f="","",IFS(AND(f&gt;=55,f&lt;=65),1,AND(f&gt;=50,f&lt;55),0.7,AND(f&gt;65,f&lt;=70),0.7,AND(f&gt;=45,f&lt;50),0.4,AND(f&gt;70,f&lt;=75),0.4,TRUE,0.2)),c_s,IF(t="train",IF(c="","",IFS(AND(c&gt;=180,c&lt;=210),1,AND(c&gt;=160,c&lt;180),0.7,AND(c&gt;210,c&lt;=230),0.7,AND(c&gt;=140,c&lt;160),0.4,AND(c&gt;230,c&lt;=250),0.4,TRUE,0.2)),IF(c="","",IFS(AND(c&gt;=140,c&lt;=170),1,AND(c&gt;=120,c&lt;140),0.7,AND(c&gt;170,c&lt;=190),0.7,AND(c&gt;=100,c&lt;120),0.4,AND(c&gt;190,c&lt;=210),0.4,TRUE,0.2))),AVERAGE(k_s,p_s,f_s,c_s)))),1),""))</f>
        <v/>
      </c>
      <c r="Z264">
        <f>IF($A264="","",TEXTJOIN(", ",TRUE,IF($B264="","??????????",""),IF($C264="","??????",""),IF($D264="","????",""),IF($E264="","??????????",""),IF($F264="","???-?????",""),IF($G264="","???-????",""),IF($H264="","??????",""),IF($L264="","???",""),IF($M264="","?????",""),IF($N264="","??????????????",""),IF($O264="","??????????",""),IF($P264="","???????",""),IF($U264="","???","")))</f>
        <v/>
      </c>
    </row>
    <row r="265">
      <c r="U265">
        <f>IF($A265="","",IF(SUMIF(FoodLog!$A:$A,$A265,FoodLog!$I:$I)=0,"",SUMIF(FoodLog!$A:$A,$A265,FoodLog!$I:$I)))</f>
        <v/>
      </c>
      <c r="V265">
        <f>IF($A265="","",IF(SUMIF(FoodLog!$A:$A,$A265,FoodLog!$F:$F)=0,"",SUMIF(FoodLog!$A:$A,$A265,FoodLog!$F:$F)))</f>
        <v/>
      </c>
      <c r="W265">
        <f>IF($A265="","",IF(SUMIF(FoodLog!$A:$A,$A265,FoodLog!$G:$G)=0,"",SUMIF(FoodLog!$A:$A,$A265,FoodLog!$G:$G)))</f>
        <v/>
      </c>
      <c r="X265">
        <f>IF($A265="","",IF(SUMIF(FoodLog!$A:$A,$A265,FoodLog!$H:$H)=0,"",SUMIF(FoodLog!$A:$A,$A265,FoodLog!$H:$H)))</f>
        <v/>
      </c>
      <c r="Y265">
        <f>IF($A265="","",IFERROR(ROUND(100*AVERAGE(IF($B265="","",XLOOKUP($B265,FILTER(Dictionaries!$B:$B,Dictionaries!$A:$A="??????????"),FILTER(Dictionaries!$C:$C,Dictionaries!$A:$A="??????????"))),IF($C265="","",MIN($C265/40,1)),IF($D265="","",XLOOKUP($D265,FILTER(Dictionaries!$B:$B,Dictionaries!$A:$A="????"),FILTER(Dictionaries!$C:$C,Dictionaries!$A:$A="????"))),IF($E265="","",MIN($E265/120,1)),IF(OR($F265&lt;&gt;"",$G265&lt;&gt;""),1,""),IF($H265="","",MIN($H265/100,1)),IF($L265="","",XLOOKUP($L265,FILTER(Dictionaries!$B:$B,Dictionaries!$A:$A="???_????"),FILTER(Dictionaries!$C:$C,Dictionaries!$A:$A="???_????"))),IF($M265="","",XLOOKUP($M265,FILTER(Dictionaries!$B:$B,Dictionaries!$A:$A="?????"),FILTER(Dictionaries!$C:$C,Dictionaries!$A:$A="?????"))),IF($N265="","",MIN($N265/100,1)),IF($O265="","",XLOOKUP($O265,FILTER(Dictionaries!$B:$B,Dictionaries!$A:$A="??????????"),FILTER(Dictionaries!$C:$C,Dictionaries!$A:$A="??????????"))),IF($P265="","",XLOOKUP($P265,FILTER(Dictionaries!$B:$B,Dictionaries!$A:$A="???????"),FILTER(Dictionaries!$C:$C,Dictionaries!$A:$A="???????"))),IF($U265="","",LET(t,IF(OR($B265="????",$B265="????"),"train","rest"),k,$U265,p,$V265,f,$W265,c,$X265,k_s,IF(t="train",IF(k="","",IFS(AND(k&gt;=1900,k&lt;=2050),1,AND(k&gt;=1850,k&lt;1900),0.7,AND(k&gt;2050,k&lt;=2100),0.7,TRUE,0.2)),IF(k="","",IFS(AND(k&gt;=1700,k&lt;=1850),1,AND(k&gt;=1650,k&lt;1700),0.7,AND(k&gt;1850,k&lt;=1900),0.7,TRUE,0.2))),p_s,IF(t="train",IF(p="","",IFS(AND(p&gt;=125,p&lt;=135),1,AND(p&gt;=115,p&lt;125),0.7,AND(p&gt;135,p&lt;=145),0.7,AND(p&gt;=105,p&lt;115),0.4,AND(p&gt;145,p&lt;=155),0.4,TRUE,0.2)),IF(p="","",IFS(AND(p&gt;=120,p&lt;=130),1,AND(p&gt;=110,p&lt;120),0.7,AND(p&gt;130,p&lt;=140),0.7,AND(p&gt;=100,p&lt;110),0.4,AND(p&gt;140,p&lt;=150),0.4,TRUE,0.2))),f_s,IF(f="","",IFS(AND(f&gt;=55,f&lt;=65),1,AND(f&gt;=50,f&lt;55),0.7,AND(f&gt;65,f&lt;=70),0.7,AND(f&gt;=45,f&lt;50),0.4,AND(f&gt;70,f&lt;=75),0.4,TRUE,0.2)),c_s,IF(t="train",IF(c="","",IFS(AND(c&gt;=180,c&lt;=210),1,AND(c&gt;=160,c&lt;180),0.7,AND(c&gt;210,c&lt;=230),0.7,AND(c&gt;=140,c&lt;160),0.4,AND(c&gt;230,c&lt;=250),0.4,TRUE,0.2)),IF(c="","",IFS(AND(c&gt;=140,c&lt;=170),1,AND(c&gt;=120,c&lt;140),0.7,AND(c&gt;170,c&lt;=190),0.7,AND(c&gt;=100,c&lt;120),0.4,AND(c&gt;190,c&lt;=210),0.4,TRUE,0.2))),AVERAGE(k_s,p_s,f_s,c_s)))),1),""))</f>
        <v/>
      </c>
      <c r="Z265">
        <f>IF($A265="","",TEXTJOIN(", ",TRUE,IF($B265="","??????????",""),IF($C265="","??????",""),IF($D265="","????",""),IF($E265="","??????????",""),IF($F265="","???-?????",""),IF($G265="","???-????",""),IF($H265="","??????",""),IF($L265="","???",""),IF($M265="","?????",""),IF($N265="","??????????????",""),IF($O265="","??????????",""),IF($P265="","???????",""),IF($U265="","???","")))</f>
        <v/>
      </c>
    </row>
    <row r="266">
      <c r="U266">
        <f>IF($A266="","",IF(SUMIF(FoodLog!$A:$A,$A266,FoodLog!$I:$I)=0,"",SUMIF(FoodLog!$A:$A,$A266,FoodLog!$I:$I)))</f>
        <v/>
      </c>
      <c r="V266">
        <f>IF($A266="","",IF(SUMIF(FoodLog!$A:$A,$A266,FoodLog!$F:$F)=0,"",SUMIF(FoodLog!$A:$A,$A266,FoodLog!$F:$F)))</f>
        <v/>
      </c>
      <c r="W266">
        <f>IF($A266="","",IF(SUMIF(FoodLog!$A:$A,$A266,FoodLog!$G:$G)=0,"",SUMIF(FoodLog!$A:$A,$A266,FoodLog!$G:$G)))</f>
        <v/>
      </c>
      <c r="X266">
        <f>IF($A266="","",IF(SUMIF(FoodLog!$A:$A,$A266,FoodLog!$H:$H)=0,"",SUMIF(FoodLog!$A:$A,$A266,FoodLog!$H:$H)))</f>
        <v/>
      </c>
      <c r="Y266">
        <f>IF($A266="","",IFERROR(ROUND(100*AVERAGE(IF($B266="","",XLOOKUP($B266,FILTER(Dictionaries!$B:$B,Dictionaries!$A:$A="??????????"),FILTER(Dictionaries!$C:$C,Dictionaries!$A:$A="??????????"))),IF($C266="","",MIN($C266/40,1)),IF($D266="","",XLOOKUP($D266,FILTER(Dictionaries!$B:$B,Dictionaries!$A:$A="????"),FILTER(Dictionaries!$C:$C,Dictionaries!$A:$A="????"))),IF($E266="","",MIN($E266/120,1)),IF(OR($F266&lt;&gt;"",$G266&lt;&gt;""),1,""),IF($H266="","",MIN($H266/100,1)),IF($L266="","",XLOOKUP($L266,FILTER(Dictionaries!$B:$B,Dictionaries!$A:$A="???_????"),FILTER(Dictionaries!$C:$C,Dictionaries!$A:$A="???_????"))),IF($M266="","",XLOOKUP($M266,FILTER(Dictionaries!$B:$B,Dictionaries!$A:$A="?????"),FILTER(Dictionaries!$C:$C,Dictionaries!$A:$A="?????"))),IF($N266="","",MIN($N266/100,1)),IF($O266="","",XLOOKUP($O266,FILTER(Dictionaries!$B:$B,Dictionaries!$A:$A="??????????"),FILTER(Dictionaries!$C:$C,Dictionaries!$A:$A="??????????"))),IF($P266="","",XLOOKUP($P266,FILTER(Dictionaries!$B:$B,Dictionaries!$A:$A="???????"),FILTER(Dictionaries!$C:$C,Dictionaries!$A:$A="???????"))),IF($U266="","",LET(t,IF(OR($B266="????",$B266="????"),"train","rest"),k,$U266,p,$V266,f,$W266,c,$X266,k_s,IF(t="train",IF(k="","",IFS(AND(k&gt;=1900,k&lt;=2050),1,AND(k&gt;=1850,k&lt;1900),0.7,AND(k&gt;2050,k&lt;=2100),0.7,TRUE,0.2)),IF(k="","",IFS(AND(k&gt;=1700,k&lt;=1850),1,AND(k&gt;=1650,k&lt;1700),0.7,AND(k&gt;1850,k&lt;=1900),0.7,TRUE,0.2))),p_s,IF(t="train",IF(p="","",IFS(AND(p&gt;=125,p&lt;=135),1,AND(p&gt;=115,p&lt;125),0.7,AND(p&gt;135,p&lt;=145),0.7,AND(p&gt;=105,p&lt;115),0.4,AND(p&gt;145,p&lt;=155),0.4,TRUE,0.2)),IF(p="","",IFS(AND(p&gt;=120,p&lt;=130),1,AND(p&gt;=110,p&lt;120),0.7,AND(p&gt;130,p&lt;=140),0.7,AND(p&gt;=100,p&lt;110),0.4,AND(p&gt;140,p&lt;=150),0.4,TRUE,0.2))),f_s,IF(f="","",IFS(AND(f&gt;=55,f&lt;=65),1,AND(f&gt;=50,f&lt;55),0.7,AND(f&gt;65,f&lt;=70),0.7,AND(f&gt;=45,f&lt;50),0.4,AND(f&gt;70,f&lt;=75),0.4,TRUE,0.2)),c_s,IF(t="train",IF(c="","",IFS(AND(c&gt;=180,c&lt;=210),1,AND(c&gt;=160,c&lt;180),0.7,AND(c&gt;210,c&lt;=230),0.7,AND(c&gt;=140,c&lt;160),0.4,AND(c&gt;230,c&lt;=250),0.4,TRUE,0.2)),IF(c="","",IFS(AND(c&gt;=140,c&lt;=170),1,AND(c&gt;=120,c&lt;140),0.7,AND(c&gt;170,c&lt;=190),0.7,AND(c&gt;=100,c&lt;120),0.4,AND(c&gt;190,c&lt;=210),0.4,TRUE,0.2))),AVERAGE(k_s,p_s,f_s,c_s)))),1),""))</f>
        <v/>
      </c>
      <c r="Z266">
        <f>IF($A266="","",TEXTJOIN(", ",TRUE,IF($B266="","??????????",""),IF($C266="","??????",""),IF($D266="","????",""),IF($E266="","??????????",""),IF($F266="","???-?????",""),IF($G266="","???-????",""),IF($H266="","??????",""),IF($L266="","???",""),IF($M266="","?????",""),IF($N266="","??????????????",""),IF($O266="","??????????",""),IF($P266="","???????",""),IF($U266="","???","")))</f>
        <v/>
      </c>
    </row>
    <row r="267">
      <c r="U267">
        <f>IF($A267="","",IF(SUMIF(FoodLog!$A:$A,$A267,FoodLog!$I:$I)=0,"",SUMIF(FoodLog!$A:$A,$A267,FoodLog!$I:$I)))</f>
        <v/>
      </c>
      <c r="V267">
        <f>IF($A267="","",IF(SUMIF(FoodLog!$A:$A,$A267,FoodLog!$F:$F)=0,"",SUMIF(FoodLog!$A:$A,$A267,FoodLog!$F:$F)))</f>
        <v/>
      </c>
      <c r="W267">
        <f>IF($A267="","",IF(SUMIF(FoodLog!$A:$A,$A267,FoodLog!$G:$G)=0,"",SUMIF(FoodLog!$A:$A,$A267,FoodLog!$G:$G)))</f>
        <v/>
      </c>
      <c r="X267">
        <f>IF($A267="","",IF(SUMIF(FoodLog!$A:$A,$A267,FoodLog!$H:$H)=0,"",SUMIF(FoodLog!$A:$A,$A267,FoodLog!$H:$H)))</f>
        <v/>
      </c>
      <c r="Y267">
        <f>IF($A267="","",IFERROR(ROUND(100*AVERAGE(IF($B267="","",XLOOKUP($B267,FILTER(Dictionaries!$B:$B,Dictionaries!$A:$A="??????????"),FILTER(Dictionaries!$C:$C,Dictionaries!$A:$A="??????????"))),IF($C267="","",MIN($C267/40,1)),IF($D267="","",XLOOKUP($D267,FILTER(Dictionaries!$B:$B,Dictionaries!$A:$A="????"),FILTER(Dictionaries!$C:$C,Dictionaries!$A:$A="????"))),IF($E267="","",MIN($E267/120,1)),IF(OR($F267&lt;&gt;"",$G267&lt;&gt;""),1,""),IF($H267="","",MIN($H267/100,1)),IF($L267="","",XLOOKUP($L267,FILTER(Dictionaries!$B:$B,Dictionaries!$A:$A="???_????"),FILTER(Dictionaries!$C:$C,Dictionaries!$A:$A="???_????"))),IF($M267="","",XLOOKUP($M267,FILTER(Dictionaries!$B:$B,Dictionaries!$A:$A="?????"),FILTER(Dictionaries!$C:$C,Dictionaries!$A:$A="?????"))),IF($N267="","",MIN($N267/100,1)),IF($O267="","",XLOOKUP($O267,FILTER(Dictionaries!$B:$B,Dictionaries!$A:$A="??????????"),FILTER(Dictionaries!$C:$C,Dictionaries!$A:$A="??????????"))),IF($P267="","",XLOOKUP($P267,FILTER(Dictionaries!$B:$B,Dictionaries!$A:$A="???????"),FILTER(Dictionaries!$C:$C,Dictionaries!$A:$A="???????"))),IF($U267="","",LET(t,IF(OR($B267="????",$B267="????"),"train","rest"),k,$U267,p,$V267,f,$W267,c,$X267,k_s,IF(t="train",IF(k="","",IFS(AND(k&gt;=1900,k&lt;=2050),1,AND(k&gt;=1850,k&lt;1900),0.7,AND(k&gt;2050,k&lt;=2100),0.7,TRUE,0.2)),IF(k="","",IFS(AND(k&gt;=1700,k&lt;=1850),1,AND(k&gt;=1650,k&lt;1700),0.7,AND(k&gt;1850,k&lt;=1900),0.7,TRUE,0.2))),p_s,IF(t="train",IF(p="","",IFS(AND(p&gt;=125,p&lt;=135),1,AND(p&gt;=115,p&lt;125),0.7,AND(p&gt;135,p&lt;=145),0.7,AND(p&gt;=105,p&lt;115),0.4,AND(p&gt;145,p&lt;=155),0.4,TRUE,0.2)),IF(p="","",IFS(AND(p&gt;=120,p&lt;=130),1,AND(p&gt;=110,p&lt;120),0.7,AND(p&gt;130,p&lt;=140),0.7,AND(p&gt;=100,p&lt;110),0.4,AND(p&gt;140,p&lt;=150),0.4,TRUE,0.2))),f_s,IF(f="","",IFS(AND(f&gt;=55,f&lt;=65),1,AND(f&gt;=50,f&lt;55),0.7,AND(f&gt;65,f&lt;=70),0.7,AND(f&gt;=45,f&lt;50),0.4,AND(f&gt;70,f&lt;=75),0.4,TRUE,0.2)),c_s,IF(t="train",IF(c="","",IFS(AND(c&gt;=180,c&lt;=210),1,AND(c&gt;=160,c&lt;180),0.7,AND(c&gt;210,c&lt;=230),0.7,AND(c&gt;=140,c&lt;160),0.4,AND(c&gt;230,c&lt;=250),0.4,TRUE,0.2)),IF(c="","",IFS(AND(c&gt;=140,c&lt;=170),1,AND(c&gt;=120,c&lt;140),0.7,AND(c&gt;170,c&lt;=190),0.7,AND(c&gt;=100,c&lt;120),0.4,AND(c&gt;190,c&lt;=210),0.4,TRUE,0.2))),AVERAGE(k_s,p_s,f_s,c_s)))),1),""))</f>
        <v/>
      </c>
      <c r="Z267">
        <f>IF($A267="","",TEXTJOIN(", ",TRUE,IF($B267="","??????????",""),IF($C267="","??????",""),IF($D267="","????",""),IF($E267="","??????????",""),IF($F267="","???-?????",""),IF($G267="","???-????",""),IF($H267="","??????",""),IF($L267="","???",""),IF($M267="","?????",""),IF($N267="","??????????????",""),IF($O267="","??????????",""),IF($P267="","???????",""),IF($U267="","???","")))</f>
        <v/>
      </c>
    </row>
    <row r="268">
      <c r="U268">
        <f>IF($A268="","",IF(SUMIF(FoodLog!$A:$A,$A268,FoodLog!$I:$I)=0,"",SUMIF(FoodLog!$A:$A,$A268,FoodLog!$I:$I)))</f>
        <v/>
      </c>
      <c r="V268">
        <f>IF($A268="","",IF(SUMIF(FoodLog!$A:$A,$A268,FoodLog!$F:$F)=0,"",SUMIF(FoodLog!$A:$A,$A268,FoodLog!$F:$F)))</f>
        <v/>
      </c>
      <c r="W268">
        <f>IF($A268="","",IF(SUMIF(FoodLog!$A:$A,$A268,FoodLog!$G:$G)=0,"",SUMIF(FoodLog!$A:$A,$A268,FoodLog!$G:$G)))</f>
        <v/>
      </c>
      <c r="X268">
        <f>IF($A268="","",IF(SUMIF(FoodLog!$A:$A,$A268,FoodLog!$H:$H)=0,"",SUMIF(FoodLog!$A:$A,$A268,FoodLog!$H:$H)))</f>
        <v/>
      </c>
      <c r="Y268">
        <f>IF($A268="","",IFERROR(ROUND(100*AVERAGE(IF($B268="","",XLOOKUP($B268,FILTER(Dictionaries!$B:$B,Dictionaries!$A:$A="??????????"),FILTER(Dictionaries!$C:$C,Dictionaries!$A:$A="??????????"))),IF($C268="","",MIN($C268/40,1)),IF($D268="","",XLOOKUP($D268,FILTER(Dictionaries!$B:$B,Dictionaries!$A:$A="????"),FILTER(Dictionaries!$C:$C,Dictionaries!$A:$A="????"))),IF($E268="","",MIN($E268/120,1)),IF(OR($F268&lt;&gt;"",$G268&lt;&gt;""),1,""),IF($H268="","",MIN($H268/100,1)),IF($L268="","",XLOOKUP($L268,FILTER(Dictionaries!$B:$B,Dictionaries!$A:$A="???_????"),FILTER(Dictionaries!$C:$C,Dictionaries!$A:$A="???_????"))),IF($M268="","",XLOOKUP($M268,FILTER(Dictionaries!$B:$B,Dictionaries!$A:$A="?????"),FILTER(Dictionaries!$C:$C,Dictionaries!$A:$A="?????"))),IF($N268="","",MIN($N268/100,1)),IF($O268="","",XLOOKUP($O268,FILTER(Dictionaries!$B:$B,Dictionaries!$A:$A="??????????"),FILTER(Dictionaries!$C:$C,Dictionaries!$A:$A="??????????"))),IF($P268="","",XLOOKUP($P268,FILTER(Dictionaries!$B:$B,Dictionaries!$A:$A="???????"),FILTER(Dictionaries!$C:$C,Dictionaries!$A:$A="???????"))),IF($U268="","",LET(t,IF(OR($B268="????",$B268="????"),"train","rest"),k,$U268,p,$V268,f,$W268,c,$X268,k_s,IF(t="train",IF(k="","",IFS(AND(k&gt;=1900,k&lt;=2050),1,AND(k&gt;=1850,k&lt;1900),0.7,AND(k&gt;2050,k&lt;=2100),0.7,TRUE,0.2)),IF(k="","",IFS(AND(k&gt;=1700,k&lt;=1850),1,AND(k&gt;=1650,k&lt;1700),0.7,AND(k&gt;1850,k&lt;=1900),0.7,TRUE,0.2))),p_s,IF(t="train",IF(p="","",IFS(AND(p&gt;=125,p&lt;=135),1,AND(p&gt;=115,p&lt;125),0.7,AND(p&gt;135,p&lt;=145),0.7,AND(p&gt;=105,p&lt;115),0.4,AND(p&gt;145,p&lt;=155),0.4,TRUE,0.2)),IF(p="","",IFS(AND(p&gt;=120,p&lt;=130),1,AND(p&gt;=110,p&lt;120),0.7,AND(p&gt;130,p&lt;=140),0.7,AND(p&gt;=100,p&lt;110),0.4,AND(p&gt;140,p&lt;=150),0.4,TRUE,0.2))),f_s,IF(f="","",IFS(AND(f&gt;=55,f&lt;=65),1,AND(f&gt;=50,f&lt;55),0.7,AND(f&gt;65,f&lt;=70),0.7,AND(f&gt;=45,f&lt;50),0.4,AND(f&gt;70,f&lt;=75),0.4,TRUE,0.2)),c_s,IF(t="train",IF(c="","",IFS(AND(c&gt;=180,c&lt;=210),1,AND(c&gt;=160,c&lt;180),0.7,AND(c&gt;210,c&lt;=230),0.7,AND(c&gt;=140,c&lt;160),0.4,AND(c&gt;230,c&lt;=250),0.4,TRUE,0.2)),IF(c="","",IFS(AND(c&gt;=140,c&lt;=170),1,AND(c&gt;=120,c&lt;140),0.7,AND(c&gt;170,c&lt;=190),0.7,AND(c&gt;=100,c&lt;120),0.4,AND(c&gt;190,c&lt;=210),0.4,TRUE,0.2))),AVERAGE(k_s,p_s,f_s,c_s)))),1),""))</f>
        <v/>
      </c>
      <c r="Z268">
        <f>IF($A268="","",TEXTJOIN(", ",TRUE,IF($B268="","??????????",""),IF($C268="","??????",""),IF($D268="","????",""),IF($E268="","??????????",""),IF($F268="","???-?????",""),IF($G268="","???-????",""),IF($H268="","??????",""),IF($L268="","???",""),IF($M268="","?????",""),IF($N268="","??????????????",""),IF($O268="","??????????",""),IF($P268="","???????",""),IF($U268="","???","")))</f>
        <v/>
      </c>
    </row>
    <row r="269">
      <c r="U269">
        <f>IF($A269="","",IF(SUMIF(FoodLog!$A:$A,$A269,FoodLog!$I:$I)=0,"",SUMIF(FoodLog!$A:$A,$A269,FoodLog!$I:$I)))</f>
        <v/>
      </c>
      <c r="V269">
        <f>IF($A269="","",IF(SUMIF(FoodLog!$A:$A,$A269,FoodLog!$F:$F)=0,"",SUMIF(FoodLog!$A:$A,$A269,FoodLog!$F:$F)))</f>
        <v/>
      </c>
      <c r="W269">
        <f>IF($A269="","",IF(SUMIF(FoodLog!$A:$A,$A269,FoodLog!$G:$G)=0,"",SUMIF(FoodLog!$A:$A,$A269,FoodLog!$G:$G)))</f>
        <v/>
      </c>
      <c r="X269">
        <f>IF($A269="","",IF(SUMIF(FoodLog!$A:$A,$A269,FoodLog!$H:$H)=0,"",SUMIF(FoodLog!$A:$A,$A269,FoodLog!$H:$H)))</f>
        <v/>
      </c>
      <c r="Y269">
        <f>IF($A269="","",IFERROR(ROUND(100*AVERAGE(IF($B269="","",XLOOKUP($B269,FILTER(Dictionaries!$B:$B,Dictionaries!$A:$A="??????????"),FILTER(Dictionaries!$C:$C,Dictionaries!$A:$A="??????????"))),IF($C269="","",MIN($C269/40,1)),IF($D269="","",XLOOKUP($D269,FILTER(Dictionaries!$B:$B,Dictionaries!$A:$A="????"),FILTER(Dictionaries!$C:$C,Dictionaries!$A:$A="????"))),IF($E269="","",MIN($E269/120,1)),IF(OR($F269&lt;&gt;"",$G269&lt;&gt;""),1,""),IF($H269="","",MIN($H269/100,1)),IF($L269="","",XLOOKUP($L269,FILTER(Dictionaries!$B:$B,Dictionaries!$A:$A="???_????"),FILTER(Dictionaries!$C:$C,Dictionaries!$A:$A="???_????"))),IF($M269="","",XLOOKUP($M269,FILTER(Dictionaries!$B:$B,Dictionaries!$A:$A="?????"),FILTER(Dictionaries!$C:$C,Dictionaries!$A:$A="?????"))),IF($N269="","",MIN($N269/100,1)),IF($O269="","",XLOOKUP($O269,FILTER(Dictionaries!$B:$B,Dictionaries!$A:$A="??????????"),FILTER(Dictionaries!$C:$C,Dictionaries!$A:$A="??????????"))),IF($P269="","",XLOOKUP($P269,FILTER(Dictionaries!$B:$B,Dictionaries!$A:$A="???????"),FILTER(Dictionaries!$C:$C,Dictionaries!$A:$A="???????"))),IF($U269="","",LET(t,IF(OR($B269="????",$B269="????"),"train","rest"),k,$U269,p,$V269,f,$W269,c,$X269,k_s,IF(t="train",IF(k="","",IFS(AND(k&gt;=1900,k&lt;=2050),1,AND(k&gt;=1850,k&lt;1900),0.7,AND(k&gt;2050,k&lt;=2100),0.7,TRUE,0.2)),IF(k="","",IFS(AND(k&gt;=1700,k&lt;=1850),1,AND(k&gt;=1650,k&lt;1700),0.7,AND(k&gt;1850,k&lt;=1900),0.7,TRUE,0.2))),p_s,IF(t="train",IF(p="","",IFS(AND(p&gt;=125,p&lt;=135),1,AND(p&gt;=115,p&lt;125),0.7,AND(p&gt;135,p&lt;=145),0.7,AND(p&gt;=105,p&lt;115),0.4,AND(p&gt;145,p&lt;=155),0.4,TRUE,0.2)),IF(p="","",IFS(AND(p&gt;=120,p&lt;=130),1,AND(p&gt;=110,p&lt;120),0.7,AND(p&gt;130,p&lt;=140),0.7,AND(p&gt;=100,p&lt;110),0.4,AND(p&gt;140,p&lt;=150),0.4,TRUE,0.2))),f_s,IF(f="","",IFS(AND(f&gt;=55,f&lt;=65),1,AND(f&gt;=50,f&lt;55),0.7,AND(f&gt;65,f&lt;=70),0.7,AND(f&gt;=45,f&lt;50),0.4,AND(f&gt;70,f&lt;=75),0.4,TRUE,0.2)),c_s,IF(t="train",IF(c="","",IFS(AND(c&gt;=180,c&lt;=210),1,AND(c&gt;=160,c&lt;180),0.7,AND(c&gt;210,c&lt;=230),0.7,AND(c&gt;=140,c&lt;160),0.4,AND(c&gt;230,c&lt;=250),0.4,TRUE,0.2)),IF(c="","",IFS(AND(c&gt;=140,c&lt;=170),1,AND(c&gt;=120,c&lt;140),0.7,AND(c&gt;170,c&lt;=190),0.7,AND(c&gt;=100,c&lt;120),0.4,AND(c&gt;190,c&lt;=210),0.4,TRUE,0.2))),AVERAGE(k_s,p_s,f_s,c_s)))),1),""))</f>
        <v/>
      </c>
      <c r="Z269">
        <f>IF($A269="","",TEXTJOIN(", ",TRUE,IF($B269="","??????????",""),IF($C269="","??????",""),IF($D269="","????",""),IF($E269="","??????????",""),IF($F269="","???-?????",""),IF($G269="","???-????",""),IF($H269="","??????",""),IF($L269="","???",""),IF($M269="","?????",""),IF($N269="","??????????????",""),IF($O269="","??????????",""),IF($P269="","???????",""),IF($U269="","???","")))</f>
        <v/>
      </c>
    </row>
    <row r="270">
      <c r="U270">
        <f>IF($A270="","",IF(SUMIF(FoodLog!$A:$A,$A270,FoodLog!$I:$I)=0,"",SUMIF(FoodLog!$A:$A,$A270,FoodLog!$I:$I)))</f>
        <v/>
      </c>
      <c r="V270">
        <f>IF($A270="","",IF(SUMIF(FoodLog!$A:$A,$A270,FoodLog!$F:$F)=0,"",SUMIF(FoodLog!$A:$A,$A270,FoodLog!$F:$F)))</f>
        <v/>
      </c>
      <c r="W270">
        <f>IF($A270="","",IF(SUMIF(FoodLog!$A:$A,$A270,FoodLog!$G:$G)=0,"",SUMIF(FoodLog!$A:$A,$A270,FoodLog!$G:$G)))</f>
        <v/>
      </c>
      <c r="X270">
        <f>IF($A270="","",IF(SUMIF(FoodLog!$A:$A,$A270,FoodLog!$H:$H)=0,"",SUMIF(FoodLog!$A:$A,$A270,FoodLog!$H:$H)))</f>
        <v/>
      </c>
      <c r="Y270">
        <f>IF($A270="","",IFERROR(ROUND(100*AVERAGE(IF($B270="","",XLOOKUP($B270,FILTER(Dictionaries!$B:$B,Dictionaries!$A:$A="??????????"),FILTER(Dictionaries!$C:$C,Dictionaries!$A:$A="??????????"))),IF($C270="","",MIN($C270/40,1)),IF($D270="","",XLOOKUP($D270,FILTER(Dictionaries!$B:$B,Dictionaries!$A:$A="????"),FILTER(Dictionaries!$C:$C,Dictionaries!$A:$A="????"))),IF($E270="","",MIN($E270/120,1)),IF(OR($F270&lt;&gt;"",$G270&lt;&gt;""),1,""),IF($H270="","",MIN($H270/100,1)),IF($L270="","",XLOOKUP($L270,FILTER(Dictionaries!$B:$B,Dictionaries!$A:$A="???_????"),FILTER(Dictionaries!$C:$C,Dictionaries!$A:$A="???_????"))),IF($M270="","",XLOOKUP($M270,FILTER(Dictionaries!$B:$B,Dictionaries!$A:$A="?????"),FILTER(Dictionaries!$C:$C,Dictionaries!$A:$A="?????"))),IF($N270="","",MIN($N270/100,1)),IF($O270="","",XLOOKUP($O270,FILTER(Dictionaries!$B:$B,Dictionaries!$A:$A="??????????"),FILTER(Dictionaries!$C:$C,Dictionaries!$A:$A="??????????"))),IF($P270="","",XLOOKUP($P270,FILTER(Dictionaries!$B:$B,Dictionaries!$A:$A="???????"),FILTER(Dictionaries!$C:$C,Dictionaries!$A:$A="???????"))),IF($U270="","",LET(t,IF(OR($B270="????",$B270="????"),"train","rest"),k,$U270,p,$V270,f,$W270,c,$X270,k_s,IF(t="train",IF(k="","",IFS(AND(k&gt;=1900,k&lt;=2050),1,AND(k&gt;=1850,k&lt;1900),0.7,AND(k&gt;2050,k&lt;=2100),0.7,TRUE,0.2)),IF(k="","",IFS(AND(k&gt;=1700,k&lt;=1850),1,AND(k&gt;=1650,k&lt;1700),0.7,AND(k&gt;1850,k&lt;=1900),0.7,TRUE,0.2))),p_s,IF(t="train",IF(p="","",IFS(AND(p&gt;=125,p&lt;=135),1,AND(p&gt;=115,p&lt;125),0.7,AND(p&gt;135,p&lt;=145),0.7,AND(p&gt;=105,p&lt;115),0.4,AND(p&gt;145,p&lt;=155),0.4,TRUE,0.2)),IF(p="","",IFS(AND(p&gt;=120,p&lt;=130),1,AND(p&gt;=110,p&lt;120),0.7,AND(p&gt;130,p&lt;=140),0.7,AND(p&gt;=100,p&lt;110),0.4,AND(p&gt;140,p&lt;=150),0.4,TRUE,0.2))),f_s,IF(f="","",IFS(AND(f&gt;=55,f&lt;=65),1,AND(f&gt;=50,f&lt;55),0.7,AND(f&gt;65,f&lt;=70),0.7,AND(f&gt;=45,f&lt;50),0.4,AND(f&gt;70,f&lt;=75),0.4,TRUE,0.2)),c_s,IF(t="train",IF(c="","",IFS(AND(c&gt;=180,c&lt;=210),1,AND(c&gt;=160,c&lt;180),0.7,AND(c&gt;210,c&lt;=230),0.7,AND(c&gt;=140,c&lt;160),0.4,AND(c&gt;230,c&lt;=250),0.4,TRUE,0.2)),IF(c="","",IFS(AND(c&gt;=140,c&lt;=170),1,AND(c&gt;=120,c&lt;140),0.7,AND(c&gt;170,c&lt;=190),0.7,AND(c&gt;=100,c&lt;120),0.4,AND(c&gt;190,c&lt;=210),0.4,TRUE,0.2))),AVERAGE(k_s,p_s,f_s,c_s)))),1),""))</f>
        <v/>
      </c>
      <c r="Z270">
        <f>IF($A270="","",TEXTJOIN(", ",TRUE,IF($B270="","??????????",""),IF($C270="","??????",""),IF($D270="","????",""),IF($E270="","??????????",""),IF($F270="","???-?????",""),IF($G270="","???-????",""),IF($H270="","??????",""),IF($L270="","???",""),IF($M270="","?????",""),IF($N270="","??????????????",""),IF($O270="","??????????",""),IF($P270="","???????",""),IF($U270="","???","")))</f>
        <v/>
      </c>
    </row>
    <row r="271">
      <c r="U271">
        <f>IF($A271="","",IF(SUMIF(FoodLog!$A:$A,$A271,FoodLog!$I:$I)=0,"",SUMIF(FoodLog!$A:$A,$A271,FoodLog!$I:$I)))</f>
        <v/>
      </c>
      <c r="V271">
        <f>IF($A271="","",IF(SUMIF(FoodLog!$A:$A,$A271,FoodLog!$F:$F)=0,"",SUMIF(FoodLog!$A:$A,$A271,FoodLog!$F:$F)))</f>
        <v/>
      </c>
      <c r="W271">
        <f>IF($A271="","",IF(SUMIF(FoodLog!$A:$A,$A271,FoodLog!$G:$G)=0,"",SUMIF(FoodLog!$A:$A,$A271,FoodLog!$G:$G)))</f>
        <v/>
      </c>
      <c r="X271">
        <f>IF($A271="","",IF(SUMIF(FoodLog!$A:$A,$A271,FoodLog!$H:$H)=0,"",SUMIF(FoodLog!$A:$A,$A271,FoodLog!$H:$H)))</f>
        <v/>
      </c>
      <c r="Y271">
        <f>IF($A271="","",IFERROR(ROUND(100*AVERAGE(IF($B271="","",XLOOKUP($B271,FILTER(Dictionaries!$B:$B,Dictionaries!$A:$A="??????????"),FILTER(Dictionaries!$C:$C,Dictionaries!$A:$A="??????????"))),IF($C271="","",MIN($C271/40,1)),IF($D271="","",XLOOKUP($D271,FILTER(Dictionaries!$B:$B,Dictionaries!$A:$A="????"),FILTER(Dictionaries!$C:$C,Dictionaries!$A:$A="????"))),IF($E271="","",MIN($E271/120,1)),IF(OR($F271&lt;&gt;"",$G271&lt;&gt;""),1,""),IF($H271="","",MIN($H271/100,1)),IF($L271="","",XLOOKUP($L271,FILTER(Dictionaries!$B:$B,Dictionaries!$A:$A="???_????"),FILTER(Dictionaries!$C:$C,Dictionaries!$A:$A="???_????"))),IF($M271="","",XLOOKUP($M271,FILTER(Dictionaries!$B:$B,Dictionaries!$A:$A="?????"),FILTER(Dictionaries!$C:$C,Dictionaries!$A:$A="?????"))),IF($N271="","",MIN($N271/100,1)),IF($O271="","",XLOOKUP($O271,FILTER(Dictionaries!$B:$B,Dictionaries!$A:$A="??????????"),FILTER(Dictionaries!$C:$C,Dictionaries!$A:$A="??????????"))),IF($P271="","",XLOOKUP($P271,FILTER(Dictionaries!$B:$B,Dictionaries!$A:$A="???????"),FILTER(Dictionaries!$C:$C,Dictionaries!$A:$A="???????"))),IF($U271="","",LET(t,IF(OR($B271="????",$B271="????"),"train","rest"),k,$U271,p,$V271,f,$W271,c,$X271,k_s,IF(t="train",IF(k="","",IFS(AND(k&gt;=1900,k&lt;=2050),1,AND(k&gt;=1850,k&lt;1900),0.7,AND(k&gt;2050,k&lt;=2100),0.7,TRUE,0.2)),IF(k="","",IFS(AND(k&gt;=1700,k&lt;=1850),1,AND(k&gt;=1650,k&lt;1700),0.7,AND(k&gt;1850,k&lt;=1900),0.7,TRUE,0.2))),p_s,IF(t="train",IF(p="","",IFS(AND(p&gt;=125,p&lt;=135),1,AND(p&gt;=115,p&lt;125),0.7,AND(p&gt;135,p&lt;=145),0.7,AND(p&gt;=105,p&lt;115),0.4,AND(p&gt;145,p&lt;=155),0.4,TRUE,0.2)),IF(p="","",IFS(AND(p&gt;=120,p&lt;=130),1,AND(p&gt;=110,p&lt;120),0.7,AND(p&gt;130,p&lt;=140),0.7,AND(p&gt;=100,p&lt;110),0.4,AND(p&gt;140,p&lt;=150),0.4,TRUE,0.2))),f_s,IF(f="","",IFS(AND(f&gt;=55,f&lt;=65),1,AND(f&gt;=50,f&lt;55),0.7,AND(f&gt;65,f&lt;=70),0.7,AND(f&gt;=45,f&lt;50),0.4,AND(f&gt;70,f&lt;=75),0.4,TRUE,0.2)),c_s,IF(t="train",IF(c="","",IFS(AND(c&gt;=180,c&lt;=210),1,AND(c&gt;=160,c&lt;180),0.7,AND(c&gt;210,c&lt;=230),0.7,AND(c&gt;=140,c&lt;160),0.4,AND(c&gt;230,c&lt;=250),0.4,TRUE,0.2)),IF(c="","",IFS(AND(c&gt;=140,c&lt;=170),1,AND(c&gt;=120,c&lt;140),0.7,AND(c&gt;170,c&lt;=190),0.7,AND(c&gt;=100,c&lt;120),0.4,AND(c&gt;190,c&lt;=210),0.4,TRUE,0.2))),AVERAGE(k_s,p_s,f_s,c_s)))),1),""))</f>
        <v/>
      </c>
      <c r="Z271">
        <f>IF($A271="","",TEXTJOIN(", ",TRUE,IF($B271="","??????????",""),IF($C271="","??????",""),IF($D271="","????",""),IF($E271="","??????????",""),IF($F271="","???-?????",""),IF($G271="","???-????",""),IF($H271="","??????",""),IF($L271="","???",""),IF($M271="","?????",""),IF($N271="","??????????????",""),IF($O271="","??????????",""),IF($P271="","???????",""),IF($U271="","???","")))</f>
        <v/>
      </c>
    </row>
    <row r="272">
      <c r="U272">
        <f>IF($A272="","",IF(SUMIF(FoodLog!$A:$A,$A272,FoodLog!$I:$I)=0,"",SUMIF(FoodLog!$A:$A,$A272,FoodLog!$I:$I)))</f>
        <v/>
      </c>
      <c r="V272">
        <f>IF($A272="","",IF(SUMIF(FoodLog!$A:$A,$A272,FoodLog!$F:$F)=0,"",SUMIF(FoodLog!$A:$A,$A272,FoodLog!$F:$F)))</f>
        <v/>
      </c>
      <c r="W272">
        <f>IF($A272="","",IF(SUMIF(FoodLog!$A:$A,$A272,FoodLog!$G:$G)=0,"",SUMIF(FoodLog!$A:$A,$A272,FoodLog!$G:$G)))</f>
        <v/>
      </c>
      <c r="X272">
        <f>IF($A272="","",IF(SUMIF(FoodLog!$A:$A,$A272,FoodLog!$H:$H)=0,"",SUMIF(FoodLog!$A:$A,$A272,FoodLog!$H:$H)))</f>
        <v/>
      </c>
      <c r="Y272">
        <f>IF($A272="","",IFERROR(ROUND(100*AVERAGE(IF($B272="","",XLOOKUP($B272,FILTER(Dictionaries!$B:$B,Dictionaries!$A:$A="??????????"),FILTER(Dictionaries!$C:$C,Dictionaries!$A:$A="??????????"))),IF($C272="","",MIN($C272/40,1)),IF($D272="","",XLOOKUP($D272,FILTER(Dictionaries!$B:$B,Dictionaries!$A:$A="????"),FILTER(Dictionaries!$C:$C,Dictionaries!$A:$A="????"))),IF($E272="","",MIN($E272/120,1)),IF(OR($F272&lt;&gt;"",$G272&lt;&gt;""),1,""),IF($H272="","",MIN($H272/100,1)),IF($L272="","",XLOOKUP($L272,FILTER(Dictionaries!$B:$B,Dictionaries!$A:$A="???_????"),FILTER(Dictionaries!$C:$C,Dictionaries!$A:$A="???_????"))),IF($M272="","",XLOOKUP($M272,FILTER(Dictionaries!$B:$B,Dictionaries!$A:$A="?????"),FILTER(Dictionaries!$C:$C,Dictionaries!$A:$A="?????"))),IF($N272="","",MIN($N272/100,1)),IF($O272="","",XLOOKUP($O272,FILTER(Dictionaries!$B:$B,Dictionaries!$A:$A="??????????"),FILTER(Dictionaries!$C:$C,Dictionaries!$A:$A="??????????"))),IF($P272="","",XLOOKUP($P272,FILTER(Dictionaries!$B:$B,Dictionaries!$A:$A="???????"),FILTER(Dictionaries!$C:$C,Dictionaries!$A:$A="???????"))),IF($U272="","",LET(t,IF(OR($B272="????",$B272="????"),"train","rest"),k,$U272,p,$V272,f,$W272,c,$X272,k_s,IF(t="train",IF(k="","",IFS(AND(k&gt;=1900,k&lt;=2050),1,AND(k&gt;=1850,k&lt;1900),0.7,AND(k&gt;2050,k&lt;=2100),0.7,TRUE,0.2)),IF(k="","",IFS(AND(k&gt;=1700,k&lt;=1850),1,AND(k&gt;=1650,k&lt;1700),0.7,AND(k&gt;1850,k&lt;=1900),0.7,TRUE,0.2))),p_s,IF(t="train",IF(p="","",IFS(AND(p&gt;=125,p&lt;=135),1,AND(p&gt;=115,p&lt;125),0.7,AND(p&gt;135,p&lt;=145),0.7,AND(p&gt;=105,p&lt;115),0.4,AND(p&gt;145,p&lt;=155),0.4,TRUE,0.2)),IF(p="","",IFS(AND(p&gt;=120,p&lt;=130),1,AND(p&gt;=110,p&lt;120),0.7,AND(p&gt;130,p&lt;=140),0.7,AND(p&gt;=100,p&lt;110),0.4,AND(p&gt;140,p&lt;=150),0.4,TRUE,0.2))),f_s,IF(f="","",IFS(AND(f&gt;=55,f&lt;=65),1,AND(f&gt;=50,f&lt;55),0.7,AND(f&gt;65,f&lt;=70),0.7,AND(f&gt;=45,f&lt;50),0.4,AND(f&gt;70,f&lt;=75),0.4,TRUE,0.2)),c_s,IF(t="train",IF(c="","",IFS(AND(c&gt;=180,c&lt;=210),1,AND(c&gt;=160,c&lt;180),0.7,AND(c&gt;210,c&lt;=230),0.7,AND(c&gt;=140,c&lt;160),0.4,AND(c&gt;230,c&lt;=250),0.4,TRUE,0.2)),IF(c="","",IFS(AND(c&gt;=140,c&lt;=170),1,AND(c&gt;=120,c&lt;140),0.7,AND(c&gt;170,c&lt;=190),0.7,AND(c&gt;=100,c&lt;120),0.4,AND(c&gt;190,c&lt;=210),0.4,TRUE,0.2))),AVERAGE(k_s,p_s,f_s,c_s)))),1),""))</f>
        <v/>
      </c>
      <c r="Z272">
        <f>IF($A272="","",TEXTJOIN(", ",TRUE,IF($B272="","??????????",""),IF($C272="","??????",""),IF($D272="","????",""),IF($E272="","??????????",""),IF($F272="","???-?????",""),IF($G272="","???-????",""),IF($H272="","??????",""),IF($L272="","???",""),IF($M272="","?????",""),IF($N272="","??????????????",""),IF($O272="","??????????",""),IF($P272="","???????",""),IF($U272="","???","")))</f>
        <v/>
      </c>
    </row>
    <row r="273">
      <c r="U273">
        <f>IF($A273="","",IF(SUMIF(FoodLog!$A:$A,$A273,FoodLog!$I:$I)=0,"",SUMIF(FoodLog!$A:$A,$A273,FoodLog!$I:$I)))</f>
        <v/>
      </c>
      <c r="V273">
        <f>IF($A273="","",IF(SUMIF(FoodLog!$A:$A,$A273,FoodLog!$F:$F)=0,"",SUMIF(FoodLog!$A:$A,$A273,FoodLog!$F:$F)))</f>
        <v/>
      </c>
      <c r="W273">
        <f>IF($A273="","",IF(SUMIF(FoodLog!$A:$A,$A273,FoodLog!$G:$G)=0,"",SUMIF(FoodLog!$A:$A,$A273,FoodLog!$G:$G)))</f>
        <v/>
      </c>
      <c r="X273">
        <f>IF($A273="","",IF(SUMIF(FoodLog!$A:$A,$A273,FoodLog!$H:$H)=0,"",SUMIF(FoodLog!$A:$A,$A273,FoodLog!$H:$H)))</f>
        <v/>
      </c>
      <c r="Y273">
        <f>IF($A273="","",IFERROR(ROUND(100*AVERAGE(IF($B273="","",XLOOKUP($B273,FILTER(Dictionaries!$B:$B,Dictionaries!$A:$A="??????????"),FILTER(Dictionaries!$C:$C,Dictionaries!$A:$A="??????????"))),IF($C273="","",MIN($C273/40,1)),IF($D273="","",XLOOKUP($D273,FILTER(Dictionaries!$B:$B,Dictionaries!$A:$A="????"),FILTER(Dictionaries!$C:$C,Dictionaries!$A:$A="????"))),IF($E273="","",MIN($E273/120,1)),IF(OR($F273&lt;&gt;"",$G273&lt;&gt;""),1,""),IF($H273="","",MIN($H273/100,1)),IF($L273="","",XLOOKUP($L273,FILTER(Dictionaries!$B:$B,Dictionaries!$A:$A="???_????"),FILTER(Dictionaries!$C:$C,Dictionaries!$A:$A="???_????"))),IF($M273="","",XLOOKUP($M273,FILTER(Dictionaries!$B:$B,Dictionaries!$A:$A="?????"),FILTER(Dictionaries!$C:$C,Dictionaries!$A:$A="?????"))),IF($N273="","",MIN($N273/100,1)),IF($O273="","",XLOOKUP($O273,FILTER(Dictionaries!$B:$B,Dictionaries!$A:$A="??????????"),FILTER(Dictionaries!$C:$C,Dictionaries!$A:$A="??????????"))),IF($P273="","",XLOOKUP($P273,FILTER(Dictionaries!$B:$B,Dictionaries!$A:$A="???????"),FILTER(Dictionaries!$C:$C,Dictionaries!$A:$A="???????"))),IF($U273="","",LET(t,IF(OR($B273="????",$B273="????"),"train","rest"),k,$U273,p,$V273,f,$W273,c,$X273,k_s,IF(t="train",IF(k="","",IFS(AND(k&gt;=1900,k&lt;=2050),1,AND(k&gt;=1850,k&lt;1900),0.7,AND(k&gt;2050,k&lt;=2100),0.7,TRUE,0.2)),IF(k="","",IFS(AND(k&gt;=1700,k&lt;=1850),1,AND(k&gt;=1650,k&lt;1700),0.7,AND(k&gt;1850,k&lt;=1900),0.7,TRUE,0.2))),p_s,IF(t="train",IF(p="","",IFS(AND(p&gt;=125,p&lt;=135),1,AND(p&gt;=115,p&lt;125),0.7,AND(p&gt;135,p&lt;=145),0.7,AND(p&gt;=105,p&lt;115),0.4,AND(p&gt;145,p&lt;=155),0.4,TRUE,0.2)),IF(p="","",IFS(AND(p&gt;=120,p&lt;=130),1,AND(p&gt;=110,p&lt;120),0.7,AND(p&gt;130,p&lt;=140),0.7,AND(p&gt;=100,p&lt;110),0.4,AND(p&gt;140,p&lt;=150),0.4,TRUE,0.2))),f_s,IF(f="","",IFS(AND(f&gt;=55,f&lt;=65),1,AND(f&gt;=50,f&lt;55),0.7,AND(f&gt;65,f&lt;=70),0.7,AND(f&gt;=45,f&lt;50),0.4,AND(f&gt;70,f&lt;=75),0.4,TRUE,0.2)),c_s,IF(t="train",IF(c="","",IFS(AND(c&gt;=180,c&lt;=210),1,AND(c&gt;=160,c&lt;180),0.7,AND(c&gt;210,c&lt;=230),0.7,AND(c&gt;=140,c&lt;160),0.4,AND(c&gt;230,c&lt;=250),0.4,TRUE,0.2)),IF(c="","",IFS(AND(c&gt;=140,c&lt;=170),1,AND(c&gt;=120,c&lt;140),0.7,AND(c&gt;170,c&lt;=190),0.7,AND(c&gt;=100,c&lt;120),0.4,AND(c&gt;190,c&lt;=210),0.4,TRUE,0.2))),AVERAGE(k_s,p_s,f_s,c_s)))),1),""))</f>
        <v/>
      </c>
      <c r="Z273">
        <f>IF($A273="","",TEXTJOIN(", ",TRUE,IF($B273="","??????????",""),IF($C273="","??????",""),IF($D273="","????",""),IF($E273="","??????????",""),IF($F273="","???-?????",""),IF($G273="","???-????",""),IF($H273="","??????",""),IF($L273="","???",""),IF($M273="","?????",""),IF($N273="","??????????????",""),IF($O273="","??????????",""),IF($P273="","???????",""),IF($U273="","???","")))</f>
        <v/>
      </c>
    </row>
    <row r="274">
      <c r="U274">
        <f>IF($A274="","",IF(SUMIF(FoodLog!$A:$A,$A274,FoodLog!$I:$I)=0,"",SUMIF(FoodLog!$A:$A,$A274,FoodLog!$I:$I)))</f>
        <v/>
      </c>
      <c r="V274">
        <f>IF($A274="","",IF(SUMIF(FoodLog!$A:$A,$A274,FoodLog!$F:$F)=0,"",SUMIF(FoodLog!$A:$A,$A274,FoodLog!$F:$F)))</f>
        <v/>
      </c>
      <c r="W274">
        <f>IF($A274="","",IF(SUMIF(FoodLog!$A:$A,$A274,FoodLog!$G:$G)=0,"",SUMIF(FoodLog!$A:$A,$A274,FoodLog!$G:$G)))</f>
        <v/>
      </c>
      <c r="X274">
        <f>IF($A274="","",IF(SUMIF(FoodLog!$A:$A,$A274,FoodLog!$H:$H)=0,"",SUMIF(FoodLog!$A:$A,$A274,FoodLog!$H:$H)))</f>
        <v/>
      </c>
      <c r="Y274">
        <f>IF($A274="","",IFERROR(ROUND(100*AVERAGE(IF($B274="","",XLOOKUP($B274,FILTER(Dictionaries!$B:$B,Dictionaries!$A:$A="??????????"),FILTER(Dictionaries!$C:$C,Dictionaries!$A:$A="??????????"))),IF($C274="","",MIN($C274/40,1)),IF($D274="","",XLOOKUP($D274,FILTER(Dictionaries!$B:$B,Dictionaries!$A:$A="????"),FILTER(Dictionaries!$C:$C,Dictionaries!$A:$A="????"))),IF($E274="","",MIN($E274/120,1)),IF(OR($F274&lt;&gt;"",$G274&lt;&gt;""),1,""),IF($H274="","",MIN($H274/100,1)),IF($L274="","",XLOOKUP($L274,FILTER(Dictionaries!$B:$B,Dictionaries!$A:$A="???_????"),FILTER(Dictionaries!$C:$C,Dictionaries!$A:$A="???_????"))),IF($M274="","",XLOOKUP($M274,FILTER(Dictionaries!$B:$B,Dictionaries!$A:$A="?????"),FILTER(Dictionaries!$C:$C,Dictionaries!$A:$A="?????"))),IF($N274="","",MIN($N274/100,1)),IF($O274="","",XLOOKUP($O274,FILTER(Dictionaries!$B:$B,Dictionaries!$A:$A="??????????"),FILTER(Dictionaries!$C:$C,Dictionaries!$A:$A="??????????"))),IF($P274="","",XLOOKUP($P274,FILTER(Dictionaries!$B:$B,Dictionaries!$A:$A="???????"),FILTER(Dictionaries!$C:$C,Dictionaries!$A:$A="???????"))),IF($U274="","",LET(t,IF(OR($B274="????",$B274="????"),"train","rest"),k,$U274,p,$V274,f,$W274,c,$X274,k_s,IF(t="train",IF(k="","",IFS(AND(k&gt;=1900,k&lt;=2050),1,AND(k&gt;=1850,k&lt;1900),0.7,AND(k&gt;2050,k&lt;=2100),0.7,TRUE,0.2)),IF(k="","",IFS(AND(k&gt;=1700,k&lt;=1850),1,AND(k&gt;=1650,k&lt;1700),0.7,AND(k&gt;1850,k&lt;=1900),0.7,TRUE,0.2))),p_s,IF(t="train",IF(p="","",IFS(AND(p&gt;=125,p&lt;=135),1,AND(p&gt;=115,p&lt;125),0.7,AND(p&gt;135,p&lt;=145),0.7,AND(p&gt;=105,p&lt;115),0.4,AND(p&gt;145,p&lt;=155),0.4,TRUE,0.2)),IF(p="","",IFS(AND(p&gt;=120,p&lt;=130),1,AND(p&gt;=110,p&lt;120),0.7,AND(p&gt;130,p&lt;=140),0.7,AND(p&gt;=100,p&lt;110),0.4,AND(p&gt;140,p&lt;=150),0.4,TRUE,0.2))),f_s,IF(f="","",IFS(AND(f&gt;=55,f&lt;=65),1,AND(f&gt;=50,f&lt;55),0.7,AND(f&gt;65,f&lt;=70),0.7,AND(f&gt;=45,f&lt;50),0.4,AND(f&gt;70,f&lt;=75),0.4,TRUE,0.2)),c_s,IF(t="train",IF(c="","",IFS(AND(c&gt;=180,c&lt;=210),1,AND(c&gt;=160,c&lt;180),0.7,AND(c&gt;210,c&lt;=230),0.7,AND(c&gt;=140,c&lt;160),0.4,AND(c&gt;230,c&lt;=250),0.4,TRUE,0.2)),IF(c="","",IFS(AND(c&gt;=140,c&lt;=170),1,AND(c&gt;=120,c&lt;140),0.7,AND(c&gt;170,c&lt;=190),0.7,AND(c&gt;=100,c&lt;120),0.4,AND(c&gt;190,c&lt;=210),0.4,TRUE,0.2))),AVERAGE(k_s,p_s,f_s,c_s)))),1),""))</f>
        <v/>
      </c>
      <c r="Z274">
        <f>IF($A274="","",TEXTJOIN(", ",TRUE,IF($B274="","??????????",""),IF($C274="","??????",""),IF($D274="","????",""),IF($E274="","??????????",""),IF($F274="","???-?????",""),IF($G274="","???-????",""),IF($H274="","??????",""),IF($L274="","???",""),IF($M274="","?????",""),IF($N274="","??????????????",""),IF($O274="","??????????",""),IF($P274="","???????",""),IF($U274="","???","")))</f>
        <v/>
      </c>
    </row>
    <row r="275">
      <c r="U275">
        <f>IF($A275="","",IF(SUMIF(FoodLog!$A:$A,$A275,FoodLog!$I:$I)=0,"",SUMIF(FoodLog!$A:$A,$A275,FoodLog!$I:$I)))</f>
        <v/>
      </c>
      <c r="V275">
        <f>IF($A275="","",IF(SUMIF(FoodLog!$A:$A,$A275,FoodLog!$F:$F)=0,"",SUMIF(FoodLog!$A:$A,$A275,FoodLog!$F:$F)))</f>
        <v/>
      </c>
      <c r="W275">
        <f>IF($A275="","",IF(SUMIF(FoodLog!$A:$A,$A275,FoodLog!$G:$G)=0,"",SUMIF(FoodLog!$A:$A,$A275,FoodLog!$G:$G)))</f>
        <v/>
      </c>
      <c r="X275">
        <f>IF($A275="","",IF(SUMIF(FoodLog!$A:$A,$A275,FoodLog!$H:$H)=0,"",SUMIF(FoodLog!$A:$A,$A275,FoodLog!$H:$H)))</f>
        <v/>
      </c>
      <c r="Y275">
        <f>IF($A275="","",IFERROR(ROUND(100*AVERAGE(IF($B275="","",XLOOKUP($B275,FILTER(Dictionaries!$B:$B,Dictionaries!$A:$A="??????????"),FILTER(Dictionaries!$C:$C,Dictionaries!$A:$A="??????????"))),IF($C275="","",MIN($C275/40,1)),IF($D275="","",XLOOKUP($D275,FILTER(Dictionaries!$B:$B,Dictionaries!$A:$A="????"),FILTER(Dictionaries!$C:$C,Dictionaries!$A:$A="????"))),IF($E275="","",MIN($E275/120,1)),IF(OR($F275&lt;&gt;"",$G275&lt;&gt;""),1,""),IF($H275="","",MIN($H275/100,1)),IF($L275="","",XLOOKUP($L275,FILTER(Dictionaries!$B:$B,Dictionaries!$A:$A="???_????"),FILTER(Dictionaries!$C:$C,Dictionaries!$A:$A="???_????"))),IF($M275="","",XLOOKUP($M275,FILTER(Dictionaries!$B:$B,Dictionaries!$A:$A="?????"),FILTER(Dictionaries!$C:$C,Dictionaries!$A:$A="?????"))),IF($N275="","",MIN($N275/100,1)),IF($O275="","",XLOOKUP($O275,FILTER(Dictionaries!$B:$B,Dictionaries!$A:$A="??????????"),FILTER(Dictionaries!$C:$C,Dictionaries!$A:$A="??????????"))),IF($P275="","",XLOOKUP($P275,FILTER(Dictionaries!$B:$B,Dictionaries!$A:$A="???????"),FILTER(Dictionaries!$C:$C,Dictionaries!$A:$A="???????"))),IF($U275="","",LET(t,IF(OR($B275="????",$B275="????"),"train","rest"),k,$U275,p,$V275,f,$W275,c,$X275,k_s,IF(t="train",IF(k="","",IFS(AND(k&gt;=1900,k&lt;=2050),1,AND(k&gt;=1850,k&lt;1900),0.7,AND(k&gt;2050,k&lt;=2100),0.7,TRUE,0.2)),IF(k="","",IFS(AND(k&gt;=1700,k&lt;=1850),1,AND(k&gt;=1650,k&lt;1700),0.7,AND(k&gt;1850,k&lt;=1900),0.7,TRUE,0.2))),p_s,IF(t="train",IF(p="","",IFS(AND(p&gt;=125,p&lt;=135),1,AND(p&gt;=115,p&lt;125),0.7,AND(p&gt;135,p&lt;=145),0.7,AND(p&gt;=105,p&lt;115),0.4,AND(p&gt;145,p&lt;=155),0.4,TRUE,0.2)),IF(p="","",IFS(AND(p&gt;=120,p&lt;=130),1,AND(p&gt;=110,p&lt;120),0.7,AND(p&gt;130,p&lt;=140),0.7,AND(p&gt;=100,p&lt;110),0.4,AND(p&gt;140,p&lt;=150),0.4,TRUE,0.2))),f_s,IF(f="","",IFS(AND(f&gt;=55,f&lt;=65),1,AND(f&gt;=50,f&lt;55),0.7,AND(f&gt;65,f&lt;=70),0.7,AND(f&gt;=45,f&lt;50),0.4,AND(f&gt;70,f&lt;=75),0.4,TRUE,0.2)),c_s,IF(t="train",IF(c="","",IFS(AND(c&gt;=180,c&lt;=210),1,AND(c&gt;=160,c&lt;180),0.7,AND(c&gt;210,c&lt;=230),0.7,AND(c&gt;=140,c&lt;160),0.4,AND(c&gt;230,c&lt;=250),0.4,TRUE,0.2)),IF(c="","",IFS(AND(c&gt;=140,c&lt;=170),1,AND(c&gt;=120,c&lt;140),0.7,AND(c&gt;170,c&lt;=190),0.7,AND(c&gt;=100,c&lt;120),0.4,AND(c&gt;190,c&lt;=210),0.4,TRUE,0.2))),AVERAGE(k_s,p_s,f_s,c_s)))),1),""))</f>
        <v/>
      </c>
      <c r="Z275">
        <f>IF($A275="","",TEXTJOIN(", ",TRUE,IF($B275="","??????????",""),IF($C275="","??????",""),IF($D275="","????",""),IF($E275="","??????????",""),IF($F275="","???-?????",""),IF($G275="","???-????",""),IF($H275="","??????",""),IF($L275="","???",""),IF($M275="","?????",""),IF($N275="","??????????????",""),IF($O275="","??????????",""),IF($P275="","???????",""),IF($U275="","???","")))</f>
        <v/>
      </c>
    </row>
    <row r="276">
      <c r="U276">
        <f>IF($A276="","",IF(SUMIF(FoodLog!$A:$A,$A276,FoodLog!$I:$I)=0,"",SUMIF(FoodLog!$A:$A,$A276,FoodLog!$I:$I)))</f>
        <v/>
      </c>
      <c r="V276">
        <f>IF($A276="","",IF(SUMIF(FoodLog!$A:$A,$A276,FoodLog!$F:$F)=0,"",SUMIF(FoodLog!$A:$A,$A276,FoodLog!$F:$F)))</f>
        <v/>
      </c>
      <c r="W276">
        <f>IF($A276="","",IF(SUMIF(FoodLog!$A:$A,$A276,FoodLog!$G:$G)=0,"",SUMIF(FoodLog!$A:$A,$A276,FoodLog!$G:$G)))</f>
        <v/>
      </c>
      <c r="X276">
        <f>IF($A276="","",IF(SUMIF(FoodLog!$A:$A,$A276,FoodLog!$H:$H)=0,"",SUMIF(FoodLog!$A:$A,$A276,FoodLog!$H:$H)))</f>
        <v/>
      </c>
      <c r="Y276">
        <f>IF($A276="","",IFERROR(ROUND(100*AVERAGE(IF($B276="","",XLOOKUP($B276,FILTER(Dictionaries!$B:$B,Dictionaries!$A:$A="??????????"),FILTER(Dictionaries!$C:$C,Dictionaries!$A:$A="??????????"))),IF($C276="","",MIN($C276/40,1)),IF($D276="","",XLOOKUP($D276,FILTER(Dictionaries!$B:$B,Dictionaries!$A:$A="????"),FILTER(Dictionaries!$C:$C,Dictionaries!$A:$A="????"))),IF($E276="","",MIN($E276/120,1)),IF(OR($F276&lt;&gt;"",$G276&lt;&gt;""),1,""),IF($H276="","",MIN($H276/100,1)),IF($L276="","",XLOOKUP($L276,FILTER(Dictionaries!$B:$B,Dictionaries!$A:$A="???_????"),FILTER(Dictionaries!$C:$C,Dictionaries!$A:$A="???_????"))),IF($M276="","",XLOOKUP($M276,FILTER(Dictionaries!$B:$B,Dictionaries!$A:$A="?????"),FILTER(Dictionaries!$C:$C,Dictionaries!$A:$A="?????"))),IF($N276="","",MIN($N276/100,1)),IF($O276="","",XLOOKUP($O276,FILTER(Dictionaries!$B:$B,Dictionaries!$A:$A="??????????"),FILTER(Dictionaries!$C:$C,Dictionaries!$A:$A="??????????"))),IF($P276="","",XLOOKUP($P276,FILTER(Dictionaries!$B:$B,Dictionaries!$A:$A="???????"),FILTER(Dictionaries!$C:$C,Dictionaries!$A:$A="???????"))),IF($U276="","",LET(t,IF(OR($B276="????",$B276="????"),"train","rest"),k,$U276,p,$V276,f,$W276,c,$X276,k_s,IF(t="train",IF(k="","",IFS(AND(k&gt;=1900,k&lt;=2050),1,AND(k&gt;=1850,k&lt;1900),0.7,AND(k&gt;2050,k&lt;=2100),0.7,TRUE,0.2)),IF(k="","",IFS(AND(k&gt;=1700,k&lt;=1850),1,AND(k&gt;=1650,k&lt;1700),0.7,AND(k&gt;1850,k&lt;=1900),0.7,TRUE,0.2))),p_s,IF(t="train",IF(p="","",IFS(AND(p&gt;=125,p&lt;=135),1,AND(p&gt;=115,p&lt;125),0.7,AND(p&gt;135,p&lt;=145),0.7,AND(p&gt;=105,p&lt;115),0.4,AND(p&gt;145,p&lt;=155),0.4,TRUE,0.2)),IF(p="","",IFS(AND(p&gt;=120,p&lt;=130),1,AND(p&gt;=110,p&lt;120),0.7,AND(p&gt;130,p&lt;=140),0.7,AND(p&gt;=100,p&lt;110),0.4,AND(p&gt;140,p&lt;=150),0.4,TRUE,0.2))),f_s,IF(f="","",IFS(AND(f&gt;=55,f&lt;=65),1,AND(f&gt;=50,f&lt;55),0.7,AND(f&gt;65,f&lt;=70),0.7,AND(f&gt;=45,f&lt;50),0.4,AND(f&gt;70,f&lt;=75),0.4,TRUE,0.2)),c_s,IF(t="train",IF(c="","",IFS(AND(c&gt;=180,c&lt;=210),1,AND(c&gt;=160,c&lt;180),0.7,AND(c&gt;210,c&lt;=230),0.7,AND(c&gt;=140,c&lt;160),0.4,AND(c&gt;230,c&lt;=250),0.4,TRUE,0.2)),IF(c="","",IFS(AND(c&gt;=140,c&lt;=170),1,AND(c&gt;=120,c&lt;140),0.7,AND(c&gt;170,c&lt;=190),0.7,AND(c&gt;=100,c&lt;120),0.4,AND(c&gt;190,c&lt;=210),0.4,TRUE,0.2))),AVERAGE(k_s,p_s,f_s,c_s)))),1),""))</f>
        <v/>
      </c>
      <c r="Z276">
        <f>IF($A276="","",TEXTJOIN(", ",TRUE,IF($B276="","??????????",""),IF($C276="","??????",""),IF($D276="","????",""),IF($E276="","??????????",""),IF($F276="","???-?????",""),IF($G276="","???-????",""),IF($H276="","??????",""),IF($L276="","???",""),IF($M276="","?????",""),IF($N276="","??????????????",""),IF($O276="","??????????",""),IF($P276="","???????",""),IF($U276="","???","")))</f>
        <v/>
      </c>
    </row>
    <row r="277">
      <c r="U277">
        <f>IF($A277="","",IF(SUMIF(FoodLog!$A:$A,$A277,FoodLog!$I:$I)=0,"",SUMIF(FoodLog!$A:$A,$A277,FoodLog!$I:$I)))</f>
        <v/>
      </c>
      <c r="V277">
        <f>IF($A277="","",IF(SUMIF(FoodLog!$A:$A,$A277,FoodLog!$F:$F)=0,"",SUMIF(FoodLog!$A:$A,$A277,FoodLog!$F:$F)))</f>
        <v/>
      </c>
      <c r="W277">
        <f>IF($A277="","",IF(SUMIF(FoodLog!$A:$A,$A277,FoodLog!$G:$G)=0,"",SUMIF(FoodLog!$A:$A,$A277,FoodLog!$G:$G)))</f>
        <v/>
      </c>
      <c r="X277">
        <f>IF($A277="","",IF(SUMIF(FoodLog!$A:$A,$A277,FoodLog!$H:$H)=0,"",SUMIF(FoodLog!$A:$A,$A277,FoodLog!$H:$H)))</f>
        <v/>
      </c>
      <c r="Y277">
        <f>IF($A277="","",IFERROR(ROUND(100*AVERAGE(IF($B277="","",XLOOKUP($B277,FILTER(Dictionaries!$B:$B,Dictionaries!$A:$A="??????????"),FILTER(Dictionaries!$C:$C,Dictionaries!$A:$A="??????????"))),IF($C277="","",MIN($C277/40,1)),IF($D277="","",XLOOKUP($D277,FILTER(Dictionaries!$B:$B,Dictionaries!$A:$A="????"),FILTER(Dictionaries!$C:$C,Dictionaries!$A:$A="????"))),IF($E277="","",MIN($E277/120,1)),IF(OR($F277&lt;&gt;"",$G277&lt;&gt;""),1,""),IF($H277="","",MIN($H277/100,1)),IF($L277="","",XLOOKUP($L277,FILTER(Dictionaries!$B:$B,Dictionaries!$A:$A="???_????"),FILTER(Dictionaries!$C:$C,Dictionaries!$A:$A="???_????"))),IF($M277="","",XLOOKUP($M277,FILTER(Dictionaries!$B:$B,Dictionaries!$A:$A="?????"),FILTER(Dictionaries!$C:$C,Dictionaries!$A:$A="?????"))),IF($N277="","",MIN($N277/100,1)),IF($O277="","",XLOOKUP($O277,FILTER(Dictionaries!$B:$B,Dictionaries!$A:$A="??????????"),FILTER(Dictionaries!$C:$C,Dictionaries!$A:$A="??????????"))),IF($P277="","",XLOOKUP($P277,FILTER(Dictionaries!$B:$B,Dictionaries!$A:$A="???????"),FILTER(Dictionaries!$C:$C,Dictionaries!$A:$A="???????"))),IF($U277="","",LET(t,IF(OR($B277="????",$B277="????"),"train","rest"),k,$U277,p,$V277,f,$W277,c,$X277,k_s,IF(t="train",IF(k="","",IFS(AND(k&gt;=1900,k&lt;=2050),1,AND(k&gt;=1850,k&lt;1900),0.7,AND(k&gt;2050,k&lt;=2100),0.7,TRUE,0.2)),IF(k="","",IFS(AND(k&gt;=1700,k&lt;=1850),1,AND(k&gt;=1650,k&lt;1700),0.7,AND(k&gt;1850,k&lt;=1900),0.7,TRUE,0.2))),p_s,IF(t="train",IF(p="","",IFS(AND(p&gt;=125,p&lt;=135),1,AND(p&gt;=115,p&lt;125),0.7,AND(p&gt;135,p&lt;=145),0.7,AND(p&gt;=105,p&lt;115),0.4,AND(p&gt;145,p&lt;=155),0.4,TRUE,0.2)),IF(p="","",IFS(AND(p&gt;=120,p&lt;=130),1,AND(p&gt;=110,p&lt;120),0.7,AND(p&gt;130,p&lt;=140),0.7,AND(p&gt;=100,p&lt;110),0.4,AND(p&gt;140,p&lt;=150),0.4,TRUE,0.2))),f_s,IF(f="","",IFS(AND(f&gt;=55,f&lt;=65),1,AND(f&gt;=50,f&lt;55),0.7,AND(f&gt;65,f&lt;=70),0.7,AND(f&gt;=45,f&lt;50),0.4,AND(f&gt;70,f&lt;=75),0.4,TRUE,0.2)),c_s,IF(t="train",IF(c="","",IFS(AND(c&gt;=180,c&lt;=210),1,AND(c&gt;=160,c&lt;180),0.7,AND(c&gt;210,c&lt;=230),0.7,AND(c&gt;=140,c&lt;160),0.4,AND(c&gt;230,c&lt;=250),0.4,TRUE,0.2)),IF(c="","",IFS(AND(c&gt;=140,c&lt;=170),1,AND(c&gt;=120,c&lt;140),0.7,AND(c&gt;170,c&lt;=190),0.7,AND(c&gt;=100,c&lt;120),0.4,AND(c&gt;190,c&lt;=210),0.4,TRUE,0.2))),AVERAGE(k_s,p_s,f_s,c_s)))),1),""))</f>
        <v/>
      </c>
      <c r="Z277">
        <f>IF($A277="","",TEXTJOIN(", ",TRUE,IF($B277="","??????????",""),IF($C277="","??????",""),IF($D277="","????",""),IF($E277="","??????????",""),IF($F277="","???-?????",""),IF($G277="","???-????",""),IF($H277="","??????",""),IF($L277="","???",""),IF($M277="","?????",""),IF($N277="","??????????????",""),IF($O277="","??????????",""),IF($P277="","???????",""),IF($U277="","???","")))</f>
        <v/>
      </c>
    </row>
    <row r="278">
      <c r="U278">
        <f>IF($A278="","",IF(SUMIF(FoodLog!$A:$A,$A278,FoodLog!$I:$I)=0,"",SUMIF(FoodLog!$A:$A,$A278,FoodLog!$I:$I)))</f>
        <v/>
      </c>
      <c r="V278">
        <f>IF($A278="","",IF(SUMIF(FoodLog!$A:$A,$A278,FoodLog!$F:$F)=0,"",SUMIF(FoodLog!$A:$A,$A278,FoodLog!$F:$F)))</f>
        <v/>
      </c>
      <c r="W278">
        <f>IF($A278="","",IF(SUMIF(FoodLog!$A:$A,$A278,FoodLog!$G:$G)=0,"",SUMIF(FoodLog!$A:$A,$A278,FoodLog!$G:$G)))</f>
        <v/>
      </c>
      <c r="X278">
        <f>IF($A278="","",IF(SUMIF(FoodLog!$A:$A,$A278,FoodLog!$H:$H)=0,"",SUMIF(FoodLog!$A:$A,$A278,FoodLog!$H:$H)))</f>
        <v/>
      </c>
      <c r="Y278">
        <f>IF($A278="","",IFERROR(ROUND(100*AVERAGE(IF($B278="","",XLOOKUP($B278,FILTER(Dictionaries!$B:$B,Dictionaries!$A:$A="??????????"),FILTER(Dictionaries!$C:$C,Dictionaries!$A:$A="??????????"))),IF($C278="","",MIN($C278/40,1)),IF($D278="","",XLOOKUP($D278,FILTER(Dictionaries!$B:$B,Dictionaries!$A:$A="????"),FILTER(Dictionaries!$C:$C,Dictionaries!$A:$A="????"))),IF($E278="","",MIN($E278/120,1)),IF(OR($F278&lt;&gt;"",$G278&lt;&gt;""),1,""),IF($H278="","",MIN($H278/100,1)),IF($L278="","",XLOOKUP($L278,FILTER(Dictionaries!$B:$B,Dictionaries!$A:$A="???_????"),FILTER(Dictionaries!$C:$C,Dictionaries!$A:$A="???_????"))),IF($M278="","",XLOOKUP($M278,FILTER(Dictionaries!$B:$B,Dictionaries!$A:$A="?????"),FILTER(Dictionaries!$C:$C,Dictionaries!$A:$A="?????"))),IF($N278="","",MIN($N278/100,1)),IF($O278="","",XLOOKUP($O278,FILTER(Dictionaries!$B:$B,Dictionaries!$A:$A="??????????"),FILTER(Dictionaries!$C:$C,Dictionaries!$A:$A="??????????"))),IF($P278="","",XLOOKUP($P278,FILTER(Dictionaries!$B:$B,Dictionaries!$A:$A="???????"),FILTER(Dictionaries!$C:$C,Dictionaries!$A:$A="???????"))),IF($U278="","",LET(t,IF(OR($B278="????",$B278="????"),"train","rest"),k,$U278,p,$V278,f,$W278,c,$X278,k_s,IF(t="train",IF(k="","",IFS(AND(k&gt;=1900,k&lt;=2050),1,AND(k&gt;=1850,k&lt;1900),0.7,AND(k&gt;2050,k&lt;=2100),0.7,TRUE,0.2)),IF(k="","",IFS(AND(k&gt;=1700,k&lt;=1850),1,AND(k&gt;=1650,k&lt;1700),0.7,AND(k&gt;1850,k&lt;=1900),0.7,TRUE,0.2))),p_s,IF(t="train",IF(p="","",IFS(AND(p&gt;=125,p&lt;=135),1,AND(p&gt;=115,p&lt;125),0.7,AND(p&gt;135,p&lt;=145),0.7,AND(p&gt;=105,p&lt;115),0.4,AND(p&gt;145,p&lt;=155),0.4,TRUE,0.2)),IF(p="","",IFS(AND(p&gt;=120,p&lt;=130),1,AND(p&gt;=110,p&lt;120),0.7,AND(p&gt;130,p&lt;=140),0.7,AND(p&gt;=100,p&lt;110),0.4,AND(p&gt;140,p&lt;=150),0.4,TRUE,0.2))),f_s,IF(f="","",IFS(AND(f&gt;=55,f&lt;=65),1,AND(f&gt;=50,f&lt;55),0.7,AND(f&gt;65,f&lt;=70),0.7,AND(f&gt;=45,f&lt;50),0.4,AND(f&gt;70,f&lt;=75),0.4,TRUE,0.2)),c_s,IF(t="train",IF(c="","",IFS(AND(c&gt;=180,c&lt;=210),1,AND(c&gt;=160,c&lt;180),0.7,AND(c&gt;210,c&lt;=230),0.7,AND(c&gt;=140,c&lt;160),0.4,AND(c&gt;230,c&lt;=250),0.4,TRUE,0.2)),IF(c="","",IFS(AND(c&gt;=140,c&lt;=170),1,AND(c&gt;=120,c&lt;140),0.7,AND(c&gt;170,c&lt;=190),0.7,AND(c&gt;=100,c&lt;120),0.4,AND(c&gt;190,c&lt;=210),0.4,TRUE,0.2))),AVERAGE(k_s,p_s,f_s,c_s)))),1),""))</f>
        <v/>
      </c>
      <c r="Z278">
        <f>IF($A278="","",TEXTJOIN(", ",TRUE,IF($B278="","??????????",""),IF($C278="","??????",""),IF($D278="","????",""),IF($E278="","??????????",""),IF($F278="","???-?????",""),IF($G278="","???-????",""),IF($H278="","??????",""),IF($L278="","???",""),IF($M278="","?????",""),IF($N278="","??????????????",""),IF($O278="","??????????",""),IF($P278="","???????",""),IF($U278="","???","")))</f>
        <v/>
      </c>
    </row>
    <row r="279">
      <c r="U279">
        <f>IF($A279="","",IF(SUMIF(FoodLog!$A:$A,$A279,FoodLog!$I:$I)=0,"",SUMIF(FoodLog!$A:$A,$A279,FoodLog!$I:$I)))</f>
        <v/>
      </c>
      <c r="V279">
        <f>IF($A279="","",IF(SUMIF(FoodLog!$A:$A,$A279,FoodLog!$F:$F)=0,"",SUMIF(FoodLog!$A:$A,$A279,FoodLog!$F:$F)))</f>
        <v/>
      </c>
      <c r="W279">
        <f>IF($A279="","",IF(SUMIF(FoodLog!$A:$A,$A279,FoodLog!$G:$G)=0,"",SUMIF(FoodLog!$A:$A,$A279,FoodLog!$G:$G)))</f>
        <v/>
      </c>
      <c r="X279">
        <f>IF($A279="","",IF(SUMIF(FoodLog!$A:$A,$A279,FoodLog!$H:$H)=0,"",SUMIF(FoodLog!$A:$A,$A279,FoodLog!$H:$H)))</f>
        <v/>
      </c>
      <c r="Y279">
        <f>IF($A279="","",IFERROR(ROUND(100*AVERAGE(IF($B279="","",XLOOKUP($B279,FILTER(Dictionaries!$B:$B,Dictionaries!$A:$A="??????????"),FILTER(Dictionaries!$C:$C,Dictionaries!$A:$A="??????????"))),IF($C279="","",MIN($C279/40,1)),IF($D279="","",XLOOKUP($D279,FILTER(Dictionaries!$B:$B,Dictionaries!$A:$A="????"),FILTER(Dictionaries!$C:$C,Dictionaries!$A:$A="????"))),IF($E279="","",MIN($E279/120,1)),IF(OR($F279&lt;&gt;"",$G279&lt;&gt;""),1,""),IF($H279="","",MIN($H279/100,1)),IF($L279="","",XLOOKUP($L279,FILTER(Dictionaries!$B:$B,Dictionaries!$A:$A="???_????"),FILTER(Dictionaries!$C:$C,Dictionaries!$A:$A="???_????"))),IF($M279="","",XLOOKUP($M279,FILTER(Dictionaries!$B:$B,Dictionaries!$A:$A="?????"),FILTER(Dictionaries!$C:$C,Dictionaries!$A:$A="?????"))),IF($N279="","",MIN($N279/100,1)),IF($O279="","",XLOOKUP($O279,FILTER(Dictionaries!$B:$B,Dictionaries!$A:$A="??????????"),FILTER(Dictionaries!$C:$C,Dictionaries!$A:$A="??????????"))),IF($P279="","",XLOOKUP($P279,FILTER(Dictionaries!$B:$B,Dictionaries!$A:$A="???????"),FILTER(Dictionaries!$C:$C,Dictionaries!$A:$A="???????"))),IF($U279="","",LET(t,IF(OR($B279="????",$B279="????"),"train","rest"),k,$U279,p,$V279,f,$W279,c,$X279,k_s,IF(t="train",IF(k="","",IFS(AND(k&gt;=1900,k&lt;=2050),1,AND(k&gt;=1850,k&lt;1900),0.7,AND(k&gt;2050,k&lt;=2100),0.7,TRUE,0.2)),IF(k="","",IFS(AND(k&gt;=1700,k&lt;=1850),1,AND(k&gt;=1650,k&lt;1700),0.7,AND(k&gt;1850,k&lt;=1900),0.7,TRUE,0.2))),p_s,IF(t="train",IF(p="","",IFS(AND(p&gt;=125,p&lt;=135),1,AND(p&gt;=115,p&lt;125),0.7,AND(p&gt;135,p&lt;=145),0.7,AND(p&gt;=105,p&lt;115),0.4,AND(p&gt;145,p&lt;=155),0.4,TRUE,0.2)),IF(p="","",IFS(AND(p&gt;=120,p&lt;=130),1,AND(p&gt;=110,p&lt;120),0.7,AND(p&gt;130,p&lt;=140),0.7,AND(p&gt;=100,p&lt;110),0.4,AND(p&gt;140,p&lt;=150),0.4,TRUE,0.2))),f_s,IF(f="","",IFS(AND(f&gt;=55,f&lt;=65),1,AND(f&gt;=50,f&lt;55),0.7,AND(f&gt;65,f&lt;=70),0.7,AND(f&gt;=45,f&lt;50),0.4,AND(f&gt;70,f&lt;=75),0.4,TRUE,0.2)),c_s,IF(t="train",IF(c="","",IFS(AND(c&gt;=180,c&lt;=210),1,AND(c&gt;=160,c&lt;180),0.7,AND(c&gt;210,c&lt;=230),0.7,AND(c&gt;=140,c&lt;160),0.4,AND(c&gt;230,c&lt;=250),0.4,TRUE,0.2)),IF(c="","",IFS(AND(c&gt;=140,c&lt;=170),1,AND(c&gt;=120,c&lt;140),0.7,AND(c&gt;170,c&lt;=190),0.7,AND(c&gt;=100,c&lt;120),0.4,AND(c&gt;190,c&lt;=210),0.4,TRUE,0.2))),AVERAGE(k_s,p_s,f_s,c_s)))),1),""))</f>
        <v/>
      </c>
      <c r="Z279">
        <f>IF($A279="","",TEXTJOIN(", ",TRUE,IF($B279="","??????????",""),IF($C279="","??????",""),IF($D279="","????",""),IF($E279="","??????????",""),IF($F279="","???-?????",""),IF($G279="","???-????",""),IF($H279="","??????",""),IF($L279="","???",""),IF($M279="","?????",""),IF($N279="","??????????????",""),IF($O279="","??????????",""),IF($P279="","???????",""),IF($U279="","???","")))</f>
        <v/>
      </c>
    </row>
    <row r="280">
      <c r="U280">
        <f>IF($A280="","",IF(SUMIF(FoodLog!$A:$A,$A280,FoodLog!$I:$I)=0,"",SUMIF(FoodLog!$A:$A,$A280,FoodLog!$I:$I)))</f>
        <v/>
      </c>
      <c r="V280">
        <f>IF($A280="","",IF(SUMIF(FoodLog!$A:$A,$A280,FoodLog!$F:$F)=0,"",SUMIF(FoodLog!$A:$A,$A280,FoodLog!$F:$F)))</f>
        <v/>
      </c>
      <c r="W280">
        <f>IF($A280="","",IF(SUMIF(FoodLog!$A:$A,$A280,FoodLog!$G:$G)=0,"",SUMIF(FoodLog!$A:$A,$A280,FoodLog!$G:$G)))</f>
        <v/>
      </c>
      <c r="X280">
        <f>IF($A280="","",IF(SUMIF(FoodLog!$A:$A,$A280,FoodLog!$H:$H)=0,"",SUMIF(FoodLog!$A:$A,$A280,FoodLog!$H:$H)))</f>
        <v/>
      </c>
      <c r="Y280">
        <f>IF($A280="","",IFERROR(ROUND(100*AVERAGE(IF($B280="","",XLOOKUP($B280,FILTER(Dictionaries!$B:$B,Dictionaries!$A:$A="??????????"),FILTER(Dictionaries!$C:$C,Dictionaries!$A:$A="??????????"))),IF($C280="","",MIN($C280/40,1)),IF($D280="","",XLOOKUP($D280,FILTER(Dictionaries!$B:$B,Dictionaries!$A:$A="????"),FILTER(Dictionaries!$C:$C,Dictionaries!$A:$A="????"))),IF($E280="","",MIN($E280/120,1)),IF(OR($F280&lt;&gt;"",$G280&lt;&gt;""),1,""),IF($H280="","",MIN($H280/100,1)),IF($L280="","",XLOOKUP($L280,FILTER(Dictionaries!$B:$B,Dictionaries!$A:$A="???_????"),FILTER(Dictionaries!$C:$C,Dictionaries!$A:$A="???_????"))),IF($M280="","",XLOOKUP($M280,FILTER(Dictionaries!$B:$B,Dictionaries!$A:$A="?????"),FILTER(Dictionaries!$C:$C,Dictionaries!$A:$A="?????"))),IF($N280="","",MIN($N280/100,1)),IF($O280="","",XLOOKUP($O280,FILTER(Dictionaries!$B:$B,Dictionaries!$A:$A="??????????"),FILTER(Dictionaries!$C:$C,Dictionaries!$A:$A="??????????"))),IF($P280="","",XLOOKUP($P280,FILTER(Dictionaries!$B:$B,Dictionaries!$A:$A="???????"),FILTER(Dictionaries!$C:$C,Dictionaries!$A:$A="???????"))),IF($U280="","",LET(t,IF(OR($B280="????",$B280="????"),"train","rest"),k,$U280,p,$V280,f,$W280,c,$X280,k_s,IF(t="train",IF(k="","",IFS(AND(k&gt;=1900,k&lt;=2050),1,AND(k&gt;=1850,k&lt;1900),0.7,AND(k&gt;2050,k&lt;=2100),0.7,TRUE,0.2)),IF(k="","",IFS(AND(k&gt;=1700,k&lt;=1850),1,AND(k&gt;=1650,k&lt;1700),0.7,AND(k&gt;1850,k&lt;=1900),0.7,TRUE,0.2))),p_s,IF(t="train",IF(p="","",IFS(AND(p&gt;=125,p&lt;=135),1,AND(p&gt;=115,p&lt;125),0.7,AND(p&gt;135,p&lt;=145),0.7,AND(p&gt;=105,p&lt;115),0.4,AND(p&gt;145,p&lt;=155),0.4,TRUE,0.2)),IF(p="","",IFS(AND(p&gt;=120,p&lt;=130),1,AND(p&gt;=110,p&lt;120),0.7,AND(p&gt;130,p&lt;=140),0.7,AND(p&gt;=100,p&lt;110),0.4,AND(p&gt;140,p&lt;=150),0.4,TRUE,0.2))),f_s,IF(f="","",IFS(AND(f&gt;=55,f&lt;=65),1,AND(f&gt;=50,f&lt;55),0.7,AND(f&gt;65,f&lt;=70),0.7,AND(f&gt;=45,f&lt;50),0.4,AND(f&gt;70,f&lt;=75),0.4,TRUE,0.2)),c_s,IF(t="train",IF(c="","",IFS(AND(c&gt;=180,c&lt;=210),1,AND(c&gt;=160,c&lt;180),0.7,AND(c&gt;210,c&lt;=230),0.7,AND(c&gt;=140,c&lt;160),0.4,AND(c&gt;230,c&lt;=250),0.4,TRUE,0.2)),IF(c="","",IFS(AND(c&gt;=140,c&lt;=170),1,AND(c&gt;=120,c&lt;140),0.7,AND(c&gt;170,c&lt;=190),0.7,AND(c&gt;=100,c&lt;120),0.4,AND(c&gt;190,c&lt;=210),0.4,TRUE,0.2))),AVERAGE(k_s,p_s,f_s,c_s)))),1),""))</f>
        <v/>
      </c>
      <c r="Z280">
        <f>IF($A280="","",TEXTJOIN(", ",TRUE,IF($B280="","??????????",""),IF($C280="","??????",""),IF($D280="","????",""),IF($E280="","??????????",""),IF($F280="","???-?????",""),IF($G280="","???-????",""),IF($H280="","??????",""),IF($L280="","???",""),IF($M280="","?????",""),IF($N280="","??????????????",""),IF($O280="","??????????",""),IF($P280="","???????",""),IF($U280="","???","")))</f>
        <v/>
      </c>
    </row>
    <row r="281">
      <c r="U281">
        <f>IF($A281="","",IF(SUMIF(FoodLog!$A:$A,$A281,FoodLog!$I:$I)=0,"",SUMIF(FoodLog!$A:$A,$A281,FoodLog!$I:$I)))</f>
        <v/>
      </c>
      <c r="V281">
        <f>IF($A281="","",IF(SUMIF(FoodLog!$A:$A,$A281,FoodLog!$F:$F)=0,"",SUMIF(FoodLog!$A:$A,$A281,FoodLog!$F:$F)))</f>
        <v/>
      </c>
      <c r="W281">
        <f>IF($A281="","",IF(SUMIF(FoodLog!$A:$A,$A281,FoodLog!$G:$G)=0,"",SUMIF(FoodLog!$A:$A,$A281,FoodLog!$G:$G)))</f>
        <v/>
      </c>
      <c r="X281">
        <f>IF($A281="","",IF(SUMIF(FoodLog!$A:$A,$A281,FoodLog!$H:$H)=0,"",SUMIF(FoodLog!$A:$A,$A281,FoodLog!$H:$H)))</f>
        <v/>
      </c>
      <c r="Y281">
        <f>IF($A281="","",IFERROR(ROUND(100*AVERAGE(IF($B281="","",XLOOKUP($B281,FILTER(Dictionaries!$B:$B,Dictionaries!$A:$A="??????????"),FILTER(Dictionaries!$C:$C,Dictionaries!$A:$A="??????????"))),IF($C281="","",MIN($C281/40,1)),IF($D281="","",XLOOKUP($D281,FILTER(Dictionaries!$B:$B,Dictionaries!$A:$A="????"),FILTER(Dictionaries!$C:$C,Dictionaries!$A:$A="????"))),IF($E281="","",MIN($E281/120,1)),IF(OR($F281&lt;&gt;"",$G281&lt;&gt;""),1,""),IF($H281="","",MIN($H281/100,1)),IF($L281="","",XLOOKUP($L281,FILTER(Dictionaries!$B:$B,Dictionaries!$A:$A="???_????"),FILTER(Dictionaries!$C:$C,Dictionaries!$A:$A="???_????"))),IF($M281="","",XLOOKUP($M281,FILTER(Dictionaries!$B:$B,Dictionaries!$A:$A="?????"),FILTER(Dictionaries!$C:$C,Dictionaries!$A:$A="?????"))),IF($N281="","",MIN($N281/100,1)),IF($O281="","",XLOOKUP($O281,FILTER(Dictionaries!$B:$B,Dictionaries!$A:$A="??????????"),FILTER(Dictionaries!$C:$C,Dictionaries!$A:$A="??????????"))),IF($P281="","",XLOOKUP($P281,FILTER(Dictionaries!$B:$B,Dictionaries!$A:$A="???????"),FILTER(Dictionaries!$C:$C,Dictionaries!$A:$A="???????"))),IF($U281="","",LET(t,IF(OR($B281="????",$B281="????"),"train","rest"),k,$U281,p,$V281,f,$W281,c,$X281,k_s,IF(t="train",IF(k="","",IFS(AND(k&gt;=1900,k&lt;=2050),1,AND(k&gt;=1850,k&lt;1900),0.7,AND(k&gt;2050,k&lt;=2100),0.7,TRUE,0.2)),IF(k="","",IFS(AND(k&gt;=1700,k&lt;=1850),1,AND(k&gt;=1650,k&lt;1700),0.7,AND(k&gt;1850,k&lt;=1900),0.7,TRUE,0.2))),p_s,IF(t="train",IF(p="","",IFS(AND(p&gt;=125,p&lt;=135),1,AND(p&gt;=115,p&lt;125),0.7,AND(p&gt;135,p&lt;=145),0.7,AND(p&gt;=105,p&lt;115),0.4,AND(p&gt;145,p&lt;=155),0.4,TRUE,0.2)),IF(p="","",IFS(AND(p&gt;=120,p&lt;=130),1,AND(p&gt;=110,p&lt;120),0.7,AND(p&gt;130,p&lt;=140),0.7,AND(p&gt;=100,p&lt;110),0.4,AND(p&gt;140,p&lt;=150),0.4,TRUE,0.2))),f_s,IF(f="","",IFS(AND(f&gt;=55,f&lt;=65),1,AND(f&gt;=50,f&lt;55),0.7,AND(f&gt;65,f&lt;=70),0.7,AND(f&gt;=45,f&lt;50),0.4,AND(f&gt;70,f&lt;=75),0.4,TRUE,0.2)),c_s,IF(t="train",IF(c="","",IFS(AND(c&gt;=180,c&lt;=210),1,AND(c&gt;=160,c&lt;180),0.7,AND(c&gt;210,c&lt;=230),0.7,AND(c&gt;=140,c&lt;160),0.4,AND(c&gt;230,c&lt;=250),0.4,TRUE,0.2)),IF(c="","",IFS(AND(c&gt;=140,c&lt;=170),1,AND(c&gt;=120,c&lt;140),0.7,AND(c&gt;170,c&lt;=190),0.7,AND(c&gt;=100,c&lt;120),0.4,AND(c&gt;190,c&lt;=210),0.4,TRUE,0.2))),AVERAGE(k_s,p_s,f_s,c_s)))),1),""))</f>
        <v/>
      </c>
      <c r="Z281">
        <f>IF($A281="","",TEXTJOIN(", ",TRUE,IF($B281="","??????????",""),IF($C281="","??????",""),IF($D281="","????",""),IF($E281="","??????????",""),IF($F281="","???-?????",""),IF($G281="","???-????",""),IF($H281="","??????",""),IF($L281="","???",""),IF($M281="","?????",""),IF($N281="","??????????????",""),IF($O281="","??????????",""),IF($P281="","???????",""),IF($U281="","???","")))</f>
        <v/>
      </c>
    </row>
    <row r="282">
      <c r="U282">
        <f>IF($A282="","",IF(SUMIF(FoodLog!$A:$A,$A282,FoodLog!$I:$I)=0,"",SUMIF(FoodLog!$A:$A,$A282,FoodLog!$I:$I)))</f>
        <v/>
      </c>
      <c r="V282">
        <f>IF($A282="","",IF(SUMIF(FoodLog!$A:$A,$A282,FoodLog!$F:$F)=0,"",SUMIF(FoodLog!$A:$A,$A282,FoodLog!$F:$F)))</f>
        <v/>
      </c>
      <c r="W282">
        <f>IF($A282="","",IF(SUMIF(FoodLog!$A:$A,$A282,FoodLog!$G:$G)=0,"",SUMIF(FoodLog!$A:$A,$A282,FoodLog!$G:$G)))</f>
        <v/>
      </c>
      <c r="X282">
        <f>IF($A282="","",IF(SUMIF(FoodLog!$A:$A,$A282,FoodLog!$H:$H)=0,"",SUMIF(FoodLog!$A:$A,$A282,FoodLog!$H:$H)))</f>
        <v/>
      </c>
      <c r="Y282">
        <f>IF($A282="","",IFERROR(ROUND(100*AVERAGE(IF($B282="","",XLOOKUP($B282,FILTER(Dictionaries!$B:$B,Dictionaries!$A:$A="??????????"),FILTER(Dictionaries!$C:$C,Dictionaries!$A:$A="??????????"))),IF($C282="","",MIN($C282/40,1)),IF($D282="","",XLOOKUP($D282,FILTER(Dictionaries!$B:$B,Dictionaries!$A:$A="????"),FILTER(Dictionaries!$C:$C,Dictionaries!$A:$A="????"))),IF($E282="","",MIN($E282/120,1)),IF(OR($F282&lt;&gt;"",$G282&lt;&gt;""),1,""),IF($H282="","",MIN($H282/100,1)),IF($L282="","",XLOOKUP($L282,FILTER(Dictionaries!$B:$B,Dictionaries!$A:$A="???_????"),FILTER(Dictionaries!$C:$C,Dictionaries!$A:$A="???_????"))),IF($M282="","",XLOOKUP($M282,FILTER(Dictionaries!$B:$B,Dictionaries!$A:$A="?????"),FILTER(Dictionaries!$C:$C,Dictionaries!$A:$A="?????"))),IF($N282="","",MIN($N282/100,1)),IF($O282="","",XLOOKUP($O282,FILTER(Dictionaries!$B:$B,Dictionaries!$A:$A="??????????"),FILTER(Dictionaries!$C:$C,Dictionaries!$A:$A="??????????"))),IF($P282="","",XLOOKUP($P282,FILTER(Dictionaries!$B:$B,Dictionaries!$A:$A="???????"),FILTER(Dictionaries!$C:$C,Dictionaries!$A:$A="???????"))),IF($U282="","",LET(t,IF(OR($B282="????",$B282="????"),"train","rest"),k,$U282,p,$V282,f,$W282,c,$X282,k_s,IF(t="train",IF(k="","",IFS(AND(k&gt;=1900,k&lt;=2050),1,AND(k&gt;=1850,k&lt;1900),0.7,AND(k&gt;2050,k&lt;=2100),0.7,TRUE,0.2)),IF(k="","",IFS(AND(k&gt;=1700,k&lt;=1850),1,AND(k&gt;=1650,k&lt;1700),0.7,AND(k&gt;1850,k&lt;=1900),0.7,TRUE,0.2))),p_s,IF(t="train",IF(p="","",IFS(AND(p&gt;=125,p&lt;=135),1,AND(p&gt;=115,p&lt;125),0.7,AND(p&gt;135,p&lt;=145),0.7,AND(p&gt;=105,p&lt;115),0.4,AND(p&gt;145,p&lt;=155),0.4,TRUE,0.2)),IF(p="","",IFS(AND(p&gt;=120,p&lt;=130),1,AND(p&gt;=110,p&lt;120),0.7,AND(p&gt;130,p&lt;=140),0.7,AND(p&gt;=100,p&lt;110),0.4,AND(p&gt;140,p&lt;=150),0.4,TRUE,0.2))),f_s,IF(f="","",IFS(AND(f&gt;=55,f&lt;=65),1,AND(f&gt;=50,f&lt;55),0.7,AND(f&gt;65,f&lt;=70),0.7,AND(f&gt;=45,f&lt;50),0.4,AND(f&gt;70,f&lt;=75),0.4,TRUE,0.2)),c_s,IF(t="train",IF(c="","",IFS(AND(c&gt;=180,c&lt;=210),1,AND(c&gt;=160,c&lt;180),0.7,AND(c&gt;210,c&lt;=230),0.7,AND(c&gt;=140,c&lt;160),0.4,AND(c&gt;230,c&lt;=250),0.4,TRUE,0.2)),IF(c="","",IFS(AND(c&gt;=140,c&lt;=170),1,AND(c&gt;=120,c&lt;140),0.7,AND(c&gt;170,c&lt;=190),0.7,AND(c&gt;=100,c&lt;120),0.4,AND(c&gt;190,c&lt;=210),0.4,TRUE,0.2))),AVERAGE(k_s,p_s,f_s,c_s)))),1),""))</f>
        <v/>
      </c>
      <c r="Z282">
        <f>IF($A282="","",TEXTJOIN(", ",TRUE,IF($B282="","??????????",""),IF($C282="","??????",""),IF($D282="","????",""),IF($E282="","??????????",""),IF($F282="","???-?????",""),IF($G282="","???-????",""),IF($H282="","??????",""),IF($L282="","???",""),IF($M282="","?????",""),IF($N282="","??????????????",""),IF($O282="","??????????",""),IF($P282="","???????",""),IF($U282="","???","")))</f>
        <v/>
      </c>
    </row>
    <row r="283">
      <c r="U283">
        <f>IF($A283="","",IF(SUMIF(FoodLog!$A:$A,$A283,FoodLog!$I:$I)=0,"",SUMIF(FoodLog!$A:$A,$A283,FoodLog!$I:$I)))</f>
        <v/>
      </c>
      <c r="V283">
        <f>IF($A283="","",IF(SUMIF(FoodLog!$A:$A,$A283,FoodLog!$F:$F)=0,"",SUMIF(FoodLog!$A:$A,$A283,FoodLog!$F:$F)))</f>
        <v/>
      </c>
      <c r="W283">
        <f>IF($A283="","",IF(SUMIF(FoodLog!$A:$A,$A283,FoodLog!$G:$G)=0,"",SUMIF(FoodLog!$A:$A,$A283,FoodLog!$G:$G)))</f>
        <v/>
      </c>
      <c r="X283">
        <f>IF($A283="","",IF(SUMIF(FoodLog!$A:$A,$A283,FoodLog!$H:$H)=0,"",SUMIF(FoodLog!$A:$A,$A283,FoodLog!$H:$H)))</f>
        <v/>
      </c>
      <c r="Y283">
        <f>IF($A283="","",IFERROR(ROUND(100*AVERAGE(IF($B283="","",XLOOKUP($B283,FILTER(Dictionaries!$B:$B,Dictionaries!$A:$A="??????????"),FILTER(Dictionaries!$C:$C,Dictionaries!$A:$A="??????????"))),IF($C283="","",MIN($C283/40,1)),IF($D283="","",XLOOKUP($D283,FILTER(Dictionaries!$B:$B,Dictionaries!$A:$A="????"),FILTER(Dictionaries!$C:$C,Dictionaries!$A:$A="????"))),IF($E283="","",MIN($E283/120,1)),IF(OR($F283&lt;&gt;"",$G283&lt;&gt;""),1,""),IF($H283="","",MIN($H283/100,1)),IF($L283="","",XLOOKUP($L283,FILTER(Dictionaries!$B:$B,Dictionaries!$A:$A="???_????"),FILTER(Dictionaries!$C:$C,Dictionaries!$A:$A="???_????"))),IF($M283="","",XLOOKUP($M283,FILTER(Dictionaries!$B:$B,Dictionaries!$A:$A="?????"),FILTER(Dictionaries!$C:$C,Dictionaries!$A:$A="?????"))),IF($N283="","",MIN($N283/100,1)),IF($O283="","",XLOOKUP($O283,FILTER(Dictionaries!$B:$B,Dictionaries!$A:$A="??????????"),FILTER(Dictionaries!$C:$C,Dictionaries!$A:$A="??????????"))),IF($P283="","",XLOOKUP($P283,FILTER(Dictionaries!$B:$B,Dictionaries!$A:$A="???????"),FILTER(Dictionaries!$C:$C,Dictionaries!$A:$A="???????"))),IF($U283="","",LET(t,IF(OR($B283="????",$B283="????"),"train","rest"),k,$U283,p,$V283,f,$W283,c,$X283,k_s,IF(t="train",IF(k="","",IFS(AND(k&gt;=1900,k&lt;=2050),1,AND(k&gt;=1850,k&lt;1900),0.7,AND(k&gt;2050,k&lt;=2100),0.7,TRUE,0.2)),IF(k="","",IFS(AND(k&gt;=1700,k&lt;=1850),1,AND(k&gt;=1650,k&lt;1700),0.7,AND(k&gt;1850,k&lt;=1900),0.7,TRUE,0.2))),p_s,IF(t="train",IF(p="","",IFS(AND(p&gt;=125,p&lt;=135),1,AND(p&gt;=115,p&lt;125),0.7,AND(p&gt;135,p&lt;=145),0.7,AND(p&gt;=105,p&lt;115),0.4,AND(p&gt;145,p&lt;=155),0.4,TRUE,0.2)),IF(p="","",IFS(AND(p&gt;=120,p&lt;=130),1,AND(p&gt;=110,p&lt;120),0.7,AND(p&gt;130,p&lt;=140),0.7,AND(p&gt;=100,p&lt;110),0.4,AND(p&gt;140,p&lt;=150),0.4,TRUE,0.2))),f_s,IF(f="","",IFS(AND(f&gt;=55,f&lt;=65),1,AND(f&gt;=50,f&lt;55),0.7,AND(f&gt;65,f&lt;=70),0.7,AND(f&gt;=45,f&lt;50),0.4,AND(f&gt;70,f&lt;=75),0.4,TRUE,0.2)),c_s,IF(t="train",IF(c="","",IFS(AND(c&gt;=180,c&lt;=210),1,AND(c&gt;=160,c&lt;180),0.7,AND(c&gt;210,c&lt;=230),0.7,AND(c&gt;=140,c&lt;160),0.4,AND(c&gt;230,c&lt;=250),0.4,TRUE,0.2)),IF(c="","",IFS(AND(c&gt;=140,c&lt;=170),1,AND(c&gt;=120,c&lt;140),0.7,AND(c&gt;170,c&lt;=190),0.7,AND(c&gt;=100,c&lt;120),0.4,AND(c&gt;190,c&lt;=210),0.4,TRUE,0.2))),AVERAGE(k_s,p_s,f_s,c_s)))),1),""))</f>
        <v/>
      </c>
      <c r="Z283">
        <f>IF($A283="","",TEXTJOIN(", ",TRUE,IF($B283="","??????????",""),IF($C283="","??????",""),IF($D283="","????",""),IF($E283="","??????????",""),IF($F283="","???-?????",""),IF($G283="","???-????",""),IF($H283="","??????",""),IF($L283="","???",""),IF($M283="","?????",""),IF($N283="","??????????????",""),IF($O283="","??????????",""),IF($P283="","???????",""),IF($U283="","???","")))</f>
        <v/>
      </c>
    </row>
    <row r="284">
      <c r="U284">
        <f>IF($A284="","",IF(SUMIF(FoodLog!$A:$A,$A284,FoodLog!$I:$I)=0,"",SUMIF(FoodLog!$A:$A,$A284,FoodLog!$I:$I)))</f>
        <v/>
      </c>
      <c r="V284">
        <f>IF($A284="","",IF(SUMIF(FoodLog!$A:$A,$A284,FoodLog!$F:$F)=0,"",SUMIF(FoodLog!$A:$A,$A284,FoodLog!$F:$F)))</f>
        <v/>
      </c>
      <c r="W284">
        <f>IF($A284="","",IF(SUMIF(FoodLog!$A:$A,$A284,FoodLog!$G:$G)=0,"",SUMIF(FoodLog!$A:$A,$A284,FoodLog!$G:$G)))</f>
        <v/>
      </c>
      <c r="X284">
        <f>IF($A284="","",IF(SUMIF(FoodLog!$A:$A,$A284,FoodLog!$H:$H)=0,"",SUMIF(FoodLog!$A:$A,$A284,FoodLog!$H:$H)))</f>
        <v/>
      </c>
      <c r="Y284">
        <f>IF($A284="","",IFERROR(ROUND(100*AVERAGE(IF($B284="","",XLOOKUP($B284,FILTER(Dictionaries!$B:$B,Dictionaries!$A:$A="??????????"),FILTER(Dictionaries!$C:$C,Dictionaries!$A:$A="??????????"))),IF($C284="","",MIN($C284/40,1)),IF($D284="","",XLOOKUP($D284,FILTER(Dictionaries!$B:$B,Dictionaries!$A:$A="????"),FILTER(Dictionaries!$C:$C,Dictionaries!$A:$A="????"))),IF($E284="","",MIN($E284/120,1)),IF(OR($F284&lt;&gt;"",$G284&lt;&gt;""),1,""),IF($H284="","",MIN($H284/100,1)),IF($L284="","",XLOOKUP($L284,FILTER(Dictionaries!$B:$B,Dictionaries!$A:$A="???_????"),FILTER(Dictionaries!$C:$C,Dictionaries!$A:$A="???_????"))),IF($M284="","",XLOOKUP($M284,FILTER(Dictionaries!$B:$B,Dictionaries!$A:$A="?????"),FILTER(Dictionaries!$C:$C,Dictionaries!$A:$A="?????"))),IF($N284="","",MIN($N284/100,1)),IF($O284="","",XLOOKUP($O284,FILTER(Dictionaries!$B:$B,Dictionaries!$A:$A="??????????"),FILTER(Dictionaries!$C:$C,Dictionaries!$A:$A="??????????"))),IF($P284="","",XLOOKUP($P284,FILTER(Dictionaries!$B:$B,Dictionaries!$A:$A="???????"),FILTER(Dictionaries!$C:$C,Dictionaries!$A:$A="???????"))),IF($U284="","",LET(t,IF(OR($B284="????",$B284="????"),"train","rest"),k,$U284,p,$V284,f,$W284,c,$X284,k_s,IF(t="train",IF(k="","",IFS(AND(k&gt;=1900,k&lt;=2050),1,AND(k&gt;=1850,k&lt;1900),0.7,AND(k&gt;2050,k&lt;=2100),0.7,TRUE,0.2)),IF(k="","",IFS(AND(k&gt;=1700,k&lt;=1850),1,AND(k&gt;=1650,k&lt;1700),0.7,AND(k&gt;1850,k&lt;=1900),0.7,TRUE,0.2))),p_s,IF(t="train",IF(p="","",IFS(AND(p&gt;=125,p&lt;=135),1,AND(p&gt;=115,p&lt;125),0.7,AND(p&gt;135,p&lt;=145),0.7,AND(p&gt;=105,p&lt;115),0.4,AND(p&gt;145,p&lt;=155),0.4,TRUE,0.2)),IF(p="","",IFS(AND(p&gt;=120,p&lt;=130),1,AND(p&gt;=110,p&lt;120),0.7,AND(p&gt;130,p&lt;=140),0.7,AND(p&gt;=100,p&lt;110),0.4,AND(p&gt;140,p&lt;=150),0.4,TRUE,0.2))),f_s,IF(f="","",IFS(AND(f&gt;=55,f&lt;=65),1,AND(f&gt;=50,f&lt;55),0.7,AND(f&gt;65,f&lt;=70),0.7,AND(f&gt;=45,f&lt;50),0.4,AND(f&gt;70,f&lt;=75),0.4,TRUE,0.2)),c_s,IF(t="train",IF(c="","",IFS(AND(c&gt;=180,c&lt;=210),1,AND(c&gt;=160,c&lt;180),0.7,AND(c&gt;210,c&lt;=230),0.7,AND(c&gt;=140,c&lt;160),0.4,AND(c&gt;230,c&lt;=250),0.4,TRUE,0.2)),IF(c="","",IFS(AND(c&gt;=140,c&lt;=170),1,AND(c&gt;=120,c&lt;140),0.7,AND(c&gt;170,c&lt;=190),0.7,AND(c&gt;=100,c&lt;120),0.4,AND(c&gt;190,c&lt;=210),0.4,TRUE,0.2))),AVERAGE(k_s,p_s,f_s,c_s)))),1),""))</f>
        <v/>
      </c>
      <c r="Z284">
        <f>IF($A284="","",TEXTJOIN(", ",TRUE,IF($B284="","??????????",""),IF($C284="","??????",""),IF($D284="","????",""),IF($E284="","??????????",""),IF($F284="","???-?????",""),IF($G284="","???-????",""),IF($H284="","??????",""),IF($L284="","???",""),IF($M284="","?????",""),IF($N284="","??????????????",""),IF($O284="","??????????",""),IF($P284="","???????",""),IF($U284="","???","")))</f>
        <v/>
      </c>
    </row>
    <row r="285">
      <c r="U285">
        <f>IF($A285="","",IF(SUMIF(FoodLog!$A:$A,$A285,FoodLog!$I:$I)=0,"",SUMIF(FoodLog!$A:$A,$A285,FoodLog!$I:$I)))</f>
        <v/>
      </c>
      <c r="V285">
        <f>IF($A285="","",IF(SUMIF(FoodLog!$A:$A,$A285,FoodLog!$F:$F)=0,"",SUMIF(FoodLog!$A:$A,$A285,FoodLog!$F:$F)))</f>
        <v/>
      </c>
      <c r="W285">
        <f>IF($A285="","",IF(SUMIF(FoodLog!$A:$A,$A285,FoodLog!$G:$G)=0,"",SUMIF(FoodLog!$A:$A,$A285,FoodLog!$G:$G)))</f>
        <v/>
      </c>
      <c r="X285">
        <f>IF($A285="","",IF(SUMIF(FoodLog!$A:$A,$A285,FoodLog!$H:$H)=0,"",SUMIF(FoodLog!$A:$A,$A285,FoodLog!$H:$H)))</f>
        <v/>
      </c>
      <c r="Y285">
        <f>IF($A285="","",IFERROR(ROUND(100*AVERAGE(IF($B285="","",XLOOKUP($B285,FILTER(Dictionaries!$B:$B,Dictionaries!$A:$A="??????????"),FILTER(Dictionaries!$C:$C,Dictionaries!$A:$A="??????????"))),IF($C285="","",MIN($C285/40,1)),IF($D285="","",XLOOKUP($D285,FILTER(Dictionaries!$B:$B,Dictionaries!$A:$A="????"),FILTER(Dictionaries!$C:$C,Dictionaries!$A:$A="????"))),IF($E285="","",MIN($E285/120,1)),IF(OR($F285&lt;&gt;"",$G285&lt;&gt;""),1,""),IF($H285="","",MIN($H285/100,1)),IF($L285="","",XLOOKUP($L285,FILTER(Dictionaries!$B:$B,Dictionaries!$A:$A="???_????"),FILTER(Dictionaries!$C:$C,Dictionaries!$A:$A="???_????"))),IF($M285="","",XLOOKUP($M285,FILTER(Dictionaries!$B:$B,Dictionaries!$A:$A="?????"),FILTER(Dictionaries!$C:$C,Dictionaries!$A:$A="?????"))),IF($N285="","",MIN($N285/100,1)),IF($O285="","",XLOOKUP($O285,FILTER(Dictionaries!$B:$B,Dictionaries!$A:$A="??????????"),FILTER(Dictionaries!$C:$C,Dictionaries!$A:$A="??????????"))),IF($P285="","",XLOOKUP($P285,FILTER(Dictionaries!$B:$B,Dictionaries!$A:$A="???????"),FILTER(Dictionaries!$C:$C,Dictionaries!$A:$A="???????"))),IF($U285="","",LET(t,IF(OR($B285="????",$B285="????"),"train","rest"),k,$U285,p,$V285,f,$W285,c,$X285,k_s,IF(t="train",IF(k="","",IFS(AND(k&gt;=1900,k&lt;=2050),1,AND(k&gt;=1850,k&lt;1900),0.7,AND(k&gt;2050,k&lt;=2100),0.7,TRUE,0.2)),IF(k="","",IFS(AND(k&gt;=1700,k&lt;=1850),1,AND(k&gt;=1650,k&lt;1700),0.7,AND(k&gt;1850,k&lt;=1900),0.7,TRUE,0.2))),p_s,IF(t="train",IF(p="","",IFS(AND(p&gt;=125,p&lt;=135),1,AND(p&gt;=115,p&lt;125),0.7,AND(p&gt;135,p&lt;=145),0.7,AND(p&gt;=105,p&lt;115),0.4,AND(p&gt;145,p&lt;=155),0.4,TRUE,0.2)),IF(p="","",IFS(AND(p&gt;=120,p&lt;=130),1,AND(p&gt;=110,p&lt;120),0.7,AND(p&gt;130,p&lt;=140),0.7,AND(p&gt;=100,p&lt;110),0.4,AND(p&gt;140,p&lt;=150),0.4,TRUE,0.2))),f_s,IF(f="","",IFS(AND(f&gt;=55,f&lt;=65),1,AND(f&gt;=50,f&lt;55),0.7,AND(f&gt;65,f&lt;=70),0.7,AND(f&gt;=45,f&lt;50),0.4,AND(f&gt;70,f&lt;=75),0.4,TRUE,0.2)),c_s,IF(t="train",IF(c="","",IFS(AND(c&gt;=180,c&lt;=210),1,AND(c&gt;=160,c&lt;180),0.7,AND(c&gt;210,c&lt;=230),0.7,AND(c&gt;=140,c&lt;160),0.4,AND(c&gt;230,c&lt;=250),0.4,TRUE,0.2)),IF(c="","",IFS(AND(c&gt;=140,c&lt;=170),1,AND(c&gt;=120,c&lt;140),0.7,AND(c&gt;170,c&lt;=190),0.7,AND(c&gt;=100,c&lt;120),0.4,AND(c&gt;190,c&lt;=210),0.4,TRUE,0.2))),AVERAGE(k_s,p_s,f_s,c_s)))),1),""))</f>
        <v/>
      </c>
      <c r="Z285">
        <f>IF($A285="","",TEXTJOIN(", ",TRUE,IF($B285="","??????????",""),IF($C285="","??????",""),IF($D285="","????",""),IF($E285="","??????????",""),IF($F285="","???-?????",""),IF($G285="","???-????",""),IF($H285="","??????",""),IF($L285="","???",""),IF($M285="","?????",""),IF($N285="","??????????????",""),IF($O285="","??????????",""),IF($P285="","???????",""),IF($U285="","???","")))</f>
        <v/>
      </c>
    </row>
    <row r="286">
      <c r="U286">
        <f>IF($A286="","",IF(SUMIF(FoodLog!$A:$A,$A286,FoodLog!$I:$I)=0,"",SUMIF(FoodLog!$A:$A,$A286,FoodLog!$I:$I)))</f>
        <v/>
      </c>
      <c r="V286">
        <f>IF($A286="","",IF(SUMIF(FoodLog!$A:$A,$A286,FoodLog!$F:$F)=0,"",SUMIF(FoodLog!$A:$A,$A286,FoodLog!$F:$F)))</f>
        <v/>
      </c>
      <c r="W286">
        <f>IF($A286="","",IF(SUMIF(FoodLog!$A:$A,$A286,FoodLog!$G:$G)=0,"",SUMIF(FoodLog!$A:$A,$A286,FoodLog!$G:$G)))</f>
        <v/>
      </c>
      <c r="X286">
        <f>IF($A286="","",IF(SUMIF(FoodLog!$A:$A,$A286,FoodLog!$H:$H)=0,"",SUMIF(FoodLog!$A:$A,$A286,FoodLog!$H:$H)))</f>
        <v/>
      </c>
      <c r="Y286">
        <f>IF($A286="","",IFERROR(ROUND(100*AVERAGE(IF($B286="","",XLOOKUP($B286,FILTER(Dictionaries!$B:$B,Dictionaries!$A:$A="??????????"),FILTER(Dictionaries!$C:$C,Dictionaries!$A:$A="??????????"))),IF($C286="","",MIN($C286/40,1)),IF($D286="","",XLOOKUP($D286,FILTER(Dictionaries!$B:$B,Dictionaries!$A:$A="????"),FILTER(Dictionaries!$C:$C,Dictionaries!$A:$A="????"))),IF($E286="","",MIN($E286/120,1)),IF(OR($F286&lt;&gt;"",$G286&lt;&gt;""),1,""),IF($H286="","",MIN($H286/100,1)),IF($L286="","",XLOOKUP($L286,FILTER(Dictionaries!$B:$B,Dictionaries!$A:$A="???_????"),FILTER(Dictionaries!$C:$C,Dictionaries!$A:$A="???_????"))),IF($M286="","",XLOOKUP($M286,FILTER(Dictionaries!$B:$B,Dictionaries!$A:$A="?????"),FILTER(Dictionaries!$C:$C,Dictionaries!$A:$A="?????"))),IF($N286="","",MIN($N286/100,1)),IF($O286="","",XLOOKUP($O286,FILTER(Dictionaries!$B:$B,Dictionaries!$A:$A="??????????"),FILTER(Dictionaries!$C:$C,Dictionaries!$A:$A="??????????"))),IF($P286="","",XLOOKUP($P286,FILTER(Dictionaries!$B:$B,Dictionaries!$A:$A="???????"),FILTER(Dictionaries!$C:$C,Dictionaries!$A:$A="???????"))),IF($U286="","",LET(t,IF(OR($B286="????",$B286="????"),"train","rest"),k,$U286,p,$V286,f,$W286,c,$X286,k_s,IF(t="train",IF(k="","",IFS(AND(k&gt;=1900,k&lt;=2050),1,AND(k&gt;=1850,k&lt;1900),0.7,AND(k&gt;2050,k&lt;=2100),0.7,TRUE,0.2)),IF(k="","",IFS(AND(k&gt;=1700,k&lt;=1850),1,AND(k&gt;=1650,k&lt;1700),0.7,AND(k&gt;1850,k&lt;=1900),0.7,TRUE,0.2))),p_s,IF(t="train",IF(p="","",IFS(AND(p&gt;=125,p&lt;=135),1,AND(p&gt;=115,p&lt;125),0.7,AND(p&gt;135,p&lt;=145),0.7,AND(p&gt;=105,p&lt;115),0.4,AND(p&gt;145,p&lt;=155),0.4,TRUE,0.2)),IF(p="","",IFS(AND(p&gt;=120,p&lt;=130),1,AND(p&gt;=110,p&lt;120),0.7,AND(p&gt;130,p&lt;=140),0.7,AND(p&gt;=100,p&lt;110),0.4,AND(p&gt;140,p&lt;=150),0.4,TRUE,0.2))),f_s,IF(f="","",IFS(AND(f&gt;=55,f&lt;=65),1,AND(f&gt;=50,f&lt;55),0.7,AND(f&gt;65,f&lt;=70),0.7,AND(f&gt;=45,f&lt;50),0.4,AND(f&gt;70,f&lt;=75),0.4,TRUE,0.2)),c_s,IF(t="train",IF(c="","",IFS(AND(c&gt;=180,c&lt;=210),1,AND(c&gt;=160,c&lt;180),0.7,AND(c&gt;210,c&lt;=230),0.7,AND(c&gt;=140,c&lt;160),0.4,AND(c&gt;230,c&lt;=250),0.4,TRUE,0.2)),IF(c="","",IFS(AND(c&gt;=140,c&lt;=170),1,AND(c&gt;=120,c&lt;140),0.7,AND(c&gt;170,c&lt;=190),0.7,AND(c&gt;=100,c&lt;120),0.4,AND(c&gt;190,c&lt;=210),0.4,TRUE,0.2))),AVERAGE(k_s,p_s,f_s,c_s)))),1),""))</f>
        <v/>
      </c>
      <c r="Z286">
        <f>IF($A286="","",TEXTJOIN(", ",TRUE,IF($B286="","??????????",""),IF($C286="","??????",""),IF($D286="","????",""),IF($E286="","??????????",""),IF($F286="","???-?????",""),IF($G286="","???-????",""),IF($H286="","??????",""),IF($L286="","???",""),IF($M286="","?????",""),IF($N286="","??????????????",""),IF($O286="","??????????",""),IF($P286="","???????",""),IF($U286="","???","")))</f>
        <v/>
      </c>
    </row>
    <row r="287">
      <c r="U287">
        <f>IF($A287="","",IF(SUMIF(FoodLog!$A:$A,$A287,FoodLog!$I:$I)=0,"",SUMIF(FoodLog!$A:$A,$A287,FoodLog!$I:$I)))</f>
        <v/>
      </c>
      <c r="V287">
        <f>IF($A287="","",IF(SUMIF(FoodLog!$A:$A,$A287,FoodLog!$F:$F)=0,"",SUMIF(FoodLog!$A:$A,$A287,FoodLog!$F:$F)))</f>
        <v/>
      </c>
      <c r="W287">
        <f>IF($A287="","",IF(SUMIF(FoodLog!$A:$A,$A287,FoodLog!$G:$G)=0,"",SUMIF(FoodLog!$A:$A,$A287,FoodLog!$G:$G)))</f>
        <v/>
      </c>
      <c r="X287">
        <f>IF($A287="","",IF(SUMIF(FoodLog!$A:$A,$A287,FoodLog!$H:$H)=0,"",SUMIF(FoodLog!$A:$A,$A287,FoodLog!$H:$H)))</f>
        <v/>
      </c>
      <c r="Y287">
        <f>IF($A287="","",IFERROR(ROUND(100*AVERAGE(IF($B287="","",XLOOKUP($B287,FILTER(Dictionaries!$B:$B,Dictionaries!$A:$A="??????????"),FILTER(Dictionaries!$C:$C,Dictionaries!$A:$A="??????????"))),IF($C287="","",MIN($C287/40,1)),IF($D287="","",XLOOKUP($D287,FILTER(Dictionaries!$B:$B,Dictionaries!$A:$A="????"),FILTER(Dictionaries!$C:$C,Dictionaries!$A:$A="????"))),IF($E287="","",MIN($E287/120,1)),IF(OR($F287&lt;&gt;"",$G287&lt;&gt;""),1,""),IF($H287="","",MIN($H287/100,1)),IF($L287="","",XLOOKUP($L287,FILTER(Dictionaries!$B:$B,Dictionaries!$A:$A="???_????"),FILTER(Dictionaries!$C:$C,Dictionaries!$A:$A="???_????"))),IF($M287="","",XLOOKUP($M287,FILTER(Dictionaries!$B:$B,Dictionaries!$A:$A="?????"),FILTER(Dictionaries!$C:$C,Dictionaries!$A:$A="?????"))),IF($N287="","",MIN($N287/100,1)),IF($O287="","",XLOOKUP($O287,FILTER(Dictionaries!$B:$B,Dictionaries!$A:$A="??????????"),FILTER(Dictionaries!$C:$C,Dictionaries!$A:$A="??????????"))),IF($P287="","",XLOOKUP($P287,FILTER(Dictionaries!$B:$B,Dictionaries!$A:$A="???????"),FILTER(Dictionaries!$C:$C,Dictionaries!$A:$A="???????"))),IF($U287="","",LET(t,IF(OR($B287="????",$B287="????"),"train","rest"),k,$U287,p,$V287,f,$W287,c,$X287,k_s,IF(t="train",IF(k="","",IFS(AND(k&gt;=1900,k&lt;=2050),1,AND(k&gt;=1850,k&lt;1900),0.7,AND(k&gt;2050,k&lt;=2100),0.7,TRUE,0.2)),IF(k="","",IFS(AND(k&gt;=1700,k&lt;=1850),1,AND(k&gt;=1650,k&lt;1700),0.7,AND(k&gt;1850,k&lt;=1900),0.7,TRUE,0.2))),p_s,IF(t="train",IF(p="","",IFS(AND(p&gt;=125,p&lt;=135),1,AND(p&gt;=115,p&lt;125),0.7,AND(p&gt;135,p&lt;=145),0.7,AND(p&gt;=105,p&lt;115),0.4,AND(p&gt;145,p&lt;=155),0.4,TRUE,0.2)),IF(p="","",IFS(AND(p&gt;=120,p&lt;=130),1,AND(p&gt;=110,p&lt;120),0.7,AND(p&gt;130,p&lt;=140),0.7,AND(p&gt;=100,p&lt;110),0.4,AND(p&gt;140,p&lt;=150),0.4,TRUE,0.2))),f_s,IF(f="","",IFS(AND(f&gt;=55,f&lt;=65),1,AND(f&gt;=50,f&lt;55),0.7,AND(f&gt;65,f&lt;=70),0.7,AND(f&gt;=45,f&lt;50),0.4,AND(f&gt;70,f&lt;=75),0.4,TRUE,0.2)),c_s,IF(t="train",IF(c="","",IFS(AND(c&gt;=180,c&lt;=210),1,AND(c&gt;=160,c&lt;180),0.7,AND(c&gt;210,c&lt;=230),0.7,AND(c&gt;=140,c&lt;160),0.4,AND(c&gt;230,c&lt;=250),0.4,TRUE,0.2)),IF(c="","",IFS(AND(c&gt;=140,c&lt;=170),1,AND(c&gt;=120,c&lt;140),0.7,AND(c&gt;170,c&lt;=190),0.7,AND(c&gt;=100,c&lt;120),0.4,AND(c&gt;190,c&lt;=210),0.4,TRUE,0.2))),AVERAGE(k_s,p_s,f_s,c_s)))),1),""))</f>
        <v/>
      </c>
      <c r="Z287">
        <f>IF($A287="","",TEXTJOIN(", ",TRUE,IF($B287="","??????????",""),IF($C287="","??????",""),IF($D287="","????",""),IF($E287="","??????????",""),IF($F287="","???-?????",""),IF($G287="","???-????",""),IF($H287="","??????",""),IF($L287="","???",""),IF($M287="","?????",""),IF($N287="","??????????????",""),IF($O287="","??????????",""),IF($P287="","???????",""),IF($U287="","???","")))</f>
        <v/>
      </c>
    </row>
    <row r="288">
      <c r="U288">
        <f>IF($A288="","",IF(SUMIF(FoodLog!$A:$A,$A288,FoodLog!$I:$I)=0,"",SUMIF(FoodLog!$A:$A,$A288,FoodLog!$I:$I)))</f>
        <v/>
      </c>
      <c r="V288">
        <f>IF($A288="","",IF(SUMIF(FoodLog!$A:$A,$A288,FoodLog!$F:$F)=0,"",SUMIF(FoodLog!$A:$A,$A288,FoodLog!$F:$F)))</f>
        <v/>
      </c>
      <c r="W288">
        <f>IF($A288="","",IF(SUMIF(FoodLog!$A:$A,$A288,FoodLog!$G:$G)=0,"",SUMIF(FoodLog!$A:$A,$A288,FoodLog!$G:$G)))</f>
        <v/>
      </c>
      <c r="X288">
        <f>IF($A288="","",IF(SUMIF(FoodLog!$A:$A,$A288,FoodLog!$H:$H)=0,"",SUMIF(FoodLog!$A:$A,$A288,FoodLog!$H:$H)))</f>
        <v/>
      </c>
      <c r="Y288">
        <f>IF($A288="","",IFERROR(ROUND(100*AVERAGE(IF($B288="","",XLOOKUP($B288,FILTER(Dictionaries!$B:$B,Dictionaries!$A:$A="??????????"),FILTER(Dictionaries!$C:$C,Dictionaries!$A:$A="??????????"))),IF($C288="","",MIN($C288/40,1)),IF($D288="","",XLOOKUP($D288,FILTER(Dictionaries!$B:$B,Dictionaries!$A:$A="????"),FILTER(Dictionaries!$C:$C,Dictionaries!$A:$A="????"))),IF($E288="","",MIN($E288/120,1)),IF(OR($F288&lt;&gt;"",$G288&lt;&gt;""),1,""),IF($H288="","",MIN($H288/100,1)),IF($L288="","",XLOOKUP($L288,FILTER(Dictionaries!$B:$B,Dictionaries!$A:$A="???_????"),FILTER(Dictionaries!$C:$C,Dictionaries!$A:$A="???_????"))),IF($M288="","",XLOOKUP($M288,FILTER(Dictionaries!$B:$B,Dictionaries!$A:$A="?????"),FILTER(Dictionaries!$C:$C,Dictionaries!$A:$A="?????"))),IF($N288="","",MIN($N288/100,1)),IF($O288="","",XLOOKUP($O288,FILTER(Dictionaries!$B:$B,Dictionaries!$A:$A="??????????"),FILTER(Dictionaries!$C:$C,Dictionaries!$A:$A="??????????"))),IF($P288="","",XLOOKUP($P288,FILTER(Dictionaries!$B:$B,Dictionaries!$A:$A="???????"),FILTER(Dictionaries!$C:$C,Dictionaries!$A:$A="???????"))),IF($U288="","",LET(t,IF(OR($B288="????",$B288="????"),"train","rest"),k,$U288,p,$V288,f,$W288,c,$X288,k_s,IF(t="train",IF(k="","",IFS(AND(k&gt;=1900,k&lt;=2050),1,AND(k&gt;=1850,k&lt;1900),0.7,AND(k&gt;2050,k&lt;=2100),0.7,TRUE,0.2)),IF(k="","",IFS(AND(k&gt;=1700,k&lt;=1850),1,AND(k&gt;=1650,k&lt;1700),0.7,AND(k&gt;1850,k&lt;=1900),0.7,TRUE,0.2))),p_s,IF(t="train",IF(p="","",IFS(AND(p&gt;=125,p&lt;=135),1,AND(p&gt;=115,p&lt;125),0.7,AND(p&gt;135,p&lt;=145),0.7,AND(p&gt;=105,p&lt;115),0.4,AND(p&gt;145,p&lt;=155),0.4,TRUE,0.2)),IF(p="","",IFS(AND(p&gt;=120,p&lt;=130),1,AND(p&gt;=110,p&lt;120),0.7,AND(p&gt;130,p&lt;=140),0.7,AND(p&gt;=100,p&lt;110),0.4,AND(p&gt;140,p&lt;=150),0.4,TRUE,0.2))),f_s,IF(f="","",IFS(AND(f&gt;=55,f&lt;=65),1,AND(f&gt;=50,f&lt;55),0.7,AND(f&gt;65,f&lt;=70),0.7,AND(f&gt;=45,f&lt;50),0.4,AND(f&gt;70,f&lt;=75),0.4,TRUE,0.2)),c_s,IF(t="train",IF(c="","",IFS(AND(c&gt;=180,c&lt;=210),1,AND(c&gt;=160,c&lt;180),0.7,AND(c&gt;210,c&lt;=230),0.7,AND(c&gt;=140,c&lt;160),0.4,AND(c&gt;230,c&lt;=250),0.4,TRUE,0.2)),IF(c="","",IFS(AND(c&gt;=140,c&lt;=170),1,AND(c&gt;=120,c&lt;140),0.7,AND(c&gt;170,c&lt;=190),0.7,AND(c&gt;=100,c&lt;120),0.4,AND(c&gt;190,c&lt;=210),0.4,TRUE,0.2))),AVERAGE(k_s,p_s,f_s,c_s)))),1),""))</f>
        <v/>
      </c>
      <c r="Z288">
        <f>IF($A288="","",TEXTJOIN(", ",TRUE,IF($B288="","??????????",""),IF($C288="","??????",""),IF($D288="","????",""),IF($E288="","??????????",""),IF($F288="","???-?????",""),IF($G288="","???-????",""),IF($H288="","??????",""),IF($L288="","???",""),IF($M288="","?????",""),IF($N288="","??????????????",""),IF($O288="","??????????",""),IF($P288="","???????",""),IF($U288="","???","")))</f>
        <v/>
      </c>
    </row>
    <row r="289">
      <c r="U289">
        <f>IF($A289="","",IF(SUMIF(FoodLog!$A:$A,$A289,FoodLog!$I:$I)=0,"",SUMIF(FoodLog!$A:$A,$A289,FoodLog!$I:$I)))</f>
        <v/>
      </c>
      <c r="V289">
        <f>IF($A289="","",IF(SUMIF(FoodLog!$A:$A,$A289,FoodLog!$F:$F)=0,"",SUMIF(FoodLog!$A:$A,$A289,FoodLog!$F:$F)))</f>
        <v/>
      </c>
      <c r="W289">
        <f>IF($A289="","",IF(SUMIF(FoodLog!$A:$A,$A289,FoodLog!$G:$G)=0,"",SUMIF(FoodLog!$A:$A,$A289,FoodLog!$G:$G)))</f>
        <v/>
      </c>
      <c r="X289">
        <f>IF($A289="","",IF(SUMIF(FoodLog!$A:$A,$A289,FoodLog!$H:$H)=0,"",SUMIF(FoodLog!$A:$A,$A289,FoodLog!$H:$H)))</f>
        <v/>
      </c>
      <c r="Y289">
        <f>IF($A289="","",IFERROR(ROUND(100*AVERAGE(IF($B289="","",XLOOKUP($B289,FILTER(Dictionaries!$B:$B,Dictionaries!$A:$A="??????????"),FILTER(Dictionaries!$C:$C,Dictionaries!$A:$A="??????????"))),IF($C289="","",MIN($C289/40,1)),IF($D289="","",XLOOKUP($D289,FILTER(Dictionaries!$B:$B,Dictionaries!$A:$A="????"),FILTER(Dictionaries!$C:$C,Dictionaries!$A:$A="????"))),IF($E289="","",MIN($E289/120,1)),IF(OR($F289&lt;&gt;"",$G289&lt;&gt;""),1,""),IF($H289="","",MIN($H289/100,1)),IF($L289="","",XLOOKUP($L289,FILTER(Dictionaries!$B:$B,Dictionaries!$A:$A="???_????"),FILTER(Dictionaries!$C:$C,Dictionaries!$A:$A="???_????"))),IF($M289="","",XLOOKUP($M289,FILTER(Dictionaries!$B:$B,Dictionaries!$A:$A="?????"),FILTER(Dictionaries!$C:$C,Dictionaries!$A:$A="?????"))),IF($N289="","",MIN($N289/100,1)),IF($O289="","",XLOOKUP($O289,FILTER(Dictionaries!$B:$B,Dictionaries!$A:$A="??????????"),FILTER(Dictionaries!$C:$C,Dictionaries!$A:$A="??????????"))),IF($P289="","",XLOOKUP($P289,FILTER(Dictionaries!$B:$B,Dictionaries!$A:$A="???????"),FILTER(Dictionaries!$C:$C,Dictionaries!$A:$A="???????"))),IF($U289="","",LET(t,IF(OR($B289="????",$B289="????"),"train","rest"),k,$U289,p,$V289,f,$W289,c,$X289,k_s,IF(t="train",IF(k="","",IFS(AND(k&gt;=1900,k&lt;=2050),1,AND(k&gt;=1850,k&lt;1900),0.7,AND(k&gt;2050,k&lt;=2100),0.7,TRUE,0.2)),IF(k="","",IFS(AND(k&gt;=1700,k&lt;=1850),1,AND(k&gt;=1650,k&lt;1700),0.7,AND(k&gt;1850,k&lt;=1900),0.7,TRUE,0.2))),p_s,IF(t="train",IF(p="","",IFS(AND(p&gt;=125,p&lt;=135),1,AND(p&gt;=115,p&lt;125),0.7,AND(p&gt;135,p&lt;=145),0.7,AND(p&gt;=105,p&lt;115),0.4,AND(p&gt;145,p&lt;=155),0.4,TRUE,0.2)),IF(p="","",IFS(AND(p&gt;=120,p&lt;=130),1,AND(p&gt;=110,p&lt;120),0.7,AND(p&gt;130,p&lt;=140),0.7,AND(p&gt;=100,p&lt;110),0.4,AND(p&gt;140,p&lt;=150),0.4,TRUE,0.2))),f_s,IF(f="","",IFS(AND(f&gt;=55,f&lt;=65),1,AND(f&gt;=50,f&lt;55),0.7,AND(f&gt;65,f&lt;=70),0.7,AND(f&gt;=45,f&lt;50),0.4,AND(f&gt;70,f&lt;=75),0.4,TRUE,0.2)),c_s,IF(t="train",IF(c="","",IFS(AND(c&gt;=180,c&lt;=210),1,AND(c&gt;=160,c&lt;180),0.7,AND(c&gt;210,c&lt;=230),0.7,AND(c&gt;=140,c&lt;160),0.4,AND(c&gt;230,c&lt;=250),0.4,TRUE,0.2)),IF(c="","",IFS(AND(c&gt;=140,c&lt;=170),1,AND(c&gt;=120,c&lt;140),0.7,AND(c&gt;170,c&lt;=190),0.7,AND(c&gt;=100,c&lt;120),0.4,AND(c&gt;190,c&lt;=210),0.4,TRUE,0.2))),AVERAGE(k_s,p_s,f_s,c_s)))),1),""))</f>
        <v/>
      </c>
      <c r="Z289">
        <f>IF($A289="","",TEXTJOIN(", ",TRUE,IF($B289="","??????????",""),IF($C289="","??????",""),IF($D289="","????",""),IF($E289="","??????????",""),IF($F289="","???-?????",""),IF($G289="","???-????",""),IF($H289="","??????",""),IF($L289="","???",""),IF($M289="","?????",""),IF($N289="","??????????????",""),IF($O289="","??????????",""),IF($P289="","???????",""),IF($U289="","???","")))</f>
        <v/>
      </c>
    </row>
    <row r="290">
      <c r="U290">
        <f>IF($A290="","",IF(SUMIF(FoodLog!$A:$A,$A290,FoodLog!$I:$I)=0,"",SUMIF(FoodLog!$A:$A,$A290,FoodLog!$I:$I)))</f>
        <v/>
      </c>
      <c r="V290">
        <f>IF($A290="","",IF(SUMIF(FoodLog!$A:$A,$A290,FoodLog!$F:$F)=0,"",SUMIF(FoodLog!$A:$A,$A290,FoodLog!$F:$F)))</f>
        <v/>
      </c>
      <c r="W290">
        <f>IF($A290="","",IF(SUMIF(FoodLog!$A:$A,$A290,FoodLog!$G:$G)=0,"",SUMIF(FoodLog!$A:$A,$A290,FoodLog!$G:$G)))</f>
        <v/>
      </c>
      <c r="X290">
        <f>IF($A290="","",IF(SUMIF(FoodLog!$A:$A,$A290,FoodLog!$H:$H)=0,"",SUMIF(FoodLog!$A:$A,$A290,FoodLog!$H:$H)))</f>
        <v/>
      </c>
      <c r="Y290">
        <f>IF($A290="","",IFERROR(ROUND(100*AVERAGE(IF($B290="","",XLOOKUP($B290,FILTER(Dictionaries!$B:$B,Dictionaries!$A:$A="??????????"),FILTER(Dictionaries!$C:$C,Dictionaries!$A:$A="??????????"))),IF($C290="","",MIN($C290/40,1)),IF($D290="","",XLOOKUP($D290,FILTER(Dictionaries!$B:$B,Dictionaries!$A:$A="????"),FILTER(Dictionaries!$C:$C,Dictionaries!$A:$A="????"))),IF($E290="","",MIN($E290/120,1)),IF(OR($F290&lt;&gt;"",$G290&lt;&gt;""),1,""),IF($H290="","",MIN($H290/100,1)),IF($L290="","",XLOOKUP($L290,FILTER(Dictionaries!$B:$B,Dictionaries!$A:$A="???_????"),FILTER(Dictionaries!$C:$C,Dictionaries!$A:$A="???_????"))),IF($M290="","",XLOOKUP($M290,FILTER(Dictionaries!$B:$B,Dictionaries!$A:$A="?????"),FILTER(Dictionaries!$C:$C,Dictionaries!$A:$A="?????"))),IF($N290="","",MIN($N290/100,1)),IF($O290="","",XLOOKUP($O290,FILTER(Dictionaries!$B:$B,Dictionaries!$A:$A="??????????"),FILTER(Dictionaries!$C:$C,Dictionaries!$A:$A="??????????"))),IF($P290="","",XLOOKUP($P290,FILTER(Dictionaries!$B:$B,Dictionaries!$A:$A="???????"),FILTER(Dictionaries!$C:$C,Dictionaries!$A:$A="???????"))),IF($U290="","",LET(t,IF(OR($B290="????",$B290="????"),"train","rest"),k,$U290,p,$V290,f,$W290,c,$X290,k_s,IF(t="train",IF(k="","",IFS(AND(k&gt;=1900,k&lt;=2050),1,AND(k&gt;=1850,k&lt;1900),0.7,AND(k&gt;2050,k&lt;=2100),0.7,TRUE,0.2)),IF(k="","",IFS(AND(k&gt;=1700,k&lt;=1850),1,AND(k&gt;=1650,k&lt;1700),0.7,AND(k&gt;1850,k&lt;=1900),0.7,TRUE,0.2))),p_s,IF(t="train",IF(p="","",IFS(AND(p&gt;=125,p&lt;=135),1,AND(p&gt;=115,p&lt;125),0.7,AND(p&gt;135,p&lt;=145),0.7,AND(p&gt;=105,p&lt;115),0.4,AND(p&gt;145,p&lt;=155),0.4,TRUE,0.2)),IF(p="","",IFS(AND(p&gt;=120,p&lt;=130),1,AND(p&gt;=110,p&lt;120),0.7,AND(p&gt;130,p&lt;=140),0.7,AND(p&gt;=100,p&lt;110),0.4,AND(p&gt;140,p&lt;=150),0.4,TRUE,0.2))),f_s,IF(f="","",IFS(AND(f&gt;=55,f&lt;=65),1,AND(f&gt;=50,f&lt;55),0.7,AND(f&gt;65,f&lt;=70),0.7,AND(f&gt;=45,f&lt;50),0.4,AND(f&gt;70,f&lt;=75),0.4,TRUE,0.2)),c_s,IF(t="train",IF(c="","",IFS(AND(c&gt;=180,c&lt;=210),1,AND(c&gt;=160,c&lt;180),0.7,AND(c&gt;210,c&lt;=230),0.7,AND(c&gt;=140,c&lt;160),0.4,AND(c&gt;230,c&lt;=250),0.4,TRUE,0.2)),IF(c="","",IFS(AND(c&gt;=140,c&lt;=170),1,AND(c&gt;=120,c&lt;140),0.7,AND(c&gt;170,c&lt;=190),0.7,AND(c&gt;=100,c&lt;120),0.4,AND(c&gt;190,c&lt;=210),0.4,TRUE,0.2))),AVERAGE(k_s,p_s,f_s,c_s)))),1),""))</f>
        <v/>
      </c>
      <c r="Z290">
        <f>IF($A290="","",TEXTJOIN(", ",TRUE,IF($B290="","??????????",""),IF($C290="","??????",""),IF($D290="","????",""),IF($E290="","??????????",""),IF($F290="","???-?????",""),IF($G290="","???-????",""),IF($H290="","??????",""),IF($L290="","???",""),IF($M290="","?????",""),IF($N290="","??????????????",""),IF($O290="","??????????",""),IF($P290="","???????",""),IF($U290="","???","")))</f>
        <v/>
      </c>
    </row>
    <row r="291">
      <c r="U291">
        <f>IF($A291="","",IF(SUMIF(FoodLog!$A:$A,$A291,FoodLog!$I:$I)=0,"",SUMIF(FoodLog!$A:$A,$A291,FoodLog!$I:$I)))</f>
        <v/>
      </c>
      <c r="V291">
        <f>IF($A291="","",IF(SUMIF(FoodLog!$A:$A,$A291,FoodLog!$F:$F)=0,"",SUMIF(FoodLog!$A:$A,$A291,FoodLog!$F:$F)))</f>
        <v/>
      </c>
      <c r="W291">
        <f>IF($A291="","",IF(SUMIF(FoodLog!$A:$A,$A291,FoodLog!$G:$G)=0,"",SUMIF(FoodLog!$A:$A,$A291,FoodLog!$G:$G)))</f>
        <v/>
      </c>
      <c r="X291">
        <f>IF($A291="","",IF(SUMIF(FoodLog!$A:$A,$A291,FoodLog!$H:$H)=0,"",SUMIF(FoodLog!$A:$A,$A291,FoodLog!$H:$H)))</f>
        <v/>
      </c>
      <c r="Y291">
        <f>IF($A291="","",IFERROR(ROUND(100*AVERAGE(IF($B291="","",XLOOKUP($B291,FILTER(Dictionaries!$B:$B,Dictionaries!$A:$A="??????????"),FILTER(Dictionaries!$C:$C,Dictionaries!$A:$A="??????????"))),IF($C291="","",MIN($C291/40,1)),IF($D291="","",XLOOKUP($D291,FILTER(Dictionaries!$B:$B,Dictionaries!$A:$A="????"),FILTER(Dictionaries!$C:$C,Dictionaries!$A:$A="????"))),IF($E291="","",MIN($E291/120,1)),IF(OR($F291&lt;&gt;"",$G291&lt;&gt;""),1,""),IF($H291="","",MIN($H291/100,1)),IF($L291="","",XLOOKUP($L291,FILTER(Dictionaries!$B:$B,Dictionaries!$A:$A="???_????"),FILTER(Dictionaries!$C:$C,Dictionaries!$A:$A="???_????"))),IF($M291="","",XLOOKUP($M291,FILTER(Dictionaries!$B:$B,Dictionaries!$A:$A="?????"),FILTER(Dictionaries!$C:$C,Dictionaries!$A:$A="?????"))),IF($N291="","",MIN($N291/100,1)),IF($O291="","",XLOOKUP($O291,FILTER(Dictionaries!$B:$B,Dictionaries!$A:$A="??????????"),FILTER(Dictionaries!$C:$C,Dictionaries!$A:$A="??????????"))),IF($P291="","",XLOOKUP($P291,FILTER(Dictionaries!$B:$B,Dictionaries!$A:$A="???????"),FILTER(Dictionaries!$C:$C,Dictionaries!$A:$A="???????"))),IF($U291="","",LET(t,IF(OR($B291="????",$B291="????"),"train","rest"),k,$U291,p,$V291,f,$W291,c,$X291,k_s,IF(t="train",IF(k="","",IFS(AND(k&gt;=1900,k&lt;=2050),1,AND(k&gt;=1850,k&lt;1900),0.7,AND(k&gt;2050,k&lt;=2100),0.7,TRUE,0.2)),IF(k="","",IFS(AND(k&gt;=1700,k&lt;=1850),1,AND(k&gt;=1650,k&lt;1700),0.7,AND(k&gt;1850,k&lt;=1900),0.7,TRUE,0.2))),p_s,IF(t="train",IF(p="","",IFS(AND(p&gt;=125,p&lt;=135),1,AND(p&gt;=115,p&lt;125),0.7,AND(p&gt;135,p&lt;=145),0.7,AND(p&gt;=105,p&lt;115),0.4,AND(p&gt;145,p&lt;=155),0.4,TRUE,0.2)),IF(p="","",IFS(AND(p&gt;=120,p&lt;=130),1,AND(p&gt;=110,p&lt;120),0.7,AND(p&gt;130,p&lt;=140),0.7,AND(p&gt;=100,p&lt;110),0.4,AND(p&gt;140,p&lt;=150),0.4,TRUE,0.2))),f_s,IF(f="","",IFS(AND(f&gt;=55,f&lt;=65),1,AND(f&gt;=50,f&lt;55),0.7,AND(f&gt;65,f&lt;=70),0.7,AND(f&gt;=45,f&lt;50),0.4,AND(f&gt;70,f&lt;=75),0.4,TRUE,0.2)),c_s,IF(t="train",IF(c="","",IFS(AND(c&gt;=180,c&lt;=210),1,AND(c&gt;=160,c&lt;180),0.7,AND(c&gt;210,c&lt;=230),0.7,AND(c&gt;=140,c&lt;160),0.4,AND(c&gt;230,c&lt;=250),0.4,TRUE,0.2)),IF(c="","",IFS(AND(c&gt;=140,c&lt;=170),1,AND(c&gt;=120,c&lt;140),0.7,AND(c&gt;170,c&lt;=190),0.7,AND(c&gt;=100,c&lt;120),0.4,AND(c&gt;190,c&lt;=210),0.4,TRUE,0.2))),AVERAGE(k_s,p_s,f_s,c_s)))),1),""))</f>
        <v/>
      </c>
      <c r="Z291">
        <f>IF($A291="","",TEXTJOIN(", ",TRUE,IF($B291="","??????????",""),IF($C291="","??????",""),IF($D291="","????",""),IF($E291="","??????????",""),IF($F291="","???-?????",""),IF($G291="","???-????",""),IF($H291="","??????",""),IF($L291="","???",""),IF($M291="","?????",""),IF($N291="","??????????????",""),IF($O291="","??????????",""),IF($P291="","???????",""),IF($U291="","???","")))</f>
        <v/>
      </c>
    </row>
    <row r="292">
      <c r="U292">
        <f>IF($A292="","",IF(SUMIF(FoodLog!$A:$A,$A292,FoodLog!$I:$I)=0,"",SUMIF(FoodLog!$A:$A,$A292,FoodLog!$I:$I)))</f>
        <v/>
      </c>
      <c r="V292">
        <f>IF($A292="","",IF(SUMIF(FoodLog!$A:$A,$A292,FoodLog!$F:$F)=0,"",SUMIF(FoodLog!$A:$A,$A292,FoodLog!$F:$F)))</f>
        <v/>
      </c>
      <c r="W292">
        <f>IF($A292="","",IF(SUMIF(FoodLog!$A:$A,$A292,FoodLog!$G:$G)=0,"",SUMIF(FoodLog!$A:$A,$A292,FoodLog!$G:$G)))</f>
        <v/>
      </c>
      <c r="X292">
        <f>IF($A292="","",IF(SUMIF(FoodLog!$A:$A,$A292,FoodLog!$H:$H)=0,"",SUMIF(FoodLog!$A:$A,$A292,FoodLog!$H:$H)))</f>
        <v/>
      </c>
      <c r="Y292">
        <f>IF($A292="","",IFERROR(ROUND(100*AVERAGE(IF($B292="","",XLOOKUP($B292,FILTER(Dictionaries!$B:$B,Dictionaries!$A:$A="??????????"),FILTER(Dictionaries!$C:$C,Dictionaries!$A:$A="??????????"))),IF($C292="","",MIN($C292/40,1)),IF($D292="","",XLOOKUP($D292,FILTER(Dictionaries!$B:$B,Dictionaries!$A:$A="????"),FILTER(Dictionaries!$C:$C,Dictionaries!$A:$A="????"))),IF($E292="","",MIN($E292/120,1)),IF(OR($F292&lt;&gt;"",$G292&lt;&gt;""),1,""),IF($H292="","",MIN($H292/100,1)),IF($L292="","",XLOOKUP($L292,FILTER(Dictionaries!$B:$B,Dictionaries!$A:$A="???_????"),FILTER(Dictionaries!$C:$C,Dictionaries!$A:$A="???_????"))),IF($M292="","",XLOOKUP($M292,FILTER(Dictionaries!$B:$B,Dictionaries!$A:$A="?????"),FILTER(Dictionaries!$C:$C,Dictionaries!$A:$A="?????"))),IF($N292="","",MIN($N292/100,1)),IF($O292="","",XLOOKUP($O292,FILTER(Dictionaries!$B:$B,Dictionaries!$A:$A="??????????"),FILTER(Dictionaries!$C:$C,Dictionaries!$A:$A="??????????"))),IF($P292="","",XLOOKUP($P292,FILTER(Dictionaries!$B:$B,Dictionaries!$A:$A="???????"),FILTER(Dictionaries!$C:$C,Dictionaries!$A:$A="???????"))),IF($U292="","",LET(t,IF(OR($B292="????",$B292="????"),"train","rest"),k,$U292,p,$V292,f,$W292,c,$X292,k_s,IF(t="train",IF(k="","",IFS(AND(k&gt;=1900,k&lt;=2050),1,AND(k&gt;=1850,k&lt;1900),0.7,AND(k&gt;2050,k&lt;=2100),0.7,TRUE,0.2)),IF(k="","",IFS(AND(k&gt;=1700,k&lt;=1850),1,AND(k&gt;=1650,k&lt;1700),0.7,AND(k&gt;1850,k&lt;=1900),0.7,TRUE,0.2))),p_s,IF(t="train",IF(p="","",IFS(AND(p&gt;=125,p&lt;=135),1,AND(p&gt;=115,p&lt;125),0.7,AND(p&gt;135,p&lt;=145),0.7,AND(p&gt;=105,p&lt;115),0.4,AND(p&gt;145,p&lt;=155),0.4,TRUE,0.2)),IF(p="","",IFS(AND(p&gt;=120,p&lt;=130),1,AND(p&gt;=110,p&lt;120),0.7,AND(p&gt;130,p&lt;=140),0.7,AND(p&gt;=100,p&lt;110),0.4,AND(p&gt;140,p&lt;=150),0.4,TRUE,0.2))),f_s,IF(f="","",IFS(AND(f&gt;=55,f&lt;=65),1,AND(f&gt;=50,f&lt;55),0.7,AND(f&gt;65,f&lt;=70),0.7,AND(f&gt;=45,f&lt;50),0.4,AND(f&gt;70,f&lt;=75),0.4,TRUE,0.2)),c_s,IF(t="train",IF(c="","",IFS(AND(c&gt;=180,c&lt;=210),1,AND(c&gt;=160,c&lt;180),0.7,AND(c&gt;210,c&lt;=230),0.7,AND(c&gt;=140,c&lt;160),0.4,AND(c&gt;230,c&lt;=250),0.4,TRUE,0.2)),IF(c="","",IFS(AND(c&gt;=140,c&lt;=170),1,AND(c&gt;=120,c&lt;140),0.7,AND(c&gt;170,c&lt;=190),0.7,AND(c&gt;=100,c&lt;120),0.4,AND(c&gt;190,c&lt;=210),0.4,TRUE,0.2))),AVERAGE(k_s,p_s,f_s,c_s)))),1),""))</f>
        <v/>
      </c>
      <c r="Z292">
        <f>IF($A292="","",TEXTJOIN(", ",TRUE,IF($B292="","??????????",""),IF($C292="","??????",""),IF($D292="","????",""),IF($E292="","??????????",""),IF($F292="","???-?????",""),IF($G292="","???-????",""),IF($H292="","??????",""),IF($L292="","???",""),IF($M292="","?????",""),IF($N292="","??????????????",""),IF($O292="","??????????",""),IF($P292="","???????",""),IF($U292="","???","")))</f>
        <v/>
      </c>
    </row>
    <row r="293">
      <c r="U293">
        <f>IF($A293="","",IF(SUMIF(FoodLog!$A:$A,$A293,FoodLog!$I:$I)=0,"",SUMIF(FoodLog!$A:$A,$A293,FoodLog!$I:$I)))</f>
        <v/>
      </c>
      <c r="V293">
        <f>IF($A293="","",IF(SUMIF(FoodLog!$A:$A,$A293,FoodLog!$F:$F)=0,"",SUMIF(FoodLog!$A:$A,$A293,FoodLog!$F:$F)))</f>
        <v/>
      </c>
      <c r="W293">
        <f>IF($A293="","",IF(SUMIF(FoodLog!$A:$A,$A293,FoodLog!$G:$G)=0,"",SUMIF(FoodLog!$A:$A,$A293,FoodLog!$G:$G)))</f>
        <v/>
      </c>
      <c r="X293">
        <f>IF($A293="","",IF(SUMIF(FoodLog!$A:$A,$A293,FoodLog!$H:$H)=0,"",SUMIF(FoodLog!$A:$A,$A293,FoodLog!$H:$H)))</f>
        <v/>
      </c>
      <c r="Y293">
        <f>IF($A293="","",IFERROR(ROUND(100*AVERAGE(IF($B293="","",XLOOKUP($B293,FILTER(Dictionaries!$B:$B,Dictionaries!$A:$A="??????????"),FILTER(Dictionaries!$C:$C,Dictionaries!$A:$A="??????????"))),IF($C293="","",MIN($C293/40,1)),IF($D293="","",XLOOKUP($D293,FILTER(Dictionaries!$B:$B,Dictionaries!$A:$A="????"),FILTER(Dictionaries!$C:$C,Dictionaries!$A:$A="????"))),IF($E293="","",MIN($E293/120,1)),IF(OR($F293&lt;&gt;"",$G293&lt;&gt;""),1,""),IF($H293="","",MIN($H293/100,1)),IF($L293="","",XLOOKUP($L293,FILTER(Dictionaries!$B:$B,Dictionaries!$A:$A="???_????"),FILTER(Dictionaries!$C:$C,Dictionaries!$A:$A="???_????"))),IF($M293="","",XLOOKUP($M293,FILTER(Dictionaries!$B:$B,Dictionaries!$A:$A="?????"),FILTER(Dictionaries!$C:$C,Dictionaries!$A:$A="?????"))),IF($N293="","",MIN($N293/100,1)),IF($O293="","",XLOOKUP($O293,FILTER(Dictionaries!$B:$B,Dictionaries!$A:$A="??????????"),FILTER(Dictionaries!$C:$C,Dictionaries!$A:$A="??????????"))),IF($P293="","",XLOOKUP($P293,FILTER(Dictionaries!$B:$B,Dictionaries!$A:$A="???????"),FILTER(Dictionaries!$C:$C,Dictionaries!$A:$A="???????"))),IF($U293="","",LET(t,IF(OR($B293="????",$B293="????"),"train","rest"),k,$U293,p,$V293,f,$W293,c,$X293,k_s,IF(t="train",IF(k="","",IFS(AND(k&gt;=1900,k&lt;=2050),1,AND(k&gt;=1850,k&lt;1900),0.7,AND(k&gt;2050,k&lt;=2100),0.7,TRUE,0.2)),IF(k="","",IFS(AND(k&gt;=1700,k&lt;=1850),1,AND(k&gt;=1650,k&lt;1700),0.7,AND(k&gt;1850,k&lt;=1900),0.7,TRUE,0.2))),p_s,IF(t="train",IF(p="","",IFS(AND(p&gt;=125,p&lt;=135),1,AND(p&gt;=115,p&lt;125),0.7,AND(p&gt;135,p&lt;=145),0.7,AND(p&gt;=105,p&lt;115),0.4,AND(p&gt;145,p&lt;=155),0.4,TRUE,0.2)),IF(p="","",IFS(AND(p&gt;=120,p&lt;=130),1,AND(p&gt;=110,p&lt;120),0.7,AND(p&gt;130,p&lt;=140),0.7,AND(p&gt;=100,p&lt;110),0.4,AND(p&gt;140,p&lt;=150),0.4,TRUE,0.2))),f_s,IF(f="","",IFS(AND(f&gt;=55,f&lt;=65),1,AND(f&gt;=50,f&lt;55),0.7,AND(f&gt;65,f&lt;=70),0.7,AND(f&gt;=45,f&lt;50),0.4,AND(f&gt;70,f&lt;=75),0.4,TRUE,0.2)),c_s,IF(t="train",IF(c="","",IFS(AND(c&gt;=180,c&lt;=210),1,AND(c&gt;=160,c&lt;180),0.7,AND(c&gt;210,c&lt;=230),0.7,AND(c&gt;=140,c&lt;160),0.4,AND(c&gt;230,c&lt;=250),0.4,TRUE,0.2)),IF(c="","",IFS(AND(c&gt;=140,c&lt;=170),1,AND(c&gt;=120,c&lt;140),0.7,AND(c&gt;170,c&lt;=190),0.7,AND(c&gt;=100,c&lt;120),0.4,AND(c&gt;190,c&lt;=210),0.4,TRUE,0.2))),AVERAGE(k_s,p_s,f_s,c_s)))),1),""))</f>
        <v/>
      </c>
      <c r="Z293">
        <f>IF($A293="","",TEXTJOIN(", ",TRUE,IF($B293="","??????????",""),IF($C293="","??????",""),IF($D293="","????",""),IF($E293="","??????????",""),IF($F293="","???-?????",""),IF($G293="","???-????",""),IF($H293="","??????",""),IF($L293="","???",""),IF($M293="","?????",""),IF($N293="","??????????????",""),IF($O293="","??????????",""),IF($P293="","???????",""),IF($U293="","???","")))</f>
        <v/>
      </c>
    </row>
    <row r="294">
      <c r="U294">
        <f>IF($A294="","",IF(SUMIF(FoodLog!$A:$A,$A294,FoodLog!$I:$I)=0,"",SUMIF(FoodLog!$A:$A,$A294,FoodLog!$I:$I)))</f>
        <v/>
      </c>
      <c r="V294">
        <f>IF($A294="","",IF(SUMIF(FoodLog!$A:$A,$A294,FoodLog!$F:$F)=0,"",SUMIF(FoodLog!$A:$A,$A294,FoodLog!$F:$F)))</f>
        <v/>
      </c>
      <c r="W294">
        <f>IF($A294="","",IF(SUMIF(FoodLog!$A:$A,$A294,FoodLog!$G:$G)=0,"",SUMIF(FoodLog!$A:$A,$A294,FoodLog!$G:$G)))</f>
        <v/>
      </c>
      <c r="X294">
        <f>IF($A294="","",IF(SUMIF(FoodLog!$A:$A,$A294,FoodLog!$H:$H)=0,"",SUMIF(FoodLog!$A:$A,$A294,FoodLog!$H:$H)))</f>
        <v/>
      </c>
      <c r="Y294">
        <f>IF($A294="","",IFERROR(ROUND(100*AVERAGE(IF($B294="","",XLOOKUP($B294,FILTER(Dictionaries!$B:$B,Dictionaries!$A:$A="??????????"),FILTER(Dictionaries!$C:$C,Dictionaries!$A:$A="??????????"))),IF($C294="","",MIN($C294/40,1)),IF($D294="","",XLOOKUP($D294,FILTER(Dictionaries!$B:$B,Dictionaries!$A:$A="????"),FILTER(Dictionaries!$C:$C,Dictionaries!$A:$A="????"))),IF($E294="","",MIN($E294/120,1)),IF(OR($F294&lt;&gt;"",$G294&lt;&gt;""),1,""),IF($H294="","",MIN($H294/100,1)),IF($L294="","",XLOOKUP($L294,FILTER(Dictionaries!$B:$B,Dictionaries!$A:$A="???_????"),FILTER(Dictionaries!$C:$C,Dictionaries!$A:$A="???_????"))),IF($M294="","",XLOOKUP($M294,FILTER(Dictionaries!$B:$B,Dictionaries!$A:$A="?????"),FILTER(Dictionaries!$C:$C,Dictionaries!$A:$A="?????"))),IF($N294="","",MIN($N294/100,1)),IF($O294="","",XLOOKUP($O294,FILTER(Dictionaries!$B:$B,Dictionaries!$A:$A="??????????"),FILTER(Dictionaries!$C:$C,Dictionaries!$A:$A="??????????"))),IF($P294="","",XLOOKUP($P294,FILTER(Dictionaries!$B:$B,Dictionaries!$A:$A="???????"),FILTER(Dictionaries!$C:$C,Dictionaries!$A:$A="???????"))),IF($U294="","",LET(t,IF(OR($B294="????",$B294="????"),"train","rest"),k,$U294,p,$V294,f,$W294,c,$X294,k_s,IF(t="train",IF(k="","",IFS(AND(k&gt;=1900,k&lt;=2050),1,AND(k&gt;=1850,k&lt;1900),0.7,AND(k&gt;2050,k&lt;=2100),0.7,TRUE,0.2)),IF(k="","",IFS(AND(k&gt;=1700,k&lt;=1850),1,AND(k&gt;=1650,k&lt;1700),0.7,AND(k&gt;1850,k&lt;=1900),0.7,TRUE,0.2))),p_s,IF(t="train",IF(p="","",IFS(AND(p&gt;=125,p&lt;=135),1,AND(p&gt;=115,p&lt;125),0.7,AND(p&gt;135,p&lt;=145),0.7,AND(p&gt;=105,p&lt;115),0.4,AND(p&gt;145,p&lt;=155),0.4,TRUE,0.2)),IF(p="","",IFS(AND(p&gt;=120,p&lt;=130),1,AND(p&gt;=110,p&lt;120),0.7,AND(p&gt;130,p&lt;=140),0.7,AND(p&gt;=100,p&lt;110),0.4,AND(p&gt;140,p&lt;=150),0.4,TRUE,0.2))),f_s,IF(f="","",IFS(AND(f&gt;=55,f&lt;=65),1,AND(f&gt;=50,f&lt;55),0.7,AND(f&gt;65,f&lt;=70),0.7,AND(f&gt;=45,f&lt;50),0.4,AND(f&gt;70,f&lt;=75),0.4,TRUE,0.2)),c_s,IF(t="train",IF(c="","",IFS(AND(c&gt;=180,c&lt;=210),1,AND(c&gt;=160,c&lt;180),0.7,AND(c&gt;210,c&lt;=230),0.7,AND(c&gt;=140,c&lt;160),0.4,AND(c&gt;230,c&lt;=250),0.4,TRUE,0.2)),IF(c="","",IFS(AND(c&gt;=140,c&lt;=170),1,AND(c&gt;=120,c&lt;140),0.7,AND(c&gt;170,c&lt;=190),0.7,AND(c&gt;=100,c&lt;120),0.4,AND(c&gt;190,c&lt;=210),0.4,TRUE,0.2))),AVERAGE(k_s,p_s,f_s,c_s)))),1),""))</f>
        <v/>
      </c>
      <c r="Z294">
        <f>IF($A294="","",TEXTJOIN(", ",TRUE,IF($B294="","??????????",""),IF($C294="","??????",""),IF($D294="","????",""),IF($E294="","??????????",""),IF($F294="","???-?????",""),IF($G294="","???-????",""),IF($H294="","??????",""),IF($L294="","???",""),IF($M294="","?????",""),IF($N294="","??????????????",""),IF($O294="","??????????",""),IF($P294="","???????",""),IF($U294="","???","")))</f>
        <v/>
      </c>
    </row>
    <row r="295">
      <c r="U295">
        <f>IF($A295="","",IF(SUMIF(FoodLog!$A:$A,$A295,FoodLog!$I:$I)=0,"",SUMIF(FoodLog!$A:$A,$A295,FoodLog!$I:$I)))</f>
        <v/>
      </c>
      <c r="V295">
        <f>IF($A295="","",IF(SUMIF(FoodLog!$A:$A,$A295,FoodLog!$F:$F)=0,"",SUMIF(FoodLog!$A:$A,$A295,FoodLog!$F:$F)))</f>
        <v/>
      </c>
      <c r="W295">
        <f>IF($A295="","",IF(SUMIF(FoodLog!$A:$A,$A295,FoodLog!$G:$G)=0,"",SUMIF(FoodLog!$A:$A,$A295,FoodLog!$G:$G)))</f>
        <v/>
      </c>
      <c r="X295">
        <f>IF($A295="","",IF(SUMIF(FoodLog!$A:$A,$A295,FoodLog!$H:$H)=0,"",SUMIF(FoodLog!$A:$A,$A295,FoodLog!$H:$H)))</f>
        <v/>
      </c>
      <c r="Y295">
        <f>IF($A295="","",IFERROR(ROUND(100*AVERAGE(IF($B295="","",XLOOKUP($B295,FILTER(Dictionaries!$B:$B,Dictionaries!$A:$A="??????????"),FILTER(Dictionaries!$C:$C,Dictionaries!$A:$A="??????????"))),IF($C295="","",MIN($C295/40,1)),IF($D295="","",XLOOKUP($D295,FILTER(Dictionaries!$B:$B,Dictionaries!$A:$A="????"),FILTER(Dictionaries!$C:$C,Dictionaries!$A:$A="????"))),IF($E295="","",MIN($E295/120,1)),IF(OR($F295&lt;&gt;"",$G295&lt;&gt;""),1,""),IF($H295="","",MIN($H295/100,1)),IF($L295="","",XLOOKUP($L295,FILTER(Dictionaries!$B:$B,Dictionaries!$A:$A="???_????"),FILTER(Dictionaries!$C:$C,Dictionaries!$A:$A="???_????"))),IF($M295="","",XLOOKUP($M295,FILTER(Dictionaries!$B:$B,Dictionaries!$A:$A="?????"),FILTER(Dictionaries!$C:$C,Dictionaries!$A:$A="?????"))),IF($N295="","",MIN($N295/100,1)),IF($O295="","",XLOOKUP($O295,FILTER(Dictionaries!$B:$B,Dictionaries!$A:$A="??????????"),FILTER(Dictionaries!$C:$C,Dictionaries!$A:$A="??????????"))),IF($P295="","",XLOOKUP($P295,FILTER(Dictionaries!$B:$B,Dictionaries!$A:$A="???????"),FILTER(Dictionaries!$C:$C,Dictionaries!$A:$A="???????"))),IF($U295="","",LET(t,IF(OR($B295="????",$B295="????"),"train","rest"),k,$U295,p,$V295,f,$W295,c,$X295,k_s,IF(t="train",IF(k="","",IFS(AND(k&gt;=1900,k&lt;=2050),1,AND(k&gt;=1850,k&lt;1900),0.7,AND(k&gt;2050,k&lt;=2100),0.7,TRUE,0.2)),IF(k="","",IFS(AND(k&gt;=1700,k&lt;=1850),1,AND(k&gt;=1650,k&lt;1700),0.7,AND(k&gt;1850,k&lt;=1900),0.7,TRUE,0.2))),p_s,IF(t="train",IF(p="","",IFS(AND(p&gt;=125,p&lt;=135),1,AND(p&gt;=115,p&lt;125),0.7,AND(p&gt;135,p&lt;=145),0.7,AND(p&gt;=105,p&lt;115),0.4,AND(p&gt;145,p&lt;=155),0.4,TRUE,0.2)),IF(p="","",IFS(AND(p&gt;=120,p&lt;=130),1,AND(p&gt;=110,p&lt;120),0.7,AND(p&gt;130,p&lt;=140),0.7,AND(p&gt;=100,p&lt;110),0.4,AND(p&gt;140,p&lt;=150),0.4,TRUE,0.2))),f_s,IF(f="","",IFS(AND(f&gt;=55,f&lt;=65),1,AND(f&gt;=50,f&lt;55),0.7,AND(f&gt;65,f&lt;=70),0.7,AND(f&gt;=45,f&lt;50),0.4,AND(f&gt;70,f&lt;=75),0.4,TRUE,0.2)),c_s,IF(t="train",IF(c="","",IFS(AND(c&gt;=180,c&lt;=210),1,AND(c&gt;=160,c&lt;180),0.7,AND(c&gt;210,c&lt;=230),0.7,AND(c&gt;=140,c&lt;160),0.4,AND(c&gt;230,c&lt;=250),0.4,TRUE,0.2)),IF(c="","",IFS(AND(c&gt;=140,c&lt;=170),1,AND(c&gt;=120,c&lt;140),0.7,AND(c&gt;170,c&lt;=190),0.7,AND(c&gt;=100,c&lt;120),0.4,AND(c&gt;190,c&lt;=210),0.4,TRUE,0.2))),AVERAGE(k_s,p_s,f_s,c_s)))),1),""))</f>
        <v/>
      </c>
      <c r="Z295">
        <f>IF($A295="","",TEXTJOIN(", ",TRUE,IF($B295="","??????????",""),IF($C295="","??????",""),IF($D295="","????",""),IF($E295="","??????????",""),IF($F295="","???-?????",""),IF($G295="","???-????",""),IF($H295="","??????",""),IF($L295="","???",""),IF($M295="","?????",""),IF($N295="","??????????????",""),IF($O295="","??????????",""),IF($P295="","???????",""),IF($U295="","???","")))</f>
        <v/>
      </c>
    </row>
    <row r="296">
      <c r="U296">
        <f>IF($A296="","",IF(SUMIF(FoodLog!$A:$A,$A296,FoodLog!$I:$I)=0,"",SUMIF(FoodLog!$A:$A,$A296,FoodLog!$I:$I)))</f>
        <v/>
      </c>
      <c r="V296">
        <f>IF($A296="","",IF(SUMIF(FoodLog!$A:$A,$A296,FoodLog!$F:$F)=0,"",SUMIF(FoodLog!$A:$A,$A296,FoodLog!$F:$F)))</f>
        <v/>
      </c>
      <c r="W296">
        <f>IF($A296="","",IF(SUMIF(FoodLog!$A:$A,$A296,FoodLog!$G:$G)=0,"",SUMIF(FoodLog!$A:$A,$A296,FoodLog!$G:$G)))</f>
        <v/>
      </c>
      <c r="X296">
        <f>IF($A296="","",IF(SUMIF(FoodLog!$A:$A,$A296,FoodLog!$H:$H)=0,"",SUMIF(FoodLog!$A:$A,$A296,FoodLog!$H:$H)))</f>
        <v/>
      </c>
      <c r="Y296">
        <f>IF($A296="","",IFERROR(ROUND(100*AVERAGE(IF($B296="","",XLOOKUP($B296,FILTER(Dictionaries!$B:$B,Dictionaries!$A:$A="??????????"),FILTER(Dictionaries!$C:$C,Dictionaries!$A:$A="??????????"))),IF($C296="","",MIN($C296/40,1)),IF($D296="","",XLOOKUP($D296,FILTER(Dictionaries!$B:$B,Dictionaries!$A:$A="????"),FILTER(Dictionaries!$C:$C,Dictionaries!$A:$A="????"))),IF($E296="","",MIN($E296/120,1)),IF(OR($F296&lt;&gt;"",$G296&lt;&gt;""),1,""),IF($H296="","",MIN($H296/100,1)),IF($L296="","",XLOOKUP($L296,FILTER(Dictionaries!$B:$B,Dictionaries!$A:$A="???_????"),FILTER(Dictionaries!$C:$C,Dictionaries!$A:$A="???_????"))),IF($M296="","",XLOOKUP($M296,FILTER(Dictionaries!$B:$B,Dictionaries!$A:$A="?????"),FILTER(Dictionaries!$C:$C,Dictionaries!$A:$A="?????"))),IF($N296="","",MIN($N296/100,1)),IF($O296="","",XLOOKUP($O296,FILTER(Dictionaries!$B:$B,Dictionaries!$A:$A="??????????"),FILTER(Dictionaries!$C:$C,Dictionaries!$A:$A="??????????"))),IF($P296="","",XLOOKUP($P296,FILTER(Dictionaries!$B:$B,Dictionaries!$A:$A="???????"),FILTER(Dictionaries!$C:$C,Dictionaries!$A:$A="???????"))),IF($U296="","",LET(t,IF(OR($B296="????",$B296="????"),"train","rest"),k,$U296,p,$V296,f,$W296,c,$X296,k_s,IF(t="train",IF(k="","",IFS(AND(k&gt;=1900,k&lt;=2050),1,AND(k&gt;=1850,k&lt;1900),0.7,AND(k&gt;2050,k&lt;=2100),0.7,TRUE,0.2)),IF(k="","",IFS(AND(k&gt;=1700,k&lt;=1850),1,AND(k&gt;=1650,k&lt;1700),0.7,AND(k&gt;1850,k&lt;=1900),0.7,TRUE,0.2))),p_s,IF(t="train",IF(p="","",IFS(AND(p&gt;=125,p&lt;=135),1,AND(p&gt;=115,p&lt;125),0.7,AND(p&gt;135,p&lt;=145),0.7,AND(p&gt;=105,p&lt;115),0.4,AND(p&gt;145,p&lt;=155),0.4,TRUE,0.2)),IF(p="","",IFS(AND(p&gt;=120,p&lt;=130),1,AND(p&gt;=110,p&lt;120),0.7,AND(p&gt;130,p&lt;=140),0.7,AND(p&gt;=100,p&lt;110),0.4,AND(p&gt;140,p&lt;=150),0.4,TRUE,0.2))),f_s,IF(f="","",IFS(AND(f&gt;=55,f&lt;=65),1,AND(f&gt;=50,f&lt;55),0.7,AND(f&gt;65,f&lt;=70),0.7,AND(f&gt;=45,f&lt;50),0.4,AND(f&gt;70,f&lt;=75),0.4,TRUE,0.2)),c_s,IF(t="train",IF(c="","",IFS(AND(c&gt;=180,c&lt;=210),1,AND(c&gt;=160,c&lt;180),0.7,AND(c&gt;210,c&lt;=230),0.7,AND(c&gt;=140,c&lt;160),0.4,AND(c&gt;230,c&lt;=250),0.4,TRUE,0.2)),IF(c="","",IFS(AND(c&gt;=140,c&lt;=170),1,AND(c&gt;=120,c&lt;140),0.7,AND(c&gt;170,c&lt;=190),0.7,AND(c&gt;=100,c&lt;120),0.4,AND(c&gt;190,c&lt;=210),0.4,TRUE,0.2))),AVERAGE(k_s,p_s,f_s,c_s)))),1),""))</f>
        <v/>
      </c>
      <c r="Z296">
        <f>IF($A296="","",TEXTJOIN(", ",TRUE,IF($B296="","??????????",""),IF($C296="","??????",""),IF($D296="","????",""),IF($E296="","??????????",""),IF($F296="","???-?????",""),IF($G296="","???-????",""),IF($H296="","??????",""),IF($L296="","???",""),IF($M296="","?????",""),IF($N296="","??????????????",""),IF($O296="","??????????",""),IF($P296="","???????",""),IF($U296="","???","")))</f>
        <v/>
      </c>
    </row>
    <row r="297">
      <c r="U297">
        <f>IF($A297="","",IF(SUMIF(FoodLog!$A:$A,$A297,FoodLog!$I:$I)=0,"",SUMIF(FoodLog!$A:$A,$A297,FoodLog!$I:$I)))</f>
        <v/>
      </c>
      <c r="V297">
        <f>IF($A297="","",IF(SUMIF(FoodLog!$A:$A,$A297,FoodLog!$F:$F)=0,"",SUMIF(FoodLog!$A:$A,$A297,FoodLog!$F:$F)))</f>
        <v/>
      </c>
      <c r="W297">
        <f>IF($A297="","",IF(SUMIF(FoodLog!$A:$A,$A297,FoodLog!$G:$G)=0,"",SUMIF(FoodLog!$A:$A,$A297,FoodLog!$G:$G)))</f>
        <v/>
      </c>
      <c r="X297">
        <f>IF($A297="","",IF(SUMIF(FoodLog!$A:$A,$A297,FoodLog!$H:$H)=0,"",SUMIF(FoodLog!$A:$A,$A297,FoodLog!$H:$H)))</f>
        <v/>
      </c>
      <c r="Y297">
        <f>IF($A297="","",IFERROR(ROUND(100*AVERAGE(IF($B297="","",XLOOKUP($B297,FILTER(Dictionaries!$B:$B,Dictionaries!$A:$A="??????????"),FILTER(Dictionaries!$C:$C,Dictionaries!$A:$A="??????????"))),IF($C297="","",MIN($C297/40,1)),IF($D297="","",XLOOKUP($D297,FILTER(Dictionaries!$B:$B,Dictionaries!$A:$A="????"),FILTER(Dictionaries!$C:$C,Dictionaries!$A:$A="????"))),IF($E297="","",MIN($E297/120,1)),IF(OR($F297&lt;&gt;"",$G297&lt;&gt;""),1,""),IF($H297="","",MIN($H297/100,1)),IF($L297="","",XLOOKUP($L297,FILTER(Dictionaries!$B:$B,Dictionaries!$A:$A="???_????"),FILTER(Dictionaries!$C:$C,Dictionaries!$A:$A="???_????"))),IF($M297="","",XLOOKUP($M297,FILTER(Dictionaries!$B:$B,Dictionaries!$A:$A="?????"),FILTER(Dictionaries!$C:$C,Dictionaries!$A:$A="?????"))),IF($N297="","",MIN($N297/100,1)),IF($O297="","",XLOOKUP($O297,FILTER(Dictionaries!$B:$B,Dictionaries!$A:$A="??????????"),FILTER(Dictionaries!$C:$C,Dictionaries!$A:$A="??????????"))),IF($P297="","",XLOOKUP($P297,FILTER(Dictionaries!$B:$B,Dictionaries!$A:$A="???????"),FILTER(Dictionaries!$C:$C,Dictionaries!$A:$A="???????"))),IF($U297="","",LET(t,IF(OR($B297="????",$B297="????"),"train","rest"),k,$U297,p,$V297,f,$W297,c,$X297,k_s,IF(t="train",IF(k="","",IFS(AND(k&gt;=1900,k&lt;=2050),1,AND(k&gt;=1850,k&lt;1900),0.7,AND(k&gt;2050,k&lt;=2100),0.7,TRUE,0.2)),IF(k="","",IFS(AND(k&gt;=1700,k&lt;=1850),1,AND(k&gt;=1650,k&lt;1700),0.7,AND(k&gt;1850,k&lt;=1900),0.7,TRUE,0.2))),p_s,IF(t="train",IF(p="","",IFS(AND(p&gt;=125,p&lt;=135),1,AND(p&gt;=115,p&lt;125),0.7,AND(p&gt;135,p&lt;=145),0.7,AND(p&gt;=105,p&lt;115),0.4,AND(p&gt;145,p&lt;=155),0.4,TRUE,0.2)),IF(p="","",IFS(AND(p&gt;=120,p&lt;=130),1,AND(p&gt;=110,p&lt;120),0.7,AND(p&gt;130,p&lt;=140),0.7,AND(p&gt;=100,p&lt;110),0.4,AND(p&gt;140,p&lt;=150),0.4,TRUE,0.2))),f_s,IF(f="","",IFS(AND(f&gt;=55,f&lt;=65),1,AND(f&gt;=50,f&lt;55),0.7,AND(f&gt;65,f&lt;=70),0.7,AND(f&gt;=45,f&lt;50),0.4,AND(f&gt;70,f&lt;=75),0.4,TRUE,0.2)),c_s,IF(t="train",IF(c="","",IFS(AND(c&gt;=180,c&lt;=210),1,AND(c&gt;=160,c&lt;180),0.7,AND(c&gt;210,c&lt;=230),0.7,AND(c&gt;=140,c&lt;160),0.4,AND(c&gt;230,c&lt;=250),0.4,TRUE,0.2)),IF(c="","",IFS(AND(c&gt;=140,c&lt;=170),1,AND(c&gt;=120,c&lt;140),0.7,AND(c&gt;170,c&lt;=190),0.7,AND(c&gt;=100,c&lt;120),0.4,AND(c&gt;190,c&lt;=210),0.4,TRUE,0.2))),AVERAGE(k_s,p_s,f_s,c_s)))),1),""))</f>
        <v/>
      </c>
      <c r="Z297">
        <f>IF($A297="","",TEXTJOIN(", ",TRUE,IF($B297="","??????????",""),IF($C297="","??????",""),IF($D297="","????",""),IF($E297="","??????????",""),IF($F297="","???-?????",""),IF($G297="","???-????",""),IF($H297="","??????",""),IF($L297="","???",""),IF($M297="","?????",""),IF($N297="","??????????????",""),IF($O297="","??????????",""),IF($P297="","???????",""),IF($U297="","???","")))</f>
        <v/>
      </c>
    </row>
    <row r="298">
      <c r="U298">
        <f>IF($A298="","",IF(SUMIF(FoodLog!$A:$A,$A298,FoodLog!$I:$I)=0,"",SUMIF(FoodLog!$A:$A,$A298,FoodLog!$I:$I)))</f>
        <v/>
      </c>
      <c r="V298">
        <f>IF($A298="","",IF(SUMIF(FoodLog!$A:$A,$A298,FoodLog!$F:$F)=0,"",SUMIF(FoodLog!$A:$A,$A298,FoodLog!$F:$F)))</f>
        <v/>
      </c>
      <c r="W298">
        <f>IF($A298="","",IF(SUMIF(FoodLog!$A:$A,$A298,FoodLog!$G:$G)=0,"",SUMIF(FoodLog!$A:$A,$A298,FoodLog!$G:$G)))</f>
        <v/>
      </c>
      <c r="X298">
        <f>IF($A298="","",IF(SUMIF(FoodLog!$A:$A,$A298,FoodLog!$H:$H)=0,"",SUMIF(FoodLog!$A:$A,$A298,FoodLog!$H:$H)))</f>
        <v/>
      </c>
      <c r="Y298">
        <f>IF($A298="","",IFERROR(ROUND(100*AVERAGE(IF($B298="","",XLOOKUP($B298,FILTER(Dictionaries!$B:$B,Dictionaries!$A:$A="??????????"),FILTER(Dictionaries!$C:$C,Dictionaries!$A:$A="??????????"))),IF($C298="","",MIN($C298/40,1)),IF($D298="","",XLOOKUP($D298,FILTER(Dictionaries!$B:$B,Dictionaries!$A:$A="????"),FILTER(Dictionaries!$C:$C,Dictionaries!$A:$A="????"))),IF($E298="","",MIN($E298/120,1)),IF(OR($F298&lt;&gt;"",$G298&lt;&gt;""),1,""),IF($H298="","",MIN($H298/100,1)),IF($L298="","",XLOOKUP($L298,FILTER(Dictionaries!$B:$B,Dictionaries!$A:$A="???_????"),FILTER(Dictionaries!$C:$C,Dictionaries!$A:$A="???_????"))),IF($M298="","",XLOOKUP($M298,FILTER(Dictionaries!$B:$B,Dictionaries!$A:$A="?????"),FILTER(Dictionaries!$C:$C,Dictionaries!$A:$A="?????"))),IF($N298="","",MIN($N298/100,1)),IF($O298="","",XLOOKUP($O298,FILTER(Dictionaries!$B:$B,Dictionaries!$A:$A="??????????"),FILTER(Dictionaries!$C:$C,Dictionaries!$A:$A="??????????"))),IF($P298="","",XLOOKUP($P298,FILTER(Dictionaries!$B:$B,Dictionaries!$A:$A="???????"),FILTER(Dictionaries!$C:$C,Dictionaries!$A:$A="???????"))),IF($U298="","",LET(t,IF(OR($B298="????",$B298="????"),"train","rest"),k,$U298,p,$V298,f,$W298,c,$X298,k_s,IF(t="train",IF(k="","",IFS(AND(k&gt;=1900,k&lt;=2050),1,AND(k&gt;=1850,k&lt;1900),0.7,AND(k&gt;2050,k&lt;=2100),0.7,TRUE,0.2)),IF(k="","",IFS(AND(k&gt;=1700,k&lt;=1850),1,AND(k&gt;=1650,k&lt;1700),0.7,AND(k&gt;1850,k&lt;=1900),0.7,TRUE,0.2))),p_s,IF(t="train",IF(p="","",IFS(AND(p&gt;=125,p&lt;=135),1,AND(p&gt;=115,p&lt;125),0.7,AND(p&gt;135,p&lt;=145),0.7,AND(p&gt;=105,p&lt;115),0.4,AND(p&gt;145,p&lt;=155),0.4,TRUE,0.2)),IF(p="","",IFS(AND(p&gt;=120,p&lt;=130),1,AND(p&gt;=110,p&lt;120),0.7,AND(p&gt;130,p&lt;=140),0.7,AND(p&gt;=100,p&lt;110),0.4,AND(p&gt;140,p&lt;=150),0.4,TRUE,0.2))),f_s,IF(f="","",IFS(AND(f&gt;=55,f&lt;=65),1,AND(f&gt;=50,f&lt;55),0.7,AND(f&gt;65,f&lt;=70),0.7,AND(f&gt;=45,f&lt;50),0.4,AND(f&gt;70,f&lt;=75),0.4,TRUE,0.2)),c_s,IF(t="train",IF(c="","",IFS(AND(c&gt;=180,c&lt;=210),1,AND(c&gt;=160,c&lt;180),0.7,AND(c&gt;210,c&lt;=230),0.7,AND(c&gt;=140,c&lt;160),0.4,AND(c&gt;230,c&lt;=250),0.4,TRUE,0.2)),IF(c="","",IFS(AND(c&gt;=140,c&lt;=170),1,AND(c&gt;=120,c&lt;140),0.7,AND(c&gt;170,c&lt;=190),0.7,AND(c&gt;=100,c&lt;120),0.4,AND(c&gt;190,c&lt;=210),0.4,TRUE,0.2))),AVERAGE(k_s,p_s,f_s,c_s)))),1),""))</f>
        <v/>
      </c>
      <c r="Z298">
        <f>IF($A298="","",TEXTJOIN(", ",TRUE,IF($B298="","??????????",""),IF($C298="","??????",""),IF($D298="","????",""),IF($E298="","??????????",""),IF($F298="","???-?????",""),IF($G298="","???-????",""),IF($H298="","??????",""),IF($L298="","???",""),IF($M298="","?????",""),IF($N298="","??????????????",""),IF($O298="","??????????",""),IF($P298="","???????",""),IF($U298="","???","")))</f>
        <v/>
      </c>
    </row>
    <row r="299">
      <c r="U299">
        <f>IF($A299="","",IF(SUMIF(FoodLog!$A:$A,$A299,FoodLog!$I:$I)=0,"",SUMIF(FoodLog!$A:$A,$A299,FoodLog!$I:$I)))</f>
        <v/>
      </c>
      <c r="V299">
        <f>IF($A299="","",IF(SUMIF(FoodLog!$A:$A,$A299,FoodLog!$F:$F)=0,"",SUMIF(FoodLog!$A:$A,$A299,FoodLog!$F:$F)))</f>
        <v/>
      </c>
      <c r="W299">
        <f>IF($A299="","",IF(SUMIF(FoodLog!$A:$A,$A299,FoodLog!$G:$G)=0,"",SUMIF(FoodLog!$A:$A,$A299,FoodLog!$G:$G)))</f>
        <v/>
      </c>
      <c r="X299">
        <f>IF($A299="","",IF(SUMIF(FoodLog!$A:$A,$A299,FoodLog!$H:$H)=0,"",SUMIF(FoodLog!$A:$A,$A299,FoodLog!$H:$H)))</f>
        <v/>
      </c>
      <c r="Y299">
        <f>IF($A299="","",IFERROR(ROUND(100*AVERAGE(IF($B299="","",XLOOKUP($B299,FILTER(Dictionaries!$B:$B,Dictionaries!$A:$A="??????????"),FILTER(Dictionaries!$C:$C,Dictionaries!$A:$A="??????????"))),IF($C299="","",MIN($C299/40,1)),IF($D299="","",XLOOKUP($D299,FILTER(Dictionaries!$B:$B,Dictionaries!$A:$A="????"),FILTER(Dictionaries!$C:$C,Dictionaries!$A:$A="????"))),IF($E299="","",MIN($E299/120,1)),IF(OR($F299&lt;&gt;"",$G299&lt;&gt;""),1,""),IF($H299="","",MIN($H299/100,1)),IF($L299="","",XLOOKUP($L299,FILTER(Dictionaries!$B:$B,Dictionaries!$A:$A="???_????"),FILTER(Dictionaries!$C:$C,Dictionaries!$A:$A="???_????"))),IF($M299="","",XLOOKUP($M299,FILTER(Dictionaries!$B:$B,Dictionaries!$A:$A="?????"),FILTER(Dictionaries!$C:$C,Dictionaries!$A:$A="?????"))),IF($N299="","",MIN($N299/100,1)),IF($O299="","",XLOOKUP($O299,FILTER(Dictionaries!$B:$B,Dictionaries!$A:$A="??????????"),FILTER(Dictionaries!$C:$C,Dictionaries!$A:$A="??????????"))),IF($P299="","",XLOOKUP($P299,FILTER(Dictionaries!$B:$B,Dictionaries!$A:$A="???????"),FILTER(Dictionaries!$C:$C,Dictionaries!$A:$A="???????"))),IF($U299="","",LET(t,IF(OR($B299="????",$B299="????"),"train","rest"),k,$U299,p,$V299,f,$W299,c,$X299,k_s,IF(t="train",IF(k="","",IFS(AND(k&gt;=1900,k&lt;=2050),1,AND(k&gt;=1850,k&lt;1900),0.7,AND(k&gt;2050,k&lt;=2100),0.7,TRUE,0.2)),IF(k="","",IFS(AND(k&gt;=1700,k&lt;=1850),1,AND(k&gt;=1650,k&lt;1700),0.7,AND(k&gt;1850,k&lt;=1900),0.7,TRUE,0.2))),p_s,IF(t="train",IF(p="","",IFS(AND(p&gt;=125,p&lt;=135),1,AND(p&gt;=115,p&lt;125),0.7,AND(p&gt;135,p&lt;=145),0.7,AND(p&gt;=105,p&lt;115),0.4,AND(p&gt;145,p&lt;=155),0.4,TRUE,0.2)),IF(p="","",IFS(AND(p&gt;=120,p&lt;=130),1,AND(p&gt;=110,p&lt;120),0.7,AND(p&gt;130,p&lt;=140),0.7,AND(p&gt;=100,p&lt;110),0.4,AND(p&gt;140,p&lt;=150),0.4,TRUE,0.2))),f_s,IF(f="","",IFS(AND(f&gt;=55,f&lt;=65),1,AND(f&gt;=50,f&lt;55),0.7,AND(f&gt;65,f&lt;=70),0.7,AND(f&gt;=45,f&lt;50),0.4,AND(f&gt;70,f&lt;=75),0.4,TRUE,0.2)),c_s,IF(t="train",IF(c="","",IFS(AND(c&gt;=180,c&lt;=210),1,AND(c&gt;=160,c&lt;180),0.7,AND(c&gt;210,c&lt;=230),0.7,AND(c&gt;=140,c&lt;160),0.4,AND(c&gt;230,c&lt;=250),0.4,TRUE,0.2)),IF(c="","",IFS(AND(c&gt;=140,c&lt;=170),1,AND(c&gt;=120,c&lt;140),0.7,AND(c&gt;170,c&lt;=190),0.7,AND(c&gt;=100,c&lt;120),0.4,AND(c&gt;190,c&lt;=210),0.4,TRUE,0.2))),AVERAGE(k_s,p_s,f_s,c_s)))),1),""))</f>
        <v/>
      </c>
      <c r="Z299">
        <f>IF($A299="","",TEXTJOIN(", ",TRUE,IF($B299="","??????????",""),IF($C299="","??????",""),IF($D299="","????",""),IF($E299="","??????????",""),IF($F299="","???-?????",""),IF($G299="","???-????",""),IF($H299="","??????",""),IF($L299="","???",""),IF($M299="","?????",""),IF($N299="","??????????????",""),IF($O299="","??????????",""),IF($P299="","???????",""),IF($U299="","???","")))</f>
        <v/>
      </c>
    </row>
    <row r="300">
      <c r="U300">
        <f>IF($A300="","",IF(SUMIF(FoodLog!$A:$A,$A300,FoodLog!$I:$I)=0,"",SUMIF(FoodLog!$A:$A,$A300,FoodLog!$I:$I)))</f>
        <v/>
      </c>
      <c r="V300">
        <f>IF($A300="","",IF(SUMIF(FoodLog!$A:$A,$A300,FoodLog!$F:$F)=0,"",SUMIF(FoodLog!$A:$A,$A300,FoodLog!$F:$F)))</f>
        <v/>
      </c>
      <c r="W300">
        <f>IF($A300="","",IF(SUMIF(FoodLog!$A:$A,$A300,FoodLog!$G:$G)=0,"",SUMIF(FoodLog!$A:$A,$A300,FoodLog!$G:$G)))</f>
        <v/>
      </c>
      <c r="X300">
        <f>IF($A300="","",IF(SUMIF(FoodLog!$A:$A,$A300,FoodLog!$H:$H)=0,"",SUMIF(FoodLog!$A:$A,$A300,FoodLog!$H:$H)))</f>
        <v/>
      </c>
      <c r="Y300">
        <f>IF($A300="","",IFERROR(ROUND(100*AVERAGE(IF($B300="","",XLOOKUP($B300,FILTER(Dictionaries!$B:$B,Dictionaries!$A:$A="??????????"),FILTER(Dictionaries!$C:$C,Dictionaries!$A:$A="??????????"))),IF($C300="","",MIN($C300/40,1)),IF($D300="","",XLOOKUP($D300,FILTER(Dictionaries!$B:$B,Dictionaries!$A:$A="????"),FILTER(Dictionaries!$C:$C,Dictionaries!$A:$A="????"))),IF($E300="","",MIN($E300/120,1)),IF(OR($F300&lt;&gt;"",$G300&lt;&gt;""),1,""),IF($H300="","",MIN($H300/100,1)),IF($L300="","",XLOOKUP($L300,FILTER(Dictionaries!$B:$B,Dictionaries!$A:$A="???_????"),FILTER(Dictionaries!$C:$C,Dictionaries!$A:$A="???_????"))),IF($M300="","",XLOOKUP($M300,FILTER(Dictionaries!$B:$B,Dictionaries!$A:$A="?????"),FILTER(Dictionaries!$C:$C,Dictionaries!$A:$A="?????"))),IF($N300="","",MIN($N300/100,1)),IF($O300="","",XLOOKUP($O300,FILTER(Dictionaries!$B:$B,Dictionaries!$A:$A="??????????"),FILTER(Dictionaries!$C:$C,Dictionaries!$A:$A="??????????"))),IF($P300="","",XLOOKUP($P300,FILTER(Dictionaries!$B:$B,Dictionaries!$A:$A="???????"),FILTER(Dictionaries!$C:$C,Dictionaries!$A:$A="???????"))),IF($U300="","",LET(t,IF(OR($B300="????",$B300="????"),"train","rest"),k,$U300,p,$V300,f,$W300,c,$X300,k_s,IF(t="train",IF(k="","",IFS(AND(k&gt;=1900,k&lt;=2050),1,AND(k&gt;=1850,k&lt;1900),0.7,AND(k&gt;2050,k&lt;=2100),0.7,TRUE,0.2)),IF(k="","",IFS(AND(k&gt;=1700,k&lt;=1850),1,AND(k&gt;=1650,k&lt;1700),0.7,AND(k&gt;1850,k&lt;=1900),0.7,TRUE,0.2))),p_s,IF(t="train",IF(p="","",IFS(AND(p&gt;=125,p&lt;=135),1,AND(p&gt;=115,p&lt;125),0.7,AND(p&gt;135,p&lt;=145),0.7,AND(p&gt;=105,p&lt;115),0.4,AND(p&gt;145,p&lt;=155),0.4,TRUE,0.2)),IF(p="","",IFS(AND(p&gt;=120,p&lt;=130),1,AND(p&gt;=110,p&lt;120),0.7,AND(p&gt;130,p&lt;=140),0.7,AND(p&gt;=100,p&lt;110),0.4,AND(p&gt;140,p&lt;=150),0.4,TRUE,0.2))),f_s,IF(f="","",IFS(AND(f&gt;=55,f&lt;=65),1,AND(f&gt;=50,f&lt;55),0.7,AND(f&gt;65,f&lt;=70),0.7,AND(f&gt;=45,f&lt;50),0.4,AND(f&gt;70,f&lt;=75),0.4,TRUE,0.2)),c_s,IF(t="train",IF(c="","",IFS(AND(c&gt;=180,c&lt;=210),1,AND(c&gt;=160,c&lt;180),0.7,AND(c&gt;210,c&lt;=230),0.7,AND(c&gt;=140,c&lt;160),0.4,AND(c&gt;230,c&lt;=250),0.4,TRUE,0.2)),IF(c="","",IFS(AND(c&gt;=140,c&lt;=170),1,AND(c&gt;=120,c&lt;140),0.7,AND(c&gt;170,c&lt;=190),0.7,AND(c&gt;=100,c&lt;120),0.4,AND(c&gt;190,c&lt;=210),0.4,TRUE,0.2))),AVERAGE(k_s,p_s,f_s,c_s)))),1),""))</f>
        <v/>
      </c>
      <c r="Z300">
        <f>IF($A300="","",TEXTJOIN(", ",TRUE,IF($B300="","??????????",""),IF($C300="","??????",""),IF($D300="","????",""),IF($E300="","??????????",""),IF($F300="","???-?????",""),IF($G300="","???-????",""),IF($H300="","??????",""),IF($L300="","???",""),IF($M300="","?????",""),IF($N300="","??????????????",""),IF($O300="","??????????",""),IF($P300="","???????",""),IF($U300="","???","")))</f>
        <v/>
      </c>
    </row>
    <row r="301">
      <c r="U301">
        <f>IF($A301="","",IF(SUMIF(FoodLog!$A:$A,$A301,FoodLog!$I:$I)=0,"",SUMIF(FoodLog!$A:$A,$A301,FoodLog!$I:$I)))</f>
        <v/>
      </c>
      <c r="V301">
        <f>IF($A301="","",IF(SUMIF(FoodLog!$A:$A,$A301,FoodLog!$F:$F)=0,"",SUMIF(FoodLog!$A:$A,$A301,FoodLog!$F:$F)))</f>
        <v/>
      </c>
      <c r="W301">
        <f>IF($A301="","",IF(SUMIF(FoodLog!$A:$A,$A301,FoodLog!$G:$G)=0,"",SUMIF(FoodLog!$A:$A,$A301,FoodLog!$G:$G)))</f>
        <v/>
      </c>
      <c r="X301">
        <f>IF($A301="","",IF(SUMIF(FoodLog!$A:$A,$A301,FoodLog!$H:$H)=0,"",SUMIF(FoodLog!$A:$A,$A301,FoodLog!$H:$H)))</f>
        <v/>
      </c>
      <c r="Y301">
        <f>IF($A301="","",IFERROR(ROUND(100*AVERAGE(IF($B301="","",XLOOKUP($B301,FILTER(Dictionaries!$B:$B,Dictionaries!$A:$A="??????????"),FILTER(Dictionaries!$C:$C,Dictionaries!$A:$A="??????????"))),IF($C301="","",MIN($C301/40,1)),IF($D301="","",XLOOKUP($D301,FILTER(Dictionaries!$B:$B,Dictionaries!$A:$A="????"),FILTER(Dictionaries!$C:$C,Dictionaries!$A:$A="????"))),IF($E301="","",MIN($E301/120,1)),IF(OR($F301&lt;&gt;"",$G301&lt;&gt;""),1,""),IF($H301="","",MIN($H301/100,1)),IF($L301="","",XLOOKUP($L301,FILTER(Dictionaries!$B:$B,Dictionaries!$A:$A="???_????"),FILTER(Dictionaries!$C:$C,Dictionaries!$A:$A="???_????"))),IF($M301="","",XLOOKUP($M301,FILTER(Dictionaries!$B:$B,Dictionaries!$A:$A="?????"),FILTER(Dictionaries!$C:$C,Dictionaries!$A:$A="?????"))),IF($N301="","",MIN($N301/100,1)),IF($O301="","",XLOOKUP($O301,FILTER(Dictionaries!$B:$B,Dictionaries!$A:$A="??????????"),FILTER(Dictionaries!$C:$C,Dictionaries!$A:$A="??????????"))),IF($P301="","",XLOOKUP($P301,FILTER(Dictionaries!$B:$B,Dictionaries!$A:$A="???????"),FILTER(Dictionaries!$C:$C,Dictionaries!$A:$A="???????"))),IF($U301="","",LET(t,IF(OR($B301="????",$B301="????"),"train","rest"),k,$U301,p,$V301,f,$W301,c,$X301,k_s,IF(t="train",IF(k="","",IFS(AND(k&gt;=1900,k&lt;=2050),1,AND(k&gt;=1850,k&lt;1900),0.7,AND(k&gt;2050,k&lt;=2100),0.7,TRUE,0.2)),IF(k="","",IFS(AND(k&gt;=1700,k&lt;=1850),1,AND(k&gt;=1650,k&lt;1700),0.7,AND(k&gt;1850,k&lt;=1900),0.7,TRUE,0.2))),p_s,IF(t="train",IF(p="","",IFS(AND(p&gt;=125,p&lt;=135),1,AND(p&gt;=115,p&lt;125),0.7,AND(p&gt;135,p&lt;=145),0.7,AND(p&gt;=105,p&lt;115),0.4,AND(p&gt;145,p&lt;=155),0.4,TRUE,0.2)),IF(p="","",IFS(AND(p&gt;=120,p&lt;=130),1,AND(p&gt;=110,p&lt;120),0.7,AND(p&gt;130,p&lt;=140),0.7,AND(p&gt;=100,p&lt;110),0.4,AND(p&gt;140,p&lt;=150),0.4,TRUE,0.2))),f_s,IF(f="","",IFS(AND(f&gt;=55,f&lt;=65),1,AND(f&gt;=50,f&lt;55),0.7,AND(f&gt;65,f&lt;=70),0.7,AND(f&gt;=45,f&lt;50),0.4,AND(f&gt;70,f&lt;=75),0.4,TRUE,0.2)),c_s,IF(t="train",IF(c="","",IFS(AND(c&gt;=180,c&lt;=210),1,AND(c&gt;=160,c&lt;180),0.7,AND(c&gt;210,c&lt;=230),0.7,AND(c&gt;=140,c&lt;160),0.4,AND(c&gt;230,c&lt;=250),0.4,TRUE,0.2)),IF(c="","",IFS(AND(c&gt;=140,c&lt;=170),1,AND(c&gt;=120,c&lt;140),0.7,AND(c&gt;170,c&lt;=190),0.7,AND(c&gt;=100,c&lt;120),0.4,AND(c&gt;190,c&lt;=210),0.4,TRUE,0.2))),AVERAGE(k_s,p_s,f_s,c_s)))),1),""))</f>
        <v/>
      </c>
      <c r="Z301">
        <f>IF($A301="","",TEXTJOIN(", ",TRUE,IF($B301="","??????????",""),IF($C301="","??????",""),IF($D301="","????",""),IF($E301="","??????????",""),IF($F301="","???-?????",""),IF($G301="","???-????",""),IF($H301="","??????",""),IF($L301="","???",""),IF($M301="","?????",""),IF($N301="","??????????????",""),IF($O301="","??????????",""),IF($P301="","???????",""),IF($U301="","???","")))</f>
        <v/>
      </c>
    </row>
    <row r="302">
      <c r="U302">
        <f>IF($A302="","",IF(SUMIF(FoodLog!$A:$A,$A302,FoodLog!$I:$I)=0,"",SUMIF(FoodLog!$A:$A,$A302,FoodLog!$I:$I)))</f>
        <v/>
      </c>
      <c r="V302">
        <f>IF($A302="","",IF(SUMIF(FoodLog!$A:$A,$A302,FoodLog!$F:$F)=0,"",SUMIF(FoodLog!$A:$A,$A302,FoodLog!$F:$F)))</f>
        <v/>
      </c>
      <c r="W302">
        <f>IF($A302="","",IF(SUMIF(FoodLog!$A:$A,$A302,FoodLog!$G:$G)=0,"",SUMIF(FoodLog!$A:$A,$A302,FoodLog!$G:$G)))</f>
        <v/>
      </c>
      <c r="X302">
        <f>IF($A302="","",IF(SUMIF(FoodLog!$A:$A,$A302,FoodLog!$H:$H)=0,"",SUMIF(FoodLog!$A:$A,$A302,FoodLog!$H:$H)))</f>
        <v/>
      </c>
      <c r="Y302">
        <f>IF($A302="","",IFERROR(ROUND(100*AVERAGE(IF($B302="","",XLOOKUP($B302,FILTER(Dictionaries!$B:$B,Dictionaries!$A:$A="??????????"),FILTER(Dictionaries!$C:$C,Dictionaries!$A:$A="??????????"))),IF($C302="","",MIN($C302/40,1)),IF($D302="","",XLOOKUP($D302,FILTER(Dictionaries!$B:$B,Dictionaries!$A:$A="????"),FILTER(Dictionaries!$C:$C,Dictionaries!$A:$A="????"))),IF($E302="","",MIN($E302/120,1)),IF(OR($F302&lt;&gt;"",$G302&lt;&gt;""),1,""),IF($H302="","",MIN($H302/100,1)),IF($L302="","",XLOOKUP($L302,FILTER(Dictionaries!$B:$B,Dictionaries!$A:$A="???_????"),FILTER(Dictionaries!$C:$C,Dictionaries!$A:$A="???_????"))),IF($M302="","",XLOOKUP($M302,FILTER(Dictionaries!$B:$B,Dictionaries!$A:$A="?????"),FILTER(Dictionaries!$C:$C,Dictionaries!$A:$A="?????"))),IF($N302="","",MIN($N302/100,1)),IF($O302="","",XLOOKUP($O302,FILTER(Dictionaries!$B:$B,Dictionaries!$A:$A="??????????"),FILTER(Dictionaries!$C:$C,Dictionaries!$A:$A="??????????"))),IF($P302="","",XLOOKUP($P302,FILTER(Dictionaries!$B:$B,Dictionaries!$A:$A="???????"),FILTER(Dictionaries!$C:$C,Dictionaries!$A:$A="???????"))),IF($U302="","",LET(t,IF(OR($B302="????",$B302="????"),"train","rest"),k,$U302,p,$V302,f,$W302,c,$X302,k_s,IF(t="train",IF(k="","",IFS(AND(k&gt;=1900,k&lt;=2050),1,AND(k&gt;=1850,k&lt;1900),0.7,AND(k&gt;2050,k&lt;=2100),0.7,TRUE,0.2)),IF(k="","",IFS(AND(k&gt;=1700,k&lt;=1850),1,AND(k&gt;=1650,k&lt;1700),0.7,AND(k&gt;1850,k&lt;=1900),0.7,TRUE,0.2))),p_s,IF(t="train",IF(p="","",IFS(AND(p&gt;=125,p&lt;=135),1,AND(p&gt;=115,p&lt;125),0.7,AND(p&gt;135,p&lt;=145),0.7,AND(p&gt;=105,p&lt;115),0.4,AND(p&gt;145,p&lt;=155),0.4,TRUE,0.2)),IF(p="","",IFS(AND(p&gt;=120,p&lt;=130),1,AND(p&gt;=110,p&lt;120),0.7,AND(p&gt;130,p&lt;=140),0.7,AND(p&gt;=100,p&lt;110),0.4,AND(p&gt;140,p&lt;=150),0.4,TRUE,0.2))),f_s,IF(f="","",IFS(AND(f&gt;=55,f&lt;=65),1,AND(f&gt;=50,f&lt;55),0.7,AND(f&gt;65,f&lt;=70),0.7,AND(f&gt;=45,f&lt;50),0.4,AND(f&gt;70,f&lt;=75),0.4,TRUE,0.2)),c_s,IF(t="train",IF(c="","",IFS(AND(c&gt;=180,c&lt;=210),1,AND(c&gt;=160,c&lt;180),0.7,AND(c&gt;210,c&lt;=230),0.7,AND(c&gt;=140,c&lt;160),0.4,AND(c&gt;230,c&lt;=250),0.4,TRUE,0.2)),IF(c="","",IFS(AND(c&gt;=140,c&lt;=170),1,AND(c&gt;=120,c&lt;140),0.7,AND(c&gt;170,c&lt;=190),0.7,AND(c&gt;=100,c&lt;120),0.4,AND(c&gt;190,c&lt;=210),0.4,TRUE,0.2))),AVERAGE(k_s,p_s,f_s,c_s)))),1),""))</f>
        <v/>
      </c>
      <c r="Z302">
        <f>IF($A302="","",TEXTJOIN(", ",TRUE,IF($B302="","??????????",""),IF($C302="","??????",""),IF($D302="","????",""),IF($E302="","??????????",""),IF($F302="","???-?????",""),IF($G302="","???-????",""),IF($H302="","??????",""),IF($L302="","???",""),IF($M302="","?????",""),IF($N302="","??????????????",""),IF($O302="","??????????",""),IF($P302="","???????",""),IF($U302="","???","")))</f>
        <v/>
      </c>
    </row>
    <row r="303">
      <c r="U303">
        <f>IF($A303="","",IF(SUMIF(FoodLog!$A:$A,$A303,FoodLog!$I:$I)=0,"",SUMIF(FoodLog!$A:$A,$A303,FoodLog!$I:$I)))</f>
        <v/>
      </c>
      <c r="V303">
        <f>IF($A303="","",IF(SUMIF(FoodLog!$A:$A,$A303,FoodLog!$F:$F)=0,"",SUMIF(FoodLog!$A:$A,$A303,FoodLog!$F:$F)))</f>
        <v/>
      </c>
      <c r="W303">
        <f>IF($A303="","",IF(SUMIF(FoodLog!$A:$A,$A303,FoodLog!$G:$G)=0,"",SUMIF(FoodLog!$A:$A,$A303,FoodLog!$G:$G)))</f>
        <v/>
      </c>
      <c r="X303">
        <f>IF($A303="","",IF(SUMIF(FoodLog!$A:$A,$A303,FoodLog!$H:$H)=0,"",SUMIF(FoodLog!$A:$A,$A303,FoodLog!$H:$H)))</f>
        <v/>
      </c>
      <c r="Y303">
        <f>IF($A303="","",IFERROR(ROUND(100*AVERAGE(IF($B303="","",XLOOKUP($B303,FILTER(Dictionaries!$B:$B,Dictionaries!$A:$A="??????????"),FILTER(Dictionaries!$C:$C,Dictionaries!$A:$A="??????????"))),IF($C303="","",MIN($C303/40,1)),IF($D303="","",XLOOKUP($D303,FILTER(Dictionaries!$B:$B,Dictionaries!$A:$A="????"),FILTER(Dictionaries!$C:$C,Dictionaries!$A:$A="????"))),IF($E303="","",MIN($E303/120,1)),IF(OR($F303&lt;&gt;"",$G303&lt;&gt;""),1,""),IF($H303="","",MIN($H303/100,1)),IF($L303="","",XLOOKUP($L303,FILTER(Dictionaries!$B:$B,Dictionaries!$A:$A="???_????"),FILTER(Dictionaries!$C:$C,Dictionaries!$A:$A="???_????"))),IF($M303="","",XLOOKUP($M303,FILTER(Dictionaries!$B:$B,Dictionaries!$A:$A="?????"),FILTER(Dictionaries!$C:$C,Dictionaries!$A:$A="?????"))),IF($N303="","",MIN($N303/100,1)),IF($O303="","",XLOOKUP($O303,FILTER(Dictionaries!$B:$B,Dictionaries!$A:$A="??????????"),FILTER(Dictionaries!$C:$C,Dictionaries!$A:$A="??????????"))),IF($P303="","",XLOOKUP($P303,FILTER(Dictionaries!$B:$B,Dictionaries!$A:$A="???????"),FILTER(Dictionaries!$C:$C,Dictionaries!$A:$A="???????"))),IF($U303="","",LET(t,IF(OR($B303="????",$B303="????"),"train","rest"),k,$U303,p,$V303,f,$W303,c,$X303,k_s,IF(t="train",IF(k="","",IFS(AND(k&gt;=1900,k&lt;=2050),1,AND(k&gt;=1850,k&lt;1900),0.7,AND(k&gt;2050,k&lt;=2100),0.7,TRUE,0.2)),IF(k="","",IFS(AND(k&gt;=1700,k&lt;=1850),1,AND(k&gt;=1650,k&lt;1700),0.7,AND(k&gt;1850,k&lt;=1900),0.7,TRUE,0.2))),p_s,IF(t="train",IF(p="","",IFS(AND(p&gt;=125,p&lt;=135),1,AND(p&gt;=115,p&lt;125),0.7,AND(p&gt;135,p&lt;=145),0.7,AND(p&gt;=105,p&lt;115),0.4,AND(p&gt;145,p&lt;=155),0.4,TRUE,0.2)),IF(p="","",IFS(AND(p&gt;=120,p&lt;=130),1,AND(p&gt;=110,p&lt;120),0.7,AND(p&gt;130,p&lt;=140),0.7,AND(p&gt;=100,p&lt;110),0.4,AND(p&gt;140,p&lt;=150),0.4,TRUE,0.2))),f_s,IF(f="","",IFS(AND(f&gt;=55,f&lt;=65),1,AND(f&gt;=50,f&lt;55),0.7,AND(f&gt;65,f&lt;=70),0.7,AND(f&gt;=45,f&lt;50),0.4,AND(f&gt;70,f&lt;=75),0.4,TRUE,0.2)),c_s,IF(t="train",IF(c="","",IFS(AND(c&gt;=180,c&lt;=210),1,AND(c&gt;=160,c&lt;180),0.7,AND(c&gt;210,c&lt;=230),0.7,AND(c&gt;=140,c&lt;160),0.4,AND(c&gt;230,c&lt;=250),0.4,TRUE,0.2)),IF(c="","",IFS(AND(c&gt;=140,c&lt;=170),1,AND(c&gt;=120,c&lt;140),0.7,AND(c&gt;170,c&lt;=190),0.7,AND(c&gt;=100,c&lt;120),0.4,AND(c&gt;190,c&lt;=210),0.4,TRUE,0.2))),AVERAGE(k_s,p_s,f_s,c_s)))),1),""))</f>
        <v/>
      </c>
      <c r="Z303">
        <f>IF($A303="","",TEXTJOIN(", ",TRUE,IF($B303="","??????????",""),IF($C303="","??????",""),IF($D303="","????",""),IF($E303="","??????????",""),IF($F303="","???-?????",""),IF($G303="","???-????",""),IF($H303="","??????",""),IF($L303="","???",""),IF($M303="","?????",""),IF($N303="","??????????????",""),IF($O303="","??????????",""),IF($P303="","???????",""),IF($U303="","???","")))</f>
        <v/>
      </c>
    </row>
    <row r="304">
      <c r="U304">
        <f>IF($A304="","",IF(SUMIF(FoodLog!$A:$A,$A304,FoodLog!$I:$I)=0,"",SUMIF(FoodLog!$A:$A,$A304,FoodLog!$I:$I)))</f>
        <v/>
      </c>
      <c r="V304">
        <f>IF($A304="","",IF(SUMIF(FoodLog!$A:$A,$A304,FoodLog!$F:$F)=0,"",SUMIF(FoodLog!$A:$A,$A304,FoodLog!$F:$F)))</f>
        <v/>
      </c>
      <c r="W304">
        <f>IF($A304="","",IF(SUMIF(FoodLog!$A:$A,$A304,FoodLog!$G:$G)=0,"",SUMIF(FoodLog!$A:$A,$A304,FoodLog!$G:$G)))</f>
        <v/>
      </c>
      <c r="X304">
        <f>IF($A304="","",IF(SUMIF(FoodLog!$A:$A,$A304,FoodLog!$H:$H)=0,"",SUMIF(FoodLog!$A:$A,$A304,FoodLog!$H:$H)))</f>
        <v/>
      </c>
      <c r="Y304">
        <f>IF($A304="","",IFERROR(ROUND(100*AVERAGE(IF($B304="","",XLOOKUP($B304,FILTER(Dictionaries!$B:$B,Dictionaries!$A:$A="??????????"),FILTER(Dictionaries!$C:$C,Dictionaries!$A:$A="??????????"))),IF($C304="","",MIN($C304/40,1)),IF($D304="","",XLOOKUP($D304,FILTER(Dictionaries!$B:$B,Dictionaries!$A:$A="????"),FILTER(Dictionaries!$C:$C,Dictionaries!$A:$A="????"))),IF($E304="","",MIN($E304/120,1)),IF(OR($F304&lt;&gt;"",$G304&lt;&gt;""),1,""),IF($H304="","",MIN($H304/100,1)),IF($L304="","",XLOOKUP($L304,FILTER(Dictionaries!$B:$B,Dictionaries!$A:$A="???_????"),FILTER(Dictionaries!$C:$C,Dictionaries!$A:$A="???_????"))),IF($M304="","",XLOOKUP($M304,FILTER(Dictionaries!$B:$B,Dictionaries!$A:$A="?????"),FILTER(Dictionaries!$C:$C,Dictionaries!$A:$A="?????"))),IF($N304="","",MIN($N304/100,1)),IF($O304="","",XLOOKUP($O304,FILTER(Dictionaries!$B:$B,Dictionaries!$A:$A="??????????"),FILTER(Dictionaries!$C:$C,Dictionaries!$A:$A="??????????"))),IF($P304="","",XLOOKUP($P304,FILTER(Dictionaries!$B:$B,Dictionaries!$A:$A="???????"),FILTER(Dictionaries!$C:$C,Dictionaries!$A:$A="???????"))),IF($U304="","",LET(t,IF(OR($B304="????",$B304="????"),"train","rest"),k,$U304,p,$V304,f,$W304,c,$X304,k_s,IF(t="train",IF(k="","",IFS(AND(k&gt;=1900,k&lt;=2050),1,AND(k&gt;=1850,k&lt;1900),0.7,AND(k&gt;2050,k&lt;=2100),0.7,TRUE,0.2)),IF(k="","",IFS(AND(k&gt;=1700,k&lt;=1850),1,AND(k&gt;=1650,k&lt;1700),0.7,AND(k&gt;1850,k&lt;=1900),0.7,TRUE,0.2))),p_s,IF(t="train",IF(p="","",IFS(AND(p&gt;=125,p&lt;=135),1,AND(p&gt;=115,p&lt;125),0.7,AND(p&gt;135,p&lt;=145),0.7,AND(p&gt;=105,p&lt;115),0.4,AND(p&gt;145,p&lt;=155),0.4,TRUE,0.2)),IF(p="","",IFS(AND(p&gt;=120,p&lt;=130),1,AND(p&gt;=110,p&lt;120),0.7,AND(p&gt;130,p&lt;=140),0.7,AND(p&gt;=100,p&lt;110),0.4,AND(p&gt;140,p&lt;=150),0.4,TRUE,0.2))),f_s,IF(f="","",IFS(AND(f&gt;=55,f&lt;=65),1,AND(f&gt;=50,f&lt;55),0.7,AND(f&gt;65,f&lt;=70),0.7,AND(f&gt;=45,f&lt;50),0.4,AND(f&gt;70,f&lt;=75),0.4,TRUE,0.2)),c_s,IF(t="train",IF(c="","",IFS(AND(c&gt;=180,c&lt;=210),1,AND(c&gt;=160,c&lt;180),0.7,AND(c&gt;210,c&lt;=230),0.7,AND(c&gt;=140,c&lt;160),0.4,AND(c&gt;230,c&lt;=250),0.4,TRUE,0.2)),IF(c="","",IFS(AND(c&gt;=140,c&lt;=170),1,AND(c&gt;=120,c&lt;140),0.7,AND(c&gt;170,c&lt;=190),0.7,AND(c&gt;=100,c&lt;120),0.4,AND(c&gt;190,c&lt;=210),0.4,TRUE,0.2))),AVERAGE(k_s,p_s,f_s,c_s)))),1),""))</f>
        <v/>
      </c>
      <c r="Z304">
        <f>IF($A304="","",TEXTJOIN(", ",TRUE,IF($B304="","??????????",""),IF($C304="","??????",""),IF($D304="","????",""),IF($E304="","??????????",""),IF($F304="","???-?????",""),IF($G304="","???-????",""),IF($H304="","??????",""),IF($L304="","???",""),IF($M304="","?????",""),IF($N304="","??????????????",""),IF($O304="","??????????",""),IF($P304="","???????",""),IF($U304="","???","")))</f>
        <v/>
      </c>
    </row>
    <row r="305">
      <c r="U305">
        <f>IF($A305="","",IF(SUMIF(FoodLog!$A:$A,$A305,FoodLog!$I:$I)=0,"",SUMIF(FoodLog!$A:$A,$A305,FoodLog!$I:$I)))</f>
        <v/>
      </c>
      <c r="V305">
        <f>IF($A305="","",IF(SUMIF(FoodLog!$A:$A,$A305,FoodLog!$F:$F)=0,"",SUMIF(FoodLog!$A:$A,$A305,FoodLog!$F:$F)))</f>
        <v/>
      </c>
      <c r="W305">
        <f>IF($A305="","",IF(SUMIF(FoodLog!$A:$A,$A305,FoodLog!$G:$G)=0,"",SUMIF(FoodLog!$A:$A,$A305,FoodLog!$G:$G)))</f>
        <v/>
      </c>
      <c r="X305">
        <f>IF($A305="","",IF(SUMIF(FoodLog!$A:$A,$A305,FoodLog!$H:$H)=0,"",SUMIF(FoodLog!$A:$A,$A305,FoodLog!$H:$H)))</f>
        <v/>
      </c>
      <c r="Y305">
        <f>IF($A305="","",IFERROR(ROUND(100*AVERAGE(IF($B305="","",XLOOKUP($B305,FILTER(Dictionaries!$B:$B,Dictionaries!$A:$A="??????????"),FILTER(Dictionaries!$C:$C,Dictionaries!$A:$A="??????????"))),IF($C305="","",MIN($C305/40,1)),IF($D305="","",XLOOKUP($D305,FILTER(Dictionaries!$B:$B,Dictionaries!$A:$A="????"),FILTER(Dictionaries!$C:$C,Dictionaries!$A:$A="????"))),IF($E305="","",MIN($E305/120,1)),IF(OR($F305&lt;&gt;"",$G305&lt;&gt;""),1,""),IF($H305="","",MIN($H305/100,1)),IF($L305="","",XLOOKUP($L305,FILTER(Dictionaries!$B:$B,Dictionaries!$A:$A="???_????"),FILTER(Dictionaries!$C:$C,Dictionaries!$A:$A="???_????"))),IF($M305="","",XLOOKUP($M305,FILTER(Dictionaries!$B:$B,Dictionaries!$A:$A="?????"),FILTER(Dictionaries!$C:$C,Dictionaries!$A:$A="?????"))),IF($N305="","",MIN($N305/100,1)),IF($O305="","",XLOOKUP($O305,FILTER(Dictionaries!$B:$B,Dictionaries!$A:$A="??????????"),FILTER(Dictionaries!$C:$C,Dictionaries!$A:$A="??????????"))),IF($P305="","",XLOOKUP($P305,FILTER(Dictionaries!$B:$B,Dictionaries!$A:$A="???????"),FILTER(Dictionaries!$C:$C,Dictionaries!$A:$A="???????"))),IF($U305="","",LET(t,IF(OR($B305="????",$B305="????"),"train","rest"),k,$U305,p,$V305,f,$W305,c,$X305,k_s,IF(t="train",IF(k="","",IFS(AND(k&gt;=1900,k&lt;=2050),1,AND(k&gt;=1850,k&lt;1900),0.7,AND(k&gt;2050,k&lt;=2100),0.7,TRUE,0.2)),IF(k="","",IFS(AND(k&gt;=1700,k&lt;=1850),1,AND(k&gt;=1650,k&lt;1700),0.7,AND(k&gt;1850,k&lt;=1900),0.7,TRUE,0.2))),p_s,IF(t="train",IF(p="","",IFS(AND(p&gt;=125,p&lt;=135),1,AND(p&gt;=115,p&lt;125),0.7,AND(p&gt;135,p&lt;=145),0.7,AND(p&gt;=105,p&lt;115),0.4,AND(p&gt;145,p&lt;=155),0.4,TRUE,0.2)),IF(p="","",IFS(AND(p&gt;=120,p&lt;=130),1,AND(p&gt;=110,p&lt;120),0.7,AND(p&gt;130,p&lt;=140),0.7,AND(p&gt;=100,p&lt;110),0.4,AND(p&gt;140,p&lt;=150),0.4,TRUE,0.2))),f_s,IF(f="","",IFS(AND(f&gt;=55,f&lt;=65),1,AND(f&gt;=50,f&lt;55),0.7,AND(f&gt;65,f&lt;=70),0.7,AND(f&gt;=45,f&lt;50),0.4,AND(f&gt;70,f&lt;=75),0.4,TRUE,0.2)),c_s,IF(t="train",IF(c="","",IFS(AND(c&gt;=180,c&lt;=210),1,AND(c&gt;=160,c&lt;180),0.7,AND(c&gt;210,c&lt;=230),0.7,AND(c&gt;=140,c&lt;160),0.4,AND(c&gt;230,c&lt;=250),0.4,TRUE,0.2)),IF(c="","",IFS(AND(c&gt;=140,c&lt;=170),1,AND(c&gt;=120,c&lt;140),0.7,AND(c&gt;170,c&lt;=190),0.7,AND(c&gt;=100,c&lt;120),0.4,AND(c&gt;190,c&lt;=210),0.4,TRUE,0.2))),AVERAGE(k_s,p_s,f_s,c_s)))),1),""))</f>
        <v/>
      </c>
      <c r="Z305">
        <f>IF($A305="","",TEXTJOIN(", ",TRUE,IF($B305="","??????????",""),IF($C305="","??????",""),IF($D305="","????",""),IF($E305="","??????????",""),IF($F305="","???-?????",""),IF($G305="","???-????",""),IF($H305="","??????",""),IF($L305="","???",""),IF($M305="","?????",""),IF($N305="","??????????????",""),IF($O305="","??????????",""),IF($P305="","???????",""),IF($U305="","???","")))</f>
        <v/>
      </c>
    </row>
    <row r="306">
      <c r="U306">
        <f>IF($A306="","",IF(SUMIF(FoodLog!$A:$A,$A306,FoodLog!$I:$I)=0,"",SUMIF(FoodLog!$A:$A,$A306,FoodLog!$I:$I)))</f>
        <v/>
      </c>
      <c r="V306">
        <f>IF($A306="","",IF(SUMIF(FoodLog!$A:$A,$A306,FoodLog!$F:$F)=0,"",SUMIF(FoodLog!$A:$A,$A306,FoodLog!$F:$F)))</f>
        <v/>
      </c>
      <c r="W306">
        <f>IF($A306="","",IF(SUMIF(FoodLog!$A:$A,$A306,FoodLog!$G:$G)=0,"",SUMIF(FoodLog!$A:$A,$A306,FoodLog!$G:$G)))</f>
        <v/>
      </c>
      <c r="X306">
        <f>IF($A306="","",IF(SUMIF(FoodLog!$A:$A,$A306,FoodLog!$H:$H)=0,"",SUMIF(FoodLog!$A:$A,$A306,FoodLog!$H:$H)))</f>
        <v/>
      </c>
      <c r="Y306">
        <f>IF($A306="","",IFERROR(ROUND(100*AVERAGE(IF($B306="","",XLOOKUP($B306,FILTER(Dictionaries!$B:$B,Dictionaries!$A:$A="??????????"),FILTER(Dictionaries!$C:$C,Dictionaries!$A:$A="??????????"))),IF($C306="","",MIN($C306/40,1)),IF($D306="","",XLOOKUP($D306,FILTER(Dictionaries!$B:$B,Dictionaries!$A:$A="????"),FILTER(Dictionaries!$C:$C,Dictionaries!$A:$A="????"))),IF($E306="","",MIN($E306/120,1)),IF(OR($F306&lt;&gt;"",$G306&lt;&gt;""),1,""),IF($H306="","",MIN($H306/100,1)),IF($L306="","",XLOOKUP($L306,FILTER(Dictionaries!$B:$B,Dictionaries!$A:$A="???_????"),FILTER(Dictionaries!$C:$C,Dictionaries!$A:$A="???_????"))),IF($M306="","",XLOOKUP($M306,FILTER(Dictionaries!$B:$B,Dictionaries!$A:$A="?????"),FILTER(Dictionaries!$C:$C,Dictionaries!$A:$A="?????"))),IF($N306="","",MIN($N306/100,1)),IF($O306="","",XLOOKUP($O306,FILTER(Dictionaries!$B:$B,Dictionaries!$A:$A="??????????"),FILTER(Dictionaries!$C:$C,Dictionaries!$A:$A="??????????"))),IF($P306="","",XLOOKUP($P306,FILTER(Dictionaries!$B:$B,Dictionaries!$A:$A="???????"),FILTER(Dictionaries!$C:$C,Dictionaries!$A:$A="???????"))),IF($U306="","",LET(t,IF(OR($B306="????",$B306="????"),"train","rest"),k,$U306,p,$V306,f,$W306,c,$X306,k_s,IF(t="train",IF(k="","",IFS(AND(k&gt;=1900,k&lt;=2050),1,AND(k&gt;=1850,k&lt;1900),0.7,AND(k&gt;2050,k&lt;=2100),0.7,TRUE,0.2)),IF(k="","",IFS(AND(k&gt;=1700,k&lt;=1850),1,AND(k&gt;=1650,k&lt;1700),0.7,AND(k&gt;1850,k&lt;=1900),0.7,TRUE,0.2))),p_s,IF(t="train",IF(p="","",IFS(AND(p&gt;=125,p&lt;=135),1,AND(p&gt;=115,p&lt;125),0.7,AND(p&gt;135,p&lt;=145),0.7,AND(p&gt;=105,p&lt;115),0.4,AND(p&gt;145,p&lt;=155),0.4,TRUE,0.2)),IF(p="","",IFS(AND(p&gt;=120,p&lt;=130),1,AND(p&gt;=110,p&lt;120),0.7,AND(p&gt;130,p&lt;=140),0.7,AND(p&gt;=100,p&lt;110),0.4,AND(p&gt;140,p&lt;=150),0.4,TRUE,0.2))),f_s,IF(f="","",IFS(AND(f&gt;=55,f&lt;=65),1,AND(f&gt;=50,f&lt;55),0.7,AND(f&gt;65,f&lt;=70),0.7,AND(f&gt;=45,f&lt;50),0.4,AND(f&gt;70,f&lt;=75),0.4,TRUE,0.2)),c_s,IF(t="train",IF(c="","",IFS(AND(c&gt;=180,c&lt;=210),1,AND(c&gt;=160,c&lt;180),0.7,AND(c&gt;210,c&lt;=230),0.7,AND(c&gt;=140,c&lt;160),0.4,AND(c&gt;230,c&lt;=250),0.4,TRUE,0.2)),IF(c="","",IFS(AND(c&gt;=140,c&lt;=170),1,AND(c&gt;=120,c&lt;140),0.7,AND(c&gt;170,c&lt;=190),0.7,AND(c&gt;=100,c&lt;120),0.4,AND(c&gt;190,c&lt;=210),0.4,TRUE,0.2))),AVERAGE(k_s,p_s,f_s,c_s)))),1),""))</f>
        <v/>
      </c>
      <c r="Z306">
        <f>IF($A306="","",TEXTJOIN(", ",TRUE,IF($B306="","??????????",""),IF($C306="","??????",""),IF($D306="","????",""),IF($E306="","??????????",""),IF($F306="","???-?????",""),IF($G306="","???-????",""),IF($H306="","??????",""),IF($L306="","???",""),IF($M306="","?????",""),IF($N306="","??????????????",""),IF($O306="","??????????",""),IF($P306="","???????",""),IF($U306="","???","")))</f>
        <v/>
      </c>
    </row>
    <row r="307">
      <c r="U307">
        <f>IF($A307="","",IF(SUMIF(FoodLog!$A:$A,$A307,FoodLog!$I:$I)=0,"",SUMIF(FoodLog!$A:$A,$A307,FoodLog!$I:$I)))</f>
        <v/>
      </c>
      <c r="V307">
        <f>IF($A307="","",IF(SUMIF(FoodLog!$A:$A,$A307,FoodLog!$F:$F)=0,"",SUMIF(FoodLog!$A:$A,$A307,FoodLog!$F:$F)))</f>
        <v/>
      </c>
      <c r="W307">
        <f>IF($A307="","",IF(SUMIF(FoodLog!$A:$A,$A307,FoodLog!$G:$G)=0,"",SUMIF(FoodLog!$A:$A,$A307,FoodLog!$G:$G)))</f>
        <v/>
      </c>
      <c r="X307">
        <f>IF($A307="","",IF(SUMIF(FoodLog!$A:$A,$A307,FoodLog!$H:$H)=0,"",SUMIF(FoodLog!$A:$A,$A307,FoodLog!$H:$H)))</f>
        <v/>
      </c>
      <c r="Y307">
        <f>IF($A307="","",IFERROR(ROUND(100*AVERAGE(IF($B307="","",XLOOKUP($B307,FILTER(Dictionaries!$B:$B,Dictionaries!$A:$A="??????????"),FILTER(Dictionaries!$C:$C,Dictionaries!$A:$A="??????????"))),IF($C307="","",MIN($C307/40,1)),IF($D307="","",XLOOKUP($D307,FILTER(Dictionaries!$B:$B,Dictionaries!$A:$A="????"),FILTER(Dictionaries!$C:$C,Dictionaries!$A:$A="????"))),IF($E307="","",MIN($E307/120,1)),IF(OR($F307&lt;&gt;"",$G307&lt;&gt;""),1,""),IF($H307="","",MIN($H307/100,1)),IF($L307="","",XLOOKUP($L307,FILTER(Dictionaries!$B:$B,Dictionaries!$A:$A="???_????"),FILTER(Dictionaries!$C:$C,Dictionaries!$A:$A="???_????"))),IF($M307="","",XLOOKUP($M307,FILTER(Dictionaries!$B:$B,Dictionaries!$A:$A="?????"),FILTER(Dictionaries!$C:$C,Dictionaries!$A:$A="?????"))),IF($N307="","",MIN($N307/100,1)),IF($O307="","",XLOOKUP($O307,FILTER(Dictionaries!$B:$B,Dictionaries!$A:$A="??????????"),FILTER(Dictionaries!$C:$C,Dictionaries!$A:$A="??????????"))),IF($P307="","",XLOOKUP($P307,FILTER(Dictionaries!$B:$B,Dictionaries!$A:$A="???????"),FILTER(Dictionaries!$C:$C,Dictionaries!$A:$A="???????"))),IF($U307="","",LET(t,IF(OR($B307="????",$B307="????"),"train","rest"),k,$U307,p,$V307,f,$W307,c,$X307,k_s,IF(t="train",IF(k="","",IFS(AND(k&gt;=1900,k&lt;=2050),1,AND(k&gt;=1850,k&lt;1900),0.7,AND(k&gt;2050,k&lt;=2100),0.7,TRUE,0.2)),IF(k="","",IFS(AND(k&gt;=1700,k&lt;=1850),1,AND(k&gt;=1650,k&lt;1700),0.7,AND(k&gt;1850,k&lt;=1900),0.7,TRUE,0.2))),p_s,IF(t="train",IF(p="","",IFS(AND(p&gt;=125,p&lt;=135),1,AND(p&gt;=115,p&lt;125),0.7,AND(p&gt;135,p&lt;=145),0.7,AND(p&gt;=105,p&lt;115),0.4,AND(p&gt;145,p&lt;=155),0.4,TRUE,0.2)),IF(p="","",IFS(AND(p&gt;=120,p&lt;=130),1,AND(p&gt;=110,p&lt;120),0.7,AND(p&gt;130,p&lt;=140),0.7,AND(p&gt;=100,p&lt;110),0.4,AND(p&gt;140,p&lt;=150),0.4,TRUE,0.2))),f_s,IF(f="","",IFS(AND(f&gt;=55,f&lt;=65),1,AND(f&gt;=50,f&lt;55),0.7,AND(f&gt;65,f&lt;=70),0.7,AND(f&gt;=45,f&lt;50),0.4,AND(f&gt;70,f&lt;=75),0.4,TRUE,0.2)),c_s,IF(t="train",IF(c="","",IFS(AND(c&gt;=180,c&lt;=210),1,AND(c&gt;=160,c&lt;180),0.7,AND(c&gt;210,c&lt;=230),0.7,AND(c&gt;=140,c&lt;160),0.4,AND(c&gt;230,c&lt;=250),0.4,TRUE,0.2)),IF(c="","",IFS(AND(c&gt;=140,c&lt;=170),1,AND(c&gt;=120,c&lt;140),0.7,AND(c&gt;170,c&lt;=190),0.7,AND(c&gt;=100,c&lt;120),0.4,AND(c&gt;190,c&lt;=210),0.4,TRUE,0.2))),AVERAGE(k_s,p_s,f_s,c_s)))),1),""))</f>
        <v/>
      </c>
      <c r="Z307">
        <f>IF($A307="","",TEXTJOIN(", ",TRUE,IF($B307="","??????????",""),IF($C307="","??????",""),IF($D307="","????",""),IF($E307="","??????????",""),IF($F307="","???-?????",""),IF($G307="","???-????",""),IF($H307="","??????",""),IF($L307="","???",""),IF($M307="","?????",""),IF($N307="","??????????????",""),IF($O307="","??????????",""),IF($P307="","???????",""),IF($U307="","???","")))</f>
        <v/>
      </c>
    </row>
    <row r="308">
      <c r="U308">
        <f>IF($A308="","",IF(SUMIF(FoodLog!$A:$A,$A308,FoodLog!$I:$I)=0,"",SUMIF(FoodLog!$A:$A,$A308,FoodLog!$I:$I)))</f>
        <v/>
      </c>
      <c r="V308">
        <f>IF($A308="","",IF(SUMIF(FoodLog!$A:$A,$A308,FoodLog!$F:$F)=0,"",SUMIF(FoodLog!$A:$A,$A308,FoodLog!$F:$F)))</f>
        <v/>
      </c>
      <c r="W308">
        <f>IF($A308="","",IF(SUMIF(FoodLog!$A:$A,$A308,FoodLog!$G:$G)=0,"",SUMIF(FoodLog!$A:$A,$A308,FoodLog!$G:$G)))</f>
        <v/>
      </c>
      <c r="X308">
        <f>IF($A308="","",IF(SUMIF(FoodLog!$A:$A,$A308,FoodLog!$H:$H)=0,"",SUMIF(FoodLog!$A:$A,$A308,FoodLog!$H:$H)))</f>
        <v/>
      </c>
      <c r="Y308">
        <f>IF($A308="","",IFERROR(ROUND(100*AVERAGE(IF($B308="","",XLOOKUP($B308,FILTER(Dictionaries!$B:$B,Dictionaries!$A:$A="??????????"),FILTER(Dictionaries!$C:$C,Dictionaries!$A:$A="??????????"))),IF($C308="","",MIN($C308/40,1)),IF($D308="","",XLOOKUP($D308,FILTER(Dictionaries!$B:$B,Dictionaries!$A:$A="????"),FILTER(Dictionaries!$C:$C,Dictionaries!$A:$A="????"))),IF($E308="","",MIN($E308/120,1)),IF(OR($F308&lt;&gt;"",$G308&lt;&gt;""),1,""),IF($H308="","",MIN($H308/100,1)),IF($L308="","",XLOOKUP($L308,FILTER(Dictionaries!$B:$B,Dictionaries!$A:$A="???_????"),FILTER(Dictionaries!$C:$C,Dictionaries!$A:$A="???_????"))),IF($M308="","",XLOOKUP($M308,FILTER(Dictionaries!$B:$B,Dictionaries!$A:$A="?????"),FILTER(Dictionaries!$C:$C,Dictionaries!$A:$A="?????"))),IF($N308="","",MIN($N308/100,1)),IF($O308="","",XLOOKUP($O308,FILTER(Dictionaries!$B:$B,Dictionaries!$A:$A="??????????"),FILTER(Dictionaries!$C:$C,Dictionaries!$A:$A="??????????"))),IF($P308="","",XLOOKUP($P308,FILTER(Dictionaries!$B:$B,Dictionaries!$A:$A="???????"),FILTER(Dictionaries!$C:$C,Dictionaries!$A:$A="???????"))),IF($U308="","",LET(t,IF(OR($B308="????",$B308="????"),"train","rest"),k,$U308,p,$V308,f,$W308,c,$X308,k_s,IF(t="train",IF(k="","",IFS(AND(k&gt;=1900,k&lt;=2050),1,AND(k&gt;=1850,k&lt;1900),0.7,AND(k&gt;2050,k&lt;=2100),0.7,TRUE,0.2)),IF(k="","",IFS(AND(k&gt;=1700,k&lt;=1850),1,AND(k&gt;=1650,k&lt;1700),0.7,AND(k&gt;1850,k&lt;=1900),0.7,TRUE,0.2))),p_s,IF(t="train",IF(p="","",IFS(AND(p&gt;=125,p&lt;=135),1,AND(p&gt;=115,p&lt;125),0.7,AND(p&gt;135,p&lt;=145),0.7,AND(p&gt;=105,p&lt;115),0.4,AND(p&gt;145,p&lt;=155),0.4,TRUE,0.2)),IF(p="","",IFS(AND(p&gt;=120,p&lt;=130),1,AND(p&gt;=110,p&lt;120),0.7,AND(p&gt;130,p&lt;=140),0.7,AND(p&gt;=100,p&lt;110),0.4,AND(p&gt;140,p&lt;=150),0.4,TRUE,0.2))),f_s,IF(f="","",IFS(AND(f&gt;=55,f&lt;=65),1,AND(f&gt;=50,f&lt;55),0.7,AND(f&gt;65,f&lt;=70),0.7,AND(f&gt;=45,f&lt;50),0.4,AND(f&gt;70,f&lt;=75),0.4,TRUE,0.2)),c_s,IF(t="train",IF(c="","",IFS(AND(c&gt;=180,c&lt;=210),1,AND(c&gt;=160,c&lt;180),0.7,AND(c&gt;210,c&lt;=230),0.7,AND(c&gt;=140,c&lt;160),0.4,AND(c&gt;230,c&lt;=250),0.4,TRUE,0.2)),IF(c="","",IFS(AND(c&gt;=140,c&lt;=170),1,AND(c&gt;=120,c&lt;140),0.7,AND(c&gt;170,c&lt;=190),0.7,AND(c&gt;=100,c&lt;120),0.4,AND(c&gt;190,c&lt;=210),0.4,TRUE,0.2))),AVERAGE(k_s,p_s,f_s,c_s)))),1),""))</f>
        <v/>
      </c>
      <c r="Z308">
        <f>IF($A308="","",TEXTJOIN(", ",TRUE,IF($B308="","??????????",""),IF($C308="","??????",""),IF($D308="","????",""),IF($E308="","??????????",""),IF($F308="","???-?????",""),IF($G308="","???-????",""),IF($H308="","??????",""),IF($L308="","???",""),IF($M308="","?????",""),IF($N308="","??????????????",""),IF($O308="","??????????",""),IF($P308="","???????",""),IF($U308="","???","")))</f>
        <v/>
      </c>
    </row>
    <row r="309">
      <c r="U309">
        <f>IF($A309="","",IF(SUMIF(FoodLog!$A:$A,$A309,FoodLog!$I:$I)=0,"",SUMIF(FoodLog!$A:$A,$A309,FoodLog!$I:$I)))</f>
        <v/>
      </c>
      <c r="V309">
        <f>IF($A309="","",IF(SUMIF(FoodLog!$A:$A,$A309,FoodLog!$F:$F)=0,"",SUMIF(FoodLog!$A:$A,$A309,FoodLog!$F:$F)))</f>
        <v/>
      </c>
      <c r="W309">
        <f>IF($A309="","",IF(SUMIF(FoodLog!$A:$A,$A309,FoodLog!$G:$G)=0,"",SUMIF(FoodLog!$A:$A,$A309,FoodLog!$G:$G)))</f>
        <v/>
      </c>
      <c r="X309">
        <f>IF($A309="","",IF(SUMIF(FoodLog!$A:$A,$A309,FoodLog!$H:$H)=0,"",SUMIF(FoodLog!$A:$A,$A309,FoodLog!$H:$H)))</f>
        <v/>
      </c>
      <c r="Y309">
        <f>IF($A309="","",IFERROR(ROUND(100*AVERAGE(IF($B309="","",XLOOKUP($B309,FILTER(Dictionaries!$B:$B,Dictionaries!$A:$A="??????????"),FILTER(Dictionaries!$C:$C,Dictionaries!$A:$A="??????????"))),IF($C309="","",MIN($C309/40,1)),IF($D309="","",XLOOKUP($D309,FILTER(Dictionaries!$B:$B,Dictionaries!$A:$A="????"),FILTER(Dictionaries!$C:$C,Dictionaries!$A:$A="????"))),IF($E309="","",MIN($E309/120,1)),IF(OR($F309&lt;&gt;"",$G309&lt;&gt;""),1,""),IF($H309="","",MIN($H309/100,1)),IF($L309="","",XLOOKUP($L309,FILTER(Dictionaries!$B:$B,Dictionaries!$A:$A="???_????"),FILTER(Dictionaries!$C:$C,Dictionaries!$A:$A="???_????"))),IF($M309="","",XLOOKUP($M309,FILTER(Dictionaries!$B:$B,Dictionaries!$A:$A="?????"),FILTER(Dictionaries!$C:$C,Dictionaries!$A:$A="?????"))),IF($N309="","",MIN($N309/100,1)),IF($O309="","",XLOOKUP($O309,FILTER(Dictionaries!$B:$B,Dictionaries!$A:$A="??????????"),FILTER(Dictionaries!$C:$C,Dictionaries!$A:$A="??????????"))),IF($P309="","",XLOOKUP($P309,FILTER(Dictionaries!$B:$B,Dictionaries!$A:$A="???????"),FILTER(Dictionaries!$C:$C,Dictionaries!$A:$A="???????"))),IF($U309="","",LET(t,IF(OR($B309="????",$B309="????"),"train","rest"),k,$U309,p,$V309,f,$W309,c,$X309,k_s,IF(t="train",IF(k="","",IFS(AND(k&gt;=1900,k&lt;=2050),1,AND(k&gt;=1850,k&lt;1900),0.7,AND(k&gt;2050,k&lt;=2100),0.7,TRUE,0.2)),IF(k="","",IFS(AND(k&gt;=1700,k&lt;=1850),1,AND(k&gt;=1650,k&lt;1700),0.7,AND(k&gt;1850,k&lt;=1900),0.7,TRUE,0.2))),p_s,IF(t="train",IF(p="","",IFS(AND(p&gt;=125,p&lt;=135),1,AND(p&gt;=115,p&lt;125),0.7,AND(p&gt;135,p&lt;=145),0.7,AND(p&gt;=105,p&lt;115),0.4,AND(p&gt;145,p&lt;=155),0.4,TRUE,0.2)),IF(p="","",IFS(AND(p&gt;=120,p&lt;=130),1,AND(p&gt;=110,p&lt;120),0.7,AND(p&gt;130,p&lt;=140),0.7,AND(p&gt;=100,p&lt;110),0.4,AND(p&gt;140,p&lt;=150),0.4,TRUE,0.2))),f_s,IF(f="","",IFS(AND(f&gt;=55,f&lt;=65),1,AND(f&gt;=50,f&lt;55),0.7,AND(f&gt;65,f&lt;=70),0.7,AND(f&gt;=45,f&lt;50),0.4,AND(f&gt;70,f&lt;=75),0.4,TRUE,0.2)),c_s,IF(t="train",IF(c="","",IFS(AND(c&gt;=180,c&lt;=210),1,AND(c&gt;=160,c&lt;180),0.7,AND(c&gt;210,c&lt;=230),0.7,AND(c&gt;=140,c&lt;160),0.4,AND(c&gt;230,c&lt;=250),0.4,TRUE,0.2)),IF(c="","",IFS(AND(c&gt;=140,c&lt;=170),1,AND(c&gt;=120,c&lt;140),0.7,AND(c&gt;170,c&lt;=190),0.7,AND(c&gt;=100,c&lt;120),0.4,AND(c&gt;190,c&lt;=210),0.4,TRUE,0.2))),AVERAGE(k_s,p_s,f_s,c_s)))),1),""))</f>
        <v/>
      </c>
      <c r="Z309">
        <f>IF($A309="","",TEXTJOIN(", ",TRUE,IF($B309="","??????????",""),IF($C309="","??????",""),IF($D309="","????",""),IF($E309="","??????????",""),IF($F309="","???-?????",""),IF($G309="","???-????",""),IF($H309="","??????",""),IF($L309="","???",""),IF($M309="","?????",""),IF($N309="","??????????????",""),IF($O309="","??????????",""),IF($P309="","???????",""),IF($U309="","???","")))</f>
        <v/>
      </c>
    </row>
    <row r="310">
      <c r="U310">
        <f>IF($A310="","",IF(SUMIF(FoodLog!$A:$A,$A310,FoodLog!$I:$I)=0,"",SUMIF(FoodLog!$A:$A,$A310,FoodLog!$I:$I)))</f>
        <v/>
      </c>
      <c r="V310">
        <f>IF($A310="","",IF(SUMIF(FoodLog!$A:$A,$A310,FoodLog!$F:$F)=0,"",SUMIF(FoodLog!$A:$A,$A310,FoodLog!$F:$F)))</f>
        <v/>
      </c>
      <c r="W310">
        <f>IF($A310="","",IF(SUMIF(FoodLog!$A:$A,$A310,FoodLog!$G:$G)=0,"",SUMIF(FoodLog!$A:$A,$A310,FoodLog!$G:$G)))</f>
        <v/>
      </c>
      <c r="X310">
        <f>IF($A310="","",IF(SUMIF(FoodLog!$A:$A,$A310,FoodLog!$H:$H)=0,"",SUMIF(FoodLog!$A:$A,$A310,FoodLog!$H:$H)))</f>
        <v/>
      </c>
      <c r="Y310">
        <f>IF($A310="","",IFERROR(ROUND(100*AVERAGE(IF($B310="","",XLOOKUP($B310,FILTER(Dictionaries!$B:$B,Dictionaries!$A:$A="??????????"),FILTER(Dictionaries!$C:$C,Dictionaries!$A:$A="??????????"))),IF($C310="","",MIN($C310/40,1)),IF($D310="","",XLOOKUP($D310,FILTER(Dictionaries!$B:$B,Dictionaries!$A:$A="????"),FILTER(Dictionaries!$C:$C,Dictionaries!$A:$A="????"))),IF($E310="","",MIN($E310/120,1)),IF(OR($F310&lt;&gt;"",$G310&lt;&gt;""),1,""),IF($H310="","",MIN($H310/100,1)),IF($L310="","",XLOOKUP($L310,FILTER(Dictionaries!$B:$B,Dictionaries!$A:$A="???_????"),FILTER(Dictionaries!$C:$C,Dictionaries!$A:$A="???_????"))),IF($M310="","",XLOOKUP($M310,FILTER(Dictionaries!$B:$B,Dictionaries!$A:$A="?????"),FILTER(Dictionaries!$C:$C,Dictionaries!$A:$A="?????"))),IF($N310="","",MIN($N310/100,1)),IF($O310="","",XLOOKUP($O310,FILTER(Dictionaries!$B:$B,Dictionaries!$A:$A="??????????"),FILTER(Dictionaries!$C:$C,Dictionaries!$A:$A="??????????"))),IF($P310="","",XLOOKUP($P310,FILTER(Dictionaries!$B:$B,Dictionaries!$A:$A="???????"),FILTER(Dictionaries!$C:$C,Dictionaries!$A:$A="???????"))),IF($U310="","",LET(t,IF(OR($B310="????",$B310="????"),"train","rest"),k,$U310,p,$V310,f,$W310,c,$X310,k_s,IF(t="train",IF(k="","",IFS(AND(k&gt;=1900,k&lt;=2050),1,AND(k&gt;=1850,k&lt;1900),0.7,AND(k&gt;2050,k&lt;=2100),0.7,TRUE,0.2)),IF(k="","",IFS(AND(k&gt;=1700,k&lt;=1850),1,AND(k&gt;=1650,k&lt;1700),0.7,AND(k&gt;1850,k&lt;=1900),0.7,TRUE,0.2))),p_s,IF(t="train",IF(p="","",IFS(AND(p&gt;=125,p&lt;=135),1,AND(p&gt;=115,p&lt;125),0.7,AND(p&gt;135,p&lt;=145),0.7,AND(p&gt;=105,p&lt;115),0.4,AND(p&gt;145,p&lt;=155),0.4,TRUE,0.2)),IF(p="","",IFS(AND(p&gt;=120,p&lt;=130),1,AND(p&gt;=110,p&lt;120),0.7,AND(p&gt;130,p&lt;=140),0.7,AND(p&gt;=100,p&lt;110),0.4,AND(p&gt;140,p&lt;=150),0.4,TRUE,0.2))),f_s,IF(f="","",IFS(AND(f&gt;=55,f&lt;=65),1,AND(f&gt;=50,f&lt;55),0.7,AND(f&gt;65,f&lt;=70),0.7,AND(f&gt;=45,f&lt;50),0.4,AND(f&gt;70,f&lt;=75),0.4,TRUE,0.2)),c_s,IF(t="train",IF(c="","",IFS(AND(c&gt;=180,c&lt;=210),1,AND(c&gt;=160,c&lt;180),0.7,AND(c&gt;210,c&lt;=230),0.7,AND(c&gt;=140,c&lt;160),0.4,AND(c&gt;230,c&lt;=250),0.4,TRUE,0.2)),IF(c="","",IFS(AND(c&gt;=140,c&lt;=170),1,AND(c&gt;=120,c&lt;140),0.7,AND(c&gt;170,c&lt;=190),0.7,AND(c&gt;=100,c&lt;120),0.4,AND(c&gt;190,c&lt;=210),0.4,TRUE,0.2))),AVERAGE(k_s,p_s,f_s,c_s)))),1),""))</f>
        <v/>
      </c>
      <c r="Z310">
        <f>IF($A310="","",TEXTJOIN(", ",TRUE,IF($B310="","??????????",""),IF($C310="","??????",""),IF($D310="","????",""),IF($E310="","??????????",""),IF($F310="","???-?????",""),IF($G310="","???-????",""),IF($H310="","??????",""),IF($L310="","???",""),IF($M310="","?????",""),IF($N310="","??????????????",""),IF($O310="","??????????",""),IF($P310="","???????",""),IF($U310="","???","")))</f>
        <v/>
      </c>
    </row>
    <row r="311">
      <c r="U311">
        <f>IF($A311="","",IF(SUMIF(FoodLog!$A:$A,$A311,FoodLog!$I:$I)=0,"",SUMIF(FoodLog!$A:$A,$A311,FoodLog!$I:$I)))</f>
        <v/>
      </c>
      <c r="V311">
        <f>IF($A311="","",IF(SUMIF(FoodLog!$A:$A,$A311,FoodLog!$F:$F)=0,"",SUMIF(FoodLog!$A:$A,$A311,FoodLog!$F:$F)))</f>
        <v/>
      </c>
      <c r="W311">
        <f>IF($A311="","",IF(SUMIF(FoodLog!$A:$A,$A311,FoodLog!$G:$G)=0,"",SUMIF(FoodLog!$A:$A,$A311,FoodLog!$G:$G)))</f>
        <v/>
      </c>
      <c r="X311">
        <f>IF($A311="","",IF(SUMIF(FoodLog!$A:$A,$A311,FoodLog!$H:$H)=0,"",SUMIF(FoodLog!$A:$A,$A311,FoodLog!$H:$H)))</f>
        <v/>
      </c>
      <c r="Y311">
        <f>IF($A311="","",IFERROR(ROUND(100*AVERAGE(IF($B311="","",XLOOKUP($B311,FILTER(Dictionaries!$B:$B,Dictionaries!$A:$A="??????????"),FILTER(Dictionaries!$C:$C,Dictionaries!$A:$A="??????????"))),IF($C311="","",MIN($C311/40,1)),IF($D311="","",XLOOKUP($D311,FILTER(Dictionaries!$B:$B,Dictionaries!$A:$A="????"),FILTER(Dictionaries!$C:$C,Dictionaries!$A:$A="????"))),IF($E311="","",MIN($E311/120,1)),IF(OR($F311&lt;&gt;"",$G311&lt;&gt;""),1,""),IF($H311="","",MIN($H311/100,1)),IF($L311="","",XLOOKUP($L311,FILTER(Dictionaries!$B:$B,Dictionaries!$A:$A="???_????"),FILTER(Dictionaries!$C:$C,Dictionaries!$A:$A="???_????"))),IF($M311="","",XLOOKUP($M311,FILTER(Dictionaries!$B:$B,Dictionaries!$A:$A="?????"),FILTER(Dictionaries!$C:$C,Dictionaries!$A:$A="?????"))),IF($N311="","",MIN($N311/100,1)),IF($O311="","",XLOOKUP($O311,FILTER(Dictionaries!$B:$B,Dictionaries!$A:$A="??????????"),FILTER(Dictionaries!$C:$C,Dictionaries!$A:$A="??????????"))),IF($P311="","",XLOOKUP($P311,FILTER(Dictionaries!$B:$B,Dictionaries!$A:$A="???????"),FILTER(Dictionaries!$C:$C,Dictionaries!$A:$A="???????"))),IF($U311="","",LET(t,IF(OR($B311="????",$B311="????"),"train","rest"),k,$U311,p,$V311,f,$W311,c,$X311,k_s,IF(t="train",IF(k="","",IFS(AND(k&gt;=1900,k&lt;=2050),1,AND(k&gt;=1850,k&lt;1900),0.7,AND(k&gt;2050,k&lt;=2100),0.7,TRUE,0.2)),IF(k="","",IFS(AND(k&gt;=1700,k&lt;=1850),1,AND(k&gt;=1650,k&lt;1700),0.7,AND(k&gt;1850,k&lt;=1900),0.7,TRUE,0.2))),p_s,IF(t="train",IF(p="","",IFS(AND(p&gt;=125,p&lt;=135),1,AND(p&gt;=115,p&lt;125),0.7,AND(p&gt;135,p&lt;=145),0.7,AND(p&gt;=105,p&lt;115),0.4,AND(p&gt;145,p&lt;=155),0.4,TRUE,0.2)),IF(p="","",IFS(AND(p&gt;=120,p&lt;=130),1,AND(p&gt;=110,p&lt;120),0.7,AND(p&gt;130,p&lt;=140),0.7,AND(p&gt;=100,p&lt;110),0.4,AND(p&gt;140,p&lt;=150),0.4,TRUE,0.2))),f_s,IF(f="","",IFS(AND(f&gt;=55,f&lt;=65),1,AND(f&gt;=50,f&lt;55),0.7,AND(f&gt;65,f&lt;=70),0.7,AND(f&gt;=45,f&lt;50),0.4,AND(f&gt;70,f&lt;=75),0.4,TRUE,0.2)),c_s,IF(t="train",IF(c="","",IFS(AND(c&gt;=180,c&lt;=210),1,AND(c&gt;=160,c&lt;180),0.7,AND(c&gt;210,c&lt;=230),0.7,AND(c&gt;=140,c&lt;160),0.4,AND(c&gt;230,c&lt;=250),0.4,TRUE,0.2)),IF(c="","",IFS(AND(c&gt;=140,c&lt;=170),1,AND(c&gt;=120,c&lt;140),0.7,AND(c&gt;170,c&lt;=190),0.7,AND(c&gt;=100,c&lt;120),0.4,AND(c&gt;190,c&lt;=210),0.4,TRUE,0.2))),AVERAGE(k_s,p_s,f_s,c_s)))),1),""))</f>
        <v/>
      </c>
      <c r="Z311">
        <f>IF($A311="","",TEXTJOIN(", ",TRUE,IF($B311="","??????????",""),IF($C311="","??????",""),IF($D311="","????",""),IF($E311="","??????????",""),IF($F311="","???-?????",""),IF($G311="","???-????",""),IF($H311="","??????",""),IF($L311="","???",""),IF($M311="","?????",""),IF($N311="","??????????????",""),IF($O311="","??????????",""),IF($P311="","???????",""),IF($U311="","???","")))</f>
        <v/>
      </c>
    </row>
    <row r="312">
      <c r="U312">
        <f>IF($A312="","",IF(SUMIF(FoodLog!$A:$A,$A312,FoodLog!$I:$I)=0,"",SUMIF(FoodLog!$A:$A,$A312,FoodLog!$I:$I)))</f>
        <v/>
      </c>
      <c r="V312">
        <f>IF($A312="","",IF(SUMIF(FoodLog!$A:$A,$A312,FoodLog!$F:$F)=0,"",SUMIF(FoodLog!$A:$A,$A312,FoodLog!$F:$F)))</f>
        <v/>
      </c>
      <c r="W312">
        <f>IF($A312="","",IF(SUMIF(FoodLog!$A:$A,$A312,FoodLog!$G:$G)=0,"",SUMIF(FoodLog!$A:$A,$A312,FoodLog!$G:$G)))</f>
        <v/>
      </c>
      <c r="X312">
        <f>IF($A312="","",IF(SUMIF(FoodLog!$A:$A,$A312,FoodLog!$H:$H)=0,"",SUMIF(FoodLog!$A:$A,$A312,FoodLog!$H:$H)))</f>
        <v/>
      </c>
      <c r="Y312">
        <f>IF($A312="","",IFERROR(ROUND(100*AVERAGE(IF($B312="","",XLOOKUP($B312,FILTER(Dictionaries!$B:$B,Dictionaries!$A:$A="??????????"),FILTER(Dictionaries!$C:$C,Dictionaries!$A:$A="??????????"))),IF($C312="","",MIN($C312/40,1)),IF($D312="","",XLOOKUP($D312,FILTER(Dictionaries!$B:$B,Dictionaries!$A:$A="????"),FILTER(Dictionaries!$C:$C,Dictionaries!$A:$A="????"))),IF($E312="","",MIN($E312/120,1)),IF(OR($F312&lt;&gt;"",$G312&lt;&gt;""),1,""),IF($H312="","",MIN($H312/100,1)),IF($L312="","",XLOOKUP($L312,FILTER(Dictionaries!$B:$B,Dictionaries!$A:$A="???_????"),FILTER(Dictionaries!$C:$C,Dictionaries!$A:$A="???_????"))),IF($M312="","",XLOOKUP($M312,FILTER(Dictionaries!$B:$B,Dictionaries!$A:$A="?????"),FILTER(Dictionaries!$C:$C,Dictionaries!$A:$A="?????"))),IF($N312="","",MIN($N312/100,1)),IF($O312="","",XLOOKUP($O312,FILTER(Dictionaries!$B:$B,Dictionaries!$A:$A="??????????"),FILTER(Dictionaries!$C:$C,Dictionaries!$A:$A="??????????"))),IF($P312="","",XLOOKUP($P312,FILTER(Dictionaries!$B:$B,Dictionaries!$A:$A="???????"),FILTER(Dictionaries!$C:$C,Dictionaries!$A:$A="???????"))),IF($U312="","",LET(t,IF(OR($B312="????",$B312="????"),"train","rest"),k,$U312,p,$V312,f,$W312,c,$X312,k_s,IF(t="train",IF(k="","",IFS(AND(k&gt;=1900,k&lt;=2050),1,AND(k&gt;=1850,k&lt;1900),0.7,AND(k&gt;2050,k&lt;=2100),0.7,TRUE,0.2)),IF(k="","",IFS(AND(k&gt;=1700,k&lt;=1850),1,AND(k&gt;=1650,k&lt;1700),0.7,AND(k&gt;1850,k&lt;=1900),0.7,TRUE,0.2))),p_s,IF(t="train",IF(p="","",IFS(AND(p&gt;=125,p&lt;=135),1,AND(p&gt;=115,p&lt;125),0.7,AND(p&gt;135,p&lt;=145),0.7,AND(p&gt;=105,p&lt;115),0.4,AND(p&gt;145,p&lt;=155),0.4,TRUE,0.2)),IF(p="","",IFS(AND(p&gt;=120,p&lt;=130),1,AND(p&gt;=110,p&lt;120),0.7,AND(p&gt;130,p&lt;=140),0.7,AND(p&gt;=100,p&lt;110),0.4,AND(p&gt;140,p&lt;=150),0.4,TRUE,0.2))),f_s,IF(f="","",IFS(AND(f&gt;=55,f&lt;=65),1,AND(f&gt;=50,f&lt;55),0.7,AND(f&gt;65,f&lt;=70),0.7,AND(f&gt;=45,f&lt;50),0.4,AND(f&gt;70,f&lt;=75),0.4,TRUE,0.2)),c_s,IF(t="train",IF(c="","",IFS(AND(c&gt;=180,c&lt;=210),1,AND(c&gt;=160,c&lt;180),0.7,AND(c&gt;210,c&lt;=230),0.7,AND(c&gt;=140,c&lt;160),0.4,AND(c&gt;230,c&lt;=250),0.4,TRUE,0.2)),IF(c="","",IFS(AND(c&gt;=140,c&lt;=170),1,AND(c&gt;=120,c&lt;140),0.7,AND(c&gt;170,c&lt;=190),0.7,AND(c&gt;=100,c&lt;120),0.4,AND(c&gt;190,c&lt;=210),0.4,TRUE,0.2))),AVERAGE(k_s,p_s,f_s,c_s)))),1),""))</f>
        <v/>
      </c>
      <c r="Z312">
        <f>IF($A312="","",TEXTJOIN(", ",TRUE,IF($B312="","??????????",""),IF($C312="","??????",""),IF($D312="","????",""),IF($E312="","??????????",""),IF($F312="","???-?????",""),IF($G312="","???-????",""),IF($H312="","??????",""),IF($L312="","???",""),IF($M312="","?????",""),IF($N312="","??????????????",""),IF($O312="","??????????",""),IF($P312="","???????",""),IF($U312="","???","")))</f>
        <v/>
      </c>
    </row>
    <row r="313">
      <c r="U313">
        <f>IF($A313="","",IF(SUMIF(FoodLog!$A:$A,$A313,FoodLog!$I:$I)=0,"",SUMIF(FoodLog!$A:$A,$A313,FoodLog!$I:$I)))</f>
        <v/>
      </c>
      <c r="V313">
        <f>IF($A313="","",IF(SUMIF(FoodLog!$A:$A,$A313,FoodLog!$F:$F)=0,"",SUMIF(FoodLog!$A:$A,$A313,FoodLog!$F:$F)))</f>
        <v/>
      </c>
      <c r="W313">
        <f>IF($A313="","",IF(SUMIF(FoodLog!$A:$A,$A313,FoodLog!$G:$G)=0,"",SUMIF(FoodLog!$A:$A,$A313,FoodLog!$G:$G)))</f>
        <v/>
      </c>
      <c r="X313">
        <f>IF($A313="","",IF(SUMIF(FoodLog!$A:$A,$A313,FoodLog!$H:$H)=0,"",SUMIF(FoodLog!$A:$A,$A313,FoodLog!$H:$H)))</f>
        <v/>
      </c>
      <c r="Y313">
        <f>IF($A313="","",IFERROR(ROUND(100*AVERAGE(IF($B313="","",XLOOKUP($B313,FILTER(Dictionaries!$B:$B,Dictionaries!$A:$A="??????????"),FILTER(Dictionaries!$C:$C,Dictionaries!$A:$A="??????????"))),IF($C313="","",MIN($C313/40,1)),IF($D313="","",XLOOKUP($D313,FILTER(Dictionaries!$B:$B,Dictionaries!$A:$A="????"),FILTER(Dictionaries!$C:$C,Dictionaries!$A:$A="????"))),IF($E313="","",MIN($E313/120,1)),IF(OR($F313&lt;&gt;"",$G313&lt;&gt;""),1,""),IF($H313="","",MIN($H313/100,1)),IF($L313="","",XLOOKUP($L313,FILTER(Dictionaries!$B:$B,Dictionaries!$A:$A="???_????"),FILTER(Dictionaries!$C:$C,Dictionaries!$A:$A="???_????"))),IF($M313="","",XLOOKUP($M313,FILTER(Dictionaries!$B:$B,Dictionaries!$A:$A="?????"),FILTER(Dictionaries!$C:$C,Dictionaries!$A:$A="?????"))),IF($N313="","",MIN($N313/100,1)),IF($O313="","",XLOOKUP($O313,FILTER(Dictionaries!$B:$B,Dictionaries!$A:$A="??????????"),FILTER(Dictionaries!$C:$C,Dictionaries!$A:$A="??????????"))),IF($P313="","",XLOOKUP($P313,FILTER(Dictionaries!$B:$B,Dictionaries!$A:$A="???????"),FILTER(Dictionaries!$C:$C,Dictionaries!$A:$A="???????"))),IF($U313="","",LET(t,IF(OR($B313="????",$B313="????"),"train","rest"),k,$U313,p,$V313,f,$W313,c,$X313,k_s,IF(t="train",IF(k="","",IFS(AND(k&gt;=1900,k&lt;=2050),1,AND(k&gt;=1850,k&lt;1900),0.7,AND(k&gt;2050,k&lt;=2100),0.7,TRUE,0.2)),IF(k="","",IFS(AND(k&gt;=1700,k&lt;=1850),1,AND(k&gt;=1650,k&lt;1700),0.7,AND(k&gt;1850,k&lt;=1900),0.7,TRUE,0.2))),p_s,IF(t="train",IF(p="","",IFS(AND(p&gt;=125,p&lt;=135),1,AND(p&gt;=115,p&lt;125),0.7,AND(p&gt;135,p&lt;=145),0.7,AND(p&gt;=105,p&lt;115),0.4,AND(p&gt;145,p&lt;=155),0.4,TRUE,0.2)),IF(p="","",IFS(AND(p&gt;=120,p&lt;=130),1,AND(p&gt;=110,p&lt;120),0.7,AND(p&gt;130,p&lt;=140),0.7,AND(p&gt;=100,p&lt;110),0.4,AND(p&gt;140,p&lt;=150),0.4,TRUE,0.2))),f_s,IF(f="","",IFS(AND(f&gt;=55,f&lt;=65),1,AND(f&gt;=50,f&lt;55),0.7,AND(f&gt;65,f&lt;=70),0.7,AND(f&gt;=45,f&lt;50),0.4,AND(f&gt;70,f&lt;=75),0.4,TRUE,0.2)),c_s,IF(t="train",IF(c="","",IFS(AND(c&gt;=180,c&lt;=210),1,AND(c&gt;=160,c&lt;180),0.7,AND(c&gt;210,c&lt;=230),0.7,AND(c&gt;=140,c&lt;160),0.4,AND(c&gt;230,c&lt;=250),0.4,TRUE,0.2)),IF(c="","",IFS(AND(c&gt;=140,c&lt;=170),1,AND(c&gt;=120,c&lt;140),0.7,AND(c&gt;170,c&lt;=190),0.7,AND(c&gt;=100,c&lt;120),0.4,AND(c&gt;190,c&lt;=210),0.4,TRUE,0.2))),AVERAGE(k_s,p_s,f_s,c_s)))),1),""))</f>
        <v/>
      </c>
      <c r="Z313">
        <f>IF($A313="","",TEXTJOIN(", ",TRUE,IF($B313="","??????????",""),IF($C313="","??????",""),IF($D313="","????",""),IF($E313="","??????????",""),IF($F313="","???-?????",""),IF($G313="","???-????",""),IF($H313="","??????",""),IF($L313="","???",""),IF($M313="","?????",""),IF($N313="","??????????????",""),IF($O313="","??????????",""),IF($P313="","???????",""),IF($U313="","???","")))</f>
        <v/>
      </c>
    </row>
    <row r="314">
      <c r="U314">
        <f>IF($A314="","",IF(SUMIF(FoodLog!$A:$A,$A314,FoodLog!$I:$I)=0,"",SUMIF(FoodLog!$A:$A,$A314,FoodLog!$I:$I)))</f>
        <v/>
      </c>
      <c r="V314">
        <f>IF($A314="","",IF(SUMIF(FoodLog!$A:$A,$A314,FoodLog!$F:$F)=0,"",SUMIF(FoodLog!$A:$A,$A314,FoodLog!$F:$F)))</f>
        <v/>
      </c>
      <c r="W314">
        <f>IF($A314="","",IF(SUMIF(FoodLog!$A:$A,$A314,FoodLog!$G:$G)=0,"",SUMIF(FoodLog!$A:$A,$A314,FoodLog!$G:$G)))</f>
        <v/>
      </c>
      <c r="X314">
        <f>IF($A314="","",IF(SUMIF(FoodLog!$A:$A,$A314,FoodLog!$H:$H)=0,"",SUMIF(FoodLog!$A:$A,$A314,FoodLog!$H:$H)))</f>
        <v/>
      </c>
      <c r="Y314">
        <f>IF($A314="","",IFERROR(ROUND(100*AVERAGE(IF($B314="","",XLOOKUP($B314,FILTER(Dictionaries!$B:$B,Dictionaries!$A:$A="??????????"),FILTER(Dictionaries!$C:$C,Dictionaries!$A:$A="??????????"))),IF($C314="","",MIN($C314/40,1)),IF($D314="","",XLOOKUP($D314,FILTER(Dictionaries!$B:$B,Dictionaries!$A:$A="????"),FILTER(Dictionaries!$C:$C,Dictionaries!$A:$A="????"))),IF($E314="","",MIN($E314/120,1)),IF(OR($F314&lt;&gt;"",$G314&lt;&gt;""),1,""),IF($H314="","",MIN($H314/100,1)),IF($L314="","",XLOOKUP($L314,FILTER(Dictionaries!$B:$B,Dictionaries!$A:$A="???_????"),FILTER(Dictionaries!$C:$C,Dictionaries!$A:$A="???_????"))),IF($M314="","",XLOOKUP($M314,FILTER(Dictionaries!$B:$B,Dictionaries!$A:$A="?????"),FILTER(Dictionaries!$C:$C,Dictionaries!$A:$A="?????"))),IF($N314="","",MIN($N314/100,1)),IF($O314="","",XLOOKUP($O314,FILTER(Dictionaries!$B:$B,Dictionaries!$A:$A="??????????"),FILTER(Dictionaries!$C:$C,Dictionaries!$A:$A="??????????"))),IF($P314="","",XLOOKUP($P314,FILTER(Dictionaries!$B:$B,Dictionaries!$A:$A="???????"),FILTER(Dictionaries!$C:$C,Dictionaries!$A:$A="???????"))),IF($U314="","",LET(t,IF(OR($B314="????",$B314="????"),"train","rest"),k,$U314,p,$V314,f,$W314,c,$X314,k_s,IF(t="train",IF(k="","",IFS(AND(k&gt;=1900,k&lt;=2050),1,AND(k&gt;=1850,k&lt;1900),0.7,AND(k&gt;2050,k&lt;=2100),0.7,TRUE,0.2)),IF(k="","",IFS(AND(k&gt;=1700,k&lt;=1850),1,AND(k&gt;=1650,k&lt;1700),0.7,AND(k&gt;1850,k&lt;=1900),0.7,TRUE,0.2))),p_s,IF(t="train",IF(p="","",IFS(AND(p&gt;=125,p&lt;=135),1,AND(p&gt;=115,p&lt;125),0.7,AND(p&gt;135,p&lt;=145),0.7,AND(p&gt;=105,p&lt;115),0.4,AND(p&gt;145,p&lt;=155),0.4,TRUE,0.2)),IF(p="","",IFS(AND(p&gt;=120,p&lt;=130),1,AND(p&gt;=110,p&lt;120),0.7,AND(p&gt;130,p&lt;=140),0.7,AND(p&gt;=100,p&lt;110),0.4,AND(p&gt;140,p&lt;=150),0.4,TRUE,0.2))),f_s,IF(f="","",IFS(AND(f&gt;=55,f&lt;=65),1,AND(f&gt;=50,f&lt;55),0.7,AND(f&gt;65,f&lt;=70),0.7,AND(f&gt;=45,f&lt;50),0.4,AND(f&gt;70,f&lt;=75),0.4,TRUE,0.2)),c_s,IF(t="train",IF(c="","",IFS(AND(c&gt;=180,c&lt;=210),1,AND(c&gt;=160,c&lt;180),0.7,AND(c&gt;210,c&lt;=230),0.7,AND(c&gt;=140,c&lt;160),0.4,AND(c&gt;230,c&lt;=250),0.4,TRUE,0.2)),IF(c="","",IFS(AND(c&gt;=140,c&lt;=170),1,AND(c&gt;=120,c&lt;140),0.7,AND(c&gt;170,c&lt;=190),0.7,AND(c&gt;=100,c&lt;120),0.4,AND(c&gt;190,c&lt;=210),0.4,TRUE,0.2))),AVERAGE(k_s,p_s,f_s,c_s)))),1),""))</f>
        <v/>
      </c>
      <c r="Z314">
        <f>IF($A314="","",TEXTJOIN(", ",TRUE,IF($B314="","??????????",""),IF($C314="","??????",""),IF($D314="","????",""),IF($E314="","??????????",""),IF($F314="","???-?????",""),IF($G314="","???-????",""),IF($H314="","??????",""),IF($L314="","???",""),IF($M314="","?????",""),IF($N314="","??????????????",""),IF($O314="","??????????",""),IF($P314="","???????",""),IF($U314="","???","")))</f>
        <v/>
      </c>
    </row>
    <row r="315">
      <c r="U315">
        <f>IF($A315="","",IF(SUMIF(FoodLog!$A:$A,$A315,FoodLog!$I:$I)=0,"",SUMIF(FoodLog!$A:$A,$A315,FoodLog!$I:$I)))</f>
        <v/>
      </c>
      <c r="V315">
        <f>IF($A315="","",IF(SUMIF(FoodLog!$A:$A,$A315,FoodLog!$F:$F)=0,"",SUMIF(FoodLog!$A:$A,$A315,FoodLog!$F:$F)))</f>
        <v/>
      </c>
      <c r="W315">
        <f>IF($A315="","",IF(SUMIF(FoodLog!$A:$A,$A315,FoodLog!$G:$G)=0,"",SUMIF(FoodLog!$A:$A,$A315,FoodLog!$G:$G)))</f>
        <v/>
      </c>
      <c r="X315">
        <f>IF($A315="","",IF(SUMIF(FoodLog!$A:$A,$A315,FoodLog!$H:$H)=0,"",SUMIF(FoodLog!$A:$A,$A315,FoodLog!$H:$H)))</f>
        <v/>
      </c>
      <c r="Y315">
        <f>IF($A315="","",IFERROR(ROUND(100*AVERAGE(IF($B315="","",XLOOKUP($B315,FILTER(Dictionaries!$B:$B,Dictionaries!$A:$A="??????????"),FILTER(Dictionaries!$C:$C,Dictionaries!$A:$A="??????????"))),IF($C315="","",MIN($C315/40,1)),IF($D315="","",XLOOKUP($D315,FILTER(Dictionaries!$B:$B,Dictionaries!$A:$A="????"),FILTER(Dictionaries!$C:$C,Dictionaries!$A:$A="????"))),IF($E315="","",MIN($E315/120,1)),IF(OR($F315&lt;&gt;"",$G315&lt;&gt;""),1,""),IF($H315="","",MIN($H315/100,1)),IF($L315="","",XLOOKUP($L315,FILTER(Dictionaries!$B:$B,Dictionaries!$A:$A="???_????"),FILTER(Dictionaries!$C:$C,Dictionaries!$A:$A="???_????"))),IF($M315="","",XLOOKUP($M315,FILTER(Dictionaries!$B:$B,Dictionaries!$A:$A="?????"),FILTER(Dictionaries!$C:$C,Dictionaries!$A:$A="?????"))),IF($N315="","",MIN($N315/100,1)),IF($O315="","",XLOOKUP($O315,FILTER(Dictionaries!$B:$B,Dictionaries!$A:$A="??????????"),FILTER(Dictionaries!$C:$C,Dictionaries!$A:$A="??????????"))),IF($P315="","",XLOOKUP($P315,FILTER(Dictionaries!$B:$B,Dictionaries!$A:$A="???????"),FILTER(Dictionaries!$C:$C,Dictionaries!$A:$A="???????"))),IF($U315="","",LET(t,IF(OR($B315="????",$B315="????"),"train","rest"),k,$U315,p,$V315,f,$W315,c,$X315,k_s,IF(t="train",IF(k="","",IFS(AND(k&gt;=1900,k&lt;=2050),1,AND(k&gt;=1850,k&lt;1900),0.7,AND(k&gt;2050,k&lt;=2100),0.7,TRUE,0.2)),IF(k="","",IFS(AND(k&gt;=1700,k&lt;=1850),1,AND(k&gt;=1650,k&lt;1700),0.7,AND(k&gt;1850,k&lt;=1900),0.7,TRUE,0.2))),p_s,IF(t="train",IF(p="","",IFS(AND(p&gt;=125,p&lt;=135),1,AND(p&gt;=115,p&lt;125),0.7,AND(p&gt;135,p&lt;=145),0.7,AND(p&gt;=105,p&lt;115),0.4,AND(p&gt;145,p&lt;=155),0.4,TRUE,0.2)),IF(p="","",IFS(AND(p&gt;=120,p&lt;=130),1,AND(p&gt;=110,p&lt;120),0.7,AND(p&gt;130,p&lt;=140),0.7,AND(p&gt;=100,p&lt;110),0.4,AND(p&gt;140,p&lt;=150),0.4,TRUE,0.2))),f_s,IF(f="","",IFS(AND(f&gt;=55,f&lt;=65),1,AND(f&gt;=50,f&lt;55),0.7,AND(f&gt;65,f&lt;=70),0.7,AND(f&gt;=45,f&lt;50),0.4,AND(f&gt;70,f&lt;=75),0.4,TRUE,0.2)),c_s,IF(t="train",IF(c="","",IFS(AND(c&gt;=180,c&lt;=210),1,AND(c&gt;=160,c&lt;180),0.7,AND(c&gt;210,c&lt;=230),0.7,AND(c&gt;=140,c&lt;160),0.4,AND(c&gt;230,c&lt;=250),0.4,TRUE,0.2)),IF(c="","",IFS(AND(c&gt;=140,c&lt;=170),1,AND(c&gt;=120,c&lt;140),0.7,AND(c&gt;170,c&lt;=190),0.7,AND(c&gt;=100,c&lt;120),0.4,AND(c&gt;190,c&lt;=210),0.4,TRUE,0.2))),AVERAGE(k_s,p_s,f_s,c_s)))),1),""))</f>
        <v/>
      </c>
      <c r="Z315">
        <f>IF($A315="","",TEXTJOIN(", ",TRUE,IF($B315="","??????????",""),IF($C315="","??????",""),IF($D315="","????",""),IF($E315="","??????????",""),IF($F315="","???-?????",""),IF($G315="","???-????",""),IF($H315="","??????",""),IF($L315="","???",""),IF($M315="","?????",""),IF($N315="","??????????????",""),IF($O315="","??????????",""),IF($P315="","???????",""),IF($U315="","???","")))</f>
        <v/>
      </c>
    </row>
    <row r="316">
      <c r="U316">
        <f>IF($A316="","",IF(SUMIF(FoodLog!$A:$A,$A316,FoodLog!$I:$I)=0,"",SUMIF(FoodLog!$A:$A,$A316,FoodLog!$I:$I)))</f>
        <v/>
      </c>
      <c r="V316">
        <f>IF($A316="","",IF(SUMIF(FoodLog!$A:$A,$A316,FoodLog!$F:$F)=0,"",SUMIF(FoodLog!$A:$A,$A316,FoodLog!$F:$F)))</f>
        <v/>
      </c>
      <c r="W316">
        <f>IF($A316="","",IF(SUMIF(FoodLog!$A:$A,$A316,FoodLog!$G:$G)=0,"",SUMIF(FoodLog!$A:$A,$A316,FoodLog!$G:$G)))</f>
        <v/>
      </c>
      <c r="X316">
        <f>IF($A316="","",IF(SUMIF(FoodLog!$A:$A,$A316,FoodLog!$H:$H)=0,"",SUMIF(FoodLog!$A:$A,$A316,FoodLog!$H:$H)))</f>
        <v/>
      </c>
      <c r="Y316">
        <f>IF($A316="","",IFERROR(ROUND(100*AVERAGE(IF($B316="","",XLOOKUP($B316,FILTER(Dictionaries!$B:$B,Dictionaries!$A:$A="??????????"),FILTER(Dictionaries!$C:$C,Dictionaries!$A:$A="??????????"))),IF($C316="","",MIN($C316/40,1)),IF($D316="","",XLOOKUP($D316,FILTER(Dictionaries!$B:$B,Dictionaries!$A:$A="????"),FILTER(Dictionaries!$C:$C,Dictionaries!$A:$A="????"))),IF($E316="","",MIN($E316/120,1)),IF(OR($F316&lt;&gt;"",$G316&lt;&gt;""),1,""),IF($H316="","",MIN($H316/100,1)),IF($L316="","",XLOOKUP($L316,FILTER(Dictionaries!$B:$B,Dictionaries!$A:$A="???_????"),FILTER(Dictionaries!$C:$C,Dictionaries!$A:$A="???_????"))),IF($M316="","",XLOOKUP($M316,FILTER(Dictionaries!$B:$B,Dictionaries!$A:$A="?????"),FILTER(Dictionaries!$C:$C,Dictionaries!$A:$A="?????"))),IF($N316="","",MIN($N316/100,1)),IF($O316="","",XLOOKUP($O316,FILTER(Dictionaries!$B:$B,Dictionaries!$A:$A="??????????"),FILTER(Dictionaries!$C:$C,Dictionaries!$A:$A="??????????"))),IF($P316="","",XLOOKUP($P316,FILTER(Dictionaries!$B:$B,Dictionaries!$A:$A="???????"),FILTER(Dictionaries!$C:$C,Dictionaries!$A:$A="???????"))),IF($U316="","",LET(t,IF(OR($B316="????",$B316="????"),"train","rest"),k,$U316,p,$V316,f,$W316,c,$X316,k_s,IF(t="train",IF(k="","",IFS(AND(k&gt;=1900,k&lt;=2050),1,AND(k&gt;=1850,k&lt;1900),0.7,AND(k&gt;2050,k&lt;=2100),0.7,TRUE,0.2)),IF(k="","",IFS(AND(k&gt;=1700,k&lt;=1850),1,AND(k&gt;=1650,k&lt;1700),0.7,AND(k&gt;1850,k&lt;=1900),0.7,TRUE,0.2))),p_s,IF(t="train",IF(p="","",IFS(AND(p&gt;=125,p&lt;=135),1,AND(p&gt;=115,p&lt;125),0.7,AND(p&gt;135,p&lt;=145),0.7,AND(p&gt;=105,p&lt;115),0.4,AND(p&gt;145,p&lt;=155),0.4,TRUE,0.2)),IF(p="","",IFS(AND(p&gt;=120,p&lt;=130),1,AND(p&gt;=110,p&lt;120),0.7,AND(p&gt;130,p&lt;=140),0.7,AND(p&gt;=100,p&lt;110),0.4,AND(p&gt;140,p&lt;=150),0.4,TRUE,0.2))),f_s,IF(f="","",IFS(AND(f&gt;=55,f&lt;=65),1,AND(f&gt;=50,f&lt;55),0.7,AND(f&gt;65,f&lt;=70),0.7,AND(f&gt;=45,f&lt;50),0.4,AND(f&gt;70,f&lt;=75),0.4,TRUE,0.2)),c_s,IF(t="train",IF(c="","",IFS(AND(c&gt;=180,c&lt;=210),1,AND(c&gt;=160,c&lt;180),0.7,AND(c&gt;210,c&lt;=230),0.7,AND(c&gt;=140,c&lt;160),0.4,AND(c&gt;230,c&lt;=250),0.4,TRUE,0.2)),IF(c="","",IFS(AND(c&gt;=140,c&lt;=170),1,AND(c&gt;=120,c&lt;140),0.7,AND(c&gt;170,c&lt;=190),0.7,AND(c&gt;=100,c&lt;120),0.4,AND(c&gt;190,c&lt;=210),0.4,TRUE,0.2))),AVERAGE(k_s,p_s,f_s,c_s)))),1),""))</f>
        <v/>
      </c>
      <c r="Z316">
        <f>IF($A316="","",TEXTJOIN(", ",TRUE,IF($B316="","??????????",""),IF($C316="","??????",""),IF($D316="","????",""),IF($E316="","??????????",""),IF($F316="","???-?????",""),IF($G316="","???-????",""),IF($H316="","??????",""),IF($L316="","???",""),IF($M316="","?????",""),IF($N316="","??????????????",""),IF($O316="","??????????",""),IF($P316="","???????",""),IF($U316="","???","")))</f>
        <v/>
      </c>
    </row>
    <row r="317">
      <c r="U317">
        <f>IF($A317="","",IF(SUMIF(FoodLog!$A:$A,$A317,FoodLog!$I:$I)=0,"",SUMIF(FoodLog!$A:$A,$A317,FoodLog!$I:$I)))</f>
        <v/>
      </c>
      <c r="V317">
        <f>IF($A317="","",IF(SUMIF(FoodLog!$A:$A,$A317,FoodLog!$F:$F)=0,"",SUMIF(FoodLog!$A:$A,$A317,FoodLog!$F:$F)))</f>
        <v/>
      </c>
      <c r="W317">
        <f>IF($A317="","",IF(SUMIF(FoodLog!$A:$A,$A317,FoodLog!$G:$G)=0,"",SUMIF(FoodLog!$A:$A,$A317,FoodLog!$G:$G)))</f>
        <v/>
      </c>
      <c r="X317">
        <f>IF($A317="","",IF(SUMIF(FoodLog!$A:$A,$A317,FoodLog!$H:$H)=0,"",SUMIF(FoodLog!$A:$A,$A317,FoodLog!$H:$H)))</f>
        <v/>
      </c>
      <c r="Y317">
        <f>IF($A317="","",IFERROR(ROUND(100*AVERAGE(IF($B317="","",XLOOKUP($B317,FILTER(Dictionaries!$B:$B,Dictionaries!$A:$A="??????????"),FILTER(Dictionaries!$C:$C,Dictionaries!$A:$A="??????????"))),IF($C317="","",MIN($C317/40,1)),IF($D317="","",XLOOKUP($D317,FILTER(Dictionaries!$B:$B,Dictionaries!$A:$A="????"),FILTER(Dictionaries!$C:$C,Dictionaries!$A:$A="????"))),IF($E317="","",MIN($E317/120,1)),IF(OR($F317&lt;&gt;"",$G317&lt;&gt;""),1,""),IF($H317="","",MIN($H317/100,1)),IF($L317="","",XLOOKUP($L317,FILTER(Dictionaries!$B:$B,Dictionaries!$A:$A="???_????"),FILTER(Dictionaries!$C:$C,Dictionaries!$A:$A="???_????"))),IF($M317="","",XLOOKUP($M317,FILTER(Dictionaries!$B:$B,Dictionaries!$A:$A="?????"),FILTER(Dictionaries!$C:$C,Dictionaries!$A:$A="?????"))),IF($N317="","",MIN($N317/100,1)),IF($O317="","",XLOOKUP($O317,FILTER(Dictionaries!$B:$B,Dictionaries!$A:$A="??????????"),FILTER(Dictionaries!$C:$C,Dictionaries!$A:$A="??????????"))),IF($P317="","",XLOOKUP($P317,FILTER(Dictionaries!$B:$B,Dictionaries!$A:$A="???????"),FILTER(Dictionaries!$C:$C,Dictionaries!$A:$A="???????"))),IF($U317="","",LET(t,IF(OR($B317="????",$B317="????"),"train","rest"),k,$U317,p,$V317,f,$W317,c,$X317,k_s,IF(t="train",IF(k="","",IFS(AND(k&gt;=1900,k&lt;=2050),1,AND(k&gt;=1850,k&lt;1900),0.7,AND(k&gt;2050,k&lt;=2100),0.7,TRUE,0.2)),IF(k="","",IFS(AND(k&gt;=1700,k&lt;=1850),1,AND(k&gt;=1650,k&lt;1700),0.7,AND(k&gt;1850,k&lt;=1900),0.7,TRUE,0.2))),p_s,IF(t="train",IF(p="","",IFS(AND(p&gt;=125,p&lt;=135),1,AND(p&gt;=115,p&lt;125),0.7,AND(p&gt;135,p&lt;=145),0.7,AND(p&gt;=105,p&lt;115),0.4,AND(p&gt;145,p&lt;=155),0.4,TRUE,0.2)),IF(p="","",IFS(AND(p&gt;=120,p&lt;=130),1,AND(p&gt;=110,p&lt;120),0.7,AND(p&gt;130,p&lt;=140),0.7,AND(p&gt;=100,p&lt;110),0.4,AND(p&gt;140,p&lt;=150),0.4,TRUE,0.2))),f_s,IF(f="","",IFS(AND(f&gt;=55,f&lt;=65),1,AND(f&gt;=50,f&lt;55),0.7,AND(f&gt;65,f&lt;=70),0.7,AND(f&gt;=45,f&lt;50),0.4,AND(f&gt;70,f&lt;=75),0.4,TRUE,0.2)),c_s,IF(t="train",IF(c="","",IFS(AND(c&gt;=180,c&lt;=210),1,AND(c&gt;=160,c&lt;180),0.7,AND(c&gt;210,c&lt;=230),0.7,AND(c&gt;=140,c&lt;160),0.4,AND(c&gt;230,c&lt;=250),0.4,TRUE,0.2)),IF(c="","",IFS(AND(c&gt;=140,c&lt;=170),1,AND(c&gt;=120,c&lt;140),0.7,AND(c&gt;170,c&lt;=190),0.7,AND(c&gt;=100,c&lt;120),0.4,AND(c&gt;190,c&lt;=210),0.4,TRUE,0.2))),AVERAGE(k_s,p_s,f_s,c_s)))),1),""))</f>
        <v/>
      </c>
      <c r="Z317">
        <f>IF($A317="","",TEXTJOIN(", ",TRUE,IF($B317="","??????????",""),IF($C317="","??????",""),IF($D317="","????",""),IF($E317="","??????????",""),IF($F317="","???-?????",""),IF($G317="","???-????",""),IF($H317="","??????",""),IF($L317="","???",""),IF($M317="","?????",""),IF($N317="","??????????????",""),IF($O317="","??????????",""),IF($P317="","???????",""),IF($U317="","???","")))</f>
        <v/>
      </c>
    </row>
    <row r="318">
      <c r="U318">
        <f>IF($A318="","",IF(SUMIF(FoodLog!$A:$A,$A318,FoodLog!$I:$I)=0,"",SUMIF(FoodLog!$A:$A,$A318,FoodLog!$I:$I)))</f>
        <v/>
      </c>
      <c r="V318">
        <f>IF($A318="","",IF(SUMIF(FoodLog!$A:$A,$A318,FoodLog!$F:$F)=0,"",SUMIF(FoodLog!$A:$A,$A318,FoodLog!$F:$F)))</f>
        <v/>
      </c>
      <c r="W318">
        <f>IF($A318="","",IF(SUMIF(FoodLog!$A:$A,$A318,FoodLog!$G:$G)=0,"",SUMIF(FoodLog!$A:$A,$A318,FoodLog!$G:$G)))</f>
        <v/>
      </c>
      <c r="X318">
        <f>IF($A318="","",IF(SUMIF(FoodLog!$A:$A,$A318,FoodLog!$H:$H)=0,"",SUMIF(FoodLog!$A:$A,$A318,FoodLog!$H:$H)))</f>
        <v/>
      </c>
      <c r="Y318">
        <f>IF($A318="","",IFERROR(ROUND(100*AVERAGE(IF($B318="","",XLOOKUP($B318,FILTER(Dictionaries!$B:$B,Dictionaries!$A:$A="??????????"),FILTER(Dictionaries!$C:$C,Dictionaries!$A:$A="??????????"))),IF($C318="","",MIN($C318/40,1)),IF($D318="","",XLOOKUP($D318,FILTER(Dictionaries!$B:$B,Dictionaries!$A:$A="????"),FILTER(Dictionaries!$C:$C,Dictionaries!$A:$A="????"))),IF($E318="","",MIN($E318/120,1)),IF(OR($F318&lt;&gt;"",$G318&lt;&gt;""),1,""),IF($H318="","",MIN($H318/100,1)),IF($L318="","",XLOOKUP($L318,FILTER(Dictionaries!$B:$B,Dictionaries!$A:$A="???_????"),FILTER(Dictionaries!$C:$C,Dictionaries!$A:$A="???_????"))),IF($M318="","",XLOOKUP($M318,FILTER(Dictionaries!$B:$B,Dictionaries!$A:$A="?????"),FILTER(Dictionaries!$C:$C,Dictionaries!$A:$A="?????"))),IF($N318="","",MIN($N318/100,1)),IF($O318="","",XLOOKUP($O318,FILTER(Dictionaries!$B:$B,Dictionaries!$A:$A="??????????"),FILTER(Dictionaries!$C:$C,Dictionaries!$A:$A="??????????"))),IF($P318="","",XLOOKUP($P318,FILTER(Dictionaries!$B:$B,Dictionaries!$A:$A="???????"),FILTER(Dictionaries!$C:$C,Dictionaries!$A:$A="???????"))),IF($U318="","",LET(t,IF(OR($B318="????",$B318="????"),"train","rest"),k,$U318,p,$V318,f,$W318,c,$X318,k_s,IF(t="train",IF(k="","",IFS(AND(k&gt;=1900,k&lt;=2050),1,AND(k&gt;=1850,k&lt;1900),0.7,AND(k&gt;2050,k&lt;=2100),0.7,TRUE,0.2)),IF(k="","",IFS(AND(k&gt;=1700,k&lt;=1850),1,AND(k&gt;=1650,k&lt;1700),0.7,AND(k&gt;1850,k&lt;=1900),0.7,TRUE,0.2))),p_s,IF(t="train",IF(p="","",IFS(AND(p&gt;=125,p&lt;=135),1,AND(p&gt;=115,p&lt;125),0.7,AND(p&gt;135,p&lt;=145),0.7,AND(p&gt;=105,p&lt;115),0.4,AND(p&gt;145,p&lt;=155),0.4,TRUE,0.2)),IF(p="","",IFS(AND(p&gt;=120,p&lt;=130),1,AND(p&gt;=110,p&lt;120),0.7,AND(p&gt;130,p&lt;=140),0.7,AND(p&gt;=100,p&lt;110),0.4,AND(p&gt;140,p&lt;=150),0.4,TRUE,0.2))),f_s,IF(f="","",IFS(AND(f&gt;=55,f&lt;=65),1,AND(f&gt;=50,f&lt;55),0.7,AND(f&gt;65,f&lt;=70),0.7,AND(f&gt;=45,f&lt;50),0.4,AND(f&gt;70,f&lt;=75),0.4,TRUE,0.2)),c_s,IF(t="train",IF(c="","",IFS(AND(c&gt;=180,c&lt;=210),1,AND(c&gt;=160,c&lt;180),0.7,AND(c&gt;210,c&lt;=230),0.7,AND(c&gt;=140,c&lt;160),0.4,AND(c&gt;230,c&lt;=250),0.4,TRUE,0.2)),IF(c="","",IFS(AND(c&gt;=140,c&lt;=170),1,AND(c&gt;=120,c&lt;140),0.7,AND(c&gt;170,c&lt;=190),0.7,AND(c&gt;=100,c&lt;120),0.4,AND(c&gt;190,c&lt;=210),0.4,TRUE,0.2))),AVERAGE(k_s,p_s,f_s,c_s)))),1),""))</f>
        <v/>
      </c>
      <c r="Z318">
        <f>IF($A318="","",TEXTJOIN(", ",TRUE,IF($B318="","??????????",""),IF($C318="","??????",""),IF($D318="","????",""),IF($E318="","??????????",""),IF($F318="","???-?????",""),IF($G318="","???-????",""),IF($H318="","??????",""),IF($L318="","???",""),IF($M318="","?????",""),IF($N318="","??????????????",""),IF($O318="","??????????",""),IF($P318="","???????",""),IF($U318="","???","")))</f>
        <v/>
      </c>
    </row>
    <row r="319">
      <c r="U319">
        <f>IF($A319="","",IF(SUMIF(FoodLog!$A:$A,$A319,FoodLog!$I:$I)=0,"",SUMIF(FoodLog!$A:$A,$A319,FoodLog!$I:$I)))</f>
        <v/>
      </c>
      <c r="V319">
        <f>IF($A319="","",IF(SUMIF(FoodLog!$A:$A,$A319,FoodLog!$F:$F)=0,"",SUMIF(FoodLog!$A:$A,$A319,FoodLog!$F:$F)))</f>
        <v/>
      </c>
      <c r="W319">
        <f>IF($A319="","",IF(SUMIF(FoodLog!$A:$A,$A319,FoodLog!$G:$G)=0,"",SUMIF(FoodLog!$A:$A,$A319,FoodLog!$G:$G)))</f>
        <v/>
      </c>
      <c r="X319">
        <f>IF($A319="","",IF(SUMIF(FoodLog!$A:$A,$A319,FoodLog!$H:$H)=0,"",SUMIF(FoodLog!$A:$A,$A319,FoodLog!$H:$H)))</f>
        <v/>
      </c>
      <c r="Y319">
        <f>IF($A319="","",IFERROR(ROUND(100*AVERAGE(IF($B319="","",XLOOKUP($B319,FILTER(Dictionaries!$B:$B,Dictionaries!$A:$A="??????????"),FILTER(Dictionaries!$C:$C,Dictionaries!$A:$A="??????????"))),IF($C319="","",MIN($C319/40,1)),IF($D319="","",XLOOKUP($D319,FILTER(Dictionaries!$B:$B,Dictionaries!$A:$A="????"),FILTER(Dictionaries!$C:$C,Dictionaries!$A:$A="????"))),IF($E319="","",MIN($E319/120,1)),IF(OR($F319&lt;&gt;"",$G319&lt;&gt;""),1,""),IF($H319="","",MIN($H319/100,1)),IF($L319="","",XLOOKUP($L319,FILTER(Dictionaries!$B:$B,Dictionaries!$A:$A="???_????"),FILTER(Dictionaries!$C:$C,Dictionaries!$A:$A="???_????"))),IF($M319="","",XLOOKUP($M319,FILTER(Dictionaries!$B:$B,Dictionaries!$A:$A="?????"),FILTER(Dictionaries!$C:$C,Dictionaries!$A:$A="?????"))),IF($N319="","",MIN($N319/100,1)),IF($O319="","",XLOOKUP($O319,FILTER(Dictionaries!$B:$B,Dictionaries!$A:$A="??????????"),FILTER(Dictionaries!$C:$C,Dictionaries!$A:$A="??????????"))),IF($P319="","",XLOOKUP($P319,FILTER(Dictionaries!$B:$B,Dictionaries!$A:$A="???????"),FILTER(Dictionaries!$C:$C,Dictionaries!$A:$A="???????"))),IF($U319="","",LET(t,IF(OR($B319="????",$B319="????"),"train","rest"),k,$U319,p,$V319,f,$W319,c,$X319,k_s,IF(t="train",IF(k="","",IFS(AND(k&gt;=1900,k&lt;=2050),1,AND(k&gt;=1850,k&lt;1900),0.7,AND(k&gt;2050,k&lt;=2100),0.7,TRUE,0.2)),IF(k="","",IFS(AND(k&gt;=1700,k&lt;=1850),1,AND(k&gt;=1650,k&lt;1700),0.7,AND(k&gt;1850,k&lt;=1900),0.7,TRUE,0.2))),p_s,IF(t="train",IF(p="","",IFS(AND(p&gt;=125,p&lt;=135),1,AND(p&gt;=115,p&lt;125),0.7,AND(p&gt;135,p&lt;=145),0.7,AND(p&gt;=105,p&lt;115),0.4,AND(p&gt;145,p&lt;=155),0.4,TRUE,0.2)),IF(p="","",IFS(AND(p&gt;=120,p&lt;=130),1,AND(p&gt;=110,p&lt;120),0.7,AND(p&gt;130,p&lt;=140),0.7,AND(p&gt;=100,p&lt;110),0.4,AND(p&gt;140,p&lt;=150),0.4,TRUE,0.2))),f_s,IF(f="","",IFS(AND(f&gt;=55,f&lt;=65),1,AND(f&gt;=50,f&lt;55),0.7,AND(f&gt;65,f&lt;=70),0.7,AND(f&gt;=45,f&lt;50),0.4,AND(f&gt;70,f&lt;=75),0.4,TRUE,0.2)),c_s,IF(t="train",IF(c="","",IFS(AND(c&gt;=180,c&lt;=210),1,AND(c&gt;=160,c&lt;180),0.7,AND(c&gt;210,c&lt;=230),0.7,AND(c&gt;=140,c&lt;160),0.4,AND(c&gt;230,c&lt;=250),0.4,TRUE,0.2)),IF(c="","",IFS(AND(c&gt;=140,c&lt;=170),1,AND(c&gt;=120,c&lt;140),0.7,AND(c&gt;170,c&lt;=190),0.7,AND(c&gt;=100,c&lt;120),0.4,AND(c&gt;190,c&lt;=210),0.4,TRUE,0.2))),AVERAGE(k_s,p_s,f_s,c_s)))),1),""))</f>
        <v/>
      </c>
      <c r="Z319">
        <f>IF($A319="","",TEXTJOIN(", ",TRUE,IF($B319="","??????????",""),IF($C319="","??????",""),IF($D319="","????",""),IF($E319="","??????????",""),IF($F319="","???-?????",""),IF($G319="","???-????",""),IF($H319="","??????",""),IF($L319="","???",""),IF($M319="","?????",""),IF($N319="","??????????????",""),IF($O319="","??????????",""),IF($P319="","???????",""),IF($U319="","???","")))</f>
        <v/>
      </c>
    </row>
    <row r="320">
      <c r="U320">
        <f>IF($A320="","",IF(SUMIF(FoodLog!$A:$A,$A320,FoodLog!$I:$I)=0,"",SUMIF(FoodLog!$A:$A,$A320,FoodLog!$I:$I)))</f>
        <v/>
      </c>
      <c r="V320">
        <f>IF($A320="","",IF(SUMIF(FoodLog!$A:$A,$A320,FoodLog!$F:$F)=0,"",SUMIF(FoodLog!$A:$A,$A320,FoodLog!$F:$F)))</f>
        <v/>
      </c>
      <c r="W320">
        <f>IF($A320="","",IF(SUMIF(FoodLog!$A:$A,$A320,FoodLog!$G:$G)=0,"",SUMIF(FoodLog!$A:$A,$A320,FoodLog!$G:$G)))</f>
        <v/>
      </c>
      <c r="X320">
        <f>IF($A320="","",IF(SUMIF(FoodLog!$A:$A,$A320,FoodLog!$H:$H)=0,"",SUMIF(FoodLog!$A:$A,$A320,FoodLog!$H:$H)))</f>
        <v/>
      </c>
      <c r="Y320">
        <f>IF($A320="","",IFERROR(ROUND(100*AVERAGE(IF($B320="","",XLOOKUP($B320,FILTER(Dictionaries!$B:$B,Dictionaries!$A:$A="??????????"),FILTER(Dictionaries!$C:$C,Dictionaries!$A:$A="??????????"))),IF($C320="","",MIN($C320/40,1)),IF($D320="","",XLOOKUP($D320,FILTER(Dictionaries!$B:$B,Dictionaries!$A:$A="????"),FILTER(Dictionaries!$C:$C,Dictionaries!$A:$A="????"))),IF($E320="","",MIN($E320/120,1)),IF(OR($F320&lt;&gt;"",$G320&lt;&gt;""),1,""),IF($H320="","",MIN($H320/100,1)),IF($L320="","",XLOOKUP($L320,FILTER(Dictionaries!$B:$B,Dictionaries!$A:$A="???_????"),FILTER(Dictionaries!$C:$C,Dictionaries!$A:$A="???_????"))),IF($M320="","",XLOOKUP($M320,FILTER(Dictionaries!$B:$B,Dictionaries!$A:$A="?????"),FILTER(Dictionaries!$C:$C,Dictionaries!$A:$A="?????"))),IF($N320="","",MIN($N320/100,1)),IF($O320="","",XLOOKUP($O320,FILTER(Dictionaries!$B:$B,Dictionaries!$A:$A="??????????"),FILTER(Dictionaries!$C:$C,Dictionaries!$A:$A="??????????"))),IF($P320="","",XLOOKUP($P320,FILTER(Dictionaries!$B:$B,Dictionaries!$A:$A="???????"),FILTER(Dictionaries!$C:$C,Dictionaries!$A:$A="???????"))),IF($U320="","",LET(t,IF(OR($B320="????",$B320="????"),"train","rest"),k,$U320,p,$V320,f,$W320,c,$X320,k_s,IF(t="train",IF(k="","",IFS(AND(k&gt;=1900,k&lt;=2050),1,AND(k&gt;=1850,k&lt;1900),0.7,AND(k&gt;2050,k&lt;=2100),0.7,TRUE,0.2)),IF(k="","",IFS(AND(k&gt;=1700,k&lt;=1850),1,AND(k&gt;=1650,k&lt;1700),0.7,AND(k&gt;1850,k&lt;=1900),0.7,TRUE,0.2))),p_s,IF(t="train",IF(p="","",IFS(AND(p&gt;=125,p&lt;=135),1,AND(p&gt;=115,p&lt;125),0.7,AND(p&gt;135,p&lt;=145),0.7,AND(p&gt;=105,p&lt;115),0.4,AND(p&gt;145,p&lt;=155),0.4,TRUE,0.2)),IF(p="","",IFS(AND(p&gt;=120,p&lt;=130),1,AND(p&gt;=110,p&lt;120),0.7,AND(p&gt;130,p&lt;=140),0.7,AND(p&gt;=100,p&lt;110),0.4,AND(p&gt;140,p&lt;=150),0.4,TRUE,0.2))),f_s,IF(f="","",IFS(AND(f&gt;=55,f&lt;=65),1,AND(f&gt;=50,f&lt;55),0.7,AND(f&gt;65,f&lt;=70),0.7,AND(f&gt;=45,f&lt;50),0.4,AND(f&gt;70,f&lt;=75),0.4,TRUE,0.2)),c_s,IF(t="train",IF(c="","",IFS(AND(c&gt;=180,c&lt;=210),1,AND(c&gt;=160,c&lt;180),0.7,AND(c&gt;210,c&lt;=230),0.7,AND(c&gt;=140,c&lt;160),0.4,AND(c&gt;230,c&lt;=250),0.4,TRUE,0.2)),IF(c="","",IFS(AND(c&gt;=140,c&lt;=170),1,AND(c&gt;=120,c&lt;140),0.7,AND(c&gt;170,c&lt;=190),0.7,AND(c&gt;=100,c&lt;120),0.4,AND(c&gt;190,c&lt;=210),0.4,TRUE,0.2))),AVERAGE(k_s,p_s,f_s,c_s)))),1),""))</f>
        <v/>
      </c>
      <c r="Z320">
        <f>IF($A320="","",TEXTJOIN(", ",TRUE,IF($B320="","??????????",""),IF($C320="","??????",""),IF($D320="","????",""),IF($E320="","??????????",""),IF($F320="","???-?????",""),IF($G320="","???-????",""),IF($H320="","??????",""),IF($L320="","???",""),IF($M320="","?????",""),IF($N320="","??????????????",""),IF($O320="","??????????",""),IF($P320="","???????",""),IF($U320="","???","")))</f>
        <v/>
      </c>
    </row>
    <row r="321">
      <c r="U321">
        <f>IF($A321="","",IF(SUMIF(FoodLog!$A:$A,$A321,FoodLog!$I:$I)=0,"",SUMIF(FoodLog!$A:$A,$A321,FoodLog!$I:$I)))</f>
        <v/>
      </c>
      <c r="V321">
        <f>IF($A321="","",IF(SUMIF(FoodLog!$A:$A,$A321,FoodLog!$F:$F)=0,"",SUMIF(FoodLog!$A:$A,$A321,FoodLog!$F:$F)))</f>
        <v/>
      </c>
      <c r="W321">
        <f>IF($A321="","",IF(SUMIF(FoodLog!$A:$A,$A321,FoodLog!$G:$G)=0,"",SUMIF(FoodLog!$A:$A,$A321,FoodLog!$G:$G)))</f>
        <v/>
      </c>
      <c r="X321">
        <f>IF($A321="","",IF(SUMIF(FoodLog!$A:$A,$A321,FoodLog!$H:$H)=0,"",SUMIF(FoodLog!$A:$A,$A321,FoodLog!$H:$H)))</f>
        <v/>
      </c>
      <c r="Y321">
        <f>IF($A321="","",IFERROR(ROUND(100*AVERAGE(IF($B321="","",XLOOKUP($B321,FILTER(Dictionaries!$B:$B,Dictionaries!$A:$A="??????????"),FILTER(Dictionaries!$C:$C,Dictionaries!$A:$A="??????????"))),IF($C321="","",MIN($C321/40,1)),IF($D321="","",XLOOKUP($D321,FILTER(Dictionaries!$B:$B,Dictionaries!$A:$A="????"),FILTER(Dictionaries!$C:$C,Dictionaries!$A:$A="????"))),IF($E321="","",MIN($E321/120,1)),IF(OR($F321&lt;&gt;"",$G321&lt;&gt;""),1,""),IF($H321="","",MIN($H321/100,1)),IF($L321="","",XLOOKUP($L321,FILTER(Dictionaries!$B:$B,Dictionaries!$A:$A="???_????"),FILTER(Dictionaries!$C:$C,Dictionaries!$A:$A="???_????"))),IF($M321="","",XLOOKUP($M321,FILTER(Dictionaries!$B:$B,Dictionaries!$A:$A="?????"),FILTER(Dictionaries!$C:$C,Dictionaries!$A:$A="?????"))),IF($N321="","",MIN($N321/100,1)),IF($O321="","",XLOOKUP($O321,FILTER(Dictionaries!$B:$B,Dictionaries!$A:$A="??????????"),FILTER(Dictionaries!$C:$C,Dictionaries!$A:$A="??????????"))),IF($P321="","",XLOOKUP($P321,FILTER(Dictionaries!$B:$B,Dictionaries!$A:$A="???????"),FILTER(Dictionaries!$C:$C,Dictionaries!$A:$A="???????"))),IF($U321="","",LET(t,IF(OR($B321="????",$B321="????"),"train","rest"),k,$U321,p,$V321,f,$W321,c,$X321,k_s,IF(t="train",IF(k="","",IFS(AND(k&gt;=1900,k&lt;=2050),1,AND(k&gt;=1850,k&lt;1900),0.7,AND(k&gt;2050,k&lt;=2100),0.7,TRUE,0.2)),IF(k="","",IFS(AND(k&gt;=1700,k&lt;=1850),1,AND(k&gt;=1650,k&lt;1700),0.7,AND(k&gt;1850,k&lt;=1900),0.7,TRUE,0.2))),p_s,IF(t="train",IF(p="","",IFS(AND(p&gt;=125,p&lt;=135),1,AND(p&gt;=115,p&lt;125),0.7,AND(p&gt;135,p&lt;=145),0.7,AND(p&gt;=105,p&lt;115),0.4,AND(p&gt;145,p&lt;=155),0.4,TRUE,0.2)),IF(p="","",IFS(AND(p&gt;=120,p&lt;=130),1,AND(p&gt;=110,p&lt;120),0.7,AND(p&gt;130,p&lt;=140),0.7,AND(p&gt;=100,p&lt;110),0.4,AND(p&gt;140,p&lt;=150),0.4,TRUE,0.2))),f_s,IF(f="","",IFS(AND(f&gt;=55,f&lt;=65),1,AND(f&gt;=50,f&lt;55),0.7,AND(f&gt;65,f&lt;=70),0.7,AND(f&gt;=45,f&lt;50),0.4,AND(f&gt;70,f&lt;=75),0.4,TRUE,0.2)),c_s,IF(t="train",IF(c="","",IFS(AND(c&gt;=180,c&lt;=210),1,AND(c&gt;=160,c&lt;180),0.7,AND(c&gt;210,c&lt;=230),0.7,AND(c&gt;=140,c&lt;160),0.4,AND(c&gt;230,c&lt;=250),0.4,TRUE,0.2)),IF(c="","",IFS(AND(c&gt;=140,c&lt;=170),1,AND(c&gt;=120,c&lt;140),0.7,AND(c&gt;170,c&lt;=190),0.7,AND(c&gt;=100,c&lt;120),0.4,AND(c&gt;190,c&lt;=210),0.4,TRUE,0.2))),AVERAGE(k_s,p_s,f_s,c_s)))),1),""))</f>
        <v/>
      </c>
      <c r="Z321">
        <f>IF($A321="","",TEXTJOIN(", ",TRUE,IF($B321="","??????????",""),IF($C321="","??????",""),IF($D321="","????",""),IF($E321="","??????????",""),IF($F321="","???-?????",""),IF($G321="","???-????",""),IF($H321="","??????",""),IF($L321="","???",""),IF($M321="","?????",""),IF($N321="","??????????????",""),IF($O321="","??????????",""),IF($P321="","???????",""),IF($U321="","???","")))</f>
        <v/>
      </c>
    </row>
    <row r="322">
      <c r="U322">
        <f>IF($A322="","",IF(SUMIF(FoodLog!$A:$A,$A322,FoodLog!$I:$I)=0,"",SUMIF(FoodLog!$A:$A,$A322,FoodLog!$I:$I)))</f>
        <v/>
      </c>
      <c r="V322">
        <f>IF($A322="","",IF(SUMIF(FoodLog!$A:$A,$A322,FoodLog!$F:$F)=0,"",SUMIF(FoodLog!$A:$A,$A322,FoodLog!$F:$F)))</f>
        <v/>
      </c>
      <c r="W322">
        <f>IF($A322="","",IF(SUMIF(FoodLog!$A:$A,$A322,FoodLog!$G:$G)=0,"",SUMIF(FoodLog!$A:$A,$A322,FoodLog!$G:$G)))</f>
        <v/>
      </c>
      <c r="X322">
        <f>IF($A322="","",IF(SUMIF(FoodLog!$A:$A,$A322,FoodLog!$H:$H)=0,"",SUMIF(FoodLog!$A:$A,$A322,FoodLog!$H:$H)))</f>
        <v/>
      </c>
      <c r="Y322">
        <f>IF($A322="","",IFERROR(ROUND(100*AVERAGE(IF($B322="","",XLOOKUP($B322,FILTER(Dictionaries!$B:$B,Dictionaries!$A:$A="??????????"),FILTER(Dictionaries!$C:$C,Dictionaries!$A:$A="??????????"))),IF($C322="","",MIN($C322/40,1)),IF($D322="","",XLOOKUP($D322,FILTER(Dictionaries!$B:$B,Dictionaries!$A:$A="????"),FILTER(Dictionaries!$C:$C,Dictionaries!$A:$A="????"))),IF($E322="","",MIN($E322/120,1)),IF(OR($F322&lt;&gt;"",$G322&lt;&gt;""),1,""),IF($H322="","",MIN($H322/100,1)),IF($L322="","",XLOOKUP($L322,FILTER(Dictionaries!$B:$B,Dictionaries!$A:$A="???_????"),FILTER(Dictionaries!$C:$C,Dictionaries!$A:$A="???_????"))),IF($M322="","",XLOOKUP($M322,FILTER(Dictionaries!$B:$B,Dictionaries!$A:$A="?????"),FILTER(Dictionaries!$C:$C,Dictionaries!$A:$A="?????"))),IF($N322="","",MIN($N322/100,1)),IF($O322="","",XLOOKUP($O322,FILTER(Dictionaries!$B:$B,Dictionaries!$A:$A="??????????"),FILTER(Dictionaries!$C:$C,Dictionaries!$A:$A="??????????"))),IF($P322="","",XLOOKUP($P322,FILTER(Dictionaries!$B:$B,Dictionaries!$A:$A="???????"),FILTER(Dictionaries!$C:$C,Dictionaries!$A:$A="???????"))),IF($U322="","",LET(t,IF(OR($B322="????",$B322="????"),"train","rest"),k,$U322,p,$V322,f,$W322,c,$X322,k_s,IF(t="train",IF(k="","",IFS(AND(k&gt;=1900,k&lt;=2050),1,AND(k&gt;=1850,k&lt;1900),0.7,AND(k&gt;2050,k&lt;=2100),0.7,TRUE,0.2)),IF(k="","",IFS(AND(k&gt;=1700,k&lt;=1850),1,AND(k&gt;=1650,k&lt;1700),0.7,AND(k&gt;1850,k&lt;=1900),0.7,TRUE,0.2))),p_s,IF(t="train",IF(p="","",IFS(AND(p&gt;=125,p&lt;=135),1,AND(p&gt;=115,p&lt;125),0.7,AND(p&gt;135,p&lt;=145),0.7,AND(p&gt;=105,p&lt;115),0.4,AND(p&gt;145,p&lt;=155),0.4,TRUE,0.2)),IF(p="","",IFS(AND(p&gt;=120,p&lt;=130),1,AND(p&gt;=110,p&lt;120),0.7,AND(p&gt;130,p&lt;=140),0.7,AND(p&gt;=100,p&lt;110),0.4,AND(p&gt;140,p&lt;=150),0.4,TRUE,0.2))),f_s,IF(f="","",IFS(AND(f&gt;=55,f&lt;=65),1,AND(f&gt;=50,f&lt;55),0.7,AND(f&gt;65,f&lt;=70),0.7,AND(f&gt;=45,f&lt;50),0.4,AND(f&gt;70,f&lt;=75),0.4,TRUE,0.2)),c_s,IF(t="train",IF(c="","",IFS(AND(c&gt;=180,c&lt;=210),1,AND(c&gt;=160,c&lt;180),0.7,AND(c&gt;210,c&lt;=230),0.7,AND(c&gt;=140,c&lt;160),0.4,AND(c&gt;230,c&lt;=250),0.4,TRUE,0.2)),IF(c="","",IFS(AND(c&gt;=140,c&lt;=170),1,AND(c&gt;=120,c&lt;140),0.7,AND(c&gt;170,c&lt;=190),0.7,AND(c&gt;=100,c&lt;120),0.4,AND(c&gt;190,c&lt;=210),0.4,TRUE,0.2))),AVERAGE(k_s,p_s,f_s,c_s)))),1),""))</f>
        <v/>
      </c>
      <c r="Z322">
        <f>IF($A322="","",TEXTJOIN(", ",TRUE,IF($B322="","??????????",""),IF($C322="","??????",""),IF($D322="","????",""),IF($E322="","??????????",""),IF($F322="","???-?????",""),IF($G322="","???-????",""),IF($H322="","??????",""),IF($L322="","???",""),IF($M322="","?????",""),IF($N322="","??????????????",""),IF($O322="","??????????",""),IF($P322="","???????",""),IF($U322="","???","")))</f>
        <v/>
      </c>
    </row>
    <row r="323">
      <c r="U323">
        <f>IF($A323="","",IF(SUMIF(FoodLog!$A:$A,$A323,FoodLog!$I:$I)=0,"",SUMIF(FoodLog!$A:$A,$A323,FoodLog!$I:$I)))</f>
        <v/>
      </c>
      <c r="V323">
        <f>IF($A323="","",IF(SUMIF(FoodLog!$A:$A,$A323,FoodLog!$F:$F)=0,"",SUMIF(FoodLog!$A:$A,$A323,FoodLog!$F:$F)))</f>
        <v/>
      </c>
      <c r="W323">
        <f>IF($A323="","",IF(SUMIF(FoodLog!$A:$A,$A323,FoodLog!$G:$G)=0,"",SUMIF(FoodLog!$A:$A,$A323,FoodLog!$G:$G)))</f>
        <v/>
      </c>
      <c r="X323">
        <f>IF($A323="","",IF(SUMIF(FoodLog!$A:$A,$A323,FoodLog!$H:$H)=0,"",SUMIF(FoodLog!$A:$A,$A323,FoodLog!$H:$H)))</f>
        <v/>
      </c>
      <c r="Y323">
        <f>IF($A323="","",IFERROR(ROUND(100*AVERAGE(IF($B323="","",XLOOKUP($B323,FILTER(Dictionaries!$B:$B,Dictionaries!$A:$A="??????????"),FILTER(Dictionaries!$C:$C,Dictionaries!$A:$A="??????????"))),IF($C323="","",MIN($C323/40,1)),IF($D323="","",XLOOKUP($D323,FILTER(Dictionaries!$B:$B,Dictionaries!$A:$A="????"),FILTER(Dictionaries!$C:$C,Dictionaries!$A:$A="????"))),IF($E323="","",MIN($E323/120,1)),IF(OR($F323&lt;&gt;"",$G323&lt;&gt;""),1,""),IF($H323="","",MIN($H323/100,1)),IF($L323="","",XLOOKUP($L323,FILTER(Dictionaries!$B:$B,Dictionaries!$A:$A="???_????"),FILTER(Dictionaries!$C:$C,Dictionaries!$A:$A="???_????"))),IF($M323="","",XLOOKUP($M323,FILTER(Dictionaries!$B:$B,Dictionaries!$A:$A="?????"),FILTER(Dictionaries!$C:$C,Dictionaries!$A:$A="?????"))),IF($N323="","",MIN($N323/100,1)),IF($O323="","",XLOOKUP($O323,FILTER(Dictionaries!$B:$B,Dictionaries!$A:$A="??????????"),FILTER(Dictionaries!$C:$C,Dictionaries!$A:$A="??????????"))),IF($P323="","",XLOOKUP($P323,FILTER(Dictionaries!$B:$B,Dictionaries!$A:$A="???????"),FILTER(Dictionaries!$C:$C,Dictionaries!$A:$A="???????"))),IF($U323="","",LET(t,IF(OR($B323="????",$B323="????"),"train","rest"),k,$U323,p,$V323,f,$W323,c,$X323,k_s,IF(t="train",IF(k="","",IFS(AND(k&gt;=1900,k&lt;=2050),1,AND(k&gt;=1850,k&lt;1900),0.7,AND(k&gt;2050,k&lt;=2100),0.7,TRUE,0.2)),IF(k="","",IFS(AND(k&gt;=1700,k&lt;=1850),1,AND(k&gt;=1650,k&lt;1700),0.7,AND(k&gt;1850,k&lt;=1900),0.7,TRUE,0.2))),p_s,IF(t="train",IF(p="","",IFS(AND(p&gt;=125,p&lt;=135),1,AND(p&gt;=115,p&lt;125),0.7,AND(p&gt;135,p&lt;=145),0.7,AND(p&gt;=105,p&lt;115),0.4,AND(p&gt;145,p&lt;=155),0.4,TRUE,0.2)),IF(p="","",IFS(AND(p&gt;=120,p&lt;=130),1,AND(p&gt;=110,p&lt;120),0.7,AND(p&gt;130,p&lt;=140),0.7,AND(p&gt;=100,p&lt;110),0.4,AND(p&gt;140,p&lt;=150),0.4,TRUE,0.2))),f_s,IF(f="","",IFS(AND(f&gt;=55,f&lt;=65),1,AND(f&gt;=50,f&lt;55),0.7,AND(f&gt;65,f&lt;=70),0.7,AND(f&gt;=45,f&lt;50),0.4,AND(f&gt;70,f&lt;=75),0.4,TRUE,0.2)),c_s,IF(t="train",IF(c="","",IFS(AND(c&gt;=180,c&lt;=210),1,AND(c&gt;=160,c&lt;180),0.7,AND(c&gt;210,c&lt;=230),0.7,AND(c&gt;=140,c&lt;160),0.4,AND(c&gt;230,c&lt;=250),0.4,TRUE,0.2)),IF(c="","",IFS(AND(c&gt;=140,c&lt;=170),1,AND(c&gt;=120,c&lt;140),0.7,AND(c&gt;170,c&lt;=190),0.7,AND(c&gt;=100,c&lt;120),0.4,AND(c&gt;190,c&lt;=210),0.4,TRUE,0.2))),AVERAGE(k_s,p_s,f_s,c_s)))),1),""))</f>
        <v/>
      </c>
      <c r="Z323">
        <f>IF($A323="","",TEXTJOIN(", ",TRUE,IF($B323="","??????????",""),IF($C323="","??????",""),IF($D323="","????",""),IF($E323="","??????????",""),IF($F323="","???-?????",""),IF($G323="","???-????",""),IF($H323="","??????",""),IF($L323="","???",""),IF($M323="","?????",""),IF($N323="","??????????????",""),IF($O323="","??????????",""),IF($P323="","???????",""),IF($U323="","???","")))</f>
        <v/>
      </c>
    </row>
    <row r="324">
      <c r="U324">
        <f>IF($A324="","",IF(SUMIF(FoodLog!$A:$A,$A324,FoodLog!$I:$I)=0,"",SUMIF(FoodLog!$A:$A,$A324,FoodLog!$I:$I)))</f>
        <v/>
      </c>
      <c r="V324">
        <f>IF($A324="","",IF(SUMIF(FoodLog!$A:$A,$A324,FoodLog!$F:$F)=0,"",SUMIF(FoodLog!$A:$A,$A324,FoodLog!$F:$F)))</f>
        <v/>
      </c>
      <c r="W324">
        <f>IF($A324="","",IF(SUMIF(FoodLog!$A:$A,$A324,FoodLog!$G:$G)=0,"",SUMIF(FoodLog!$A:$A,$A324,FoodLog!$G:$G)))</f>
        <v/>
      </c>
      <c r="X324">
        <f>IF($A324="","",IF(SUMIF(FoodLog!$A:$A,$A324,FoodLog!$H:$H)=0,"",SUMIF(FoodLog!$A:$A,$A324,FoodLog!$H:$H)))</f>
        <v/>
      </c>
      <c r="Y324">
        <f>IF($A324="","",IFERROR(ROUND(100*AVERAGE(IF($B324="","",XLOOKUP($B324,FILTER(Dictionaries!$B:$B,Dictionaries!$A:$A="??????????"),FILTER(Dictionaries!$C:$C,Dictionaries!$A:$A="??????????"))),IF($C324="","",MIN($C324/40,1)),IF($D324="","",XLOOKUP($D324,FILTER(Dictionaries!$B:$B,Dictionaries!$A:$A="????"),FILTER(Dictionaries!$C:$C,Dictionaries!$A:$A="????"))),IF($E324="","",MIN($E324/120,1)),IF(OR($F324&lt;&gt;"",$G324&lt;&gt;""),1,""),IF($H324="","",MIN($H324/100,1)),IF($L324="","",XLOOKUP($L324,FILTER(Dictionaries!$B:$B,Dictionaries!$A:$A="???_????"),FILTER(Dictionaries!$C:$C,Dictionaries!$A:$A="???_????"))),IF($M324="","",XLOOKUP($M324,FILTER(Dictionaries!$B:$B,Dictionaries!$A:$A="?????"),FILTER(Dictionaries!$C:$C,Dictionaries!$A:$A="?????"))),IF($N324="","",MIN($N324/100,1)),IF($O324="","",XLOOKUP($O324,FILTER(Dictionaries!$B:$B,Dictionaries!$A:$A="??????????"),FILTER(Dictionaries!$C:$C,Dictionaries!$A:$A="??????????"))),IF($P324="","",XLOOKUP($P324,FILTER(Dictionaries!$B:$B,Dictionaries!$A:$A="???????"),FILTER(Dictionaries!$C:$C,Dictionaries!$A:$A="???????"))),IF($U324="","",LET(t,IF(OR($B324="????",$B324="????"),"train","rest"),k,$U324,p,$V324,f,$W324,c,$X324,k_s,IF(t="train",IF(k="","",IFS(AND(k&gt;=1900,k&lt;=2050),1,AND(k&gt;=1850,k&lt;1900),0.7,AND(k&gt;2050,k&lt;=2100),0.7,TRUE,0.2)),IF(k="","",IFS(AND(k&gt;=1700,k&lt;=1850),1,AND(k&gt;=1650,k&lt;1700),0.7,AND(k&gt;1850,k&lt;=1900),0.7,TRUE,0.2))),p_s,IF(t="train",IF(p="","",IFS(AND(p&gt;=125,p&lt;=135),1,AND(p&gt;=115,p&lt;125),0.7,AND(p&gt;135,p&lt;=145),0.7,AND(p&gt;=105,p&lt;115),0.4,AND(p&gt;145,p&lt;=155),0.4,TRUE,0.2)),IF(p="","",IFS(AND(p&gt;=120,p&lt;=130),1,AND(p&gt;=110,p&lt;120),0.7,AND(p&gt;130,p&lt;=140),0.7,AND(p&gt;=100,p&lt;110),0.4,AND(p&gt;140,p&lt;=150),0.4,TRUE,0.2))),f_s,IF(f="","",IFS(AND(f&gt;=55,f&lt;=65),1,AND(f&gt;=50,f&lt;55),0.7,AND(f&gt;65,f&lt;=70),0.7,AND(f&gt;=45,f&lt;50),0.4,AND(f&gt;70,f&lt;=75),0.4,TRUE,0.2)),c_s,IF(t="train",IF(c="","",IFS(AND(c&gt;=180,c&lt;=210),1,AND(c&gt;=160,c&lt;180),0.7,AND(c&gt;210,c&lt;=230),0.7,AND(c&gt;=140,c&lt;160),0.4,AND(c&gt;230,c&lt;=250),0.4,TRUE,0.2)),IF(c="","",IFS(AND(c&gt;=140,c&lt;=170),1,AND(c&gt;=120,c&lt;140),0.7,AND(c&gt;170,c&lt;=190),0.7,AND(c&gt;=100,c&lt;120),0.4,AND(c&gt;190,c&lt;=210),0.4,TRUE,0.2))),AVERAGE(k_s,p_s,f_s,c_s)))),1),""))</f>
        <v/>
      </c>
      <c r="Z324">
        <f>IF($A324="","",TEXTJOIN(", ",TRUE,IF($B324="","??????????",""),IF($C324="","??????",""),IF($D324="","????",""),IF($E324="","??????????",""),IF($F324="","???-?????",""),IF($G324="","???-????",""),IF($H324="","??????",""),IF($L324="","???",""),IF($M324="","?????",""),IF($N324="","??????????????",""),IF($O324="","??????????",""),IF($P324="","???????",""),IF($U324="","???","")))</f>
        <v/>
      </c>
    </row>
    <row r="325">
      <c r="U325">
        <f>IF($A325="","",IF(SUMIF(FoodLog!$A:$A,$A325,FoodLog!$I:$I)=0,"",SUMIF(FoodLog!$A:$A,$A325,FoodLog!$I:$I)))</f>
        <v/>
      </c>
      <c r="V325">
        <f>IF($A325="","",IF(SUMIF(FoodLog!$A:$A,$A325,FoodLog!$F:$F)=0,"",SUMIF(FoodLog!$A:$A,$A325,FoodLog!$F:$F)))</f>
        <v/>
      </c>
      <c r="W325">
        <f>IF($A325="","",IF(SUMIF(FoodLog!$A:$A,$A325,FoodLog!$G:$G)=0,"",SUMIF(FoodLog!$A:$A,$A325,FoodLog!$G:$G)))</f>
        <v/>
      </c>
      <c r="X325">
        <f>IF($A325="","",IF(SUMIF(FoodLog!$A:$A,$A325,FoodLog!$H:$H)=0,"",SUMIF(FoodLog!$A:$A,$A325,FoodLog!$H:$H)))</f>
        <v/>
      </c>
      <c r="Y325">
        <f>IF($A325="","",IFERROR(ROUND(100*AVERAGE(IF($B325="","",XLOOKUP($B325,FILTER(Dictionaries!$B:$B,Dictionaries!$A:$A="??????????"),FILTER(Dictionaries!$C:$C,Dictionaries!$A:$A="??????????"))),IF($C325="","",MIN($C325/40,1)),IF($D325="","",XLOOKUP($D325,FILTER(Dictionaries!$B:$B,Dictionaries!$A:$A="????"),FILTER(Dictionaries!$C:$C,Dictionaries!$A:$A="????"))),IF($E325="","",MIN($E325/120,1)),IF(OR($F325&lt;&gt;"",$G325&lt;&gt;""),1,""),IF($H325="","",MIN($H325/100,1)),IF($L325="","",XLOOKUP($L325,FILTER(Dictionaries!$B:$B,Dictionaries!$A:$A="???_????"),FILTER(Dictionaries!$C:$C,Dictionaries!$A:$A="???_????"))),IF($M325="","",XLOOKUP($M325,FILTER(Dictionaries!$B:$B,Dictionaries!$A:$A="?????"),FILTER(Dictionaries!$C:$C,Dictionaries!$A:$A="?????"))),IF($N325="","",MIN($N325/100,1)),IF($O325="","",XLOOKUP($O325,FILTER(Dictionaries!$B:$B,Dictionaries!$A:$A="??????????"),FILTER(Dictionaries!$C:$C,Dictionaries!$A:$A="??????????"))),IF($P325="","",XLOOKUP($P325,FILTER(Dictionaries!$B:$B,Dictionaries!$A:$A="???????"),FILTER(Dictionaries!$C:$C,Dictionaries!$A:$A="???????"))),IF($U325="","",LET(t,IF(OR($B325="????",$B325="????"),"train","rest"),k,$U325,p,$V325,f,$W325,c,$X325,k_s,IF(t="train",IF(k="","",IFS(AND(k&gt;=1900,k&lt;=2050),1,AND(k&gt;=1850,k&lt;1900),0.7,AND(k&gt;2050,k&lt;=2100),0.7,TRUE,0.2)),IF(k="","",IFS(AND(k&gt;=1700,k&lt;=1850),1,AND(k&gt;=1650,k&lt;1700),0.7,AND(k&gt;1850,k&lt;=1900),0.7,TRUE,0.2))),p_s,IF(t="train",IF(p="","",IFS(AND(p&gt;=125,p&lt;=135),1,AND(p&gt;=115,p&lt;125),0.7,AND(p&gt;135,p&lt;=145),0.7,AND(p&gt;=105,p&lt;115),0.4,AND(p&gt;145,p&lt;=155),0.4,TRUE,0.2)),IF(p="","",IFS(AND(p&gt;=120,p&lt;=130),1,AND(p&gt;=110,p&lt;120),0.7,AND(p&gt;130,p&lt;=140),0.7,AND(p&gt;=100,p&lt;110),0.4,AND(p&gt;140,p&lt;=150),0.4,TRUE,0.2))),f_s,IF(f="","",IFS(AND(f&gt;=55,f&lt;=65),1,AND(f&gt;=50,f&lt;55),0.7,AND(f&gt;65,f&lt;=70),0.7,AND(f&gt;=45,f&lt;50),0.4,AND(f&gt;70,f&lt;=75),0.4,TRUE,0.2)),c_s,IF(t="train",IF(c="","",IFS(AND(c&gt;=180,c&lt;=210),1,AND(c&gt;=160,c&lt;180),0.7,AND(c&gt;210,c&lt;=230),0.7,AND(c&gt;=140,c&lt;160),0.4,AND(c&gt;230,c&lt;=250),0.4,TRUE,0.2)),IF(c="","",IFS(AND(c&gt;=140,c&lt;=170),1,AND(c&gt;=120,c&lt;140),0.7,AND(c&gt;170,c&lt;=190),0.7,AND(c&gt;=100,c&lt;120),0.4,AND(c&gt;190,c&lt;=210),0.4,TRUE,0.2))),AVERAGE(k_s,p_s,f_s,c_s)))),1),""))</f>
        <v/>
      </c>
      <c r="Z325">
        <f>IF($A325="","",TEXTJOIN(", ",TRUE,IF($B325="","??????????",""),IF($C325="","??????",""),IF($D325="","????",""),IF($E325="","??????????",""),IF($F325="","???-?????",""),IF($G325="","???-????",""),IF($H325="","??????",""),IF($L325="","???",""),IF($M325="","?????",""),IF($N325="","??????????????",""),IF($O325="","??????????",""),IF($P325="","???????",""),IF($U325="","???","")))</f>
        <v/>
      </c>
    </row>
    <row r="326">
      <c r="U326">
        <f>IF($A326="","",IF(SUMIF(FoodLog!$A:$A,$A326,FoodLog!$I:$I)=0,"",SUMIF(FoodLog!$A:$A,$A326,FoodLog!$I:$I)))</f>
        <v/>
      </c>
      <c r="V326">
        <f>IF($A326="","",IF(SUMIF(FoodLog!$A:$A,$A326,FoodLog!$F:$F)=0,"",SUMIF(FoodLog!$A:$A,$A326,FoodLog!$F:$F)))</f>
        <v/>
      </c>
      <c r="W326">
        <f>IF($A326="","",IF(SUMIF(FoodLog!$A:$A,$A326,FoodLog!$G:$G)=0,"",SUMIF(FoodLog!$A:$A,$A326,FoodLog!$G:$G)))</f>
        <v/>
      </c>
      <c r="X326">
        <f>IF($A326="","",IF(SUMIF(FoodLog!$A:$A,$A326,FoodLog!$H:$H)=0,"",SUMIF(FoodLog!$A:$A,$A326,FoodLog!$H:$H)))</f>
        <v/>
      </c>
      <c r="Y326">
        <f>IF($A326="","",IFERROR(ROUND(100*AVERAGE(IF($B326="","",XLOOKUP($B326,FILTER(Dictionaries!$B:$B,Dictionaries!$A:$A="??????????"),FILTER(Dictionaries!$C:$C,Dictionaries!$A:$A="??????????"))),IF($C326="","",MIN($C326/40,1)),IF($D326="","",XLOOKUP($D326,FILTER(Dictionaries!$B:$B,Dictionaries!$A:$A="????"),FILTER(Dictionaries!$C:$C,Dictionaries!$A:$A="????"))),IF($E326="","",MIN($E326/120,1)),IF(OR($F326&lt;&gt;"",$G326&lt;&gt;""),1,""),IF($H326="","",MIN($H326/100,1)),IF($L326="","",XLOOKUP($L326,FILTER(Dictionaries!$B:$B,Dictionaries!$A:$A="???_????"),FILTER(Dictionaries!$C:$C,Dictionaries!$A:$A="???_????"))),IF($M326="","",XLOOKUP($M326,FILTER(Dictionaries!$B:$B,Dictionaries!$A:$A="?????"),FILTER(Dictionaries!$C:$C,Dictionaries!$A:$A="?????"))),IF($N326="","",MIN($N326/100,1)),IF($O326="","",XLOOKUP($O326,FILTER(Dictionaries!$B:$B,Dictionaries!$A:$A="??????????"),FILTER(Dictionaries!$C:$C,Dictionaries!$A:$A="??????????"))),IF($P326="","",XLOOKUP($P326,FILTER(Dictionaries!$B:$B,Dictionaries!$A:$A="???????"),FILTER(Dictionaries!$C:$C,Dictionaries!$A:$A="???????"))),IF($U326="","",LET(t,IF(OR($B326="????",$B326="????"),"train","rest"),k,$U326,p,$V326,f,$W326,c,$X326,k_s,IF(t="train",IF(k="","",IFS(AND(k&gt;=1900,k&lt;=2050),1,AND(k&gt;=1850,k&lt;1900),0.7,AND(k&gt;2050,k&lt;=2100),0.7,TRUE,0.2)),IF(k="","",IFS(AND(k&gt;=1700,k&lt;=1850),1,AND(k&gt;=1650,k&lt;1700),0.7,AND(k&gt;1850,k&lt;=1900),0.7,TRUE,0.2))),p_s,IF(t="train",IF(p="","",IFS(AND(p&gt;=125,p&lt;=135),1,AND(p&gt;=115,p&lt;125),0.7,AND(p&gt;135,p&lt;=145),0.7,AND(p&gt;=105,p&lt;115),0.4,AND(p&gt;145,p&lt;=155),0.4,TRUE,0.2)),IF(p="","",IFS(AND(p&gt;=120,p&lt;=130),1,AND(p&gt;=110,p&lt;120),0.7,AND(p&gt;130,p&lt;=140),0.7,AND(p&gt;=100,p&lt;110),0.4,AND(p&gt;140,p&lt;=150),0.4,TRUE,0.2))),f_s,IF(f="","",IFS(AND(f&gt;=55,f&lt;=65),1,AND(f&gt;=50,f&lt;55),0.7,AND(f&gt;65,f&lt;=70),0.7,AND(f&gt;=45,f&lt;50),0.4,AND(f&gt;70,f&lt;=75),0.4,TRUE,0.2)),c_s,IF(t="train",IF(c="","",IFS(AND(c&gt;=180,c&lt;=210),1,AND(c&gt;=160,c&lt;180),0.7,AND(c&gt;210,c&lt;=230),0.7,AND(c&gt;=140,c&lt;160),0.4,AND(c&gt;230,c&lt;=250),0.4,TRUE,0.2)),IF(c="","",IFS(AND(c&gt;=140,c&lt;=170),1,AND(c&gt;=120,c&lt;140),0.7,AND(c&gt;170,c&lt;=190),0.7,AND(c&gt;=100,c&lt;120),0.4,AND(c&gt;190,c&lt;=210),0.4,TRUE,0.2))),AVERAGE(k_s,p_s,f_s,c_s)))),1),""))</f>
        <v/>
      </c>
      <c r="Z326">
        <f>IF($A326="","",TEXTJOIN(", ",TRUE,IF($B326="","??????????",""),IF($C326="","??????",""),IF($D326="","????",""),IF($E326="","??????????",""),IF($F326="","???-?????",""),IF($G326="","???-????",""),IF($H326="","??????",""),IF($L326="","???",""),IF($M326="","?????",""),IF($N326="","??????????????",""),IF($O326="","??????????",""),IF($P326="","???????",""),IF($U326="","???","")))</f>
        <v/>
      </c>
    </row>
    <row r="327">
      <c r="U327">
        <f>IF($A327="","",IF(SUMIF(FoodLog!$A:$A,$A327,FoodLog!$I:$I)=0,"",SUMIF(FoodLog!$A:$A,$A327,FoodLog!$I:$I)))</f>
        <v/>
      </c>
      <c r="V327">
        <f>IF($A327="","",IF(SUMIF(FoodLog!$A:$A,$A327,FoodLog!$F:$F)=0,"",SUMIF(FoodLog!$A:$A,$A327,FoodLog!$F:$F)))</f>
        <v/>
      </c>
      <c r="W327">
        <f>IF($A327="","",IF(SUMIF(FoodLog!$A:$A,$A327,FoodLog!$G:$G)=0,"",SUMIF(FoodLog!$A:$A,$A327,FoodLog!$G:$G)))</f>
        <v/>
      </c>
      <c r="X327">
        <f>IF($A327="","",IF(SUMIF(FoodLog!$A:$A,$A327,FoodLog!$H:$H)=0,"",SUMIF(FoodLog!$A:$A,$A327,FoodLog!$H:$H)))</f>
        <v/>
      </c>
      <c r="Y327">
        <f>IF($A327="","",IFERROR(ROUND(100*AVERAGE(IF($B327="","",XLOOKUP($B327,FILTER(Dictionaries!$B:$B,Dictionaries!$A:$A="??????????"),FILTER(Dictionaries!$C:$C,Dictionaries!$A:$A="??????????"))),IF($C327="","",MIN($C327/40,1)),IF($D327="","",XLOOKUP($D327,FILTER(Dictionaries!$B:$B,Dictionaries!$A:$A="????"),FILTER(Dictionaries!$C:$C,Dictionaries!$A:$A="????"))),IF($E327="","",MIN($E327/120,1)),IF(OR($F327&lt;&gt;"",$G327&lt;&gt;""),1,""),IF($H327="","",MIN($H327/100,1)),IF($L327="","",XLOOKUP($L327,FILTER(Dictionaries!$B:$B,Dictionaries!$A:$A="???_????"),FILTER(Dictionaries!$C:$C,Dictionaries!$A:$A="???_????"))),IF($M327="","",XLOOKUP($M327,FILTER(Dictionaries!$B:$B,Dictionaries!$A:$A="?????"),FILTER(Dictionaries!$C:$C,Dictionaries!$A:$A="?????"))),IF($N327="","",MIN($N327/100,1)),IF($O327="","",XLOOKUP($O327,FILTER(Dictionaries!$B:$B,Dictionaries!$A:$A="??????????"),FILTER(Dictionaries!$C:$C,Dictionaries!$A:$A="??????????"))),IF($P327="","",XLOOKUP($P327,FILTER(Dictionaries!$B:$B,Dictionaries!$A:$A="???????"),FILTER(Dictionaries!$C:$C,Dictionaries!$A:$A="???????"))),IF($U327="","",LET(t,IF(OR($B327="????",$B327="????"),"train","rest"),k,$U327,p,$V327,f,$W327,c,$X327,k_s,IF(t="train",IF(k="","",IFS(AND(k&gt;=1900,k&lt;=2050),1,AND(k&gt;=1850,k&lt;1900),0.7,AND(k&gt;2050,k&lt;=2100),0.7,TRUE,0.2)),IF(k="","",IFS(AND(k&gt;=1700,k&lt;=1850),1,AND(k&gt;=1650,k&lt;1700),0.7,AND(k&gt;1850,k&lt;=1900),0.7,TRUE,0.2))),p_s,IF(t="train",IF(p="","",IFS(AND(p&gt;=125,p&lt;=135),1,AND(p&gt;=115,p&lt;125),0.7,AND(p&gt;135,p&lt;=145),0.7,AND(p&gt;=105,p&lt;115),0.4,AND(p&gt;145,p&lt;=155),0.4,TRUE,0.2)),IF(p="","",IFS(AND(p&gt;=120,p&lt;=130),1,AND(p&gt;=110,p&lt;120),0.7,AND(p&gt;130,p&lt;=140),0.7,AND(p&gt;=100,p&lt;110),0.4,AND(p&gt;140,p&lt;=150),0.4,TRUE,0.2))),f_s,IF(f="","",IFS(AND(f&gt;=55,f&lt;=65),1,AND(f&gt;=50,f&lt;55),0.7,AND(f&gt;65,f&lt;=70),0.7,AND(f&gt;=45,f&lt;50),0.4,AND(f&gt;70,f&lt;=75),0.4,TRUE,0.2)),c_s,IF(t="train",IF(c="","",IFS(AND(c&gt;=180,c&lt;=210),1,AND(c&gt;=160,c&lt;180),0.7,AND(c&gt;210,c&lt;=230),0.7,AND(c&gt;=140,c&lt;160),0.4,AND(c&gt;230,c&lt;=250),0.4,TRUE,0.2)),IF(c="","",IFS(AND(c&gt;=140,c&lt;=170),1,AND(c&gt;=120,c&lt;140),0.7,AND(c&gt;170,c&lt;=190),0.7,AND(c&gt;=100,c&lt;120),0.4,AND(c&gt;190,c&lt;=210),0.4,TRUE,0.2))),AVERAGE(k_s,p_s,f_s,c_s)))),1),""))</f>
        <v/>
      </c>
      <c r="Z327">
        <f>IF($A327="","",TEXTJOIN(", ",TRUE,IF($B327="","??????????",""),IF($C327="","??????",""),IF($D327="","????",""),IF($E327="","??????????",""),IF($F327="","???-?????",""),IF($G327="","???-????",""),IF($H327="","??????",""),IF($L327="","???",""),IF($M327="","?????",""),IF($N327="","??????????????",""),IF($O327="","??????????",""),IF($P327="","???????",""),IF($U327="","???","")))</f>
        <v/>
      </c>
    </row>
    <row r="328">
      <c r="U328">
        <f>IF($A328="","",IF(SUMIF(FoodLog!$A:$A,$A328,FoodLog!$I:$I)=0,"",SUMIF(FoodLog!$A:$A,$A328,FoodLog!$I:$I)))</f>
        <v/>
      </c>
      <c r="V328">
        <f>IF($A328="","",IF(SUMIF(FoodLog!$A:$A,$A328,FoodLog!$F:$F)=0,"",SUMIF(FoodLog!$A:$A,$A328,FoodLog!$F:$F)))</f>
        <v/>
      </c>
      <c r="W328">
        <f>IF($A328="","",IF(SUMIF(FoodLog!$A:$A,$A328,FoodLog!$G:$G)=0,"",SUMIF(FoodLog!$A:$A,$A328,FoodLog!$G:$G)))</f>
        <v/>
      </c>
      <c r="X328">
        <f>IF($A328="","",IF(SUMIF(FoodLog!$A:$A,$A328,FoodLog!$H:$H)=0,"",SUMIF(FoodLog!$A:$A,$A328,FoodLog!$H:$H)))</f>
        <v/>
      </c>
      <c r="Y328">
        <f>IF($A328="","",IFERROR(ROUND(100*AVERAGE(IF($B328="","",XLOOKUP($B328,FILTER(Dictionaries!$B:$B,Dictionaries!$A:$A="??????????"),FILTER(Dictionaries!$C:$C,Dictionaries!$A:$A="??????????"))),IF($C328="","",MIN($C328/40,1)),IF($D328="","",XLOOKUP($D328,FILTER(Dictionaries!$B:$B,Dictionaries!$A:$A="????"),FILTER(Dictionaries!$C:$C,Dictionaries!$A:$A="????"))),IF($E328="","",MIN($E328/120,1)),IF(OR($F328&lt;&gt;"",$G328&lt;&gt;""),1,""),IF($H328="","",MIN($H328/100,1)),IF($L328="","",XLOOKUP($L328,FILTER(Dictionaries!$B:$B,Dictionaries!$A:$A="???_????"),FILTER(Dictionaries!$C:$C,Dictionaries!$A:$A="???_????"))),IF($M328="","",XLOOKUP($M328,FILTER(Dictionaries!$B:$B,Dictionaries!$A:$A="?????"),FILTER(Dictionaries!$C:$C,Dictionaries!$A:$A="?????"))),IF($N328="","",MIN($N328/100,1)),IF($O328="","",XLOOKUP($O328,FILTER(Dictionaries!$B:$B,Dictionaries!$A:$A="??????????"),FILTER(Dictionaries!$C:$C,Dictionaries!$A:$A="??????????"))),IF($P328="","",XLOOKUP($P328,FILTER(Dictionaries!$B:$B,Dictionaries!$A:$A="???????"),FILTER(Dictionaries!$C:$C,Dictionaries!$A:$A="???????"))),IF($U328="","",LET(t,IF(OR($B328="????",$B328="????"),"train","rest"),k,$U328,p,$V328,f,$W328,c,$X328,k_s,IF(t="train",IF(k="","",IFS(AND(k&gt;=1900,k&lt;=2050),1,AND(k&gt;=1850,k&lt;1900),0.7,AND(k&gt;2050,k&lt;=2100),0.7,TRUE,0.2)),IF(k="","",IFS(AND(k&gt;=1700,k&lt;=1850),1,AND(k&gt;=1650,k&lt;1700),0.7,AND(k&gt;1850,k&lt;=1900),0.7,TRUE,0.2))),p_s,IF(t="train",IF(p="","",IFS(AND(p&gt;=125,p&lt;=135),1,AND(p&gt;=115,p&lt;125),0.7,AND(p&gt;135,p&lt;=145),0.7,AND(p&gt;=105,p&lt;115),0.4,AND(p&gt;145,p&lt;=155),0.4,TRUE,0.2)),IF(p="","",IFS(AND(p&gt;=120,p&lt;=130),1,AND(p&gt;=110,p&lt;120),0.7,AND(p&gt;130,p&lt;=140),0.7,AND(p&gt;=100,p&lt;110),0.4,AND(p&gt;140,p&lt;=150),0.4,TRUE,0.2))),f_s,IF(f="","",IFS(AND(f&gt;=55,f&lt;=65),1,AND(f&gt;=50,f&lt;55),0.7,AND(f&gt;65,f&lt;=70),0.7,AND(f&gt;=45,f&lt;50),0.4,AND(f&gt;70,f&lt;=75),0.4,TRUE,0.2)),c_s,IF(t="train",IF(c="","",IFS(AND(c&gt;=180,c&lt;=210),1,AND(c&gt;=160,c&lt;180),0.7,AND(c&gt;210,c&lt;=230),0.7,AND(c&gt;=140,c&lt;160),0.4,AND(c&gt;230,c&lt;=250),0.4,TRUE,0.2)),IF(c="","",IFS(AND(c&gt;=140,c&lt;=170),1,AND(c&gt;=120,c&lt;140),0.7,AND(c&gt;170,c&lt;=190),0.7,AND(c&gt;=100,c&lt;120),0.4,AND(c&gt;190,c&lt;=210),0.4,TRUE,0.2))),AVERAGE(k_s,p_s,f_s,c_s)))),1),""))</f>
        <v/>
      </c>
      <c r="Z328">
        <f>IF($A328="","",TEXTJOIN(", ",TRUE,IF($B328="","??????????",""),IF($C328="","??????",""),IF($D328="","????",""),IF($E328="","??????????",""),IF($F328="","???-?????",""),IF($G328="","???-????",""),IF($H328="","??????",""),IF($L328="","???",""),IF($M328="","?????",""),IF($N328="","??????????????",""),IF($O328="","??????????",""),IF($P328="","???????",""),IF($U328="","???","")))</f>
        <v/>
      </c>
    </row>
    <row r="329">
      <c r="U329">
        <f>IF($A329="","",IF(SUMIF(FoodLog!$A:$A,$A329,FoodLog!$I:$I)=0,"",SUMIF(FoodLog!$A:$A,$A329,FoodLog!$I:$I)))</f>
        <v/>
      </c>
      <c r="V329">
        <f>IF($A329="","",IF(SUMIF(FoodLog!$A:$A,$A329,FoodLog!$F:$F)=0,"",SUMIF(FoodLog!$A:$A,$A329,FoodLog!$F:$F)))</f>
        <v/>
      </c>
      <c r="W329">
        <f>IF($A329="","",IF(SUMIF(FoodLog!$A:$A,$A329,FoodLog!$G:$G)=0,"",SUMIF(FoodLog!$A:$A,$A329,FoodLog!$G:$G)))</f>
        <v/>
      </c>
      <c r="X329">
        <f>IF($A329="","",IF(SUMIF(FoodLog!$A:$A,$A329,FoodLog!$H:$H)=0,"",SUMIF(FoodLog!$A:$A,$A329,FoodLog!$H:$H)))</f>
        <v/>
      </c>
      <c r="Y329">
        <f>IF($A329="","",IFERROR(ROUND(100*AVERAGE(IF($B329="","",XLOOKUP($B329,FILTER(Dictionaries!$B:$B,Dictionaries!$A:$A="??????????"),FILTER(Dictionaries!$C:$C,Dictionaries!$A:$A="??????????"))),IF($C329="","",MIN($C329/40,1)),IF($D329="","",XLOOKUP($D329,FILTER(Dictionaries!$B:$B,Dictionaries!$A:$A="????"),FILTER(Dictionaries!$C:$C,Dictionaries!$A:$A="????"))),IF($E329="","",MIN($E329/120,1)),IF(OR($F329&lt;&gt;"",$G329&lt;&gt;""),1,""),IF($H329="","",MIN($H329/100,1)),IF($L329="","",XLOOKUP($L329,FILTER(Dictionaries!$B:$B,Dictionaries!$A:$A="???_????"),FILTER(Dictionaries!$C:$C,Dictionaries!$A:$A="???_????"))),IF($M329="","",XLOOKUP($M329,FILTER(Dictionaries!$B:$B,Dictionaries!$A:$A="?????"),FILTER(Dictionaries!$C:$C,Dictionaries!$A:$A="?????"))),IF($N329="","",MIN($N329/100,1)),IF($O329="","",XLOOKUP($O329,FILTER(Dictionaries!$B:$B,Dictionaries!$A:$A="??????????"),FILTER(Dictionaries!$C:$C,Dictionaries!$A:$A="??????????"))),IF($P329="","",XLOOKUP($P329,FILTER(Dictionaries!$B:$B,Dictionaries!$A:$A="???????"),FILTER(Dictionaries!$C:$C,Dictionaries!$A:$A="???????"))),IF($U329="","",LET(t,IF(OR($B329="????",$B329="????"),"train","rest"),k,$U329,p,$V329,f,$W329,c,$X329,k_s,IF(t="train",IF(k="","",IFS(AND(k&gt;=1900,k&lt;=2050),1,AND(k&gt;=1850,k&lt;1900),0.7,AND(k&gt;2050,k&lt;=2100),0.7,TRUE,0.2)),IF(k="","",IFS(AND(k&gt;=1700,k&lt;=1850),1,AND(k&gt;=1650,k&lt;1700),0.7,AND(k&gt;1850,k&lt;=1900),0.7,TRUE,0.2))),p_s,IF(t="train",IF(p="","",IFS(AND(p&gt;=125,p&lt;=135),1,AND(p&gt;=115,p&lt;125),0.7,AND(p&gt;135,p&lt;=145),0.7,AND(p&gt;=105,p&lt;115),0.4,AND(p&gt;145,p&lt;=155),0.4,TRUE,0.2)),IF(p="","",IFS(AND(p&gt;=120,p&lt;=130),1,AND(p&gt;=110,p&lt;120),0.7,AND(p&gt;130,p&lt;=140),0.7,AND(p&gt;=100,p&lt;110),0.4,AND(p&gt;140,p&lt;=150),0.4,TRUE,0.2))),f_s,IF(f="","",IFS(AND(f&gt;=55,f&lt;=65),1,AND(f&gt;=50,f&lt;55),0.7,AND(f&gt;65,f&lt;=70),0.7,AND(f&gt;=45,f&lt;50),0.4,AND(f&gt;70,f&lt;=75),0.4,TRUE,0.2)),c_s,IF(t="train",IF(c="","",IFS(AND(c&gt;=180,c&lt;=210),1,AND(c&gt;=160,c&lt;180),0.7,AND(c&gt;210,c&lt;=230),0.7,AND(c&gt;=140,c&lt;160),0.4,AND(c&gt;230,c&lt;=250),0.4,TRUE,0.2)),IF(c="","",IFS(AND(c&gt;=140,c&lt;=170),1,AND(c&gt;=120,c&lt;140),0.7,AND(c&gt;170,c&lt;=190),0.7,AND(c&gt;=100,c&lt;120),0.4,AND(c&gt;190,c&lt;=210),0.4,TRUE,0.2))),AVERAGE(k_s,p_s,f_s,c_s)))),1),""))</f>
        <v/>
      </c>
      <c r="Z329">
        <f>IF($A329="","",TEXTJOIN(", ",TRUE,IF($B329="","??????????",""),IF($C329="","??????",""),IF($D329="","????",""),IF($E329="","??????????",""),IF($F329="","???-?????",""),IF($G329="","???-????",""),IF($H329="","??????",""),IF($L329="","???",""),IF($M329="","?????",""),IF($N329="","??????????????",""),IF($O329="","??????????",""),IF($P329="","???????",""),IF($U329="","???","")))</f>
        <v/>
      </c>
    </row>
    <row r="330">
      <c r="U330">
        <f>IF($A330="","",IF(SUMIF(FoodLog!$A:$A,$A330,FoodLog!$I:$I)=0,"",SUMIF(FoodLog!$A:$A,$A330,FoodLog!$I:$I)))</f>
        <v/>
      </c>
      <c r="V330">
        <f>IF($A330="","",IF(SUMIF(FoodLog!$A:$A,$A330,FoodLog!$F:$F)=0,"",SUMIF(FoodLog!$A:$A,$A330,FoodLog!$F:$F)))</f>
        <v/>
      </c>
      <c r="W330">
        <f>IF($A330="","",IF(SUMIF(FoodLog!$A:$A,$A330,FoodLog!$G:$G)=0,"",SUMIF(FoodLog!$A:$A,$A330,FoodLog!$G:$G)))</f>
        <v/>
      </c>
      <c r="X330">
        <f>IF($A330="","",IF(SUMIF(FoodLog!$A:$A,$A330,FoodLog!$H:$H)=0,"",SUMIF(FoodLog!$A:$A,$A330,FoodLog!$H:$H)))</f>
        <v/>
      </c>
      <c r="Y330">
        <f>IF($A330="","",IFERROR(ROUND(100*AVERAGE(IF($B330="","",XLOOKUP($B330,FILTER(Dictionaries!$B:$B,Dictionaries!$A:$A="??????????"),FILTER(Dictionaries!$C:$C,Dictionaries!$A:$A="??????????"))),IF($C330="","",MIN($C330/40,1)),IF($D330="","",XLOOKUP($D330,FILTER(Dictionaries!$B:$B,Dictionaries!$A:$A="????"),FILTER(Dictionaries!$C:$C,Dictionaries!$A:$A="????"))),IF($E330="","",MIN($E330/120,1)),IF(OR($F330&lt;&gt;"",$G330&lt;&gt;""),1,""),IF($H330="","",MIN($H330/100,1)),IF($L330="","",XLOOKUP($L330,FILTER(Dictionaries!$B:$B,Dictionaries!$A:$A="???_????"),FILTER(Dictionaries!$C:$C,Dictionaries!$A:$A="???_????"))),IF($M330="","",XLOOKUP($M330,FILTER(Dictionaries!$B:$B,Dictionaries!$A:$A="?????"),FILTER(Dictionaries!$C:$C,Dictionaries!$A:$A="?????"))),IF($N330="","",MIN($N330/100,1)),IF($O330="","",XLOOKUP($O330,FILTER(Dictionaries!$B:$B,Dictionaries!$A:$A="??????????"),FILTER(Dictionaries!$C:$C,Dictionaries!$A:$A="??????????"))),IF($P330="","",XLOOKUP($P330,FILTER(Dictionaries!$B:$B,Dictionaries!$A:$A="???????"),FILTER(Dictionaries!$C:$C,Dictionaries!$A:$A="???????"))),IF($U330="","",LET(t,IF(OR($B330="????",$B330="????"),"train","rest"),k,$U330,p,$V330,f,$W330,c,$X330,k_s,IF(t="train",IF(k="","",IFS(AND(k&gt;=1900,k&lt;=2050),1,AND(k&gt;=1850,k&lt;1900),0.7,AND(k&gt;2050,k&lt;=2100),0.7,TRUE,0.2)),IF(k="","",IFS(AND(k&gt;=1700,k&lt;=1850),1,AND(k&gt;=1650,k&lt;1700),0.7,AND(k&gt;1850,k&lt;=1900),0.7,TRUE,0.2))),p_s,IF(t="train",IF(p="","",IFS(AND(p&gt;=125,p&lt;=135),1,AND(p&gt;=115,p&lt;125),0.7,AND(p&gt;135,p&lt;=145),0.7,AND(p&gt;=105,p&lt;115),0.4,AND(p&gt;145,p&lt;=155),0.4,TRUE,0.2)),IF(p="","",IFS(AND(p&gt;=120,p&lt;=130),1,AND(p&gt;=110,p&lt;120),0.7,AND(p&gt;130,p&lt;=140),0.7,AND(p&gt;=100,p&lt;110),0.4,AND(p&gt;140,p&lt;=150),0.4,TRUE,0.2))),f_s,IF(f="","",IFS(AND(f&gt;=55,f&lt;=65),1,AND(f&gt;=50,f&lt;55),0.7,AND(f&gt;65,f&lt;=70),0.7,AND(f&gt;=45,f&lt;50),0.4,AND(f&gt;70,f&lt;=75),0.4,TRUE,0.2)),c_s,IF(t="train",IF(c="","",IFS(AND(c&gt;=180,c&lt;=210),1,AND(c&gt;=160,c&lt;180),0.7,AND(c&gt;210,c&lt;=230),0.7,AND(c&gt;=140,c&lt;160),0.4,AND(c&gt;230,c&lt;=250),0.4,TRUE,0.2)),IF(c="","",IFS(AND(c&gt;=140,c&lt;=170),1,AND(c&gt;=120,c&lt;140),0.7,AND(c&gt;170,c&lt;=190),0.7,AND(c&gt;=100,c&lt;120),0.4,AND(c&gt;190,c&lt;=210),0.4,TRUE,0.2))),AVERAGE(k_s,p_s,f_s,c_s)))),1),""))</f>
        <v/>
      </c>
      <c r="Z330">
        <f>IF($A330="","",TEXTJOIN(", ",TRUE,IF($B330="","??????????",""),IF($C330="","??????",""),IF($D330="","????",""),IF($E330="","??????????",""),IF($F330="","???-?????",""),IF($G330="","???-????",""),IF($H330="","??????",""),IF($L330="","???",""),IF($M330="","?????",""),IF($N330="","??????????????",""),IF($O330="","??????????",""),IF($P330="","???????",""),IF($U330="","???","")))</f>
        <v/>
      </c>
    </row>
    <row r="331">
      <c r="U331">
        <f>IF($A331="","",IF(SUMIF(FoodLog!$A:$A,$A331,FoodLog!$I:$I)=0,"",SUMIF(FoodLog!$A:$A,$A331,FoodLog!$I:$I)))</f>
        <v/>
      </c>
      <c r="V331">
        <f>IF($A331="","",IF(SUMIF(FoodLog!$A:$A,$A331,FoodLog!$F:$F)=0,"",SUMIF(FoodLog!$A:$A,$A331,FoodLog!$F:$F)))</f>
        <v/>
      </c>
      <c r="W331">
        <f>IF($A331="","",IF(SUMIF(FoodLog!$A:$A,$A331,FoodLog!$G:$G)=0,"",SUMIF(FoodLog!$A:$A,$A331,FoodLog!$G:$G)))</f>
        <v/>
      </c>
      <c r="X331">
        <f>IF($A331="","",IF(SUMIF(FoodLog!$A:$A,$A331,FoodLog!$H:$H)=0,"",SUMIF(FoodLog!$A:$A,$A331,FoodLog!$H:$H)))</f>
        <v/>
      </c>
      <c r="Y331">
        <f>IF($A331="","",IFERROR(ROUND(100*AVERAGE(IF($B331="","",XLOOKUP($B331,FILTER(Dictionaries!$B:$B,Dictionaries!$A:$A="??????????"),FILTER(Dictionaries!$C:$C,Dictionaries!$A:$A="??????????"))),IF($C331="","",MIN($C331/40,1)),IF($D331="","",XLOOKUP($D331,FILTER(Dictionaries!$B:$B,Dictionaries!$A:$A="????"),FILTER(Dictionaries!$C:$C,Dictionaries!$A:$A="????"))),IF($E331="","",MIN($E331/120,1)),IF(OR($F331&lt;&gt;"",$G331&lt;&gt;""),1,""),IF($H331="","",MIN($H331/100,1)),IF($L331="","",XLOOKUP($L331,FILTER(Dictionaries!$B:$B,Dictionaries!$A:$A="???_????"),FILTER(Dictionaries!$C:$C,Dictionaries!$A:$A="???_????"))),IF($M331="","",XLOOKUP($M331,FILTER(Dictionaries!$B:$B,Dictionaries!$A:$A="?????"),FILTER(Dictionaries!$C:$C,Dictionaries!$A:$A="?????"))),IF($N331="","",MIN($N331/100,1)),IF($O331="","",XLOOKUP($O331,FILTER(Dictionaries!$B:$B,Dictionaries!$A:$A="??????????"),FILTER(Dictionaries!$C:$C,Dictionaries!$A:$A="??????????"))),IF($P331="","",XLOOKUP($P331,FILTER(Dictionaries!$B:$B,Dictionaries!$A:$A="???????"),FILTER(Dictionaries!$C:$C,Dictionaries!$A:$A="???????"))),IF($U331="","",LET(t,IF(OR($B331="????",$B331="????"),"train","rest"),k,$U331,p,$V331,f,$W331,c,$X331,k_s,IF(t="train",IF(k="","",IFS(AND(k&gt;=1900,k&lt;=2050),1,AND(k&gt;=1850,k&lt;1900),0.7,AND(k&gt;2050,k&lt;=2100),0.7,TRUE,0.2)),IF(k="","",IFS(AND(k&gt;=1700,k&lt;=1850),1,AND(k&gt;=1650,k&lt;1700),0.7,AND(k&gt;1850,k&lt;=1900),0.7,TRUE,0.2))),p_s,IF(t="train",IF(p="","",IFS(AND(p&gt;=125,p&lt;=135),1,AND(p&gt;=115,p&lt;125),0.7,AND(p&gt;135,p&lt;=145),0.7,AND(p&gt;=105,p&lt;115),0.4,AND(p&gt;145,p&lt;=155),0.4,TRUE,0.2)),IF(p="","",IFS(AND(p&gt;=120,p&lt;=130),1,AND(p&gt;=110,p&lt;120),0.7,AND(p&gt;130,p&lt;=140),0.7,AND(p&gt;=100,p&lt;110),0.4,AND(p&gt;140,p&lt;=150),0.4,TRUE,0.2))),f_s,IF(f="","",IFS(AND(f&gt;=55,f&lt;=65),1,AND(f&gt;=50,f&lt;55),0.7,AND(f&gt;65,f&lt;=70),0.7,AND(f&gt;=45,f&lt;50),0.4,AND(f&gt;70,f&lt;=75),0.4,TRUE,0.2)),c_s,IF(t="train",IF(c="","",IFS(AND(c&gt;=180,c&lt;=210),1,AND(c&gt;=160,c&lt;180),0.7,AND(c&gt;210,c&lt;=230),0.7,AND(c&gt;=140,c&lt;160),0.4,AND(c&gt;230,c&lt;=250),0.4,TRUE,0.2)),IF(c="","",IFS(AND(c&gt;=140,c&lt;=170),1,AND(c&gt;=120,c&lt;140),0.7,AND(c&gt;170,c&lt;=190),0.7,AND(c&gt;=100,c&lt;120),0.4,AND(c&gt;190,c&lt;=210),0.4,TRUE,0.2))),AVERAGE(k_s,p_s,f_s,c_s)))),1),""))</f>
        <v/>
      </c>
      <c r="Z331">
        <f>IF($A331="","",TEXTJOIN(", ",TRUE,IF($B331="","??????????",""),IF($C331="","??????",""),IF($D331="","????",""),IF($E331="","??????????",""),IF($F331="","???-?????",""),IF($G331="","???-????",""),IF($H331="","??????",""),IF($L331="","???",""),IF($M331="","?????",""),IF($N331="","??????????????",""),IF($O331="","??????????",""),IF($P331="","???????",""),IF($U331="","???","")))</f>
        <v/>
      </c>
    </row>
    <row r="332">
      <c r="U332">
        <f>IF($A332="","",IF(SUMIF(FoodLog!$A:$A,$A332,FoodLog!$I:$I)=0,"",SUMIF(FoodLog!$A:$A,$A332,FoodLog!$I:$I)))</f>
        <v/>
      </c>
      <c r="V332">
        <f>IF($A332="","",IF(SUMIF(FoodLog!$A:$A,$A332,FoodLog!$F:$F)=0,"",SUMIF(FoodLog!$A:$A,$A332,FoodLog!$F:$F)))</f>
        <v/>
      </c>
      <c r="W332">
        <f>IF($A332="","",IF(SUMIF(FoodLog!$A:$A,$A332,FoodLog!$G:$G)=0,"",SUMIF(FoodLog!$A:$A,$A332,FoodLog!$G:$G)))</f>
        <v/>
      </c>
      <c r="X332">
        <f>IF($A332="","",IF(SUMIF(FoodLog!$A:$A,$A332,FoodLog!$H:$H)=0,"",SUMIF(FoodLog!$A:$A,$A332,FoodLog!$H:$H)))</f>
        <v/>
      </c>
      <c r="Y332">
        <f>IF($A332="","",IFERROR(ROUND(100*AVERAGE(IF($B332="","",XLOOKUP($B332,FILTER(Dictionaries!$B:$B,Dictionaries!$A:$A="??????????"),FILTER(Dictionaries!$C:$C,Dictionaries!$A:$A="??????????"))),IF($C332="","",MIN($C332/40,1)),IF($D332="","",XLOOKUP($D332,FILTER(Dictionaries!$B:$B,Dictionaries!$A:$A="????"),FILTER(Dictionaries!$C:$C,Dictionaries!$A:$A="????"))),IF($E332="","",MIN($E332/120,1)),IF(OR($F332&lt;&gt;"",$G332&lt;&gt;""),1,""),IF($H332="","",MIN($H332/100,1)),IF($L332="","",XLOOKUP($L332,FILTER(Dictionaries!$B:$B,Dictionaries!$A:$A="???_????"),FILTER(Dictionaries!$C:$C,Dictionaries!$A:$A="???_????"))),IF($M332="","",XLOOKUP($M332,FILTER(Dictionaries!$B:$B,Dictionaries!$A:$A="?????"),FILTER(Dictionaries!$C:$C,Dictionaries!$A:$A="?????"))),IF($N332="","",MIN($N332/100,1)),IF($O332="","",XLOOKUP($O332,FILTER(Dictionaries!$B:$B,Dictionaries!$A:$A="??????????"),FILTER(Dictionaries!$C:$C,Dictionaries!$A:$A="??????????"))),IF($P332="","",XLOOKUP($P332,FILTER(Dictionaries!$B:$B,Dictionaries!$A:$A="???????"),FILTER(Dictionaries!$C:$C,Dictionaries!$A:$A="???????"))),IF($U332="","",LET(t,IF(OR($B332="????",$B332="????"),"train","rest"),k,$U332,p,$V332,f,$W332,c,$X332,k_s,IF(t="train",IF(k="","",IFS(AND(k&gt;=1900,k&lt;=2050),1,AND(k&gt;=1850,k&lt;1900),0.7,AND(k&gt;2050,k&lt;=2100),0.7,TRUE,0.2)),IF(k="","",IFS(AND(k&gt;=1700,k&lt;=1850),1,AND(k&gt;=1650,k&lt;1700),0.7,AND(k&gt;1850,k&lt;=1900),0.7,TRUE,0.2))),p_s,IF(t="train",IF(p="","",IFS(AND(p&gt;=125,p&lt;=135),1,AND(p&gt;=115,p&lt;125),0.7,AND(p&gt;135,p&lt;=145),0.7,AND(p&gt;=105,p&lt;115),0.4,AND(p&gt;145,p&lt;=155),0.4,TRUE,0.2)),IF(p="","",IFS(AND(p&gt;=120,p&lt;=130),1,AND(p&gt;=110,p&lt;120),0.7,AND(p&gt;130,p&lt;=140),0.7,AND(p&gt;=100,p&lt;110),0.4,AND(p&gt;140,p&lt;=150),0.4,TRUE,0.2))),f_s,IF(f="","",IFS(AND(f&gt;=55,f&lt;=65),1,AND(f&gt;=50,f&lt;55),0.7,AND(f&gt;65,f&lt;=70),0.7,AND(f&gt;=45,f&lt;50),0.4,AND(f&gt;70,f&lt;=75),0.4,TRUE,0.2)),c_s,IF(t="train",IF(c="","",IFS(AND(c&gt;=180,c&lt;=210),1,AND(c&gt;=160,c&lt;180),0.7,AND(c&gt;210,c&lt;=230),0.7,AND(c&gt;=140,c&lt;160),0.4,AND(c&gt;230,c&lt;=250),0.4,TRUE,0.2)),IF(c="","",IFS(AND(c&gt;=140,c&lt;=170),1,AND(c&gt;=120,c&lt;140),0.7,AND(c&gt;170,c&lt;=190),0.7,AND(c&gt;=100,c&lt;120),0.4,AND(c&gt;190,c&lt;=210),0.4,TRUE,0.2))),AVERAGE(k_s,p_s,f_s,c_s)))),1),""))</f>
        <v/>
      </c>
      <c r="Z332">
        <f>IF($A332="","",TEXTJOIN(", ",TRUE,IF($B332="","??????????",""),IF($C332="","??????",""),IF($D332="","????",""),IF($E332="","??????????",""),IF($F332="","???-?????",""),IF($G332="","???-????",""),IF($H332="","??????",""),IF($L332="","???",""),IF($M332="","?????",""),IF($N332="","??????????????",""),IF($O332="","??????????",""),IF($P332="","???????",""),IF($U332="","???","")))</f>
        <v/>
      </c>
    </row>
    <row r="333">
      <c r="U333">
        <f>IF($A333="","",IF(SUMIF(FoodLog!$A:$A,$A333,FoodLog!$I:$I)=0,"",SUMIF(FoodLog!$A:$A,$A333,FoodLog!$I:$I)))</f>
        <v/>
      </c>
      <c r="V333">
        <f>IF($A333="","",IF(SUMIF(FoodLog!$A:$A,$A333,FoodLog!$F:$F)=0,"",SUMIF(FoodLog!$A:$A,$A333,FoodLog!$F:$F)))</f>
        <v/>
      </c>
      <c r="W333">
        <f>IF($A333="","",IF(SUMIF(FoodLog!$A:$A,$A333,FoodLog!$G:$G)=0,"",SUMIF(FoodLog!$A:$A,$A333,FoodLog!$G:$G)))</f>
        <v/>
      </c>
      <c r="X333">
        <f>IF($A333="","",IF(SUMIF(FoodLog!$A:$A,$A333,FoodLog!$H:$H)=0,"",SUMIF(FoodLog!$A:$A,$A333,FoodLog!$H:$H)))</f>
        <v/>
      </c>
      <c r="Y333">
        <f>IF($A333="","",IFERROR(ROUND(100*AVERAGE(IF($B333="","",XLOOKUP($B333,FILTER(Dictionaries!$B:$B,Dictionaries!$A:$A="??????????"),FILTER(Dictionaries!$C:$C,Dictionaries!$A:$A="??????????"))),IF($C333="","",MIN($C333/40,1)),IF($D333="","",XLOOKUP($D333,FILTER(Dictionaries!$B:$B,Dictionaries!$A:$A="????"),FILTER(Dictionaries!$C:$C,Dictionaries!$A:$A="????"))),IF($E333="","",MIN($E333/120,1)),IF(OR($F333&lt;&gt;"",$G333&lt;&gt;""),1,""),IF($H333="","",MIN($H333/100,1)),IF($L333="","",XLOOKUP($L333,FILTER(Dictionaries!$B:$B,Dictionaries!$A:$A="???_????"),FILTER(Dictionaries!$C:$C,Dictionaries!$A:$A="???_????"))),IF($M333="","",XLOOKUP($M333,FILTER(Dictionaries!$B:$B,Dictionaries!$A:$A="?????"),FILTER(Dictionaries!$C:$C,Dictionaries!$A:$A="?????"))),IF($N333="","",MIN($N333/100,1)),IF($O333="","",XLOOKUP($O333,FILTER(Dictionaries!$B:$B,Dictionaries!$A:$A="??????????"),FILTER(Dictionaries!$C:$C,Dictionaries!$A:$A="??????????"))),IF($P333="","",XLOOKUP($P333,FILTER(Dictionaries!$B:$B,Dictionaries!$A:$A="???????"),FILTER(Dictionaries!$C:$C,Dictionaries!$A:$A="???????"))),IF($U333="","",LET(t,IF(OR($B333="????",$B333="????"),"train","rest"),k,$U333,p,$V333,f,$W333,c,$X333,k_s,IF(t="train",IF(k="","",IFS(AND(k&gt;=1900,k&lt;=2050),1,AND(k&gt;=1850,k&lt;1900),0.7,AND(k&gt;2050,k&lt;=2100),0.7,TRUE,0.2)),IF(k="","",IFS(AND(k&gt;=1700,k&lt;=1850),1,AND(k&gt;=1650,k&lt;1700),0.7,AND(k&gt;1850,k&lt;=1900),0.7,TRUE,0.2))),p_s,IF(t="train",IF(p="","",IFS(AND(p&gt;=125,p&lt;=135),1,AND(p&gt;=115,p&lt;125),0.7,AND(p&gt;135,p&lt;=145),0.7,AND(p&gt;=105,p&lt;115),0.4,AND(p&gt;145,p&lt;=155),0.4,TRUE,0.2)),IF(p="","",IFS(AND(p&gt;=120,p&lt;=130),1,AND(p&gt;=110,p&lt;120),0.7,AND(p&gt;130,p&lt;=140),0.7,AND(p&gt;=100,p&lt;110),0.4,AND(p&gt;140,p&lt;=150),0.4,TRUE,0.2))),f_s,IF(f="","",IFS(AND(f&gt;=55,f&lt;=65),1,AND(f&gt;=50,f&lt;55),0.7,AND(f&gt;65,f&lt;=70),0.7,AND(f&gt;=45,f&lt;50),0.4,AND(f&gt;70,f&lt;=75),0.4,TRUE,0.2)),c_s,IF(t="train",IF(c="","",IFS(AND(c&gt;=180,c&lt;=210),1,AND(c&gt;=160,c&lt;180),0.7,AND(c&gt;210,c&lt;=230),0.7,AND(c&gt;=140,c&lt;160),0.4,AND(c&gt;230,c&lt;=250),0.4,TRUE,0.2)),IF(c="","",IFS(AND(c&gt;=140,c&lt;=170),1,AND(c&gt;=120,c&lt;140),0.7,AND(c&gt;170,c&lt;=190),0.7,AND(c&gt;=100,c&lt;120),0.4,AND(c&gt;190,c&lt;=210),0.4,TRUE,0.2))),AVERAGE(k_s,p_s,f_s,c_s)))),1),""))</f>
        <v/>
      </c>
      <c r="Z333">
        <f>IF($A333="","",TEXTJOIN(", ",TRUE,IF($B333="","??????????",""),IF($C333="","??????",""),IF($D333="","????",""),IF($E333="","??????????",""),IF($F333="","???-?????",""),IF($G333="","???-????",""),IF($H333="","??????",""),IF($L333="","???",""),IF($M333="","?????",""),IF($N333="","??????????????",""),IF($O333="","??????????",""),IF($P333="","???????",""),IF($U333="","???","")))</f>
        <v/>
      </c>
    </row>
    <row r="334">
      <c r="U334">
        <f>IF($A334="","",IF(SUMIF(FoodLog!$A:$A,$A334,FoodLog!$I:$I)=0,"",SUMIF(FoodLog!$A:$A,$A334,FoodLog!$I:$I)))</f>
        <v/>
      </c>
      <c r="V334">
        <f>IF($A334="","",IF(SUMIF(FoodLog!$A:$A,$A334,FoodLog!$F:$F)=0,"",SUMIF(FoodLog!$A:$A,$A334,FoodLog!$F:$F)))</f>
        <v/>
      </c>
      <c r="W334">
        <f>IF($A334="","",IF(SUMIF(FoodLog!$A:$A,$A334,FoodLog!$G:$G)=0,"",SUMIF(FoodLog!$A:$A,$A334,FoodLog!$G:$G)))</f>
        <v/>
      </c>
      <c r="X334">
        <f>IF($A334="","",IF(SUMIF(FoodLog!$A:$A,$A334,FoodLog!$H:$H)=0,"",SUMIF(FoodLog!$A:$A,$A334,FoodLog!$H:$H)))</f>
        <v/>
      </c>
      <c r="Y334">
        <f>IF($A334="","",IFERROR(ROUND(100*AVERAGE(IF($B334="","",XLOOKUP($B334,FILTER(Dictionaries!$B:$B,Dictionaries!$A:$A="??????????"),FILTER(Dictionaries!$C:$C,Dictionaries!$A:$A="??????????"))),IF($C334="","",MIN($C334/40,1)),IF($D334="","",XLOOKUP($D334,FILTER(Dictionaries!$B:$B,Dictionaries!$A:$A="????"),FILTER(Dictionaries!$C:$C,Dictionaries!$A:$A="????"))),IF($E334="","",MIN($E334/120,1)),IF(OR($F334&lt;&gt;"",$G334&lt;&gt;""),1,""),IF($H334="","",MIN($H334/100,1)),IF($L334="","",XLOOKUP($L334,FILTER(Dictionaries!$B:$B,Dictionaries!$A:$A="???_????"),FILTER(Dictionaries!$C:$C,Dictionaries!$A:$A="???_????"))),IF($M334="","",XLOOKUP($M334,FILTER(Dictionaries!$B:$B,Dictionaries!$A:$A="?????"),FILTER(Dictionaries!$C:$C,Dictionaries!$A:$A="?????"))),IF($N334="","",MIN($N334/100,1)),IF($O334="","",XLOOKUP($O334,FILTER(Dictionaries!$B:$B,Dictionaries!$A:$A="??????????"),FILTER(Dictionaries!$C:$C,Dictionaries!$A:$A="??????????"))),IF($P334="","",XLOOKUP($P334,FILTER(Dictionaries!$B:$B,Dictionaries!$A:$A="???????"),FILTER(Dictionaries!$C:$C,Dictionaries!$A:$A="???????"))),IF($U334="","",LET(t,IF(OR($B334="????",$B334="????"),"train","rest"),k,$U334,p,$V334,f,$W334,c,$X334,k_s,IF(t="train",IF(k="","",IFS(AND(k&gt;=1900,k&lt;=2050),1,AND(k&gt;=1850,k&lt;1900),0.7,AND(k&gt;2050,k&lt;=2100),0.7,TRUE,0.2)),IF(k="","",IFS(AND(k&gt;=1700,k&lt;=1850),1,AND(k&gt;=1650,k&lt;1700),0.7,AND(k&gt;1850,k&lt;=1900),0.7,TRUE,0.2))),p_s,IF(t="train",IF(p="","",IFS(AND(p&gt;=125,p&lt;=135),1,AND(p&gt;=115,p&lt;125),0.7,AND(p&gt;135,p&lt;=145),0.7,AND(p&gt;=105,p&lt;115),0.4,AND(p&gt;145,p&lt;=155),0.4,TRUE,0.2)),IF(p="","",IFS(AND(p&gt;=120,p&lt;=130),1,AND(p&gt;=110,p&lt;120),0.7,AND(p&gt;130,p&lt;=140),0.7,AND(p&gt;=100,p&lt;110),0.4,AND(p&gt;140,p&lt;=150),0.4,TRUE,0.2))),f_s,IF(f="","",IFS(AND(f&gt;=55,f&lt;=65),1,AND(f&gt;=50,f&lt;55),0.7,AND(f&gt;65,f&lt;=70),0.7,AND(f&gt;=45,f&lt;50),0.4,AND(f&gt;70,f&lt;=75),0.4,TRUE,0.2)),c_s,IF(t="train",IF(c="","",IFS(AND(c&gt;=180,c&lt;=210),1,AND(c&gt;=160,c&lt;180),0.7,AND(c&gt;210,c&lt;=230),0.7,AND(c&gt;=140,c&lt;160),0.4,AND(c&gt;230,c&lt;=250),0.4,TRUE,0.2)),IF(c="","",IFS(AND(c&gt;=140,c&lt;=170),1,AND(c&gt;=120,c&lt;140),0.7,AND(c&gt;170,c&lt;=190),0.7,AND(c&gt;=100,c&lt;120),0.4,AND(c&gt;190,c&lt;=210),0.4,TRUE,0.2))),AVERAGE(k_s,p_s,f_s,c_s)))),1),""))</f>
        <v/>
      </c>
      <c r="Z334">
        <f>IF($A334="","",TEXTJOIN(", ",TRUE,IF($B334="","??????????",""),IF($C334="","??????",""),IF($D334="","????",""),IF($E334="","??????????",""),IF($F334="","???-?????",""),IF($G334="","???-????",""),IF($H334="","??????",""),IF($L334="","???",""),IF($M334="","?????",""),IF($N334="","??????????????",""),IF($O334="","??????????",""),IF($P334="","???????",""),IF($U334="","???","")))</f>
        <v/>
      </c>
    </row>
    <row r="335">
      <c r="U335">
        <f>IF($A335="","",IF(SUMIF(FoodLog!$A:$A,$A335,FoodLog!$I:$I)=0,"",SUMIF(FoodLog!$A:$A,$A335,FoodLog!$I:$I)))</f>
        <v/>
      </c>
      <c r="V335">
        <f>IF($A335="","",IF(SUMIF(FoodLog!$A:$A,$A335,FoodLog!$F:$F)=0,"",SUMIF(FoodLog!$A:$A,$A335,FoodLog!$F:$F)))</f>
        <v/>
      </c>
      <c r="W335">
        <f>IF($A335="","",IF(SUMIF(FoodLog!$A:$A,$A335,FoodLog!$G:$G)=0,"",SUMIF(FoodLog!$A:$A,$A335,FoodLog!$G:$G)))</f>
        <v/>
      </c>
      <c r="X335">
        <f>IF($A335="","",IF(SUMIF(FoodLog!$A:$A,$A335,FoodLog!$H:$H)=0,"",SUMIF(FoodLog!$A:$A,$A335,FoodLog!$H:$H)))</f>
        <v/>
      </c>
      <c r="Y335">
        <f>IF($A335="","",IFERROR(ROUND(100*AVERAGE(IF($B335="","",XLOOKUP($B335,FILTER(Dictionaries!$B:$B,Dictionaries!$A:$A="??????????"),FILTER(Dictionaries!$C:$C,Dictionaries!$A:$A="??????????"))),IF($C335="","",MIN($C335/40,1)),IF($D335="","",XLOOKUP($D335,FILTER(Dictionaries!$B:$B,Dictionaries!$A:$A="????"),FILTER(Dictionaries!$C:$C,Dictionaries!$A:$A="????"))),IF($E335="","",MIN($E335/120,1)),IF(OR($F335&lt;&gt;"",$G335&lt;&gt;""),1,""),IF($H335="","",MIN($H335/100,1)),IF($L335="","",XLOOKUP($L335,FILTER(Dictionaries!$B:$B,Dictionaries!$A:$A="???_????"),FILTER(Dictionaries!$C:$C,Dictionaries!$A:$A="???_????"))),IF($M335="","",XLOOKUP($M335,FILTER(Dictionaries!$B:$B,Dictionaries!$A:$A="?????"),FILTER(Dictionaries!$C:$C,Dictionaries!$A:$A="?????"))),IF($N335="","",MIN($N335/100,1)),IF($O335="","",XLOOKUP($O335,FILTER(Dictionaries!$B:$B,Dictionaries!$A:$A="??????????"),FILTER(Dictionaries!$C:$C,Dictionaries!$A:$A="??????????"))),IF($P335="","",XLOOKUP($P335,FILTER(Dictionaries!$B:$B,Dictionaries!$A:$A="???????"),FILTER(Dictionaries!$C:$C,Dictionaries!$A:$A="???????"))),IF($U335="","",LET(t,IF(OR($B335="????",$B335="????"),"train","rest"),k,$U335,p,$V335,f,$W335,c,$X335,k_s,IF(t="train",IF(k="","",IFS(AND(k&gt;=1900,k&lt;=2050),1,AND(k&gt;=1850,k&lt;1900),0.7,AND(k&gt;2050,k&lt;=2100),0.7,TRUE,0.2)),IF(k="","",IFS(AND(k&gt;=1700,k&lt;=1850),1,AND(k&gt;=1650,k&lt;1700),0.7,AND(k&gt;1850,k&lt;=1900),0.7,TRUE,0.2))),p_s,IF(t="train",IF(p="","",IFS(AND(p&gt;=125,p&lt;=135),1,AND(p&gt;=115,p&lt;125),0.7,AND(p&gt;135,p&lt;=145),0.7,AND(p&gt;=105,p&lt;115),0.4,AND(p&gt;145,p&lt;=155),0.4,TRUE,0.2)),IF(p="","",IFS(AND(p&gt;=120,p&lt;=130),1,AND(p&gt;=110,p&lt;120),0.7,AND(p&gt;130,p&lt;=140),0.7,AND(p&gt;=100,p&lt;110),0.4,AND(p&gt;140,p&lt;=150),0.4,TRUE,0.2))),f_s,IF(f="","",IFS(AND(f&gt;=55,f&lt;=65),1,AND(f&gt;=50,f&lt;55),0.7,AND(f&gt;65,f&lt;=70),0.7,AND(f&gt;=45,f&lt;50),0.4,AND(f&gt;70,f&lt;=75),0.4,TRUE,0.2)),c_s,IF(t="train",IF(c="","",IFS(AND(c&gt;=180,c&lt;=210),1,AND(c&gt;=160,c&lt;180),0.7,AND(c&gt;210,c&lt;=230),0.7,AND(c&gt;=140,c&lt;160),0.4,AND(c&gt;230,c&lt;=250),0.4,TRUE,0.2)),IF(c="","",IFS(AND(c&gt;=140,c&lt;=170),1,AND(c&gt;=120,c&lt;140),0.7,AND(c&gt;170,c&lt;=190),0.7,AND(c&gt;=100,c&lt;120),0.4,AND(c&gt;190,c&lt;=210),0.4,TRUE,0.2))),AVERAGE(k_s,p_s,f_s,c_s)))),1),""))</f>
        <v/>
      </c>
      <c r="Z335">
        <f>IF($A335="","",TEXTJOIN(", ",TRUE,IF($B335="","??????????",""),IF($C335="","??????",""),IF($D335="","????",""),IF($E335="","??????????",""),IF($F335="","???-?????",""),IF($G335="","???-????",""),IF($H335="","??????",""),IF($L335="","???",""),IF($M335="","?????",""),IF($N335="","??????????????",""),IF($O335="","??????????",""),IF($P335="","???????",""),IF($U335="","???","")))</f>
        <v/>
      </c>
    </row>
    <row r="336">
      <c r="U336">
        <f>IF($A336="","",IF(SUMIF(FoodLog!$A:$A,$A336,FoodLog!$I:$I)=0,"",SUMIF(FoodLog!$A:$A,$A336,FoodLog!$I:$I)))</f>
        <v/>
      </c>
      <c r="V336">
        <f>IF($A336="","",IF(SUMIF(FoodLog!$A:$A,$A336,FoodLog!$F:$F)=0,"",SUMIF(FoodLog!$A:$A,$A336,FoodLog!$F:$F)))</f>
        <v/>
      </c>
      <c r="W336">
        <f>IF($A336="","",IF(SUMIF(FoodLog!$A:$A,$A336,FoodLog!$G:$G)=0,"",SUMIF(FoodLog!$A:$A,$A336,FoodLog!$G:$G)))</f>
        <v/>
      </c>
      <c r="X336">
        <f>IF($A336="","",IF(SUMIF(FoodLog!$A:$A,$A336,FoodLog!$H:$H)=0,"",SUMIF(FoodLog!$A:$A,$A336,FoodLog!$H:$H)))</f>
        <v/>
      </c>
      <c r="Y336">
        <f>IF($A336="","",IFERROR(ROUND(100*AVERAGE(IF($B336="","",XLOOKUP($B336,FILTER(Dictionaries!$B:$B,Dictionaries!$A:$A="??????????"),FILTER(Dictionaries!$C:$C,Dictionaries!$A:$A="??????????"))),IF($C336="","",MIN($C336/40,1)),IF($D336="","",XLOOKUP($D336,FILTER(Dictionaries!$B:$B,Dictionaries!$A:$A="????"),FILTER(Dictionaries!$C:$C,Dictionaries!$A:$A="????"))),IF($E336="","",MIN($E336/120,1)),IF(OR($F336&lt;&gt;"",$G336&lt;&gt;""),1,""),IF($H336="","",MIN($H336/100,1)),IF($L336="","",XLOOKUP($L336,FILTER(Dictionaries!$B:$B,Dictionaries!$A:$A="???_????"),FILTER(Dictionaries!$C:$C,Dictionaries!$A:$A="???_????"))),IF($M336="","",XLOOKUP($M336,FILTER(Dictionaries!$B:$B,Dictionaries!$A:$A="?????"),FILTER(Dictionaries!$C:$C,Dictionaries!$A:$A="?????"))),IF($N336="","",MIN($N336/100,1)),IF($O336="","",XLOOKUP($O336,FILTER(Dictionaries!$B:$B,Dictionaries!$A:$A="??????????"),FILTER(Dictionaries!$C:$C,Dictionaries!$A:$A="??????????"))),IF($P336="","",XLOOKUP($P336,FILTER(Dictionaries!$B:$B,Dictionaries!$A:$A="???????"),FILTER(Dictionaries!$C:$C,Dictionaries!$A:$A="???????"))),IF($U336="","",LET(t,IF(OR($B336="????",$B336="????"),"train","rest"),k,$U336,p,$V336,f,$W336,c,$X336,k_s,IF(t="train",IF(k="","",IFS(AND(k&gt;=1900,k&lt;=2050),1,AND(k&gt;=1850,k&lt;1900),0.7,AND(k&gt;2050,k&lt;=2100),0.7,TRUE,0.2)),IF(k="","",IFS(AND(k&gt;=1700,k&lt;=1850),1,AND(k&gt;=1650,k&lt;1700),0.7,AND(k&gt;1850,k&lt;=1900),0.7,TRUE,0.2))),p_s,IF(t="train",IF(p="","",IFS(AND(p&gt;=125,p&lt;=135),1,AND(p&gt;=115,p&lt;125),0.7,AND(p&gt;135,p&lt;=145),0.7,AND(p&gt;=105,p&lt;115),0.4,AND(p&gt;145,p&lt;=155),0.4,TRUE,0.2)),IF(p="","",IFS(AND(p&gt;=120,p&lt;=130),1,AND(p&gt;=110,p&lt;120),0.7,AND(p&gt;130,p&lt;=140),0.7,AND(p&gt;=100,p&lt;110),0.4,AND(p&gt;140,p&lt;=150),0.4,TRUE,0.2))),f_s,IF(f="","",IFS(AND(f&gt;=55,f&lt;=65),1,AND(f&gt;=50,f&lt;55),0.7,AND(f&gt;65,f&lt;=70),0.7,AND(f&gt;=45,f&lt;50),0.4,AND(f&gt;70,f&lt;=75),0.4,TRUE,0.2)),c_s,IF(t="train",IF(c="","",IFS(AND(c&gt;=180,c&lt;=210),1,AND(c&gt;=160,c&lt;180),0.7,AND(c&gt;210,c&lt;=230),0.7,AND(c&gt;=140,c&lt;160),0.4,AND(c&gt;230,c&lt;=250),0.4,TRUE,0.2)),IF(c="","",IFS(AND(c&gt;=140,c&lt;=170),1,AND(c&gt;=120,c&lt;140),0.7,AND(c&gt;170,c&lt;=190),0.7,AND(c&gt;=100,c&lt;120),0.4,AND(c&gt;190,c&lt;=210),0.4,TRUE,0.2))),AVERAGE(k_s,p_s,f_s,c_s)))),1),""))</f>
        <v/>
      </c>
      <c r="Z336">
        <f>IF($A336="","",TEXTJOIN(", ",TRUE,IF($B336="","??????????",""),IF($C336="","??????",""),IF($D336="","????",""),IF($E336="","??????????",""),IF($F336="","???-?????",""),IF($G336="","???-????",""),IF($H336="","??????",""),IF($L336="","???",""),IF($M336="","?????",""),IF($N336="","??????????????",""),IF($O336="","??????????",""),IF($P336="","???????",""),IF($U336="","???","")))</f>
        <v/>
      </c>
    </row>
    <row r="337">
      <c r="U337">
        <f>IF($A337="","",IF(SUMIF(FoodLog!$A:$A,$A337,FoodLog!$I:$I)=0,"",SUMIF(FoodLog!$A:$A,$A337,FoodLog!$I:$I)))</f>
        <v/>
      </c>
      <c r="V337">
        <f>IF($A337="","",IF(SUMIF(FoodLog!$A:$A,$A337,FoodLog!$F:$F)=0,"",SUMIF(FoodLog!$A:$A,$A337,FoodLog!$F:$F)))</f>
        <v/>
      </c>
      <c r="W337">
        <f>IF($A337="","",IF(SUMIF(FoodLog!$A:$A,$A337,FoodLog!$G:$G)=0,"",SUMIF(FoodLog!$A:$A,$A337,FoodLog!$G:$G)))</f>
        <v/>
      </c>
      <c r="X337">
        <f>IF($A337="","",IF(SUMIF(FoodLog!$A:$A,$A337,FoodLog!$H:$H)=0,"",SUMIF(FoodLog!$A:$A,$A337,FoodLog!$H:$H)))</f>
        <v/>
      </c>
      <c r="Y337">
        <f>IF($A337="","",IFERROR(ROUND(100*AVERAGE(IF($B337="","",XLOOKUP($B337,FILTER(Dictionaries!$B:$B,Dictionaries!$A:$A="??????????"),FILTER(Dictionaries!$C:$C,Dictionaries!$A:$A="??????????"))),IF($C337="","",MIN($C337/40,1)),IF($D337="","",XLOOKUP($D337,FILTER(Dictionaries!$B:$B,Dictionaries!$A:$A="????"),FILTER(Dictionaries!$C:$C,Dictionaries!$A:$A="????"))),IF($E337="","",MIN($E337/120,1)),IF(OR($F337&lt;&gt;"",$G337&lt;&gt;""),1,""),IF($H337="","",MIN($H337/100,1)),IF($L337="","",XLOOKUP($L337,FILTER(Dictionaries!$B:$B,Dictionaries!$A:$A="???_????"),FILTER(Dictionaries!$C:$C,Dictionaries!$A:$A="???_????"))),IF($M337="","",XLOOKUP($M337,FILTER(Dictionaries!$B:$B,Dictionaries!$A:$A="?????"),FILTER(Dictionaries!$C:$C,Dictionaries!$A:$A="?????"))),IF($N337="","",MIN($N337/100,1)),IF($O337="","",XLOOKUP($O337,FILTER(Dictionaries!$B:$B,Dictionaries!$A:$A="??????????"),FILTER(Dictionaries!$C:$C,Dictionaries!$A:$A="??????????"))),IF($P337="","",XLOOKUP($P337,FILTER(Dictionaries!$B:$B,Dictionaries!$A:$A="???????"),FILTER(Dictionaries!$C:$C,Dictionaries!$A:$A="???????"))),IF($U337="","",LET(t,IF(OR($B337="????",$B337="????"),"train","rest"),k,$U337,p,$V337,f,$W337,c,$X337,k_s,IF(t="train",IF(k="","",IFS(AND(k&gt;=1900,k&lt;=2050),1,AND(k&gt;=1850,k&lt;1900),0.7,AND(k&gt;2050,k&lt;=2100),0.7,TRUE,0.2)),IF(k="","",IFS(AND(k&gt;=1700,k&lt;=1850),1,AND(k&gt;=1650,k&lt;1700),0.7,AND(k&gt;1850,k&lt;=1900),0.7,TRUE,0.2))),p_s,IF(t="train",IF(p="","",IFS(AND(p&gt;=125,p&lt;=135),1,AND(p&gt;=115,p&lt;125),0.7,AND(p&gt;135,p&lt;=145),0.7,AND(p&gt;=105,p&lt;115),0.4,AND(p&gt;145,p&lt;=155),0.4,TRUE,0.2)),IF(p="","",IFS(AND(p&gt;=120,p&lt;=130),1,AND(p&gt;=110,p&lt;120),0.7,AND(p&gt;130,p&lt;=140),0.7,AND(p&gt;=100,p&lt;110),0.4,AND(p&gt;140,p&lt;=150),0.4,TRUE,0.2))),f_s,IF(f="","",IFS(AND(f&gt;=55,f&lt;=65),1,AND(f&gt;=50,f&lt;55),0.7,AND(f&gt;65,f&lt;=70),0.7,AND(f&gt;=45,f&lt;50),0.4,AND(f&gt;70,f&lt;=75),0.4,TRUE,0.2)),c_s,IF(t="train",IF(c="","",IFS(AND(c&gt;=180,c&lt;=210),1,AND(c&gt;=160,c&lt;180),0.7,AND(c&gt;210,c&lt;=230),0.7,AND(c&gt;=140,c&lt;160),0.4,AND(c&gt;230,c&lt;=250),0.4,TRUE,0.2)),IF(c="","",IFS(AND(c&gt;=140,c&lt;=170),1,AND(c&gt;=120,c&lt;140),0.7,AND(c&gt;170,c&lt;=190),0.7,AND(c&gt;=100,c&lt;120),0.4,AND(c&gt;190,c&lt;=210),0.4,TRUE,0.2))),AVERAGE(k_s,p_s,f_s,c_s)))),1),""))</f>
        <v/>
      </c>
      <c r="Z337">
        <f>IF($A337="","",TEXTJOIN(", ",TRUE,IF($B337="","??????????",""),IF($C337="","??????",""),IF($D337="","????",""),IF($E337="","??????????",""),IF($F337="","???-?????",""),IF($G337="","???-????",""),IF($H337="","??????",""),IF($L337="","???",""),IF($M337="","?????",""),IF($N337="","??????????????",""),IF($O337="","??????????",""),IF($P337="","???????",""),IF($U337="","???","")))</f>
        <v/>
      </c>
    </row>
    <row r="338">
      <c r="U338">
        <f>IF($A338="","",IF(SUMIF(FoodLog!$A:$A,$A338,FoodLog!$I:$I)=0,"",SUMIF(FoodLog!$A:$A,$A338,FoodLog!$I:$I)))</f>
        <v/>
      </c>
      <c r="V338">
        <f>IF($A338="","",IF(SUMIF(FoodLog!$A:$A,$A338,FoodLog!$F:$F)=0,"",SUMIF(FoodLog!$A:$A,$A338,FoodLog!$F:$F)))</f>
        <v/>
      </c>
      <c r="W338">
        <f>IF($A338="","",IF(SUMIF(FoodLog!$A:$A,$A338,FoodLog!$G:$G)=0,"",SUMIF(FoodLog!$A:$A,$A338,FoodLog!$G:$G)))</f>
        <v/>
      </c>
      <c r="X338">
        <f>IF($A338="","",IF(SUMIF(FoodLog!$A:$A,$A338,FoodLog!$H:$H)=0,"",SUMIF(FoodLog!$A:$A,$A338,FoodLog!$H:$H)))</f>
        <v/>
      </c>
      <c r="Y338">
        <f>IF($A338="","",IFERROR(ROUND(100*AVERAGE(IF($B338="","",XLOOKUP($B338,FILTER(Dictionaries!$B:$B,Dictionaries!$A:$A="??????????"),FILTER(Dictionaries!$C:$C,Dictionaries!$A:$A="??????????"))),IF($C338="","",MIN($C338/40,1)),IF($D338="","",XLOOKUP($D338,FILTER(Dictionaries!$B:$B,Dictionaries!$A:$A="????"),FILTER(Dictionaries!$C:$C,Dictionaries!$A:$A="????"))),IF($E338="","",MIN($E338/120,1)),IF(OR($F338&lt;&gt;"",$G338&lt;&gt;""),1,""),IF($H338="","",MIN($H338/100,1)),IF($L338="","",XLOOKUP($L338,FILTER(Dictionaries!$B:$B,Dictionaries!$A:$A="???_????"),FILTER(Dictionaries!$C:$C,Dictionaries!$A:$A="???_????"))),IF($M338="","",XLOOKUP($M338,FILTER(Dictionaries!$B:$B,Dictionaries!$A:$A="?????"),FILTER(Dictionaries!$C:$C,Dictionaries!$A:$A="?????"))),IF($N338="","",MIN($N338/100,1)),IF($O338="","",XLOOKUP($O338,FILTER(Dictionaries!$B:$B,Dictionaries!$A:$A="??????????"),FILTER(Dictionaries!$C:$C,Dictionaries!$A:$A="??????????"))),IF($P338="","",XLOOKUP($P338,FILTER(Dictionaries!$B:$B,Dictionaries!$A:$A="???????"),FILTER(Dictionaries!$C:$C,Dictionaries!$A:$A="???????"))),IF($U338="","",LET(t,IF(OR($B338="????",$B338="????"),"train","rest"),k,$U338,p,$V338,f,$W338,c,$X338,k_s,IF(t="train",IF(k="","",IFS(AND(k&gt;=1900,k&lt;=2050),1,AND(k&gt;=1850,k&lt;1900),0.7,AND(k&gt;2050,k&lt;=2100),0.7,TRUE,0.2)),IF(k="","",IFS(AND(k&gt;=1700,k&lt;=1850),1,AND(k&gt;=1650,k&lt;1700),0.7,AND(k&gt;1850,k&lt;=1900),0.7,TRUE,0.2))),p_s,IF(t="train",IF(p="","",IFS(AND(p&gt;=125,p&lt;=135),1,AND(p&gt;=115,p&lt;125),0.7,AND(p&gt;135,p&lt;=145),0.7,AND(p&gt;=105,p&lt;115),0.4,AND(p&gt;145,p&lt;=155),0.4,TRUE,0.2)),IF(p="","",IFS(AND(p&gt;=120,p&lt;=130),1,AND(p&gt;=110,p&lt;120),0.7,AND(p&gt;130,p&lt;=140),0.7,AND(p&gt;=100,p&lt;110),0.4,AND(p&gt;140,p&lt;=150),0.4,TRUE,0.2))),f_s,IF(f="","",IFS(AND(f&gt;=55,f&lt;=65),1,AND(f&gt;=50,f&lt;55),0.7,AND(f&gt;65,f&lt;=70),0.7,AND(f&gt;=45,f&lt;50),0.4,AND(f&gt;70,f&lt;=75),0.4,TRUE,0.2)),c_s,IF(t="train",IF(c="","",IFS(AND(c&gt;=180,c&lt;=210),1,AND(c&gt;=160,c&lt;180),0.7,AND(c&gt;210,c&lt;=230),0.7,AND(c&gt;=140,c&lt;160),0.4,AND(c&gt;230,c&lt;=250),0.4,TRUE,0.2)),IF(c="","",IFS(AND(c&gt;=140,c&lt;=170),1,AND(c&gt;=120,c&lt;140),0.7,AND(c&gt;170,c&lt;=190),0.7,AND(c&gt;=100,c&lt;120),0.4,AND(c&gt;190,c&lt;=210),0.4,TRUE,0.2))),AVERAGE(k_s,p_s,f_s,c_s)))),1),""))</f>
        <v/>
      </c>
      <c r="Z338">
        <f>IF($A338="","",TEXTJOIN(", ",TRUE,IF($B338="","??????????",""),IF($C338="","??????",""),IF($D338="","????",""),IF($E338="","??????????",""),IF($F338="","???-?????",""),IF($G338="","???-????",""),IF($H338="","??????",""),IF($L338="","???",""),IF($M338="","?????",""),IF($N338="","??????????????",""),IF($O338="","??????????",""),IF($P338="","???????",""),IF($U338="","???","")))</f>
        <v/>
      </c>
    </row>
    <row r="339">
      <c r="U339">
        <f>IF($A339="","",IF(SUMIF(FoodLog!$A:$A,$A339,FoodLog!$I:$I)=0,"",SUMIF(FoodLog!$A:$A,$A339,FoodLog!$I:$I)))</f>
        <v/>
      </c>
      <c r="V339">
        <f>IF($A339="","",IF(SUMIF(FoodLog!$A:$A,$A339,FoodLog!$F:$F)=0,"",SUMIF(FoodLog!$A:$A,$A339,FoodLog!$F:$F)))</f>
        <v/>
      </c>
      <c r="W339">
        <f>IF($A339="","",IF(SUMIF(FoodLog!$A:$A,$A339,FoodLog!$G:$G)=0,"",SUMIF(FoodLog!$A:$A,$A339,FoodLog!$G:$G)))</f>
        <v/>
      </c>
      <c r="X339">
        <f>IF($A339="","",IF(SUMIF(FoodLog!$A:$A,$A339,FoodLog!$H:$H)=0,"",SUMIF(FoodLog!$A:$A,$A339,FoodLog!$H:$H)))</f>
        <v/>
      </c>
      <c r="Y339">
        <f>IF($A339="","",IFERROR(ROUND(100*AVERAGE(IF($B339="","",XLOOKUP($B339,FILTER(Dictionaries!$B:$B,Dictionaries!$A:$A="??????????"),FILTER(Dictionaries!$C:$C,Dictionaries!$A:$A="??????????"))),IF($C339="","",MIN($C339/40,1)),IF($D339="","",XLOOKUP($D339,FILTER(Dictionaries!$B:$B,Dictionaries!$A:$A="????"),FILTER(Dictionaries!$C:$C,Dictionaries!$A:$A="????"))),IF($E339="","",MIN($E339/120,1)),IF(OR($F339&lt;&gt;"",$G339&lt;&gt;""),1,""),IF($H339="","",MIN($H339/100,1)),IF($L339="","",XLOOKUP($L339,FILTER(Dictionaries!$B:$B,Dictionaries!$A:$A="???_????"),FILTER(Dictionaries!$C:$C,Dictionaries!$A:$A="???_????"))),IF($M339="","",XLOOKUP($M339,FILTER(Dictionaries!$B:$B,Dictionaries!$A:$A="?????"),FILTER(Dictionaries!$C:$C,Dictionaries!$A:$A="?????"))),IF($N339="","",MIN($N339/100,1)),IF($O339="","",XLOOKUP($O339,FILTER(Dictionaries!$B:$B,Dictionaries!$A:$A="??????????"),FILTER(Dictionaries!$C:$C,Dictionaries!$A:$A="??????????"))),IF($P339="","",XLOOKUP($P339,FILTER(Dictionaries!$B:$B,Dictionaries!$A:$A="???????"),FILTER(Dictionaries!$C:$C,Dictionaries!$A:$A="???????"))),IF($U339="","",LET(t,IF(OR($B339="????",$B339="????"),"train","rest"),k,$U339,p,$V339,f,$W339,c,$X339,k_s,IF(t="train",IF(k="","",IFS(AND(k&gt;=1900,k&lt;=2050),1,AND(k&gt;=1850,k&lt;1900),0.7,AND(k&gt;2050,k&lt;=2100),0.7,TRUE,0.2)),IF(k="","",IFS(AND(k&gt;=1700,k&lt;=1850),1,AND(k&gt;=1650,k&lt;1700),0.7,AND(k&gt;1850,k&lt;=1900),0.7,TRUE,0.2))),p_s,IF(t="train",IF(p="","",IFS(AND(p&gt;=125,p&lt;=135),1,AND(p&gt;=115,p&lt;125),0.7,AND(p&gt;135,p&lt;=145),0.7,AND(p&gt;=105,p&lt;115),0.4,AND(p&gt;145,p&lt;=155),0.4,TRUE,0.2)),IF(p="","",IFS(AND(p&gt;=120,p&lt;=130),1,AND(p&gt;=110,p&lt;120),0.7,AND(p&gt;130,p&lt;=140),0.7,AND(p&gt;=100,p&lt;110),0.4,AND(p&gt;140,p&lt;=150),0.4,TRUE,0.2))),f_s,IF(f="","",IFS(AND(f&gt;=55,f&lt;=65),1,AND(f&gt;=50,f&lt;55),0.7,AND(f&gt;65,f&lt;=70),0.7,AND(f&gt;=45,f&lt;50),0.4,AND(f&gt;70,f&lt;=75),0.4,TRUE,0.2)),c_s,IF(t="train",IF(c="","",IFS(AND(c&gt;=180,c&lt;=210),1,AND(c&gt;=160,c&lt;180),0.7,AND(c&gt;210,c&lt;=230),0.7,AND(c&gt;=140,c&lt;160),0.4,AND(c&gt;230,c&lt;=250),0.4,TRUE,0.2)),IF(c="","",IFS(AND(c&gt;=140,c&lt;=170),1,AND(c&gt;=120,c&lt;140),0.7,AND(c&gt;170,c&lt;=190),0.7,AND(c&gt;=100,c&lt;120),0.4,AND(c&gt;190,c&lt;=210),0.4,TRUE,0.2))),AVERAGE(k_s,p_s,f_s,c_s)))),1),""))</f>
        <v/>
      </c>
      <c r="Z339">
        <f>IF($A339="","",TEXTJOIN(", ",TRUE,IF($B339="","??????????",""),IF($C339="","??????",""),IF($D339="","????",""),IF($E339="","??????????",""),IF($F339="","???-?????",""),IF($G339="","???-????",""),IF($H339="","??????",""),IF($L339="","???",""),IF($M339="","?????",""),IF($N339="","??????????????",""),IF($O339="","??????????",""),IF($P339="","???????",""),IF($U339="","???","")))</f>
        <v/>
      </c>
    </row>
    <row r="340">
      <c r="U340">
        <f>IF($A340="","",IF(SUMIF(FoodLog!$A:$A,$A340,FoodLog!$I:$I)=0,"",SUMIF(FoodLog!$A:$A,$A340,FoodLog!$I:$I)))</f>
        <v/>
      </c>
      <c r="V340">
        <f>IF($A340="","",IF(SUMIF(FoodLog!$A:$A,$A340,FoodLog!$F:$F)=0,"",SUMIF(FoodLog!$A:$A,$A340,FoodLog!$F:$F)))</f>
        <v/>
      </c>
      <c r="W340">
        <f>IF($A340="","",IF(SUMIF(FoodLog!$A:$A,$A340,FoodLog!$G:$G)=0,"",SUMIF(FoodLog!$A:$A,$A340,FoodLog!$G:$G)))</f>
        <v/>
      </c>
      <c r="X340">
        <f>IF($A340="","",IF(SUMIF(FoodLog!$A:$A,$A340,FoodLog!$H:$H)=0,"",SUMIF(FoodLog!$A:$A,$A340,FoodLog!$H:$H)))</f>
        <v/>
      </c>
      <c r="Y340">
        <f>IF($A340="","",IFERROR(ROUND(100*AVERAGE(IF($B340="","",XLOOKUP($B340,FILTER(Dictionaries!$B:$B,Dictionaries!$A:$A="??????????"),FILTER(Dictionaries!$C:$C,Dictionaries!$A:$A="??????????"))),IF($C340="","",MIN($C340/40,1)),IF($D340="","",XLOOKUP($D340,FILTER(Dictionaries!$B:$B,Dictionaries!$A:$A="????"),FILTER(Dictionaries!$C:$C,Dictionaries!$A:$A="????"))),IF($E340="","",MIN($E340/120,1)),IF(OR($F340&lt;&gt;"",$G340&lt;&gt;""),1,""),IF($H340="","",MIN($H340/100,1)),IF($L340="","",XLOOKUP($L340,FILTER(Dictionaries!$B:$B,Dictionaries!$A:$A="???_????"),FILTER(Dictionaries!$C:$C,Dictionaries!$A:$A="???_????"))),IF($M340="","",XLOOKUP($M340,FILTER(Dictionaries!$B:$B,Dictionaries!$A:$A="?????"),FILTER(Dictionaries!$C:$C,Dictionaries!$A:$A="?????"))),IF($N340="","",MIN($N340/100,1)),IF($O340="","",XLOOKUP($O340,FILTER(Dictionaries!$B:$B,Dictionaries!$A:$A="??????????"),FILTER(Dictionaries!$C:$C,Dictionaries!$A:$A="??????????"))),IF($P340="","",XLOOKUP($P340,FILTER(Dictionaries!$B:$B,Dictionaries!$A:$A="???????"),FILTER(Dictionaries!$C:$C,Dictionaries!$A:$A="???????"))),IF($U340="","",LET(t,IF(OR($B340="????",$B340="????"),"train","rest"),k,$U340,p,$V340,f,$W340,c,$X340,k_s,IF(t="train",IF(k="","",IFS(AND(k&gt;=1900,k&lt;=2050),1,AND(k&gt;=1850,k&lt;1900),0.7,AND(k&gt;2050,k&lt;=2100),0.7,TRUE,0.2)),IF(k="","",IFS(AND(k&gt;=1700,k&lt;=1850),1,AND(k&gt;=1650,k&lt;1700),0.7,AND(k&gt;1850,k&lt;=1900),0.7,TRUE,0.2))),p_s,IF(t="train",IF(p="","",IFS(AND(p&gt;=125,p&lt;=135),1,AND(p&gt;=115,p&lt;125),0.7,AND(p&gt;135,p&lt;=145),0.7,AND(p&gt;=105,p&lt;115),0.4,AND(p&gt;145,p&lt;=155),0.4,TRUE,0.2)),IF(p="","",IFS(AND(p&gt;=120,p&lt;=130),1,AND(p&gt;=110,p&lt;120),0.7,AND(p&gt;130,p&lt;=140),0.7,AND(p&gt;=100,p&lt;110),0.4,AND(p&gt;140,p&lt;=150),0.4,TRUE,0.2))),f_s,IF(f="","",IFS(AND(f&gt;=55,f&lt;=65),1,AND(f&gt;=50,f&lt;55),0.7,AND(f&gt;65,f&lt;=70),0.7,AND(f&gt;=45,f&lt;50),0.4,AND(f&gt;70,f&lt;=75),0.4,TRUE,0.2)),c_s,IF(t="train",IF(c="","",IFS(AND(c&gt;=180,c&lt;=210),1,AND(c&gt;=160,c&lt;180),0.7,AND(c&gt;210,c&lt;=230),0.7,AND(c&gt;=140,c&lt;160),0.4,AND(c&gt;230,c&lt;=250),0.4,TRUE,0.2)),IF(c="","",IFS(AND(c&gt;=140,c&lt;=170),1,AND(c&gt;=120,c&lt;140),0.7,AND(c&gt;170,c&lt;=190),0.7,AND(c&gt;=100,c&lt;120),0.4,AND(c&gt;190,c&lt;=210),0.4,TRUE,0.2))),AVERAGE(k_s,p_s,f_s,c_s)))),1),""))</f>
        <v/>
      </c>
      <c r="Z340">
        <f>IF($A340="","",TEXTJOIN(", ",TRUE,IF($B340="","??????????",""),IF($C340="","??????",""),IF($D340="","????",""),IF($E340="","??????????",""),IF($F340="","???-?????",""),IF($G340="","???-????",""),IF($H340="","??????",""),IF($L340="","???",""),IF($M340="","?????",""),IF($N340="","??????????????",""),IF($O340="","??????????",""),IF($P340="","???????",""),IF($U340="","???","")))</f>
        <v/>
      </c>
    </row>
    <row r="341">
      <c r="U341">
        <f>IF($A341="","",IF(SUMIF(FoodLog!$A:$A,$A341,FoodLog!$I:$I)=0,"",SUMIF(FoodLog!$A:$A,$A341,FoodLog!$I:$I)))</f>
        <v/>
      </c>
      <c r="V341">
        <f>IF($A341="","",IF(SUMIF(FoodLog!$A:$A,$A341,FoodLog!$F:$F)=0,"",SUMIF(FoodLog!$A:$A,$A341,FoodLog!$F:$F)))</f>
        <v/>
      </c>
      <c r="W341">
        <f>IF($A341="","",IF(SUMIF(FoodLog!$A:$A,$A341,FoodLog!$G:$G)=0,"",SUMIF(FoodLog!$A:$A,$A341,FoodLog!$G:$G)))</f>
        <v/>
      </c>
      <c r="X341">
        <f>IF($A341="","",IF(SUMIF(FoodLog!$A:$A,$A341,FoodLog!$H:$H)=0,"",SUMIF(FoodLog!$A:$A,$A341,FoodLog!$H:$H)))</f>
        <v/>
      </c>
      <c r="Y341">
        <f>IF($A341="","",IFERROR(ROUND(100*AVERAGE(IF($B341="","",XLOOKUP($B341,FILTER(Dictionaries!$B:$B,Dictionaries!$A:$A="??????????"),FILTER(Dictionaries!$C:$C,Dictionaries!$A:$A="??????????"))),IF($C341="","",MIN($C341/40,1)),IF($D341="","",XLOOKUP($D341,FILTER(Dictionaries!$B:$B,Dictionaries!$A:$A="????"),FILTER(Dictionaries!$C:$C,Dictionaries!$A:$A="????"))),IF($E341="","",MIN($E341/120,1)),IF(OR($F341&lt;&gt;"",$G341&lt;&gt;""),1,""),IF($H341="","",MIN($H341/100,1)),IF($L341="","",XLOOKUP($L341,FILTER(Dictionaries!$B:$B,Dictionaries!$A:$A="???_????"),FILTER(Dictionaries!$C:$C,Dictionaries!$A:$A="???_????"))),IF($M341="","",XLOOKUP($M341,FILTER(Dictionaries!$B:$B,Dictionaries!$A:$A="?????"),FILTER(Dictionaries!$C:$C,Dictionaries!$A:$A="?????"))),IF($N341="","",MIN($N341/100,1)),IF($O341="","",XLOOKUP($O341,FILTER(Dictionaries!$B:$B,Dictionaries!$A:$A="??????????"),FILTER(Dictionaries!$C:$C,Dictionaries!$A:$A="??????????"))),IF($P341="","",XLOOKUP($P341,FILTER(Dictionaries!$B:$B,Dictionaries!$A:$A="???????"),FILTER(Dictionaries!$C:$C,Dictionaries!$A:$A="???????"))),IF($U341="","",LET(t,IF(OR($B341="????",$B341="????"),"train","rest"),k,$U341,p,$V341,f,$W341,c,$X341,k_s,IF(t="train",IF(k="","",IFS(AND(k&gt;=1900,k&lt;=2050),1,AND(k&gt;=1850,k&lt;1900),0.7,AND(k&gt;2050,k&lt;=2100),0.7,TRUE,0.2)),IF(k="","",IFS(AND(k&gt;=1700,k&lt;=1850),1,AND(k&gt;=1650,k&lt;1700),0.7,AND(k&gt;1850,k&lt;=1900),0.7,TRUE,0.2))),p_s,IF(t="train",IF(p="","",IFS(AND(p&gt;=125,p&lt;=135),1,AND(p&gt;=115,p&lt;125),0.7,AND(p&gt;135,p&lt;=145),0.7,AND(p&gt;=105,p&lt;115),0.4,AND(p&gt;145,p&lt;=155),0.4,TRUE,0.2)),IF(p="","",IFS(AND(p&gt;=120,p&lt;=130),1,AND(p&gt;=110,p&lt;120),0.7,AND(p&gt;130,p&lt;=140),0.7,AND(p&gt;=100,p&lt;110),0.4,AND(p&gt;140,p&lt;=150),0.4,TRUE,0.2))),f_s,IF(f="","",IFS(AND(f&gt;=55,f&lt;=65),1,AND(f&gt;=50,f&lt;55),0.7,AND(f&gt;65,f&lt;=70),0.7,AND(f&gt;=45,f&lt;50),0.4,AND(f&gt;70,f&lt;=75),0.4,TRUE,0.2)),c_s,IF(t="train",IF(c="","",IFS(AND(c&gt;=180,c&lt;=210),1,AND(c&gt;=160,c&lt;180),0.7,AND(c&gt;210,c&lt;=230),0.7,AND(c&gt;=140,c&lt;160),0.4,AND(c&gt;230,c&lt;=250),0.4,TRUE,0.2)),IF(c="","",IFS(AND(c&gt;=140,c&lt;=170),1,AND(c&gt;=120,c&lt;140),0.7,AND(c&gt;170,c&lt;=190),0.7,AND(c&gt;=100,c&lt;120),0.4,AND(c&gt;190,c&lt;=210),0.4,TRUE,0.2))),AVERAGE(k_s,p_s,f_s,c_s)))),1),""))</f>
        <v/>
      </c>
      <c r="Z341">
        <f>IF($A341="","",TEXTJOIN(", ",TRUE,IF($B341="","??????????",""),IF($C341="","??????",""),IF($D341="","????",""),IF($E341="","??????????",""),IF($F341="","???-?????",""),IF($G341="","???-????",""),IF($H341="","??????",""),IF($L341="","???",""),IF($M341="","?????",""),IF($N341="","??????????????",""),IF($O341="","??????????",""),IF($P341="","???????",""),IF($U341="","???","")))</f>
        <v/>
      </c>
    </row>
    <row r="342">
      <c r="U342">
        <f>IF($A342="","",IF(SUMIF(FoodLog!$A:$A,$A342,FoodLog!$I:$I)=0,"",SUMIF(FoodLog!$A:$A,$A342,FoodLog!$I:$I)))</f>
        <v/>
      </c>
      <c r="V342">
        <f>IF($A342="","",IF(SUMIF(FoodLog!$A:$A,$A342,FoodLog!$F:$F)=0,"",SUMIF(FoodLog!$A:$A,$A342,FoodLog!$F:$F)))</f>
        <v/>
      </c>
      <c r="W342">
        <f>IF($A342="","",IF(SUMIF(FoodLog!$A:$A,$A342,FoodLog!$G:$G)=0,"",SUMIF(FoodLog!$A:$A,$A342,FoodLog!$G:$G)))</f>
        <v/>
      </c>
      <c r="X342">
        <f>IF($A342="","",IF(SUMIF(FoodLog!$A:$A,$A342,FoodLog!$H:$H)=0,"",SUMIF(FoodLog!$A:$A,$A342,FoodLog!$H:$H)))</f>
        <v/>
      </c>
      <c r="Y342">
        <f>IF($A342="","",IFERROR(ROUND(100*AVERAGE(IF($B342="","",XLOOKUP($B342,FILTER(Dictionaries!$B:$B,Dictionaries!$A:$A="??????????"),FILTER(Dictionaries!$C:$C,Dictionaries!$A:$A="??????????"))),IF($C342="","",MIN($C342/40,1)),IF($D342="","",XLOOKUP($D342,FILTER(Dictionaries!$B:$B,Dictionaries!$A:$A="????"),FILTER(Dictionaries!$C:$C,Dictionaries!$A:$A="????"))),IF($E342="","",MIN($E342/120,1)),IF(OR($F342&lt;&gt;"",$G342&lt;&gt;""),1,""),IF($H342="","",MIN($H342/100,1)),IF($L342="","",XLOOKUP($L342,FILTER(Dictionaries!$B:$B,Dictionaries!$A:$A="???_????"),FILTER(Dictionaries!$C:$C,Dictionaries!$A:$A="???_????"))),IF($M342="","",XLOOKUP($M342,FILTER(Dictionaries!$B:$B,Dictionaries!$A:$A="?????"),FILTER(Dictionaries!$C:$C,Dictionaries!$A:$A="?????"))),IF($N342="","",MIN($N342/100,1)),IF($O342="","",XLOOKUP($O342,FILTER(Dictionaries!$B:$B,Dictionaries!$A:$A="??????????"),FILTER(Dictionaries!$C:$C,Dictionaries!$A:$A="??????????"))),IF($P342="","",XLOOKUP($P342,FILTER(Dictionaries!$B:$B,Dictionaries!$A:$A="???????"),FILTER(Dictionaries!$C:$C,Dictionaries!$A:$A="???????"))),IF($U342="","",LET(t,IF(OR($B342="????",$B342="????"),"train","rest"),k,$U342,p,$V342,f,$W342,c,$X342,k_s,IF(t="train",IF(k="","",IFS(AND(k&gt;=1900,k&lt;=2050),1,AND(k&gt;=1850,k&lt;1900),0.7,AND(k&gt;2050,k&lt;=2100),0.7,TRUE,0.2)),IF(k="","",IFS(AND(k&gt;=1700,k&lt;=1850),1,AND(k&gt;=1650,k&lt;1700),0.7,AND(k&gt;1850,k&lt;=1900),0.7,TRUE,0.2))),p_s,IF(t="train",IF(p="","",IFS(AND(p&gt;=125,p&lt;=135),1,AND(p&gt;=115,p&lt;125),0.7,AND(p&gt;135,p&lt;=145),0.7,AND(p&gt;=105,p&lt;115),0.4,AND(p&gt;145,p&lt;=155),0.4,TRUE,0.2)),IF(p="","",IFS(AND(p&gt;=120,p&lt;=130),1,AND(p&gt;=110,p&lt;120),0.7,AND(p&gt;130,p&lt;=140),0.7,AND(p&gt;=100,p&lt;110),0.4,AND(p&gt;140,p&lt;=150),0.4,TRUE,0.2))),f_s,IF(f="","",IFS(AND(f&gt;=55,f&lt;=65),1,AND(f&gt;=50,f&lt;55),0.7,AND(f&gt;65,f&lt;=70),0.7,AND(f&gt;=45,f&lt;50),0.4,AND(f&gt;70,f&lt;=75),0.4,TRUE,0.2)),c_s,IF(t="train",IF(c="","",IFS(AND(c&gt;=180,c&lt;=210),1,AND(c&gt;=160,c&lt;180),0.7,AND(c&gt;210,c&lt;=230),0.7,AND(c&gt;=140,c&lt;160),0.4,AND(c&gt;230,c&lt;=250),0.4,TRUE,0.2)),IF(c="","",IFS(AND(c&gt;=140,c&lt;=170),1,AND(c&gt;=120,c&lt;140),0.7,AND(c&gt;170,c&lt;=190),0.7,AND(c&gt;=100,c&lt;120),0.4,AND(c&gt;190,c&lt;=210),0.4,TRUE,0.2))),AVERAGE(k_s,p_s,f_s,c_s)))),1),""))</f>
        <v/>
      </c>
      <c r="Z342">
        <f>IF($A342="","",TEXTJOIN(", ",TRUE,IF($B342="","??????????",""),IF($C342="","??????",""),IF($D342="","????",""),IF($E342="","??????????",""),IF($F342="","???-?????",""),IF($G342="","???-????",""),IF($H342="","??????",""),IF($L342="","???",""),IF($M342="","?????",""),IF($N342="","??????????????",""),IF($O342="","??????????",""),IF($P342="","???????",""),IF($U342="","???","")))</f>
        <v/>
      </c>
    </row>
    <row r="343">
      <c r="U343">
        <f>IF($A343="","",IF(SUMIF(FoodLog!$A:$A,$A343,FoodLog!$I:$I)=0,"",SUMIF(FoodLog!$A:$A,$A343,FoodLog!$I:$I)))</f>
        <v/>
      </c>
      <c r="V343">
        <f>IF($A343="","",IF(SUMIF(FoodLog!$A:$A,$A343,FoodLog!$F:$F)=0,"",SUMIF(FoodLog!$A:$A,$A343,FoodLog!$F:$F)))</f>
        <v/>
      </c>
      <c r="W343">
        <f>IF($A343="","",IF(SUMIF(FoodLog!$A:$A,$A343,FoodLog!$G:$G)=0,"",SUMIF(FoodLog!$A:$A,$A343,FoodLog!$G:$G)))</f>
        <v/>
      </c>
      <c r="X343">
        <f>IF($A343="","",IF(SUMIF(FoodLog!$A:$A,$A343,FoodLog!$H:$H)=0,"",SUMIF(FoodLog!$A:$A,$A343,FoodLog!$H:$H)))</f>
        <v/>
      </c>
      <c r="Y343">
        <f>IF($A343="","",IFERROR(ROUND(100*AVERAGE(IF($B343="","",XLOOKUP($B343,FILTER(Dictionaries!$B:$B,Dictionaries!$A:$A="??????????"),FILTER(Dictionaries!$C:$C,Dictionaries!$A:$A="??????????"))),IF($C343="","",MIN($C343/40,1)),IF($D343="","",XLOOKUP($D343,FILTER(Dictionaries!$B:$B,Dictionaries!$A:$A="????"),FILTER(Dictionaries!$C:$C,Dictionaries!$A:$A="????"))),IF($E343="","",MIN($E343/120,1)),IF(OR($F343&lt;&gt;"",$G343&lt;&gt;""),1,""),IF($H343="","",MIN($H343/100,1)),IF($L343="","",XLOOKUP($L343,FILTER(Dictionaries!$B:$B,Dictionaries!$A:$A="???_????"),FILTER(Dictionaries!$C:$C,Dictionaries!$A:$A="???_????"))),IF($M343="","",XLOOKUP($M343,FILTER(Dictionaries!$B:$B,Dictionaries!$A:$A="?????"),FILTER(Dictionaries!$C:$C,Dictionaries!$A:$A="?????"))),IF($N343="","",MIN($N343/100,1)),IF($O343="","",XLOOKUP($O343,FILTER(Dictionaries!$B:$B,Dictionaries!$A:$A="??????????"),FILTER(Dictionaries!$C:$C,Dictionaries!$A:$A="??????????"))),IF($P343="","",XLOOKUP($P343,FILTER(Dictionaries!$B:$B,Dictionaries!$A:$A="???????"),FILTER(Dictionaries!$C:$C,Dictionaries!$A:$A="???????"))),IF($U343="","",LET(t,IF(OR($B343="????",$B343="????"),"train","rest"),k,$U343,p,$V343,f,$W343,c,$X343,k_s,IF(t="train",IF(k="","",IFS(AND(k&gt;=1900,k&lt;=2050),1,AND(k&gt;=1850,k&lt;1900),0.7,AND(k&gt;2050,k&lt;=2100),0.7,TRUE,0.2)),IF(k="","",IFS(AND(k&gt;=1700,k&lt;=1850),1,AND(k&gt;=1650,k&lt;1700),0.7,AND(k&gt;1850,k&lt;=1900),0.7,TRUE,0.2))),p_s,IF(t="train",IF(p="","",IFS(AND(p&gt;=125,p&lt;=135),1,AND(p&gt;=115,p&lt;125),0.7,AND(p&gt;135,p&lt;=145),0.7,AND(p&gt;=105,p&lt;115),0.4,AND(p&gt;145,p&lt;=155),0.4,TRUE,0.2)),IF(p="","",IFS(AND(p&gt;=120,p&lt;=130),1,AND(p&gt;=110,p&lt;120),0.7,AND(p&gt;130,p&lt;=140),0.7,AND(p&gt;=100,p&lt;110),0.4,AND(p&gt;140,p&lt;=150),0.4,TRUE,0.2))),f_s,IF(f="","",IFS(AND(f&gt;=55,f&lt;=65),1,AND(f&gt;=50,f&lt;55),0.7,AND(f&gt;65,f&lt;=70),0.7,AND(f&gt;=45,f&lt;50),0.4,AND(f&gt;70,f&lt;=75),0.4,TRUE,0.2)),c_s,IF(t="train",IF(c="","",IFS(AND(c&gt;=180,c&lt;=210),1,AND(c&gt;=160,c&lt;180),0.7,AND(c&gt;210,c&lt;=230),0.7,AND(c&gt;=140,c&lt;160),0.4,AND(c&gt;230,c&lt;=250),0.4,TRUE,0.2)),IF(c="","",IFS(AND(c&gt;=140,c&lt;=170),1,AND(c&gt;=120,c&lt;140),0.7,AND(c&gt;170,c&lt;=190),0.7,AND(c&gt;=100,c&lt;120),0.4,AND(c&gt;190,c&lt;=210),0.4,TRUE,0.2))),AVERAGE(k_s,p_s,f_s,c_s)))),1),""))</f>
        <v/>
      </c>
      <c r="Z343">
        <f>IF($A343="","",TEXTJOIN(", ",TRUE,IF($B343="","??????????",""),IF($C343="","??????",""),IF($D343="","????",""),IF($E343="","??????????",""),IF($F343="","???-?????",""),IF($G343="","???-????",""),IF($H343="","??????",""),IF($L343="","???",""),IF($M343="","?????",""),IF($N343="","??????????????",""),IF($O343="","??????????",""),IF($P343="","???????",""),IF($U343="","???","")))</f>
        <v/>
      </c>
    </row>
    <row r="344">
      <c r="U344">
        <f>IF($A344="","",IF(SUMIF(FoodLog!$A:$A,$A344,FoodLog!$I:$I)=0,"",SUMIF(FoodLog!$A:$A,$A344,FoodLog!$I:$I)))</f>
        <v/>
      </c>
      <c r="V344">
        <f>IF($A344="","",IF(SUMIF(FoodLog!$A:$A,$A344,FoodLog!$F:$F)=0,"",SUMIF(FoodLog!$A:$A,$A344,FoodLog!$F:$F)))</f>
        <v/>
      </c>
      <c r="W344">
        <f>IF($A344="","",IF(SUMIF(FoodLog!$A:$A,$A344,FoodLog!$G:$G)=0,"",SUMIF(FoodLog!$A:$A,$A344,FoodLog!$G:$G)))</f>
        <v/>
      </c>
      <c r="X344">
        <f>IF($A344="","",IF(SUMIF(FoodLog!$A:$A,$A344,FoodLog!$H:$H)=0,"",SUMIF(FoodLog!$A:$A,$A344,FoodLog!$H:$H)))</f>
        <v/>
      </c>
      <c r="Y344">
        <f>IF($A344="","",IFERROR(ROUND(100*AVERAGE(IF($B344="","",XLOOKUP($B344,FILTER(Dictionaries!$B:$B,Dictionaries!$A:$A="??????????"),FILTER(Dictionaries!$C:$C,Dictionaries!$A:$A="??????????"))),IF($C344="","",MIN($C344/40,1)),IF($D344="","",XLOOKUP($D344,FILTER(Dictionaries!$B:$B,Dictionaries!$A:$A="????"),FILTER(Dictionaries!$C:$C,Dictionaries!$A:$A="????"))),IF($E344="","",MIN($E344/120,1)),IF(OR($F344&lt;&gt;"",$G344&lt;&gt;""),1,""),IF($H344="","",MIN($H344/100,1)),IF($L344="","",XLOOKUP($L344,FILTER(Dictionaries!$B:$B,Dictionaries!$A:$A="???_????"),FILTER(Dictionaries!$C:$C,Dictionaries!$A:$A="???_????"))),IF($M344="","",XLOOKUP($M344,FILTER(Dictionaries!$B:$B,Dictionaries!$A:$A="?????"),FILTER(Dictionaries!$C:$C,Dictionaries!$A:$A="?????"))),IF($N344="","",MIN($N344/100,1)),IF($O344="","",XLOOKUP($O344,FILTER(Dictionaries!$B:$B,Dictionaries!$A:$A="??????????"),FILTER(Dictionaries!$C:$C,Dictionaries!$A:$A="??????????"))),IF($P344="","",XLOOKUP($P344,FILTER(Dictionaries!$B:$B,Dictionaries!$A:$A="???????"),FILTER(Dictionaries!$C:$C,Dictionaries!$A:$A="???????"))),IF($U344="","",LET(t,IF(OR($B344="????",$B344="????"),"train","rest"),k,$U344,p,$V344,f,$W344,c,$X344,k_s,IF(t="train",IF(k="","",IFS(AND(k&gt;=1900,k&lt;=2050),1,AND(k&gt;=1850,k&lt;1900),0.7,AND(k&gt;2050,k&lt;=2100),0.7,TRUE,0.2)),IF(k="","",IFS(AND(k&gt;=1700,k&lt;=1850),1,AND(k&gt;=1650,k&lt;1700),0.7,AND(k&gt;1850,k&lt;=1900),0.7,TRUE,0.2))),p_s,IF(t="train",IF(p="","",IFS(AND(p&gt;=125,p&lt;=135),1,AND(p&gt;=115,p&lt;125),0.7,AND(p&gt;135,p&lt;=145),0.7,AND(p&gt;=105,p&lt;115),0.4,AND(p&gt;145,p&lt;=155),0.4,TRUE,0.2)),IF(p="","",IFS(AND(p&gt;=120,p&lt;=130),1,AND(p&gt;=110,p&lt;120),0.7,AND(p&gt;130,p&lt;=140),0.7,AND(p&gt;=100,p&lt;110),0.4,AND(p&gt;140,p&lt;=150),0.4,TRUE,0.2))),f_s,IF(f="","",IFS(AND(f&gt;=55,f&lt;=65),1,AND(f&gt;=50,f&lt;55),0.7,AND(f&gt;65,f&lt;=70),0.7,AND(f&gt;=45,f&lt;50),0.4,AND(f&gt;70,f&lt;=75),0.4,TRUE,0.2)),c_s,IF(t="train",IF(c="","",IFS(AND(c&gt;=180,c&lt;=210),1,AND(c&gt;=160,c&lt;180),0.7,AND(c&gt;210,c&lt;=230),0.7,AND(c&gt;=140,c&lt;160),0.4,AND(c&gt;230,c&lt;=250),0.4,TRUE,0.2)),IF(c="","",IFS(AND(c&gt;=140,c&lt;=170),1,AND(c&gt;=120,c&lt;140),0.7,AND(c&gt;170,c&lt;=190),0.7,AND(c&gt;=100,c&lt;120),0.4,AND(c&gt;190,c&lt;=210),0.4,TRUE,0.2))),AVERAGE(k_s,p_s,f_s,c_s)))),1),""))</f>
        <v/>
      </c>
      <c r="Z344">
        <f>IF($A344="","",TEXTJOIN(", ",TRUE,IF($B344="","??????????",""),IF($C344="","??????",""),IF($D344="","????",""),IF($E344="","??????????",""),IF($F344="","???-?????",""),IF($G344="","???-????",""),IF($H344="","??????",""),IF($L344="","???",""),IF($M344="","?????",""),IF($N344="","??????????????",""),IF($O344="","??????????",""),IF($P344="","???????",""),IF($U344="","???","")))</f>
        <v/>
      </c>
    </row>
    <row r="345">
      <c r="U345">
        <f>IF($A345="","",IF(SUMIF(FoodLog!$A:$A,$A345,FoodLog!$I:$I)=0,"",SUMIF(FoodLog!$A:$A,$A345,FoodLog!$I:$I)))</f>
        <v/>
      </c>
      <c r="V345">
        <f>IF($A345="","",IF(SUMIF(FoodLog!$A:$A,$A345,FoodLog!$F:$F)=0,"",SUMIF(FoodLog!$A:$A,$A345,FoodLog!$F:$F)))</f>
        <v/>
      </c>
      <c r="W345">
        <f>IF($A345="","",IF(SUMIF(FoodLog!$A:$A,$A345,FoodLog!$G:$G)=0,"",SUMIF(FoodLog!$A:$A,$A345,FoodLog!$G:$G)))</f>
        <v/>
      </c>
      <c r="X345">
        <f>IF($A345="","",IF(SUMIF(FoodLog!$A:$A,$A345,FoodLog!$H:$H)=0,"",SUMIF(FoodLog!$A:$A,$A345,FoodLog!$H:$H)))</f>
        <v/>
      </c>
      <c r="Y345">
        <f>IF($A345="","",IFERROR(ROUND(100*AVERAGE(IF($B345="","",XLOOKUP($B345,FILTER(Dictionaries!$B:$B,Dictionaries!$A:$A="??????????"),FILTER(Dictionaries!$C:$C,Dictionaries!$A:$A="??????????"))),IF($C345="","",MIN($C345/40,1)),IF($D345="","",XLOOKUP($D345,FILTER(Dictionaries!$B:$B,Dictionaries!$A:$A="????"),FILTER(Dictionaries!$C:$C,Dictionaries!$A:$A="????"))),IF($E345="","",MIN($E345/120,1)),IF(OR($F345&lt;&gt;"",$G345&lt;&gt;""),1,""),IF($H345="","",MIN($H345/100,1)),IF($L345="","",XLOOKUP($L345,FILTER(Dictionaries!$B:$B,Dictionaries!$A:$A="???_????"),FILTER(Dictionaries!$C:$C,Dictionaries!$A:$A="???_????"))),IF($M345="","",XLOOKUP($M345,FILTER(Dictionaries!$B:$B,Dictionaries!$A:$A="?????"),FILTER(Dictionaries!$C:$C,Dictionaries!$A:$A="?????"))),IF($N345="","",MIN($N345/100,1)),IF($O345="","",XLOOKUP($O345,FILTER(Dictionaries!$B:$B,Dictionaries!$A:$A="??????????"),FILTER(Dictionaries!$C:$C,Dictionaries!$A:$A="??????????"))),IF($P345="","",XLOOKUP($P345,FILTER(Dictionaries!$B:$B,Dictionaries!$A:$A="???????"),FILTER(Dictionaries!$C:$C,Dictionaries!$A:$A="???????"))),IF($U345="","",LET(t,IF(OR($B345="????",$B345="????"),"train","rest"),k,$U345,p,$V345,f,$W345,c,$X345,k_s,IF(t="train",IF(k="","",IFS(AND(k&gt;=1900,k&lt;=2050),1,AND(k&gt;=1850,k&lt;1900),0.7,AND(k&gt;2050,k&lt;=2100),0.7,TRUE,0.2)),IF(k="","",IFS(AND(k&gt;=1700,k&lt;=1850),1,AND(k&gt;=1650,k&lt;1700),0.7,AND(k&gt;1850,k&lt;=1900),0.7,TRUE,0.2))),p_s,IF(t="train",IF(p="","",IFS(AND(p&gt;=125,p&lt;=135),1,AND(p&gt;=115,p&lt;125),0.7,AND(p&gt;135,p&lt;=145),0.7,AND(p&gt;=105,p&lt;115),0.4,AND(p&gt;145,p&lt;=155),0.4,TRUE,0.2)),IF(p="","",IFS(AND(p&gt;=120,p&lt;=130),1,AND(p&gt;=110,p&lt;120),0.7,AND(p&gt;130,p&lt;=140),0.7,AND(p&gt;=100,p&lt;110),0.4,AND(p&gt;140,p&lt;=150),0.4,TRUE,0.2))),f_s,IF(f="","",IFS(AND(f&gt;=55,f&lt;=65),1,AND(f&gt;=50,f&lt;55),0.7,AND(f&gt;65,f&lt;=70),0.7,AND(f&gt;=45,f&lt;50),0.4,AND(f&gt;70,f&lt;=75),0.4,TRUE,0.2)),c_s,IF(t="train",IF(c="","",IFS(AND(c&gt;=180,c&lt;=210),1,AND(c&gt;=160,c&lt;180),0.7,AND(c&gt;210,c&lt;=230),0.7,AND(c&gt;=140,c&lt;160),0.4,AND(c&gt;230,c&lt;=250),0.4,TRUE,0.2)),IF(c="","",IFS(AND(c&gt;=140,c&lt;=170),1,AND(c&gt;=120,c&lt;140),0.7,AND(c&gt;170,c&lt;=190),0.7,AND(c&gt;=100,c&lt;120),0.4,AND(c&gt;190,c&lt;=210),0.4,TRUE,0.2))),AVERAGE(k_s,p_s,f_s,c_s)))),1),""))</f>
        <v/>
      </c>
      <c r="Z345">
        <f>IF($A345="","",TEXTJOIN(", ",TRUE,IF($B345="","??????????",""),IF($C345="","??????",""),IF($D345="","????",""),IF($E345="","??????????",""),IF($F345="","???-?????",""),IF($G345="","???-????",""),IF($H345="","??????",""),IF($L345="","???",""),IF($M345="","?????",""),IF($N345="","??????????????",""),IF($O345="","??????????",""),IF($P345="","???????",""),IF($U345="","???","")))</f>
        <v/>
      </c>
    </row>
    <row r="346">
      <c r="U346">
        <f>IF($A346="","",IF(SUMIF(FoodLog!$A:$A,$A346,FoodLog!$I:$I)=0,"",SUMIF(FoodLog!$A:$A,$A346,FoodLog!$I:$I)))</f>
        <v/>
      </c>
      <c r="V346">
        <f>IF($A346="","",IF(SUMIF(FoodLog!$A:$A,$A346,FoodLog!$F:$F)=0,"",SUMIF(FoodLog!$A:$A,$A346,FoodLog!$F:$F)))</f>
        <v/>
      </c>
      <c r="W346">
        <f>IF($A346="","",IF(SUMIF(FoodLog!$A:$A,$A346,FoodLog!$G:$G)=0,"",SUMIF(FoodLog!$A:$A,$A346,FoodLog!$G:$G)))</f>
        <v/>
      </c>
      <c r="X346">
        <f>IF($A346="","",IF(SUMIF(FoodLog!$A:$A,$A346,FoodLog!$H:$H)=0,"",SUMIF(FoodLog!$A:$A,$A346,FoodLog!$H:$H)))</f>
        <v/>
      </c>
      <c r="Y346">
        <f>IF($A346="","",IFERROR(ROUND(100*AVERAGE(IF($B346="","",XLOOKUP($B346,FILTER(Dictionaries!$B:$B,Dictionaries!$A:$A="??????????"),FILTER(Dictionaries!$C:$C,Dictionaries!$A:$A="??????????"))),IF($C346="","",MIN($C346/40,1)),IF($D346="","",XLOOKUP($D346,FILTER(Dictionaries!$B:$B,Dictionaries!$A:$A="????"),FILTER(Dictionaries!$C:$C,Dictionaries!$A:$A="????"))),IF($E346="","",MIN($E346/120,1)),IF(OR($F346&lt;&gt;"",$G346&lt;&gt;""),1,""),IF($H346="","",MIN($H346/100,1)),IF($L346="","",XLOOKUP($L346,FILTER(Dictionaries!$B:$B,Dictionaries!$A:$A="???_????"),FILTER(Dictionaries!$C:$C,Dictionaries!$A:$A="???_????"))),IF($M346="","",XLOOKUP($M346,FILTER(Dictionaries!$B:$B,Dictionaries!$A:$A="?????"),FILTER(Dictionaries!$C:$C,Dictionaries!$A:$A="?????"))),IF($N346="","",MIN($N346/100,1)),IF($O346="","",XLOOKUP($O346,FILTER(Dictionaries!$B:$B,Dictionaries!$A:$A="??????????"),FILTER(Dictionaries!$C:$C,Dictionaries!$A:$A="??????????"))),IF($P346="","",XLOOKUP($P346,FILTER(Dictionaries!$B:$B,Dictionaries!$A:$A="???????"),FILTER(Dictionaries!$C:$C,Dictionaries!$A:$A="???????"))),IF($U346="","",LET(t,IF(OR($B346="????",$B346="????"),"train","rest"),k,$U346,p,$V346,f,$W346,c,$X346,k_s,IF(t="train",IF(k="","",IFS(AND(k&gt;=1900,k&lt;=2050),1,AND(k&gt;=1850,k&lt;1900),0.7,AND(k&gt;2050,k&lt;=2100),0.7,TRUE,0.2)),IF(k="","",IFS(AND(k&gt;=1700,k&lt;=1850),1,AND(k&gt;=1650,k&lt;1700),0.7,AND(k&gt;1850,k&lt;=1900),0.7,TRUE,0.2))),p_s,IF(t="train",IF(p="","",IFS(AND(p&gt;=125,p&lt;=135),1,AND(p&gt;=115,p&lt;125),0.7,AND(p&gt;135,p&lt;=145),0.7,AND(p&gt;=105,p&lt;115),0.4,AND(p&gt;145,p&lt;=155),0.4,TRUE,0.2)),IF(p="","",IFS(AND(p&gt;=120,p&lt;=130),1,AND(p&gt;=110,p&lt;120),0.7,AND(p&gt;130,p&lt;=140),0.7,AND(p&gt;=100,p&lt;110),0.4,AND(p&gt;140,p&lt;=150),0.4,TRUE,0.2))),f_s,IF(f="","",IFS(AND(f&gt;=55,f&lt;=65),1,AND(f&gt;=50,f&lt;55),0.7,AND(f&gt;65,f&lt;=70),0.7,AND(f&gt;=45,f&lt;50),0.4,AND(f&gt;70,f&lt;=75),0.4,TRUE,0.2)),c_s,IF(t="train",IF(c="","",IFS(AND(c&gt;=180,c&lt;=210),1,AND(c&gt;=160,c&lt;180),0.7,AND(c&gt;210,c&lt;=230),0.7,AND(c&gt;=140,c&lt;160),0.4,AND(c&gt;230,c&lt;=250),0.4,TRUE,0.2)),IF(c="","",IFS(AND(c&gt;=140,c&lt;=170),1,AND(c&gt;=120,c&lt;140),0.7,AND(c&gt;170,c&lt;=190),0.7,AND(c&gt;=100,c&lt;120),0.4,AND(c&gt;190,c&lt;=210),0.4,TRUE,0.2))),AVERAGE(k_s,p_s,f_s,c_s)))),1),""))</f>
        <v/>
      </c>
      <c r="Z346">
        <f>IF($A346="","",TEXTJOIN(", ",TRUE,IF($B346="","??????????",""),IF($C346="","??????",""),IF($D346="","????",""),IF($E346="","??????????",""),IF($F346="","???-?????",""),IF($G346="","???-????",""),IF($H346="","??????",""),IF($L346="","???",""),IF($M346="","?????",""),IF($N346="","??????????????",""),IF($O346="","??????????",""),IF($P346="","???????",""),IF($U346="","???","")))</f>
        <v/>
      </c>
    </row>
    <row r="347">
      <c r="U347">
        <f>IF($A347="","",IF(SUMIF(FoodLog!$A:$A,$A347,FoodLog!$I:$I)=0,"",SUMIF(FoodLog!$A:$A,$A347,FoodLog!$I:$I)))</f>
        <v/>
      </c>
      <c r="V347">
        <f>IF($A347="","",IF(SUMIF(FoodLog!$A:$A,$A347,FoodLog!$F:$F)=0,"",SUMIF(FoodLog!$A:$A,$A347,FoodLog!$F:$F)))</f>
        <v/>
      </c>
      <c r="W347">
        <f>IF($A347="","",IF(SUMIF(FoodLog!$A:$A,$A347,FoodLog!$G:$G)=0,"",SUMIF(FoodLog!$A:$A,$A347,FoodLog!$G:$G)))</f>
        <v/>
      </c>
      <c r="X347">
        <f>IF($A347="","",IF(SUMIF(FoodLog!$A:$A,$A347,FoodLog!$H:$H)=0,"",SUMIF(FoodLog!$A:$A,$A347,FoodLog!$H:$H)))</f>
        <v/>
      </c>
      <c r="Y347">
        <f>IF($A347="","",IFERROR(ROUND(100*AVERAGE(IF($B347="","",XLOOKUP($B347,FILTER(Dictionaries!$B:$B,Dictionaries!$A:$A="??????????"),FILTER(Dictionaries!$C:$C,Dictionaries!$A:$A="??????????"))),IF($C347="","",MIN($C347/40,1)),IF($D347="","",XLOOKUP($D347,FILTER(Dictionaries!$B:$B,Dictionaries!$A:$A="????"),FILTER(Dictionaries!$C:$C,Dictionaries!$A:$A="????"))),IF($E347="","",MIN($E347/120,1)),IF(OR($F347&lt;&gt;"",$G347&lt;&gt;""),1,""),IF($H347="","",MIN($H347/100,1)),IF($L347="","",XLOOKUP($L347,FILTER(Dictionaries!$B:$B,Dictionaries!$A:$A="???_????"),FILTER(Dictionaries!$C:$C,Dictionaries!$A:$A="???_????"))),IF($M347="","",XLOOKUP($M347,FILTER(Dictionaries!$B:$B,Dictionaries!$A:$A="?????"),FILTER(Dictionaries!$C:$C,Dictionaries!$A:$A="?????"))),IF($N347="","",MIN($N347/100,1)),IF($O347="","",XLOOKUP($O347,FILTER(Dictionaries!$B:$B,Dictionaries!$A:$A="??????????"),FILTER(Dictionaries!$C:$C,Dictionaries!$A:$A="??????????"))),IF($P347="","",XLOOKUP($P347,FILTER(Dictionaries!$B:$B,Dictionaries!$A:$A="???????"),FILTER(Dictionaries!$C:$C,Dictionaries!$A:$A="???????"))),IF($U347="","",LET(t,IF(OR($B347="????",$B347="????"),"train","rest"),k,$U347,p,$V347,f,$W347,c,$X347,k_s,IF(t="train",IF(k="","",IFS(AND(k&gt;=1900,k&lt;=2050),1,AND(k&gt;=1850,k&lt;1900),0.7,AND(k&gt;2050,k&lt;=2100),0.7,TRUE,0.2)),IF(k="","",IFS(AND(k&gt;=1700,k&lt;=1850),1,AND(k&gt;=1650,k&lt;1700),0.7,AND(k&gt;1850,k&lt;=1900),0.7,TRUE,0.2))),p_s,IF(t="train",IF(p="","",IFS(AND(p&gt;=125,p&lt;=135),1,AND(p&gt;=115,p&lt;125),0.7,AND(p&gt;135,p&lt;=145),0.7,AND(p&gt;=105,p&lt;115),0.4,AND(p&gt;145,p&lt;=155),0.4,TRUE,0.2)),IF(p="","",IFS(AND(p&gt;=120,p&lt;=130),1,AND(p&gt;=110,p&lt;120),0.7,AND(p&gt;130,p&lt;=140),0.7,AND(p&gt;=100,p&lt;110),0.4,AND(p&gt;140,p&lt;=150),0.4,TRUE,0.2))),f_s,IF(f="","",IFS(AND(f&gt;=55,f&lt;=65),1,AND(f&gt;=50,f&lt;55),0.7,AND(f&gt;65,f&lt;=70),0.7,AND(f&gt;=45,f&lt;50),0.4,AND(f&gt;70,f&lt;=75),0.4,TRUE,0.2)),c_s,IF(t="train",IF(c="","",IFS(AND(c&gt;=180,c&lt;=210),1,AND(c&gt;=160,c&lt;180),0.7,AND(c&gt;210,c&lt;=230),0.7,AND(c&gt;=140,c&lt;160),0.4,AND(c&gt;230,c&lt;=250),0.4,TRUE,0.2)),IF(c="","",IFS(AND(c&gt;=140,c&lt;=170),1,AND(c&gt;=120,c&lt;140),0.7,AND(c&gt;170,c&lt;=190),0.7,AND(c&gt;=100,c&lt;120),0.4,AND(c&gt;190,c&lt;=210),0.4,TRUE,0.2))),AVERAGE(k_s,p_s,f_s,c_s)))),1),""))</f>
        <v/>
      </c>
      <c r="Z347">
        <f>IF($A347="","",TEXTJOIN(", ",TRUE,IF($B347="","??????????",""),IF($C347="","??????",""),IF($D347="","????",""),IF($E347="","??????????",""),IF($F347="","???-?????",""),IF($G347="","???-????",""),IF($H347="","??????",""),IF($L347="","???",""),IF($M347="","?????",""),IF($N347="","??????????????",""),IF($O347="","??????????",""),IF($P347="","???????",""),IF($U347="","???","")))</f>
        <v/>
      </c>
    </row>
    <row r="348">
      <c r="U348">
        <f>IF($A348="","",IF(SUMIF(FoodLog!$A:$A,$A348,FoodLog!$I:$I)=0,"",SUMIF(FoodLog!$A:$A,$A348,FoodLog!$I:$I)))</f>
        <v/>
      </c>
      <c r="V348">
        <f>IF($A348="","",IF(SUMIF(FoodLog!$A:$A,$A348,FoodLog!$F:$F)=0,"",SUMIF(FoodLog!$A:$A,$A348,FoodLog!$F:$F)))</f>
        <v/>
      </c>
      <c r="W348">
        <f>IF($A348="","",IF(SUMIF(FoodLog!$A:$A,$A348,FoodLog!$G:$G)=0,"",SUMIF(FoodLog!$A:$A,$A348,FoodLog!$G:$G)))</f>
        <v/>
      </c>
      <c r="X348">
        <f>IF($A348="","",IF(SUMIF(FoodLog!$A:$A,$A348,FoodLog!$H:$H)=0,"",SUMIF(FoodLog!$A:$A,$A348,FoodLog!$H:$H)))</f>
        <v/>
      </c>
      <c r="Y348">
        <f>IF($A348="","",IFERROR(ROUND(100*AVERAGE(IF($B348="","",XLOOKUP($B348,FILTER(Dictionaries!$B:$B,Dictionaries!$A:$A="??????????"),FILTER(Dictionaries!$C:$C,Dictionaries!$A:$A="??????????"))),IF($C348="","",MIN($C348/40,1)),IF($D348="","",XLOOKUP($D348,FILTER(Dictionaries!$B:$B,Dictionaries!$A:$A="????"),FILTER(Dictionaries!$C:$C,Dictionaries!$A:$A="????"))),IF($E348="","",MIN($E348/120,1)),IF(OR($F348&lt;&gt;"",$G348&lt;&gt;""),1,""),IF($H348="","",MIN($H348/100,1)),IF($L348="","",XLOOKUP($L348,FILTER(Dictionaries!$B:$B,Dictionaries!$A:$A="???_????"),FILTER(Dictionaries!$C:$C,Dictionaries!$A:$A="???_????"))),IF($M348="","",XLOOKUP($M348,FILTER(Dictionaries!$B:$B,Dictionaries!$A:$A="?????"),FILTER(Dictionaries!$C:$C,Dictionaries!$A:$A="?????"))),IF($N348="","",MIN($N348/100,1)),IF($O348="","",XLOOKUP($O348,FILTER(Dictionaries!$B:$B,Dictionaries!$A:$A="??????????"),FILTER(Dictionaries!$C:$C,Dictionaries!$A:$A="??????????"))),IF($P348="","",XLOOKUP($P348,FILTER(Dictionaries!$B:$B,Dictionaries!$A:$A="???????"),FILTER(Dictionaries!$C:$C,Dictionaries!$A:$A="???????"))),IF($U348="","",LET(t,IF(OR($B348="????",$B348="????"),"train","rest"),k,$U348,p,$V348,f,$W348,c,$X348,k_s,IF(t="train",IF(k="","",IFS(AND(k&gt;=1900,k&lt;=2050),1,AND(k&gt;=1850,k&lt;1900),0.7,AND(k&gt;2050,k&lt;=2100),0.7,TRUE,0.2)),IF(k="","",IFS(AND(k&gt;=1700,k&lt;=1850),1,AND(k&gt;=1650,k&lt;1700),0.7,AND(k&gt;1850,k&lt;=1900),0.7,TRUE,0.2))),p_s,IF(t="train",IF(p="","",IFS(AND(p&gt;=125,p&lt;=135),1,AND(p&gt;=115,p&lt;125),0.7,AND(p&gt;135,p&lt;=145),0.7,AND(p&gt;=105,p&lt;115),0.4,AND(p&gt;145,p&lt;=155),0.4,TRUE,0.2)),IF(p="","",IFS(AND(p&gt;=120,p&lt;=130),1,AND(p&gt;=110,p&lt;120),0.7,AND(p&gt;130,p&lt;=140),0.7,AND(p&gt;=100,p&lt;110),0.4,AND(p&gt;140,p&lt;=150),0.4,TRUE,0.2))),f_s,IF(f="","",IFS(AND(f&gt;=55,f&lt;=65),1,AND(f&gt;=50,f&lt;55),0.7,AND(f&gt;65,f&lt;=70),0.7,AND(f&gt;=45,f&lt;50),0.4,AND(f&gt;70,f&lt;=75),0.4,TRUE,0.2)),c_s,IF(t="train",IF(c="","",IFS(AND(c&gt;=180,c&lt;=210),1,AND(c&gt;=160,c&lt;180),0.7,AND(c&gt;210,c&lt;=230),0.7,AND(c&gt;=140,c&lt;160),0.4,AND(c&gt;230,c&lt;=250),0.4,TRUE,0.2)),IF(c="","",IFS(AND(c&gt;=140,c&lt;=170),1,AND(c&gt;=120,c&lt;140),0.7,AND(c&gt;170,c&lt;=190),0.7,AND(c&gt;=100,c&lt;120),0.4,AND(c&gt;190,c&lt;=210),0.4,TRUE,0.2))),AVERAGE(k_s,p_s,f_s,c_s)))),1),""))</f>
        <v/>
      </c>
      <c r="Z348">
        <f>IF($A348="","",TEXTJOIN(", ",TRUE,IF($B348="","??????????",""),IF($C348="","??????",""),IF($D348="","????",""),IF($E348="","??????????",""),IF($F348="","???-?????",""),IF($G348="","???-????",""),IF($H348="","??????",""),IF($L348="","???",""),IF($M348="","?????",""),IF($N348="","??????????????",""),IF($O348="","??????????",""),IF($P348="","???????",""),IF($U348="","???","")))</f>
        <v/>
      </c>
    </row>
    <row r="349">
      <c r="U349">
        <f>IF($A349="","",IF(SUMIF(FoodLog!$A:$A,$A349,FoodLog!$I:$I)=0,"",SUMIF(FoodLog!$A:$A,$A349,FoodLog!$I:$I)))</f>
        <v/>
      </c>
      <c r="V349">
        <f>IF($A349="","",IF(SUMIF(FoodLog!$A:$A,$A349,FoodLog!$F:$F)=0,"",SUMIF(FoodLog!$A:$A,$A349,FoodLog!$F:$F)))</f>
        <v/>
      </c>
      <c r="W349">
        <f>IF($A349="","",IF(SUMIF(FoodLog!$A:$A,$A349,FoodLog!$G:$G)=0,"",SUMIF(FoodLog!$A:$A,$A349,FoodLog!$G:$G)))</f>
        <v/>
      </c>
      <c r="X349">
        <f>IF($A349="","",IF(SUMIF(FoodLog!$A:$A,$A349,FoodLog!$H:$H)=0,"",SUMIF(FoodLog!$A:$A,$A349,FoodLog!$H:$H)))</f>
        <v/>
      </c>
      <c r="Y349">
        <f>IF($A349="","",IFERROR(ROUND(100*AVERAGE(IF($B349="","",XLOOKUP($B349,FILTER(Dictionaries!$B:$B,Dictionaries!$A:$A="??????????"),FILTER(Dictionaries!$C:$C,Dictionaries!$A:$A="??????????"))),IF($C349="","",MIN($C349/40,1)),IF($D349="","",XLOOKUP($D349,FILTER(Dictionaries!$B:$B,Dictionaries!$A:$A="????"),FILTER(Dictionaries!$C:$C,Dictionaries!$A:$A="????"))),IF($E349="","",MIN($E349/120,1)),IF(OR($F349&lt;&gt;"",$G349&lt;&gt;""),1,""),IF($H349="","",MIN($H349/100,1)),IF($L349="","",XLOOKUP($L349,FILTER(Dictionaries!$B:$B,Dictionaries!$A:$A="???_????"),FILTER(Dictionaries!$C:$C,Dictionaries!$A:$A="???_????"))),IF($M349="","",XLOOKUP($M349,FILTER(Dictionaries!$B:$B,Dictionaries!$A:$A="?????"),FILTER(Dictionaries!$C:$C,Dictionaries!$A:$A="?????"))),IF($N349="","",MIN($N349/100,1)),IF($O349="","",XLOOKUP($O349,FILTER(Dictionaries!$B:$B,Dictionaries!$A:$A="??????????"),FILTER(Dictionaries!$C:$C,Dictionaries!$A:$A="??????????"))),IF($P349="","",XLOOKUP($P349,FILTER(Dictionaries!$B:$B,Dictionaries!$A:$A="???????"),FILTER(Dictionaries!$C:$C,Dictionaries!$A:$A="???????"))),IF($U349="","",LET(t,IF(OR($B349="????",$B349="????"),"train","rest"),k,$U349,p,$V349,f,$W349,c,$X349,k_s,IF(t="train",IF(k="","",IFS(AND(k&gt;=1900,k&lt;=2050),1,AND(k&gt;=1850,k&lt;1900),0.7,AND(k&gt;2050,k&lt;=2100),0.7,TRUE,0.2)),IF(k="","",IFS(AND(k&gt;=1700,k&lt;=1850),1,AND(k&gt;=1650,k&lt;1700),0.7,AND(k&gt;1850,k&lt;=1900),0.7,TRUE,0.2))),p_s,IF(t="train",IF(p="","",IFS(AND(p&gt;=125,p&lt;=135),1,AND(p&gt;=115,p&lt;125),0.7,AND(p&gt;135,p&lt;=145),0.7,AND(p&gt;=105,p&lt;115),0.4,AND(p&gt;145,p&lt;=155),0.4,TRUE,0.2)),IF(p="","",IFS(AND(p&gt;=120,p&lt;=130),1,AND(p&gt;=110,p&lt;120),0.7,AND(p&gt;130,p&lt;=140),0.7,AND(p&gt;=100,p&lt;110),0.4,AND(p&gt;140,p&lt;=150),0.4,TRUE,0.2))),f_s,IF(f="","",IFS(AND(f&gt;=55,f&lt;=65),1,AND(f&gt;=50,f&lt;55),0.7,AND(f&gt;65,f&lt;=70),0.7,AND(f&gt;=45,f&lt;50),0.4,AND(f&gt;70,f&lt;=75),0.4,TRUE,0.2)),c_s,IF(t="train",IF(c="","",IFS(AND(c&gt;=180,c&lt;=210),1,AND(c&gt;=160,c&lt;180),0.7,AND(c&gt;210,c&lt;=230),0.7,AND(c&gt;=140,c&lt;160),0.4,AND(c&gt;230,c&lt;=250),0.4,TRUE,0.2)),IF(c="","",IFS(AND(c&gt;=140,c&lt;=170),1,AND(c&gt;=120,c&lt;140),0.7,AND(c&gt;170,c&lt;=190),0.7,AND(c&gt;=100,c&lt;120),0.4,AND(c&gt;190,c&lt;=210),0.4,TRUE,0.2))),AVERAGE(k_s,p_s,f_s,c_s)))),1),""))</f>
        <v/>
      </c>
      <c r="Z349">
        <f>IF($A349="","",TEXTJOIN(", ",TRUE,IF($B349="","??????????",""),IF($C349="","??????",""),IF($D349="","????",""),IF($E349="","??????????",""),IF($F349="","???-?????",""),IF($G349="","???-????",""),IF($H349="","??????",""),IF($L349="","???",""),IF($M349="","?????",""),IF($N349="","??????????????",""),IF($O349="","??????????",""),IF($P349="","???????",""),IF($U349="","???","")))</f>
        <v/>
      </c>
    </row>
    <row r="350">
      <c r="U350">
        <f>IF($A350="","",IF(SUMIF(FoodLog!$A:$A,$A350,FoodLog!$I:$I)=0,"",SUMIF(FoodLog!$A:$A,$A350,FoodLog!$I:$I)))</f>
        <v/>
      </c>
      <c r="V350">
        <f>IF($A350="","",IF(SUMIF(FoodLog!$A:$A,$A350,FoodLog!$F:$F)=0,"",SUMIF(FoodLog!$A:$A,$A350,FoodLog!$F:$F)))</f>
        <v/>
      </c>
      <c r="W350">
        <f>IF($A350="","",IF(SUMIF(FoodLog!$A:$A,$A350,FoodLog!$G:$G)=0,"",SUMIF(FoodLog!$A:$A,$A350,FoodLog!$G:$G)))</f>
        <v/>
      </c>
      <c r="X350">
        <f>IF($A350="","",IF(SUMIF(FoodLog!$A:$A,$A350,FoodLog!$H:$H)=0,"",SUMIF(FoodLog!$A:$A,$A350,FoodLog!$H:$H)))</f>
        <v/>
      </c>
      <c r="Y350">
        <f>IF($A350="","",IFERROR(ROUND(100*AVERAGE(IF($B350="","",XLOOKUP($B350,FILTER(Dictionaries!$B:$B,Dictionaries!$A:$A="??????????"),FILTER(Dictionaries!$C:$C,Dictionaries!$A:$A="??????????"))),IF($C350="","",MIN($C350/40,1)),IF($D350="","",XLOOKUP($D350,FILTER(Dictionaries!$B:$B,Dictionaries!$A:$A="????"),FILTER(Dictionaries!$C:$C,Dictionaries!$A:$A="????"))),IF($E350="","",MIN($E350/120,1)),IF(OR($F350&lt;&gt;"",$G350&lt;&gt;""),1,""),IF($H350="","",MIN($H350/100,1)),IF($L350="","",XLOOKUP($L350,FILTER(Dictionaries!$B:$B,Dictionaries!$A:$A="???_????"),FILTER(Dictionaries!$C:$C,Dictionaries!$A:$A="???_????"))),IF($M350="","",XLOOKUP($M350,FILTER(Dictionaries!$B:$B,Dictionaries!$A:$A="?????"),FILTER(Dictionaries!$C:$C,Dictionaries!$A:$A="?????"))),IF($N350="","",MIN($N350/100,1)),IF($O350="","",XLOOKUP($O350,FILTER(Dictionaries!$B:$B,Dictionaries!$A:$A="??????????"),FILTER(Dictionaries!$C:$C,Dictionaries!$A:$A="??????????"))),IF($P350="","",XLOOKUP($P350,FILTER(Dictionaries!$B:$B,Dictionaries!$A:$A="???????"),FILTER(Dictionaries!$C:$C,Dictionaries!$A:$A="???????"))),IF($U350="","",LET(t,IF(OR($B350="????",$B350="????"),"train","rest"),k,$U350,p,$V350,f,$W350,c,$X350,k_s,IF(t="train",IF(k="","",IFS(AND(k&gt;=1900,k&lt;=2050),1,AND(k&gt;=1850,k&lt;1900),0.7,AND(k&gt;2050,k&lt;=2100),0.7,TRUE,0.2)),IF(k="","",IFS(AND(k&gt;=1700,k&lt;=1850),1,AND(k&gt;=1650,k&lt;1700),0.7,AND(k&gt;1850,k&lt;=1900),0.7,TRUE,0.2))),p_s,IF(t="train",IF(p="","",IFS(AND(p&gt;=125,p&lt;=135),1,AND(p&gt;=115,p&lt;125),0.7,AND(p&gt;135,p&lt;=145),0.7,AND(p&gt;=105,p&lt;115),0.4,AND(p&gt;145,p&lt;=155),0.4,TRUE,0.2)),IF(p="","",IFS(AND(p&gt;=120,p&lt;=130),1,AND(p&gt;=110,p&lt;120),0.7,AND(p&gt;130,p&lt;=140),0.7,AND(p&gt;=100,p&lt;110),0.4,AND(p&gt;140,p&lt;=150),0.4,TRUE,0.2))),f_s,IF(f="","",IFS(AND(f&gt;=55,f&lt;=65),1,AND(f&gt;=50,f&lt;55),0.7,AND(f&gt;65,f&lt;=70),0.7,AND(f&gt;=45,f&lt;50),0.4,AND(f&gt;70,f&lt;=75),0.4,TRUE,0.2)),c_s,IF(t="train",IF(c="","",IFS(AND(c&gt;=180,c&lt;=210),1,AND(c&gt;=160,c&lt;180),0.7,AND(c&gt;210,c&lt;=230),0.7,AND(c&gt;=140,c&lt;160),0.4,AND(c&gt;230,c&lt;=250),0.4,TRUE,0.2)),IF(c="","",IFS(AND(c&gt;=140,c&lt;=170),1,AND(c&gt;=120,c&lt;140),0.7,AND(c&gt;170,c&lt;=190),0.7,AND(c&gt;=100,c&lt;120),0.4,AND(c&gt;190,c&lt;=210),0.4,TRUE,0.2))),AVERAGE(k_s,p_s,f_s,c_s)))),1),""))</f>
        <v/>
      </c>
      <c r="Z350">
        <f>IF($A350="","",TEXTJOIN(", ",TRUE,IF($B350="","??????????",""),IF($C350="","??????",""),IF($D350="","????",""),IF($E350="","??????????",""),IF($F350="","???-?????",""),IF($G350="","???-????",""),IF($H350="","??????",""),IF($L350="","???",""),IF($M350="","?????",""),IF($N350="","??????????????",""),IF($O350="","??????????",""),IF($P350="","???????",""),IF($U350="","???","")))</f>
        <v/>
      </c>
    </row>
    <row r="351">
      <c r="U351">
        <f>IF($A351="","",IF(SUMIF(FoodLog!$A:$A,$A351,FoodLog!$I:$I)=0,"",SUMIF(FoodLog!$A:$A,$A351,FoodLog!$I:$I)))</f>
        <v/>
      </c>
      <c r="V351">
        <f>IF($A351="","",IF(SUMIF(FoodLog!$A:$A,$A351,FoodLog!$F:$F)=0,"",SUMIF(FoodLog!$A:$A,$A351,FoodLog!$F:$F)))</f>
        <v/>
      </c>
      <c r="W351">
        <f>IF($A351="","",IF(SUMIF(FoodLog!$A:$A,$A351,FoodLog!$G:$G)=0,"",SUMIF(FoodLog!$A:$A,$A351,FoodLog!$G:$G)))</f>
        <v/>
      </c>
      <c r="X351">
        <f>IF($A351="","",IF(SUMIF(FoodLog!$A:$A,$A351,FoodLog!$H:$H)=0,"",SUMIF(FoodLog!$A:$A,$A351,FoodLog!$H:$H)))</f>
        <v/>
      </c>
      <c r="Y351">
        <f>IF($A351="","",IFERROR(ROUND(100*AVERAGE(IF($B351="","",XLOOKUP($B351,FILTER(Dictionaries!$B:$B,Dictionaries!$A:$A="??????????"),FILTER(Dictionaries!$C:$C,Dictionaries!$A:$A="??????????"))),IF($C351="","",MIN($C351/40,1)),IF($D351="","",XLOOKUP($D351,FILTER(Dictionaries!$B:$B,Dictionaries!$A:$A="????"),FILTER(Dictionaries!$C:$C,Dictionaries!$A:$A="????"))),IF($E351="","",MIN($E351/120,1)),IF(OR($F351&lt;&gt;"",$G351&lt;&gt;""),1,""),IF($H351="","",MIN($H351/100,1)),IF($L351="","",XLOOKUP($L351,FILTER(Dictionaries!$B:$B,Dictionaries!$A:$A="???_????"),FILTER(Dictionaries!$C:$C,Dictionaries!$A:$A="???_????"))),IF($M351="","",XLOOKUP($M351,FILTER(Dictionaries!$B:$B,Dictionaries!$A:$A="?????"),FILTER(Dictionaries!$C:$C,Dictionaries!$A:$A="?????"))),IF($N351="","",MIN($N351/100,1)),IF($O351="","",XLOOKUP($O351,FILTER(Dictionaries!$B:$B,Dictionaries!$A:$A="??????????"),FILTER(Dictionaries!$C:$C,Dictionaries!$A:$A="??????????"))),IF($P351="","",XLOOKUP($P351,FILTER(Dictionaries!$B:$B,Dictionaries!$A:$A="???????"),FILTER(Dictionaries!$C:$C,Dictionaries!$A:$A="???????"))),IF($U351="","",LET(t,IF(OR($B351="????",$B351="????"),"train","rest"),k,$U351,p,$V351,f,$W351,c,$X351,k_s,IF(t="train",IF(k="","",IFS(AND(k&gt;=1900,k&lt;=2050),1,AND(k&gt;=1850,k&lt;1900),0.7,AND(k&gt;2050,k&lt;=2100),0.7,TRUE,0.2)),IF(k="","",IFS(AND(k&gt;=1700,k&lt;=1850),1,AND(k&gt;=1650,k&lt;1700),0.7,AND(k&gt;1850,k&lt;=1900),0.7,TRUE,0.2))),p_s,IF(t="train",IF(p="","",IFS(AND(p&gt;=125,p&lt;=135),1,AND(p&gt;=115,p&lt;125),0.7,AND(p&gt;135,p&lt;=145),0.7,AND(p&gt;=105,p&lt;115),0.4,AND(p&gt;145,p&lt;=155),0.4,TRUE,0.2)),IF(p="","",IFS(AND(p&gt;=120,p&lt;=130),1,AND(p&gt;=110,p&lt;120),0.7,AND(p&gt;130,p&lt;=140),0.7,AND(p&gt;=100,p&lt;110),0.4,AND(p&gt;140,p&lt;=150),0.4,TRUE,0.2))),f_s,IF(f="","",IFS(AND(f&gt;=55,f&lt;=65),1,AND(f&gt;=50,f&lt;55),0.7,AND(f&gt;65,f&lt;=70),0.7,AND(f&gt;=45,f&lt;50),0.4,AND(f&gt;70,f&lt;=75),0.4,TRUE,0.2)),c_s,IF(t="train",IF(c="","",IFS(AND(c&gt;=180,c&lt;=210),1,AND(c&gt;=160,c&lt;180),0.7,AND(c&gt;210,c&lt;=230),0.7,AND(c&gt;=140,c&lt;160),0.4,AND(c&gt;230,c&lt;=250),0.4,TRUE,0.2)),IF(c="","",IFS(AND(c&gt;=140,c&lt;=170),1,AND(c&gt;=120,c&lt;140),0.7,AND(c&gt;170,c&lt;=190),0.7,AND(c&gt;=100,c&lt;120),0.4,AND(c&gt;190,c&lt;=210),0.4,TRUE,0.2))),AVERAGE(k_s,p_s,f_s,c_s)))),1),""))</f>
        <v/>
      </c>
      <c r="Z351">
        <f>IF($A351="","",TEXTJOIN(", ",TRUE,IF($B351="","??????????",""),IF($C351="","??????",""),IF($D351="","????",""),IF($E351="","??????????",""),IF($F351="","???-?????",""),IF($G351="","???-????",""),IF($H351="","??????",""),IF($L351="","???",""),IF($M351="","?????",""),IF($N351="","??????????????",""),IF($O351="","??????????",""),IF($P351="","???????",""),IF($U351="","???","")))</f>
        <v/>
      </c>
    </row>
    <row r="352">
      <c r="U352">
        <f>IF($A352="","",IF(SUMIF(FoodLog!$A:$A,$A352,FoodLog!$I:$I)=0,"",SUMIF(FoodLog!$A:$A,$A352,FoodLog!$I:$I)))</f>
        <v/>
      </c>
      <c r="V352">
        <f>IF($A352="","",IF(SUMIF(FoodLog!$A:$A,$A352,FoodLog!$F:$F)=0,"",SUMIF(FoodLog!$A:$A,$A352,FoodLog!$F:$F)))</f>
        <v/>
      </c>
      <c r="W352">
        <f>IF($A352="","",IF(SUMIF(FoodLog!$A:$A,$A352,FoodLog!$G:$G)=0,"",SUMIF(FoodLog!$A:$A,$A352,FoodLog!$G:$G)))</f>
        <v/>
      </c>
      <c r="X352">
        <f>IF($A352="","",IF(SUMIF(FoodLog!$A:$A,$A352,FoodLog!$H:$H)=0,"",SUMIF(FoodLog!$A:$A,$A352,FoodLog!$H:$H)))</f>
        <v/>
      </c>
      <c r="Y352">
        <f>IF($A352="","",IFERROR(ROUND(100*AVERAGE(IF($B352="","",XLOOKUP($B352,FILTER(Dictionaries!$B:$B,Dictionaries!$A:$A="??????????"),FILTER(Dictionaries!$C:$C,Dictionaries!$A:$A="??????????"))),IF($C352="","",MIN($C352/40,1)),IF($D352="","",XLOOKUP($D352,FILTER(Dictionaries!$B:$B,Dictionaries!$A:$A="????"),FILTER(Dictionaries!$C:$C,Dictionaries!$A:$A="????"))),IF($E352="","",MIN($E352/120,1)),IF(OR($F352&lt;&gt;"",$G352&lt;&gt;""),1,""),IF($H352="","",MIN($H352/100,1)),IF($L352="","",XLOOKUP($L352,FILTER(Dictionaries!$B:$B,Dictionaries!$A:$A="???_????"),FILTER(Dictionaries!$C:$C,Dictionaries!$A:$A="???_????"))),IF($M352="","",XLOOKUP($M352,FILTER(Dictionaries!$B:$B,Dictionaries!$A:$A="?????"),FILTER(Dictionaries!$C:$C,Dictionaries!$A:$A="?????"))),IF($N352="","",MIN($N352/100,1)),IF($O352="","",XLOOKUP($O352,FILTER(Dictionaries!$B:$B,Dictionaries!$A:$A="??????????"),FILTER(Dictionaries!$C:$C,Dictionaries!$A:$A="??????????"))),IF($P352="","",XLOOKUP($P352,FILTER(Dictionaries!$B:$B,Dictionaries!$A:$A="???????"),FILTER(Dictionaries!$C:$C,Dictionaries!$A:$A="???????"))),IF($U352="","",LET(t,IF(OR($B352="????",$B352="????"),"train","rest"),k,$U352,p,$V352,f,$W352,c,$X352,k_s,IF(t="train",IF(k="","",IFS(AND(k&gt;=1900,k&lt;=2050),1,AND(k&gt;=1850,k&lt;1900),0.7,AND(k&gt;2050,k&lt;=2100),0.7,TRUE,0.2)),IF(k="","",IFS(AND(k&gt;=1700,k&lt;=1850),1,AND(k&gt;=1650,k&lt;1700),0.7,AND(k&gt;1850,k&lt;=1900),0.7,TRUE,0.2))),p_s,IF(t="train",IF(p="","",IFS(AND(p&gt;=125,p&lt;=135),1,AND(p&gt;=115,p&lt;125),0.7,AND(p&gt;135,p&lt;=145),0.7,AND(p&gt;=105,p&lt;115),0.4,AND(p&gt;145,p&lt;=155),0.4,TRUE,0.2)),IF(p="","",IFS(AND(p&gt;=120,p&lt;=130),1,AND(p&gt;=110,p&lt;120),0.7,AND(p&gt;130,p&lt;=140),0.7,AND(p&gt;=100,p&lt;110),0.4,AND(p&gt;140,p&lt;=150),0.4,TRUE,0.2))),f_s,IF(f="","",IFS(AND(f&gt;=55,f&lt;=65),1,AND(f&gt;=50,f&lt;55),0.7,AND(f&gt;65,f&lt;=70),0.7,AND(f&gt;=45,f&lt;50),0.4,AND(f&gt;70,f&lt;=75),0.4,TRUE,0.2)),c_s,IF(t="train",IF(c="","",IFS(AND(c&gt;=180,c&lt;=210),1,AND(c&gt;=160,c&lt;180),0.7,AND(c&gt;210,c&lt;=230),0.7,AND(c&gt;=140,c&lt;160),0.4,AND(c&gt;230,c&lt;=250),0.4,TRUE,0.2)),IF(c="","",IFS(AND(c&gt;=140,c&lt;=170),1,AND(c&gt;=120,c&lt;140),0.7,AND(c&gt;170,c&lt;=190),0.7,AND(c&gt;=100,c&lt;120),0.4,AND(c&gt;190,c&lt;=210),0.4,TRUE,0.2))),AVERAGE(k_s,p_s,f_s,c_s)))),1),""))</f>
        <v/>
      </c>
      <c r="Z352">
        <f>IF($A352="","",TEXTJOIN(", ",TRUE,IF($B352="","??????????",""),IF($C352="","??????",""),IF($D352="","????",""),IF($E352="","??????????",""),IF($F352="","???-?????",""),IF($G352="","???-????",""),IF($H352="","??????",""),IF($L352="","???",""),IF($M352="","?????",""),IF($N352="","??????????????",""),IF($O352="","??????????",""),IF($P352="","???????",""),IF($U352="","???","")))</f>
        <v/>
      </c>
    </row>
    <row r="353">
      <c r="U353">
        <f>IF($A353="","",IF(SUMIF(FoodLog!$A:$A,$A353,FoodLog!$I:$I)=0,"",SUMIF(FoodLog!$A:$A,$A353,FoodLog!$I:$I)))</f>
        <v/>
      </c>
      <c r="V353">
        <f>IF($A353="","",IF(SUMIF(FoodLog!$A:$A,$A353,FoodLog!$F:$F)=0,"",SUMIF(FoodLog!$A:$A,$A353,FoodLog!$F:$F)))</f>
        <v/>
      </c>
      <c r="W353">
        <f>IF($A353="","",IF(SUMIF(FoodLog!$A:$A,$A353,FoodLog!$G:$G)=0,"",SUMIF(FoodLog!$A:$A,$A353,FoodLog!$G:$G)))</f>
        <v/>
      </c>
      <c r="X353">
        <f>IF($A353="","",IF(SUMIF(FoodLog!$A:$A,$A353,FoodLog!$H:$H)=0,"",SUMIF(FoodLog!$A:$A,$A353,FoodLog!$H:$H)))</f>
        <v/>
      </c>
      <c r="Y353">
        <f>IF($A353="","",IFERROR(ROUND(100*AVERAGE(IF($B353="","",XLOOKUP($B353,FILTER(Dictionaries!$B:$B,Dictionaries!$A:$A="??????????"),FILTER(Dictionaries!$C:$C,Dictionaries!$A:$A="??????????"))),IF($C353="","",MIN($C353/40,1)),IF($D353="","",XLOOKUP($D353,FILTER(Dictionaries!$B:$B,Dictionaries!$A:$A="????"),FILTER(Dictionaries!$C:$C,Dictionaries!$A:$A="????"))),IF($E353="","",MIN($E353/120,1)),IF(OR($F353&lt;&gt;"",$G353&lt;&gt;""),1,""),IF($H353="","",MIN($H353/100,1)),IF($L353="","",XLOOKUP($L353,FILTER(Dictionaries!$B:$B,Dictionaries!$A:$A="???_????"),FILTER(Dictionaries!$C:$C,Dictionaries!$A:$A="???_????"))),IF($M353="","",XLOOKUP($M353,FILTER(Dictionaries!$B:$B,Dictionaries!$A:$A="?????"),FILTER(Dictionaries!$C:$C,Dictionaries!$A:$A="?????"))),IF($N353="","",MIN($N353/100,1)),IF($O353="","",XLOOKUP($O353,FILTER(Dictionaries!$B:$B,Dictionaries!$A:$A="??????????"),FILTER(Dictionaries!$C:$C,Dictionaries!$A:$A="??????????"))),IF($P353="","",XLOOKUP($P353,FILTER(Dictionaries!$B:$B,Dictionaries!$A:$A="???????"),FILTER(Dictionaries!$C:$C,Dictionaries!$A:$A="???????"))),IF($U353="","",LET(t,IF(OR($B353="????",$B353="????"),"train","rest"),k,$U353,p,$V353,f,$W353,c,$X353,k_s,IF(t="train",IF(k="","",IFS(AND(k&gt;=1900,k&lt;=2050),1,AND(k&gt;=1850,k&lt;1900),0.7,AND(k&gt;2050,k&lt;=2100),0.7,TRUE,0.2)),IF(k="","",IFS(AND(k&gt;=1700,k&lt;=1850),1,AND(k&gt;=1650,k&lt;1700),0.7,AND(k&gt;1850,k&lt;=1900),0.7,TRUE,0.2))),p_s,IF(t="train",IF(p="","",IFS(AND(p&gt;=125,p&lt;=135),1,AND(p&gt;=115,p&lt;125),0.7,AND(p&gt;135,p&lt;=145),0.7,AND(p&gt;=105,p&lt;115),0.4,AND(p&gt;145,p&lt;=155),0.4,TRUE,0.2)),IF(p="","",IFS(AND(p&gt;=120,p&lt;=130),1,AND(p&gt;=110,p&lt;120),0.7,AND(p&gt;130,p&lt;=140),0.7,AND(p&gt;=100,p&lt;110),0.4,AND(p&gt;140,p&lt;=150),0.4,TRUE,0.2))),f_s,IF(f="","",IFS(AND(f&gt;=55,f&lt;=65),1,AND(f&gt;=50,f&lt;55),0.7,AND(f&gt;65,f&lt;=70),0.7,AND(f&gt;=45,f&lt;50),0.4,AND(f&gt;70,f&lt;=75),0.4,TRUE,0.2)),c_s,IF(t="train",IF(c="","",IFS(AND(c&gt;=180,c&lt;=210),1,AND(c&gt;=160,c&lt;180),0.7,AND(c&gt;210,c&lt;=230),0.7,AND(c&gt;=140,c&lt;160),0.4,AND(c&gt;230,c&lt;=250),0.4,TRUE,0.2)),IF(c="","",IFS(AND(c&gt;=140,c&lt;=170),1,AND(c&gt;=120,c&lt;140),0.7,AND(c&gt;170,c&lt;=190),0.7,AND(c&gt;=100,c&lt;120),0.4,AND(c&gt;190,c&lt;=210),0.4,TRUE,0.2))),AVERAGE(k_s,p_s,f_s,c_s)))),1),""))</f>
        <v/>
      </c>
      <c r="Z353">
        <f>IF($A353="","",TEXTJOIN(", ",TRUE,IF($B353="","??????????",""),IF($C353="","??????",""),IF($D353="","????",""),IF($E353="","??????????",""),IF($F353="","???-?????",""),IF($G353="","???-????",""),IF($H353="","??????",""),IF($L353="","???",""),IF($M353="","?????",""),IF($N353="","??????????????",""),IF($O353="","??????????",""),IF($P353="","???????",""),IF($U353="","???","")))</f>
        <v/>
      </c>
    </row>
    <row r="354">
      <c r="U354">
        <f>IF($A354="","",IF(SUMIF(FoodLog!$A:$A,$A354,FoodLog!$I:$I)=0,"",SUMIF(FoodLog!$A:$A,$A354,FoodLog!$I:$I)))</f>
        <v/>
      </c>
      <c r="V354">
        <f>IF($A354="","",IF(SUMIF(FoodLog!$A:$A,$A354,FoodLog!$F:$F)=0,"",SUMIF(FoodLog!$A:$A,$A354,FoodLog!$F:$F)))</f>
        <v/>
      </c>
      <c r="W354">
        <f>IF($A354="","",IF(SUMIF(FoodLog!$A:$A,$A354,FoodLog!$G:$G)=0,"",SUMIF(FoodLog!$A:$A,$A354,FoodLog!$G:$G)))</f>
        <v/>
      </c>
      <c r="X354">
        <f>IF($A354="","",IF(SUMIF(FoodLog!$A:$A,$A354,FoodLog!$H:$H)=0,"",SUMIF(FoodLog!$A:$A,$A354,FoodLog!$H:$H)))</f>
        <v/>
      </c>
      <c r="Y354">
        <f>IF($A354="","",IFERROR(ROUND(100*AVERAGE(IF($B354="","",XLOOKUP($B354,FILTER(Dictionaries!$B:$B,Dictionaries!$A:$A="??????????"),FILTER(Dictionaries!$C:$C,Dictionaries!$A:$A="??????????"))),IF($C354="","",MIN($C354/40,1)),IF($D354="","",XLOOKUP($D354,FILTER(Dictionaries!$B:$B,Dictionaries!$A:$A="????"),FILTER(Dictionaries!$C:$C,Dictionaries!$A:$A="????"))),IF($E354="","",MIN($E354/120,1)),IF(OR($F354&lt;&gt;"",$G354&lt;&gt;""),1,""),IF($H354="","",MIN($H354/100,1)),IF($L354="","",XLOOKUP($L354,FILTER(Dictionaries!$B:$B,Dictionaries!$A:$A="???_????"),FILTER(Dictionaries!$C:$C,Dictionaries!$A:$A="???_????"))),IF($M354="","",XLOOKUP($M354,FILTER(Dictionaries!$B:$B,Dictionaries!$A:$A="?????"),FILTER(Dictionaries!$C:$C,Dictionaries!$A:$A="?????"))),IF($N354="","",MIN($N354/100,1)),IF($O354="","",XLOOKUP($O354,FILTER(Dictionaries!$B:$B,Dictionaries!$A:$A="??????????"),FILTER(Dictionaries!$C:$C,Dictionaries!$A:$A="??????????"))),IF($P354="","",XLOOKUP($P354,FILTER(Dictionaries!$B:$B,Dictionaries!$A:$A="???????"),FILTER(Dictionaries!$C:$C,Dictionaries!$A:$A="???????"))),IF($U354="","",LET(t,IF(OR($B354="????",$B354="????"),"train","rest"),k,$U354,p,$V354,f,$W354,c,$X354,k_s,IF(t="train",IF(k="","",IFS(AND(k&gt;=1900,k&lt;=2050),1,AND(k&gt;=1850,k&lt;1900),0.7,AND(k&gt;2050,k&lt;=2100),0.7,TRUE,0.2)),IF(k="","",IFS(AND(k&gt;=1700,k&lt;=1850),1,AND(k&gt;=1650,k&lt;1700),0.7,AND(k&gt;1850,k&lt;=1900),0.7,TRUE,0.2))),p_s,IF(t="train",IF(p="","",IFS(AND(p&gt;=125,p&lt;=135),1,AND(p&gt;=115,p&lt;125),0.7,AND(p&gt;135,p&lt;=145),0.7,AND(p&gt;=105,p&lt;115),0.4,AND(p&gt;145,p&lt;=155),0.4,TRUE,0.2)),IF(p="","",IFS(AND(p&gt;=120,p&lt;=130),1,AND(p&gt;=110,p&lt;120),0.7,AND(p&gt;130,p&lt;=140),0.7,AND(p&gt;=100,p&lt;110),0.4,AND(p&gt;140,p&lt;=150),0.4,TRUE,0.2))),f_s,IF(f="","",IFS(AND(f&gt;=55,f&lt;=65),1,AND(f&gt;=50,f&lt;55),0.7,AND(f&gt;65,f&lt;=70),0.7,AND(f&gt;=45,f&lt;50),0.4,AND(f&gt;70,f&lt;=75),0.4,TRUE,0.2)),c_s,IF(t="train",IF(c="","",IFS(AND(c&gt;=180,c&lt;=210),1,AND(c&gt;=160,c&lt;180),0.7,AND(c&gt;210,c&lt;=230),0.7,AND(c&gt;=140,c&lt;160),0.4,AND(c&gt;230,c&lt;=250),0.4,TRUE,0.2)),IF(c="","",IFS(AND(c&gt;=140,c&lt;=170),1,AND(c&gt;=120,c&lt;140),0.7,AND(c&gt;170,c&lt;=190),0.7,AND(c&gt;=100,c&lt;120),0.4,AND(c&gt;190,c&lt;=210),0.4,TRUE,0.2))),AVERAGE(k_s,p_s,f_s,c_s)))),1),""))</f>
        <v/>
      </c>
      <c r="Z354">
        <f>IF($A354="","",TEXTJOIN(", ",TRUE,IF($B354="","??????????",""),IF($C354="","??????",""),IF($D354="","????",""),IF($E354="","??????????",""),IF($F354="","???-?????",""),IF($G354="","???-????",""),IF($H354="","??????",""),IF($L354="","???",""),IF($M354="","?????",""),IF($N354="","??????????????",""),IF($O354="","??????????",""),IF($P354="","???????",""),IF($U354="","???","")))</f>
        <v/>
      </c>
    </row>
    <row r="355">
      <c r="U355">
        <f>IF($A355="","",IF(SUMIF(FoodLog!$A:$A,$A355,FoodLog!$I:$I)=0,"",SUMIF(FoodLog!$A:$A,$A355,FoodLog!$I:$I)))</f>
        <v/>
      </c>
      <c r="V355">
        <f>IF($A355="","",IF(SUMIF(FoodLog!$A:$A,$A355,FoodLog!$F:$F)=0,"",SUMIF(FoodLog!$A:$A,$A355,FoodLog!$F:$F)))</f>
        <v/>
      </c>
      <c r="W355">
        <f>IF($A355="","",IF(SUMIF(FoodLog!$A:$A,$A355,FoodLog!$G:$G)=0,"",SUMIF(FoodLog!$A:$A,$A355,FoodLog!$G:$G)))</f>
        <v/>
      </c>
      <c r="X355">
        <f>IF($A355="","",IF(SUMIF(FoodLog!$A:$A,$A355,FoodLog!$H:$H)=0,"",SUMIF(FoodLog!$A:$A,$A355,FoodLog!$H:$H)))</f>
        <v/>
      </c>
      <c r="Y355">
        <f>IF($A355="","",IFERROR(ROUND(100*AVERAGE(IF($B355="","",XLOOKUP($B355,FILTER(Dictionaries!$B:$B,Dictionaries!$A:$A="??????????"),FILTER(Dictionaries!$C:$C,Dictionaries!$A:$A="??????????"))),IF($C355="","",MIN($C355/40,1)),IF($D355="","",XLOOKUP($D355,FILTER(Dictionaries!$B:$B,Dictionaries!$A:$A="????"),FILTER(Dictionaries!$C:$C,Dictionaries!$A:$A="????"))),IF($E355="","",MIN($E355/120,1)),IF(OR($F355&lt;&gt;"",$G355&lt;&gt;""),1,""),IF($H355="","",MIN($H355/100,1)),IF($L355="","",XLOOKUP($L355,FILTER(Dictionaries!$B:$B,Dictionaries!$A:$A="???_????"),FILTER(Dictionaries!$C:$C,Dictionaries!$A:$A="???_????"))),IF($M355="","",XLOOKUP($M355,FILTER(Dictionaries!$B:$B,Dictionaries!$A:$A="?????"),FILTER(Dictionaries!$C:$C,Dictionaries!$A:$A="?????"))),IF($N355="","",MIN($N355/100,1)),IF($O355="","",XLOOKUP($O355,FILTER(Dictionaries!$B:$B,Dictionaries!$A:$A="??????????"),FILTER(Dictionaries!$C:$C,Dictionaries!$A:$A="??????????"))),IF($P355="","",XLOOKUP($P355,FILTER(Dictionaries!$B:$B,Dictionaries!$A:$A="???????"),FILTER(Dictionaries!$C:$C,Dictionaries!$A:$A="???????"))),IF($U355="","",LET(t,IF(OR($B355="????",$B355="????"),"train","rest"),k,$U355,p,$V355,f,$W355,c,$X355,k_s,IF(t="train",IF(k="","",IFS(AND(k&gt;=1900,k&lt;=2050),1,AND(k&gt;=1850,k&lt;1900),0.7,AND(k&gt;2050,k&lt;=2100),0.7,TRUE,0.2)),IF(k="","",IFS(AND(k&gt;=1700,k&lt;=1850),1,AND(k&gt;=1650,k&lt;1700),0.7,AND(k&gt;1850,k&lt;=1900),0.7,TRUE,0.2))),p_s,IF(t="train",IF(p="","",IFS(AND(p&gt;=125,p&lt;=135),1,AND(p&gt;=115,p&lt;125),0.7,AND(p&gt;135,p&lt;=145),0.7,AND(p&gt;=105,p&lt;115),0.4,AND(p&gt;145,p&lt;=155),0.4,TRUE,0.2)),IF(p="","",IFS(AND(p&gt;=120,p&lt;=130),1,AND(p&gt;=110,p&lt;120),0.7,AND(p&gt;130,p&lt;=140),0.7,AND(p&gt;=100,p&lt;110),0.4,AND(p&gt;140,p&lt;=150),0.4,TRUE,0.2))),f_s,IF(f="","",IFS(AND(f&gt;=55,f&lt;=65),1,AND(f&gt;=50,f&lt;55),0.7,AND(f&gt;65,f&lt;=70),0.7,AND(f&gt;=45,f&lt;50),0.4,AND(f&gt;70,f&lt;=75),0.4,TRUE,0.2)),c_s,IF(t="train",IF(c="","",IFS(AND(c&gt;=180,c&lt;=210),1,AND(c&gt;=160,c&lt;180),0.7,AND(c&gt;210,c&lt;=230),0.7,AND(c&gt;=140,c&lt;160),0.4,AND(c&gt;230,c&lt;=250),0.4,TRUE,0.2)),IF(c="","",IFS(AND(c&gt;=140,c&lt;=170),1,AND(c&gt;=120,c&lt;140),0.7,AND(c&gt;170,c&lt;=190),0.7,AND(c&gt;=100,c&lt;120),0.4,AND(c&gt;190,c&lt;=210),0.4,TRUE,0.2))),AVERAGE(k_s,p_s,f_s,c_s)))),1),""))</f>
        <v/>
      </c>
      <c r="Z355">
        <f>IF($A355="","",TEXTJOIN(", ",TRUE,IF($B355="","??????????",""),IF($C355="","??????",""),IF($D355="","????",""),IF($E355="","??????????",""),IF($F355="","???-?????",""),IF($G355="","???-????",""),IF($H355="","??????",""),IF($L355="","???",""),IF($M355="","?????",""),IF($N355="","??????????????",""),IF($O355="","??????????",""),IF($P355="","???????",""),IF($U355="","???","")))</f>
        <v/>
      </c>
    </row>
    <row r="356">
      <c r="U356">
        <f>IF($A356="","",IF(SUMIF(FoodLog!$A:$A,$A356,FoodLog!$I:$I)=0,"",SUMIF(FoodLog!$A:$A,$A356,FoodLog!$I:$I)))</f>
        <v/>
      </c>
      <c r="V356">
        <f>IF($A356="","",IF(SUMIF(FoodLog!$A:$A,$A356,FoodLog!$F:$F)=0,"",SUMIF(FoodLog!$A:$A,$A356,FoodLog!$F:$F)))</f>
        <v/>
      </c>
      <c r="W356">
        <f>IF($A356="","",IF(SUMIF(FoodLog!$A:$A,$A356,FoodLog!$G:$G)=0,"",SUMIF(FoodLog!$A:$A,$A356,FoodLog!$G:$G)))</f>
        <v/>
      </c>
      <c r="X356">
        <f>IF($A356="","",IF(SUMIF(FoodLog!$A:$A,$A356,FoodLog!$H:$H)=0,"",SUMIF(FoodLog!$A:$A,$A356,FoodLog!$H:$H)))</f>
        <v/>
      </c>
      <c r="Y356">
        <f>IF($A356="","",IFERROR(ROUND(100*AVERAGE(IF($B356="","",XLOOKUP($B356,FILTER(Dictionaries!$B:$B,Dictionaries!$A:$A="??????????"),FILTER(Dictionaries!$C:$C,Dictionaries!$A:$A="??????????"))),IF($C356="","",MIN($C356/40,1)),IF($D356="","",XLOOKUP($D356,FILTER(Dictionaries!$B:$B,Dictionaries!$A:$A="????"),FILTER(Dictionaries!$C:$C,Dictionaries!$A:$A="????"))),IF($E356="","",MIN($E356/120,1)),IF(OR($F356&lt;&gt;"",$G356&lt;&gt;""),1,""),IF($H356="","",MIN($H356/100,1)),IF($L356="","",XLOOKUP($L356,FILTER(Dictionaries!$B:$B,Dictionaries!$A:$A="???_????"),FILTER(Dictionaries!$C:$C,Dictionaries!$A:$A="???_????"))),IF($M356="","",XLOOKUP($M356,FILTER(Dictionaries!$B:$B,Dictionaries!$A:$A="?????"),FILTER(Dictionaries!$C:$C,Dictionaries!$A:$A="?????"))),IF($N356="","",MIN($N356/100,1)),IF($O356="","",XLOOKUP($O356,FILTER(Dictionaries!$B:$B,Dictionaries!$A:$A="??????????"),FILTER(Dictionaries!$C:$C,Dictionaries!$A:$A="??????????"))),IF($P356="","",XLOOKUP($P356,FILTER(Dictionaries!$B:$B,Dictionaries!$A:$A="???????"),FILTER(Dictionaries!$C:$C,Dictionaries!$A:$A="???????"))),IF($U356="","",LET(t,IF(OR($B356="????",$B356="????"),"train","rest"),k,$U356,p,$V356,f,$W356,c,$X356,k_s,IF(t="train",IF(k="","",IFS(AND(k&gt;=1900,k&lt;=2050),1,AND(k&gt;=1850,k&lt;1900),0.7,AND(k&gt;2050,k&lt;=2100),0.7,TRUE,0.2)),IF(k="","",IFS(AND(k&gt;=1700,k&lt;=1850),1,AND(k&gt;=1650,k&lt;1700),0.7,AND(k&gt;1850,k&lt;=1900),0.7,TRUE,0.2))),p_s,IF(t="train",IF(p="","",IFS(AND(p&gt;=125,p&lt;=135),1,AND(p&gt;=115,p&lt;125),0.7,AND(p&gt;135,p&lt;=145),0.7,AND(p&gt;=105,p&lt;115),0.4,AND(p&gt;145,p&lt;=155),0.4,TRUE,0.2)),IF(p="","",IFS(AND(p&gt;=120,p&lt;=130),1,AND(p&gt;=110,p&lt;120),0.7,AND(p&gt;130,p&lt;=140),0.7,AND(p&gt;=100,p&lt;110),0.4,AND(p&gt;140,p&lt;=150),0.4,TRUE,0.2))),f_s,IF(f="","",IFS(AND(f&gt;=55,f&lt;=65),1,AND(f&gt;=50,f&lt;55),0.7,AND(f&gt;65,f&lt;=70),0.7,AND(f&gt;=45,f&lt;50),0.4,AND(f&gt;70,f&lt;=75),0.4,TRUE,0.2)),c_s,IF(t="train",IF(c="","",IFS(AND(c&gt;=180,c&lt;=210),1,AND(c&gt;=160,c&lt;180),0.7,AND(c&gt;210,c&lt;=230),0.7,AND(c&gt;=140,c&lt;160),0.4,AND(c&gt;230,c&lt;=250),0.4,TRUE,0.2)),IF(c="","",IFS(AND(c&gt;=140,c&lt;=170),1,AND(c&gt;=120,c&lt;140),0.7,AND(c&gt;170,c&lt;=190),0.7,AND(c&gt;=100,c&lt;120),0.4,AND(c&gt;190,c&lt;=210),0.4,TRUE,0.2))),AVERAGE(k_s,p_s,f_s,c_s)))),1),""))</f>
        <v/>
      </c>
      <c r="Z356">
        <f>IF($A356="","",TEXTJOIN(", ",TRUE,IF($B356="","??????????",""),IF($C356="","??????",""),IF($D356="","????",""),IF($E356="","??????????",""),IF($F356="","???-?????",""),IF($G356="","???-????",""),IF($H356="","??????",""),IF($L356="","???",""),IF($M356="","?????",""),IF($N356="","??????????????",""),IF($O356="","??????????",""),IF($P356="","???????",""),IF($U356="","???","")))</f>
        <v/>
      </c>
    </row>
    <row r="357">
      <c r="U357">
        <f>IF($A357="","",IF(SUMIF(FoodLog!$A:$A,$A357,FoodLog!$I:$I)=0,"",SUMIF(FoodLog!$A:$A,$A357,FoodLog!$I:$I)))</f>
        <v/>
      </c>
      <c r="V357">
        <f>IF($A357="","",IF(SUMIF(FoodLog!$A:$A,$A357,FoodLog!$F:$F)=0,"",SUMIF(FoodLog!$A:$A,$A357,FoodLog!$F:$F)))</f>
        <v/>
      </c>
      <c r="W357">
        <f>IF($A357="","",IF(SUMIF(FoodLog!$A:$A,$A357,FoodLog!$G:$G)=0,"",SUMIF(FoodLog!$A:$A,$A357,FoodLog!$G:$G)))</f>
        <v/>
      </c>
      <c r="X357">
        <f>IF($A357="","",IF(SUMIF(FoodLog!$A:$A,$A357,FoodLog!$H:$H)=0,"",SUMIF(FoodLog!$A:$A,$A357,FoodLog!$H:$H)))</f>
        <v/>
      </c>
      <c r="Y357">
        <f>IF($A357="","",IFERROR(ROUND(100*AVERAGE(IF($B357="","",XLOOKUP($B357,FILTER(Dictionaries!$B:$B,Dictionaries!$A:$A="??????????"),FILTER(Dictionaries!$C:$C,Dictionaries!$A:$A="??????????"))),IF($C357="","",MIN($C357/40,1)),IF($D357="","",XLOOKUP($D357,FILTER(Dictionaries!$B:$B,Dictionaries!$A:$A="????"),FILTER(Dictionaries!$C:$C,Dictionaries!$A:$A="????"))),IF($E357="","",MIN($E357/120,1)),IF(OR($F357&lt;&gt;"",$G357&lt;&gt;""),1,""),IF($H357="","",MIN($H357/100,1)),IF($L357="","",XLOOKUP($L357,FILTER(Dictionaries!$B:$B,Dictionaries!$A:$A="???_????"),FILTER(Dictionaries!$C:$C,Dictionaries!$A:$A="???_????"))),IF($M357="","",XLOOKUP($M357,FILTER(Dictionaries!$B:$B,Dictionaries!$A:$A="?????"),FILTER(Dictionaries!$C:$C,Dictionaries!$A:$A="?????"))),IF($N357="","",MIN($N357/100,1)),IF($O357="","",XLOOKUP($O357,FILTER(Dictionaries!$B:$B,Dictionaries!$A:$A="??????????"),FILTER(Dictionaries!$C:$C,Dictionaries!$A:$A="??????????"))),IF($P357="","",XLOOKUP($P357,FILTER(Dictionaries!$B:$B,Dictionaries!$A:$A="???????"),FILTER(Dictionaries!$C:$C,Dictionaries!$A:$A="???????"))),IF($U357="","",LET(t,IF(OR($B357="????",$B357="????"),"train","rest"),k,$U357,p,$V357,f,$W357,c,$X357,k_s,IF(t="train",IF(k="","",IFS(AND(k&gt;=1900,k&lt;=2050),1,AND(k&gt;=1850,k&lt;1900),0.7,AND(k&gt;2050,k&lt;=2100),0.7,TRUE,0.2)),IF(k="","",IFS(AND(k&gt;=1700,k&lt;=1850),1,AND(k&gt;=1650,k&lt;1700),0.7,AND(k&gt;1850,k&lt;=1900),0.7,TRUE,0.2))),p_s,IF(t="train",IF(p="","",IFS(AND(p&gt;=125,p&lt;=135),1,AND(p&gt;=115,p&lt;125),0.7,AND(p&gt;135,p&lt;=145),0.7,AND(p&gt;=105,p&lt;115),0.4,AND(p&gt;145,p&lt;=155),0.4,TRUE,0.2)),IF(p="","",IFS(AND(p&gt;=120,p&lt;=130),1,AND(p&gt;=110,p&lt;120),0.7,AND(p&gt;130,p&lt;=140),0.7,AND(p&gt;=100,p&lt;110),0.4,AND(p&gt;140,p&lt;=150),0.4,TRUE,0.2))),f_s,IF(f="","",IFS(AND(f&gt;=55,f&lt;=65),1,AND(f&gt;=50,f&lt;55),0.7,AND(f&gt;65,f&lt;=70),0.7,AND(f&gt;=45,f&lt;50),0.4,AND(f&gt;70,f&lt;=75),0.4,TRUE,0.2)),c_s,IF(t="train",IF(c="","",IFS(AND(c&gt;=180,c&lt;=210),1,AND(c&gt;=160,c&lt;180),0.7,AND(c&gt;210,c&lt;=230),0.7,AND(c&gt;=140,c&lt;160),0.4,AND(c&gt;230,c&lt;=250),0.4,TRUE,0.2)),IF(c="","",IFS(AND(c&gt;=140,c&lt;=170),1,AND(c&gt;=120,c&lt;140),0.7,AND(c&gt;170,c&lt;=190),0.7,AND(c&gt;=100,c&lt;120),0.4,AND(c&gt;190,c&lt;=210),0.4,TRUE,0.2))),AVERAGE(k_s,p_s,f_s,c_s)))),1),""))</f>
        <v/>
      </c>
      <c r="Z357">
        <f>IF($A357="","",TEXTJOIN(", ",TRUE,IF($B357="","??????????",""),IF($C357="","??????",""),IF($D357="","????",""),IF($E357="","??????????",""),IF($F357="","???-?????",""),IF($G357="","???-????",""),IF($H357="","??????",""),IF($L357="","???",""),IF($M357="","?????",""),IF($N357="","??????????????",""),IF($O357="","??????????",""),IF($P357="","???????",""),IF($U357="","???","")))</f>
        <v/>
      </c>
    </row>
    <row r="358">
      <c r="U358">
        <f>IF($A358="","",IF(SUMIF(FoodLog!$A:$A,$A358,FoodLog!$I:$I)=0,"",SUMIF(FoodLog!$A:$A,$A358,FoodLog!$I:$I)))</f>
        <v/>
      </c>
      <c r="V358">
        <f>IF($A358="","",IF(SUMIF(FoodLog!$A:$A,$A358,FoodLog!$F:$F)=0,"",SUMIF(FoodLog!$A:$A,$A358,FoodLog!$F:$F)))</f>
        <v/>
      </c>
      <c r="W358">
        <f>IF($A358="","",IF(SUMIF(FoodLog!$A:$A,$A358,FoodLog!$G:$G)=0,"",SUMIF(FoodLog!$A:$A,$A358,FoodLog!$G:$G)))</f>
        <v/>
      </c>
      <c r="X358">
        <f>IF($A358="","",IF(SUMIF(FoodLog!$A:$A,$A358,FoodLog!$H:$H)=0,"",SUMIF(FoodLog!$A:$A,$A358,FoodLog!$H:$H)))</f>
        <v/>
      </c>
      <c r="Y358">
        <f>IF($A358="","",IFERROR(ROUND(100*AVERAGE(IF($B358="","",XLOOKUP($B358,FILTER(Dictionaries!$B:$B,Dictionaries!$A:$A="??????????"),FILTER(Dictionaries!$C:$C,Dictionaries!$A:$A="??????????"))),IF($C358="","",MIN($C358/40,1)),IF($D358="","",XLOOKUP($D358,FILTER(Dictionaries!$B:$B,Dictionaries!$A:$A="????"),FILTER(Dictionaries!$C:$C,Dictionaries!$A:$A="????"))),IF($E358="","",MIN($E358/120,1)),IF(OR($F358&lt;&gt;"",$G358&lt;&gt;""),1,""),IF($H358="","",MIN($H358/100,1)),IF($L358="","",XLOOKUP($L358,FILTER(Dictionaries!$B:$B,Dictionaries!$A:$A="???_????"),FILTER(Dictionaries!$C:$C,Dictionaries!$A:$A="???_????"))),IF($M358="","",XLOOKUP($M358,FILTER(Dictionaries!$B:$B,Dictionaries!$A:$A="?????"),FILTER(Dictionaries!$C:$C,Dictionaries!$A:$A="?????"))),IF($N358="","",MIN($N358/100,1)),IF($O358="","",XLOOKUP($O358,FILTER(Dictionaries!$B:$B,Dictionaries!$A:$A="??????????"),FILTER(Dictionaries!$C:$C,Dictionaries!$A:$A="??????????"))),IF($P358="","",XLOOKUP($P358,FILTER(Dictionaries!$B:$B,Dictionaries!$A:$A="???????"),FILTER(Dictionaries!$C:$C,Dictionaries!$A:$A="???????"))),IF($U358="","",LET(t,IF(OR($B358="????",$B358="????"),"train","rest"),k,$U358,p,$V358,f,$W358,c,$X358,k_s,IF(t="train",IF(k="","",IFS(AND(k&gt;=1900,k&lt;=2050),1,AND(k&gt;=1850,k&lt;1900),0.7,AND(k&gt;2050,k&lt;=2100),0.7,TRUE,0.2)),IF(k="","",IFS(AND(k&gt;=1700,k&lt;=1850),1,AND(k&gt;=1650,k&lt;1700),0.7,AND(k&gt;1850,k&lt;=1900),0.7,TRUE,0.2))),p_s,IF(t="train",IF(p="","",IFS(AND(p&gt;=125,p&lt;=135),1,AND(p&gt;=115,p&lt;125),0.7,AND(p&gt;135,p&lt;=145),0.7,AND(p&gt;=105,p&lt;115),0.4,AND(p&gt;145,p&lt;=155),0.4,TRUE,0.2)),IF(p="","",IFS(AND(p&gt;=120,p&lt;=130),1,AND(p&gt;=110,p&lt;120),0.7,AND(p&gt;130,p&lt;=140),0.7,AND(p&gt;=100,p&lt;110),0.4,AND(p&gt;140,p&lt;=150),0.4,TRUE,0.2))),f_s,IF(f="","",IFS(AND(f&gt;=55,f&lt;=65),1,AND(f&gt;=50,f&lt;55),0.7,AND(f&gt;65,f&lt;=70),0.7,AND(f&gt;=45,f&lt;50),0.4,AND(f&gt;70,f&lt;=75),0.4,TRUE,0.2)),c_s,IF(t="train",IF(c="","",IFS(AND(c&gt;=180,c&lt;=210),1,AND(c&gt;=160,c&lt;180),0.7,AND(c&gt;210,c&lt;=230),0.7,AND(c&gt;=140,c&lt;160),0.4,AND(c&gt;230,c&lt;=250),0.4,TRUE,0.2)),IF(c="","",IFS(AND(c&gt;=140,c&lt;=170),1,AND(c&gt;=120,c&lt;140),0.7,AND(c&gt;170,c&lt;=190),0.7,AND(c&gt;=100,c&lt;120),0.4,AND(c&gt;190,c&lt;=210),0.4,TRUE,0.2))),AVERAGE(k_s,p_s,f_s,c_s)))),1),""))</f>
        <v/>
      </c>
      <c r="Z358">
        <f>IF($A358="","",TEXTJOIN(", ",TRUE,IF($B358="","??????????",""),IF($C358="","??????",""),IF($D358="","????",""),IF($E358="","??????????",""),IF($F358="","???-?????",""),IF($G358="","???-????",""),IF($H358="","??????",""),IF($L358="","???",""),IF($M358="","?????",""),IF($N358="","??????????????",""),IF($O358="","??????????",""),IF($P358="","???????",""),IF($U358="","???","")))</f>
        <v/>
      </c>
    </row>
    <row r="359">
      <c r="U359">
        <f>IF($A359="","",IF(SUMIF(FoodLog!$A:$A,$A359,FoodLog!$I:$I)=0,"",SUMIF(FoodLog!$A:$A,$A359,FoodLog!$I:$I)))</f>
        <v/>
      </c>
      <c r="V359">
        <f>IF($A359="","",IF(SUMIF(FoodLog!$A:$A,$A359,FoodLog!$F:$F)=0,"",SUMIF(FoodLog!$A:$A,$A359,FoodLog!$F:$F)))</f>
        <v/>
      </c>
      <c r="W359">
        <f>IF($A359="","",IF(SUMIF(FoodLog!$A:$A,$A359,FoodLog!$G:$G)=0,"",SUMIF(FoodLog!$A:$A,$A359,FoodLog!$G:$G)))</f>
        <v/>
      </c>
      <c r="X359">
        <f>IF($A359="","",IF(SUMIF(FoodLog!$A:$A,$A359,FoodLog!$H:$H)=0,"",SUMIF(FoodLog!$A:$A,$A359,FoodLog!$H:$H)))</f>
        <v/>
      </c>
      <c r="Y359">
        <f>IF($A359="","",IFERROR(ROUND(100*AVERAGE(IF($B359="","",XLOOKUP($B359,FILTER(Dictionaries!$B:$B,Dictionaries!$A:$A="??????????"),FILTER(Dictionaries!$C:$C,Dictionaries!$A:$A="??????????"))),IF($C359="","",MIN($C359/40,1)),IF($D359="","",XLOOKUP($D359,FILTER(Dictionaries!$B:$B,Dictionaries!$A:$A="????"),FILTER(Dictionaries!$C:$C,Dictionaries!$A:$A="????"))),IF($E359="","",MIN($E359/120,1)),IF(OR($F359&lt;&gt;"",$G359&lt;&gt;""),1,""),IF($H359="","",MIN($H359/100,1)),IF($L359="","",XLOOKUP($L359,FILTER(Dictionaries!$B:$B,Dictionaries!$A:$A="???_????"),FILTER(Dictionaries!$C:$C,Dictionaries!$A:$A="???_????"))),IF($M359="","",XLOOKUP($M359,FILTER(Dictionaries!$B:$B,Dictionaries!$A:$A="?????"),FILTER(Dictionaries!$C:$C,Dictionaries!$A:$A="?????"))),IF($N359="","",MIN($N359/100,1)),IF($O359="","",XLOOKUP($O359,FILTER(Dictionaries!$B:$B,Dictionaries!$A:$A="??????????"),FILTER(Dictionaries!$C:$C,Dictionaries!$A:$A="??????????"))),IF($P359="","",XLOOKUP($P359,FILTER(Dictionaries!$B:$B,Dictionaries!$A:$A="???????"),FILTER(Dictionaries!$C:$C,Dictionaries!$A:$A="???????"))),IF($U359="","",LET(t,IF(OR($B359="????",$B359="????"),"train","rest"),k,$U359,p,$V359,f,$W359,c,$X359,k_s,IF(t="train",IF(k="","",IFS(AND(k&gt;=1900,k&lt;=2050),1,AND(k&gt;=1850,k&lt;1900),0.7,AND(k&gt;2050,k&lt;=2100),0.7,TRUE,0.2)),IF(k="","",IFS(AND(k&gt;=1700,k&lt;=1850),1,AND(k&gt;=1650,k&lt;1700),0.7,AND(k&gt;1850,k&lt;=1900),0.7,TRUE,0.2))),p_s,IF(t="train",IF(p="","",IFS(AND(p&gt;=125,p&lt;=135),1,AND(p&gt;=115,p&lt;125),0.7,AND(p&gt;135,p&lt;=145),0.7,AND(p&gt;=105,p&lt;115),0.4,AND(p&gt;145,p&lt;=155),0.4,TRUE,0.2)),IF(p="","",IFS(AND(p&gt;=120,p&lt;=130),1,AND(p&gt;=110,p&lt;120),0.7,AND(p&gt;130,p&lt;=140),0.7,AND(p&gt;=100,p&lt;110),0.4,AND(p&gt;140,p&lt;=150),0.4,TRUE,0.2))),f_s,IF(f="","",IFS(AND(f&gt;=55,f&lt;=65),1,AND(f&gt;=50,f&lt;55),0.7,AND(f&gt;65,f&lt;=70),0.7,AND(f&gt;=45,f&lt;50),0.4,AND(f&gt;70,f&lt;=75),0.4,TRUE,0.2)),c_s,IF(t="train",IF(c="","",IFS(AND(c&gt;=180,c&lt;=210),1,AND(c&gt;=160,c&lt;180),0.7,AND(c&gt;210,c&lt;=230),0.7,AND(c&gt;=140,c&lt;160),0.4,AND(c&gt;230,c&lt;=250),0.4,TRUE,0.2)),IF(c="","",IFS(AND(c&gt;=140,c&lt;=170),1,AND(c&gt;=120,c&lt;140),0.7,AND(c&gt;170,c&lt;=190),0.7,AND(c&gt;=100,c&lt;120),0.4,AND(c&gt;190,c&lt;=210),0.4,TRUE,0.2))),AVERAGE(k_s,p_s,f_s,c_s)))),1),""))</f>
        <v/>
      </c>
      <c r="Z359">
        <f>IF($A359="","",TEXTJOIN(", ",TRUE,IF($B359="","??????????",""),IF($C359="","??????",""),IF($D359="","????",""),IF($E359="","??????????",""),IF($F359="","???-?????",""),IF($G359="","???-????",""),IF($H359="","??????",""),IF($L359="","???",""),IF($M359="","?????",""),IF($N359="","??????????????",""),IF($O359="","??????????",""),IF($P359="","???????",""),IF($U359="","???","")))</f>
        <v/>
      </c>
    </row>
    <row r="360">
      <c r="U360">
        <f>IF($A360="","",IF(SUMIF(FoodLog!$A:$A,$A360,FoodLog!$I:$I)=0,"",SUMIF(FoodLog!$A:$A,$A360,FoodLog!$I:$I)))</f>
        <v/>
      </c>
      <c r="V360">
        <f>IF($A360="","",IF(SUMIF(FoodLog!$A:$A,$A360,FoodLog!$F:$F)=0,"",SUMIF(FoodLog!$A:$A,$A360,FoodLog!$F:$F)))</f>
        <v/>
      </c>
      <c r="W360">
        <f>IF($A360="","",IF(SUMIF(FoodLog!$A:$A,$A360,FoodLog!$G:$G)=0,"",SUMIF(FoodLog!$A:$A,$A360,FoodLog!$G:$G)))</f>
        <v/>
      </c>
      <c r="X360">
        <f>IF($A360="","",IF(SUMIF(FoodLog!$A:$A,$A360,FoodLog!$H:$H)=0,"",SUMIF(FoodLog!$A:$A,$A360,FoodLog!$H:$H)))</f>
        <v/>
      </c>
      <c r="Y360">
        <f>IF($A360="","",IFERROR(ROUND(100*AVERAGE(IF($B360="","",XLOOKUP($B360,FILTER(Dictionaries!$B:$B,Dictionaries!$A:$A="??????????"),FILTER(Dictionaries!$C:$C,Dictionaries!$A:$A="??????????"))),IF($C360="","",MIN($C360/40,1)),IF($D360="","",XLOOKUP($D360,FILTER(Dictionaries!$B:$B,Dictionaries!$A:$A="????"),FILTER(Dictionaries!$C:$C,Dictionaries!$A:$A="????"))),IF($E360="","",MIN($E360/120,1)),IF(OR($F360&lt;&gt;"",$G360&lt;&gt;""),1,""),IF($H360="","",MIN($H360/100,1)),IF($L360="","",XLOOKUP($L360,FILTER(Dictionaries!$B:$B,Dictionaries!$A:$A="???_????"),FILTER(Dictionaries!$C:$C,Dictionaries!$A:$A="???_????"))),IF($M360="","",XLOOKUP($M360,FILTER(Dictionaries!$B:$B,Dictionaries!$A:$A="?????"),FILTER(Dictionaries!$C:$C,Dictionaries!$A:$A="?????"))),IF($N360="","",MIN($N360/100,1)),IF($O360="","",XLOOKUP($O360,FILTER(Dictionaries!$B:$B,Dictionaries!$A:$A="??????????"),FILTER(Dictionaries!$C:$C,Dictionaries!$A:$A="??????????"))),IF($P360="","",XLOOKUP($P360,FILTER(Dictionaries!$B:$B,Dictionaries!$A:$A="???????"),FILTER(Dictionaries!$C:$C,Dictionaries!$A:$A="???????"))),IF($U360="","",LET(t,IF(OR($B360="????",$B360="????"),"train","rest"),k,$U360,p,$V360,f,$W360,c,$X360,k_s,IF(t="train",IF(k="","",IFS(AND(k&gt;=1900,k&lt;=2050),1,AND(k&gt;=1850,k&lt;1900),0.7,AND(k&gt;2050,k&lt;=2100),0.7,TRUE,0.2)),IF(k="","",IFS(AND(k&gt;=1700,k&lt;=1850),1,AND(k&gt;=1650,k&lt;1700),0.7,AND(k&gt;1850,k&lt;=1900),0.7,TRUE,0.2))),p_s,IF(t="train",IF(p="","",IFS(AND(p&gt;=125,p&lt;=135),1,AND(p&gt;=115,p&lt;125),0.7,AND(p&gt;135,p&lt;=145),0.7,AND(p&gt;=105,p&lt;115),0.4,AND(p&gt;145,p&lt;=155),0.4,TRUE,0.2)),IF(p="","",IFS(AND(p&gt;=120,p&lt;=130),1,AND(p&gt;=110,p&lt;120),0.7,AND(p&gt;130,p&lt;=140),0.7,AND(p&gt;=100,p&lt;110),0.4,AND(p&gt;140,p&lt;=150),0.4,TRUE,0.2))),f_s,IF(f="","",IFS(AND(f&gt;=55,f&lt;=65),1,AND(f&gt;=50,f&lt;55),0.7,AND(f&gt;65,f&lt;=70),0.7,AND(f&gt;=45,f&lt;50),0.4,AND(f&gt;70,f&lt;=75),0.4,TRUE,0.2)),c_s,IF(t="train",IF(c="","",IFS(AND(c&gt;=180,c&lt;=210),1,AND(c&gt;=160,c&lt;180),0.7,AND(c&gt;210,c&lt;=230),0.7,AND(c&gt;=140,c&lt;160),0.4,AND(c&gt;230,c&lt;=250),0.4,TRUE,0.2)),IF(c="","",IFS(AND(c&gt;=140,c&lt;=170),1,AND(c&gt;=120,c&lt;140),0.7,AND(c&gt;170,c&lt;=190),0.7,AND(c&gt;=100,c&lt;120),0.4,AND(c&gt;190,c&lt;=210),0.4,TRUE,0.2))),AVERAGE(k_s,p_s,f_s,c_s)))),1),""))</f>
        <v/>
      </c>
      <c r="Z360">
        <f>IF($A360="","",TEXTJOIN(", ",TRUE,IF($B360="","??????????",""),IF($C360="","??????",""),IF($D360="","????",""),IF($E360="","??????????",""),IF($F360="","???-?????",""),IF($G360="","???-????",""),IF($H360="","??????",""),IF($L360="","???",""),IF($M360="","?????",""),IF($N360="","??????????????",""),IF($O360="","??????????",""),IF($P360="","???????",""),IF($U360="","???","")))</f>
        <v/>
      </c>
    </row>
    <row r="361">
      <c r="U361">
        <f>IF($A361="","",IF(SUMIF(FoodLog!$A:$A,$A361,FoodLog!$I:$I)=0,"",SUMIF(FoodLog!$A:$A,$A361,FoodLog!$I:$I)))</f>
        <v/>
      </c>
      <c r="V361">
        <f>IF($A361="","",IF(SUMIF(FoodLog!$A:$A,$A361,FoodLog!$F:$F)=0,"",SUMIF(FoodLog!$A:$A,$A361,FoodLog!$F:$F)))</f>
        <v/>
      </c>
      <c r="W361">
        <f>IF($A361="","",IF(SUMIF(FoodLog!$A:$A,$A361,FoodLog!$G:$G)=0,"",SUMIF(FoodLog!$A:$A,$A361,FoodLog!$G:$G)))</f>
        <v/>
      </c>
      <c r="X361">
        <f>IF($A361="","",IF(SUMIF(FoodLog!$A:$A,$A361,FoodLog!$H:$H)=0,"",SUMIF(FoodLog!$A:$A,$A361,FoodLog!$H:$H)))</f>
        <v/>
      </c>
      <c r="Y361">
        <f>IF($A361="","",IFERROR(ROUND(100*AVERAGE(IF($B361="","",XLOOKUP($B361,FILTER(Dictionaries!$B:$B,Dictionaries!$A:$A="??????????"),FILTER(Dictionaries!$C:$C,Dictionaries!$A:$A="??????????"))),IF($C361="","",MIN($C361/40,1)),IF($D361="","",XLOOKUP($D361,FILTER(Dictionaries!$B:$B,Dictionaries!$A:$A="????"),FILTER(Dictionaries!$C:$C,Dictionaries!$A:$A="????"))),IF($E361="","",MIN($E361/120,1)),IF(OR($F361&lt;&gt;"",$G361&lt;&gt;""),1,""),IF($H361="","",MIN($H361/100,1)),IF($L361="","",XLOOKUP($L361,FILTER(Dictionaries!$B:$B,Dictionaries!$A:$A="???_????"),FILTER(Dictionaries!$C:$C,Dictionaries!$A:$A="???_????"))),IF($M361="","",XLOOKUP($M361,FILTER(Dictionaries!$B:$B,Dictionaries!$A:$A="?????"),FILTER(Dictionaries!$C:$C,Dictionaries!$A:$A="?????"))),IF($N361="","",MIN($N361/100,1)),IF($O361="","",XLOOKUP($O361,FILTER(Dictionaries!$B:$B,Dictionaries!$A:$A="??????????"),FILTER(Dictionaries!$C:$C,Dictionaries!$A:$A="??????????"))),IF($P361="","",XLOOKUP($P361,FILTER(Dictionaries!$B:$B,Dictionaries!$A:$A="???????"),FILTER(Dictionaries!$C:$C,Dictionaries!$A:$A="???????"))),IF($U361="","",LET(t,IF(OR($B361="????",$B361="????"),"train","rest"),k,$U361,p,$V361,f,$W361,c,$X361,k_s,IF(t="train",IF(k="","",IFS(AND(k&gt;=1900,k&lt;=2050),1,AND(k&gt;=1850,k&lt;1900),0.7,AND(k&gt;2050,k&lt;=2100),0.7,TRUE,0.2)),IF(k="","",IFS(AND(k&gt;=1700,k&lt;=1850),1,AND(k&gt;=1650,k&lt;1700),0.7,AND(k&gt;1850,k&lt;=1900),0.7,TRUE,0.2))),p_s,IF(t="train",IF(p="","",IFS(AND(p&gt;=125,p&lt;=135),1,AND(p&gt;=115,p&lt;125),0.7,AND(p&gt;135,p&lt;=145),0.7,AND(p&gt;=105,p&lt;115),0.4,AND(p&gt;145,p&lt;=155),0.4,TRUE,0.2)),IF(p="","",IFS(AND(p&gt;=120,p&lt;=130),1,AND(p&gt;=110,p&lt;120),0.7,AND(p&gt;130,p&lt;=140),0.7,AND(p&gt;=100,p&lt;110),0.4,AND(p&gt;140,p&lt;=150),0.4,TRUE,0.2))),f_s,IF(f="","",IFS(AND(f&gt;=55,f&lt;=65),1,AND(f&gt;=50,f&lt;55),0.7,AND(f&gt;65,f&lt;=70),0.7,AND(f&gt;=45,f&lt;50),0.4,AND(f&gt;70,f&lt;=75),0.4,TRUE,0.2)),c_s,IF(t="train",IF(c="","",IFS(AND(c&gt;=180,c&lt;=210),1,AND(c&gt;=160,c&lt;180),0.7,AND(c&gt;210,c&lt;=230),0.7,AND(c&gt;=140,c&lt;160),0.4,AND(c&gt;230,c&lt;=250),0.4,TRUE,0.2)),IF(c="","",IFS(AND(c&gt;=140,c&lt;=170),1,AND(c&gt;=120,c&lt;140),0.7,AND(c&gt;170,c&lt;=190),0.7,AND(c&gt;=100,c&lt;120),0.4,AND(c&gt;190,c&lt;=210),0.4,TRUE,0.2))),AVERAGE(k_s,p_s,f_s,c_s)))),1),""))</f>
        <v/>
      </c>
      <c r="Z361">
        <f>IF($A361="","",TEXTJOIN(", ",TRUE,IF($B361="","??????????",""),IF($C361="","??????",""),IF($D361="","????",""),IF($E361="","??????????",""),IF($F361="","???-?????",""),IF($G361="","???-????",""),IF($H361="","??????",""),IF($L361="","???",""),IF($M361="","?????",""),IF($N361="","??????????????",""),IF($O361="","??????????",""),IF($P361="","???????",""),IF($U361="","???","")))</f>
        <v/>
      </c>
    </row>
    <row r="362">
      <c r="U362">
        <f>IF($A362="","",IF(SUMIF(FoodLog!$A:$A,$A362,FoodLog!$I:$I)=0,"",SUMIF(FoodLog!$A:$A,$A362,FoodLog!$I:$I)))</f>
        <v/>
      </c>
      <c r="V362">
        <f>IF($A362="","",IF(SUMIF(FoodLog!$A:$A,$A362,FoodLog!$F:$F)=0,"",SUMIF(FoodLog!$A:$A,$A362,FoodLog!$F:$F)))</f>
        <v/>
      </c>
      <c r="W362">
        <f>IF($A362="","",IF(SUMIF(FoodLog!$A:$A,$A362,FoodLog!$G:$G)=0,"",SUMIF(FoodLog!$A:$A,$A362,FoodLog!$G:$G)))</f>
        <v/>
      </c>
      <c r="X362">
        <f>IF($A362="","",IF(SUMIF(FoodLog!$A:$A,$A362,FoodLog!$H:$H)=0,"",SUMIF(FoodLog!$A:$A,$A362,FoodLog!$H:$H)))</f>
        <v/>
      </c>
      <c r="Y362">
        <f>IF($A362="","",IFERROR(ROUND(100*AVERAGE(IF($B362="","",XLOOKUP($B362,FILTER(Dictionaries!$B:$B,Dictionaries!$A:$A="??????????"),FILTER(Dictionaries!$C:$C,Dictionaries!$A:$A="??????????"))),IF($C362="","",MIN($C362/40,1)),IF($D362="","",XLOOKUP($D362,FILTER(Dictionaries!$B:$B,Dictionaries!$A:$A="????"),FILTER(Dictionaries!$C:$C,Dictionaries!$A:$A="????"))),IF($E362="","",MIN($E362/120,1)),IF(OR($F362&lt;&gt;"",$G362&lt;&gt;""),1,""),IF($H362="","",MIN($H362/100,1)),IF($L362="","",XLOOKUP($L362,FILTER(Dictionaries!$B:$B,Dictionaries!$A:$A="???_????"),FILTER(Dictionaries!$C:$C,Dictionaries!$A:$A="???_????"))),IF($M362="","",XLOOKUP($M362,FILTER(Dictionaries!$B:$B,Dictionaries!$A:$A="?????"),FILTER(Dictionaries!$C:$C,Dictionaries!$A:$A="?????"))),IF($N362="","",MIN($N362/100,1)),IF($O362="","",XLOOKUP($O362,FILTER(Dictionaries!$B:$B,Dictionaries!$A:$A="??????????"),FILTER(Dictionaries!$C:$C,Dictionaries!$A:$A="??????????"))),IF($P362="","",XLOOKUP($P362,FILTER(Dictionaries!$B:$B,Dictionaries!$A:$A="???????"),FILTER(Dictionaries!$C:$C,Dictionaries!$A:$A="???????"))),IF($U362="","",LET(t,IF(OR($B362="????",$B362="????"),"train","rest"),k,$U362,p,$V362,f,$W362,c,$X362,k_s,IF(t="train",IF(k="","",IFS(AND(k&gt;=1900,k&lt;=2050),1,AND(k&gt;=1850,k&lt;1900),0.7,AND(k&gt;2050,k&lt;=2100),0.7,TRUE,0.2)),IF(k="","",IFS(AND(k&gt;=1700,k&lt;=1850),1,AND(k&gt;=1650,k&lt;1700),0.7,AND(k&gt;1850,k&lt;=1900),0.7,TRUE,0.2))),p_s,IF(t="train",IF(p="","",IFS(AND(p&gt;=125,p&lt;=135),1,AND(p&gt;=115,p&lt;125),0.7,AND(p&gt;135,p&lt;=145),0.7,AND(p&gt;=105,p&lt;115),0.4,AND(p&gt;145,p&lt;=155),0.4,TRUE,0.2)),IF(p="","",IFS(AND(p&gt;=120,p&lt;=130),1,AND(p&gt;=110,p&lt;120),0.7,AND(p&gt;130,p&lt;=140),0.7,AND(p&gt;=100,p&lt;110),0.4,AND(p&gt;140,p&lt;=150),0.4,TRUE,0.2))),f_s,IF(f="","",IFS(AND(f&gt;=55,f&lt;=65),1,AND(f&gt;=50,f&lt;55),0.7,AND(f&gt;65,f&lt;=70),0.7,AND(f&gt;=45,f&lt;50),0.4,AND(f&gt;70,f&lt;=75),0.4,TRUE,0.2)),c_s,IF(t="train",IF(c="","",IFS(AND(c&gt;=180,c&lt;=210),1,AND(c&gt;=160,c&lt;180),0.7,AND(c&gt;210,c&lt;=230),0.7,AND(c&gt;=140,c&lt;160),0.4,AND(c&gt;230,c&lt;=250),0.4,TRUE,0.2)),IF(c="","",IFS(AND(c&gt;=140,c&lt;=170),1,AND(c&gt;=120,c&lt;140),0.7,AND(c&gt;170,c&lt;=190),0.7,AND(c&gt;=100,c&lt;120),0.4,AND(c&gt;190,c&lt;=210),0.4,TRUE,0.2))),AVERAGE(k_s,p_s,f_s,c_s)))),1),""))</f>
        <v/>
      </c>
      <c r="Z362">
        <f>IF($A362="","",TEXTJOIN(", ",TRUE,IF($B362="","??????????",""),IF($C362="","??????",""),IF($D362="","????",""),IF($E362="","??????????",""),IF($F362="","???-?????",""),IF($G362="","???-????",""),IF($H362="","??????",""),IF($L362="","???",""),IF($M362="","?????",""),IF($N362="","??????????????",""),IF($O362="","??????????",""),IF($P362="","???????",""),IF($U362="","???","")))</f>
        <v/>
      </c>
    </row>
    <row r="363">
      <c r="U363">
        <f>IF($A363="","",IF(SUMIF(FoodLog!$A:$A,$A363,FoodLog!$I:$I)=0,"",SUMIF(FoodLog!$A:$A,$A363,FoodLog!$I:$I)))</f>
        <v/>
      </c>
      <c r="V363">
        <f>IF($A363="","",IF(SUMIF(FoodLog!$A:$A,$A363,FoodLog!$F:$F)=0,"",SUMIF(FoodLog!$A:$A,$A363,FoodLog!$F:$F)))</f>
        <v/>
      </c>
      <c r="W363">
        <f>IF($A363="","",IF(SUMIF(FoodLog!$A:$A,$A363,FoodLog!$G:$G)=0,"",SUMIF(FoodLog!$A:$A,$A363,FoodLog!$G:$G)))</f>
        <v/>
      </c>
      <c r="X363">
        <f>IF($A363="","",IF(SUMIF(FoodLog!$A:$A,$A363,FoodLog!$H:$H)=0,"",SUMIF(FoodLog!$A:$A,$A363,FoodLog!$H:$H)))</f>
        <v/>
      </c>
      <c r="Y363">
        <f>IF($A363="","",IFERROR(ROUND(100*AVERAGE(IF($B363="","",XLOOKUP($B363,FILTER(Dictionaries!$B:$B,Dictionaries!$A:$A="??????????"),FILTER(Dictionaries!$C:$C,Dictionaries!$A:$A="??????????"))),IF($C363="","",MIN($C363/40,1)),IF($D363="","",XLOOKUP($D363,FILTER(Dictionaries!$B:$B,Dictionaries!$A:$A="????"),FILTER(Dictionaries!$C:$C,Dictionaries!$A:$A="????"))),IF($E363="","",MIN($E363/120,1)),IF(OR($F363&lt;&gt;"",$G363&lt;&gt;""),1,""),IF($H363="","",MIN($H363/100,1)),IF($L363="","",XLOOKUP($L363,FILTER(Dictionaries!$B:$B,Dictionaries!$A:$A="???_????"),FILTER(Dictionaries!$C:$C,Dictionaries!$A:$A="???_????"))),IF($M363="","",XLOOKUP($M363,FILTER(Dictionaries!$B:$B,Dictionaries!$A:$A="?????"),FILTER(Dictionaries!$C:$C,Dictionaries!$A:$A="?????"))),IF($N363="","",MIN($N363/100,1)),IF($O363="","",XLOOKUP($O363,FILTER(Dictionaries!$B:$B,Dictionaries!$A:$A="??????????"),FILTER(Dictionaries!$C:$C,Dictionaries!$A:$A="??????????"))),IF($P363="","",XLOOKUP($P363,FILTER(Dictionaries!$B:$B,Dictionaries!$A:$A="???????"),FILTER(Dictionaries!$C:$C,Dictionaries!$A:$A="???????"))),IF($U363="","",LET(t,IF(OR($B363="????",$B363="????"),"train","rest"),k,$U363,p,$V363,f,$W363,c,$X363,k_s,IF(t="train",IF(k="","",IFS(AND(k&gt;=1900,k&lt;=2050),1,AND(k&gt;=1850,k&lt;1900),0.7,AND(k&gt;2050,k&lt;=2100),0.7,TRUE,0.2)),IF(k="","",IFS(AND(k&gt;=1700,k&lt;=1850),1,AND(k&gt;=1650,k&lt;1700),0.7,AND(k&gt;1850,k&lt;=1900),0.7,TRUE,0.2))),p_s,IF(t="train",IF(p="","",IFS(AND(p&gt;=125,p&lt;=135),1,AND(p&gt;=115,p&lt;125),0.7,AND(p&gt;135,p&lt;=145),0.7,AND(p&gt;=105,p&lt;115),0.4,AND(p&gt;145,p&lt;=155),0.4,TRUE,0.2)),IF(p="","",IFS(AND(p&gt;=120,p&lt;=130),1,AND(p&gt;=110,p&lt;120),0.7,AND(p&gt;130,p&lt;=140),0.7,AND(p&gt;=100,p&lt;110),0.4,AND(p&gt;140,p&lt;=150),0.4,TRUE,0.2))),f_s,IF(f="","",IFS(AND(f&gt;=55,f&lt;=65),1,AND(f&gt;=50,f&lt;55),0.7,AND(f&gt;65,f&lt;=70),0.7,AND(f&gt;=45,f&lt;50),0.4,AND(f&gt;70,f&lt;=75),0.4,TRUE,0.2)),c_s,IF(t="train",IF(c="","",IFS(AND(c&gt;=180,c&lt;=210),1,AND(c&gt;=160,c&lt;180),0.7,AND(c&gt;210,c&lt;=230),0.7,AND(c&gt;=140,c&lt;160),0.4,AND(c&gt;230,c&lt;=250),0.4,TRUE,0.2)),IF(c="","",IFS(AND(c&gt;=140,c&lt;=170),1,AND(c&gt;=120,c&lt;140),0.7,AND(c&gt;170,c&lt;=190),0.7,AND(c&gt;=100,c&lt;120),0.4,AND(c&gt;190,c&lt;=210),0.4,TRUE,0.2))),AVERAGE(k_s,p_s,f_s,c_s)))),1),""))</f>
        <v/>
      </c>
      <c r="Z363">
        <f>IF($A363="","",TEXTJOIN(", ",TRUE,IF($B363="","??????????",""),IF($C363="","??????",""),IF($D363="","????",""),IF($E363="","??????????",""),IF($F363="","???-?????",""),IF($G363="","???-????",""),IF($H363="","??????",""),IF($L363="","???",""),IF($M363="","?????",""),IF($N363="","??????????????",""),IF($O363="","??????????",""),IF($P363="","???????",""),IF($U363="","???","")))</f>
        <v/>
      </c>
    </row>
    <row r="364">
      <c r="U364">
        <f>IF($A364="","",IF(SUMIF(FoodLog!$A:$A,$A364,FoodLog!$I:$I)=0,"",SUMIF(FoodLog!$A:$A,$A364,FoodLog!$I:$I)))</f>
        <v/>
      </c>
      <c r="V364">
        <f>IF($A364="","",IF(SUMIF(FoodLog!$A:$A,$A364,FoodLog!$F:$F)=0,"",SUMIF(FoodLog!$A:$A,$A364,FoodLog!$F:$F)))</f>
        <v/>
      </c>
      <c r="W364">
        <f>IF($A364="","",IF(SUMIF(FoodLog!$A:$A,$A364,FoodLog!$G:$G)=0,"",SUMIF(FoodLog!$A:$A,$A364,FoodLog!$G:$G)))</f>
        <v/>
      </c>
      <c r="X364">
        <f>IF($A364="","",IF(SUMIF(FoodLog!$A:$A,$A364,FoodLog!$H:$H)=0,"",SUMIF(FoodLog!$A:$A,$A364,FoodLog!$H:$H)))</f>
        <v/>
      </c>
      <c r="Y364">
        <f>IF($A364="","",IFERROR(ROUND(100*AVERAGE(IF($B364="","",XLOOKUP($B364,FILTER(Dictionaries!$B:$B,Dictionaries!$A:$A="??????????"),FILTER(Dictionaries!$C:$C,Dictionaries!$A:$A="??????????"))),IF($C364="","",MIN($C364/40,1)),IF($D364="","",XLOOKUP($D364,FILTER(Dictionaries!$B:$B,Dictionaries!$A:$A="????"),FILTER(Dictionaries!$C:$C,Dictionaries!$A:$A="????"))),IF($E364="","",MIN($E364/120,1)),IF(OR($F364&lt;&gt;"",$G364&lt;&gt;""),1,""),IF($H364="","",MIN($H364/100,1)),IF($L364="","",XLOOKUP($L364,FILTER(Dictionaries!$B:$B,Dictionaries!$A:$A="???_????"),FILTER(Dictionaries!$C:$C,Dictionaries!$A:$A="???_????"))),IF($M364="","",XLOOKUP($M364,FILTER(Dictionaries!$B:$B,Dictionaries!$A:$A="?????"),FILTER(Dictionaries!$C:$C,Dictionaries!$A:$A="?????"))),IF($N364="","",MIN($N364/100,1)),IF($O364="","",XLOOKUP($O364,FILTER(Dictionaries!$B:$B,Dictionaries!$A:$A="??????????"),FILTER(Dictionaries!$C:$C,Dictionaries!$A:$A="??????????"))),IF($P364="","",XLOOKUP($P364,FILTER(Dictionaries!$B:$B,Dictionaries!$A:$A="???????"),FILTER(Dictionaries!$C:$C,Dictionaries!$A:$A="???????"))),IF($U364="","",LET(t,IF(OR($B364="????",$B364="????"),"train","rest"),k,$U364,p,$V364,f,$W364,c,$X364,k_s,IF(t="train",IF(k="","",IFS(AND(k&gt;=1900,k&lt;=2050),1,AND(k&gt;=1850,k&lt;1900),0.7,AND(k&gt;2050,k&lt;=2100),0.7,TRUE,0.2)),IF(k="","",IFS(AND(k&gt;=1700,k&lt;=1850),1,AND(k&gt;=1650,k&lt;1700),0.7,AND(k&gt;1850,k&lt;=1900),0.7,TRUE,0.2))),p_s,IF(t="train",IF(p="","",IFS(AND(p&gt;=125,p&lt;=135),1,AND(p&gt;=115,p&lt;125),0.7,AND(p&gt;135,p&lt;=145),0.7,AND(p&gt;=105,p&lt;115),0.4,AND(p&gt;145,p&lt;=155),0.4,TRUE,0.2)),IF(p="","",IFS(AND(p&gt;=120,p&lt;=130),1,AND(p&gt;=110,p&lt;120),0.7,AND(p&gt;130,p&lt;=140),0.7,AND(p&gt;=100,p&lt;110),0.4,AND(p&gt;140,p&lt;=150),0.4,TRUE,0.2))),f_s,IF(f="","",IFS(AND(f&gt;=55,f&lt;=65),1,AND(f&gt;=50,f&lt;55),0.7,AND(f&gt;65,f&lt;=70),0.7,AND(f&gt;=45,f&lt;50),0.4,AND(f&gt;70,f&lt;=75),0.4,TRUE,0.2)),c_s,IF(t="train",IF(c="","",IFS(AND(c&gt;=180,c&lt;=210),1,AND(c&gt;=160,c&lt;180),0.7,AND(c&gt;210,c&lt;=230),0.7,AND(c&gt;=140,c&lt;160),0.4,AND(c&gt;230,c&lt;=250),0.4,TRUE,0.2)),IF(c="","",IFS(AND(c&gt;=140,c&lt;=170),1,AND(c&gt;=120,c&lt;140),0.7,AND(c&gt;170,c&lt;=190),0.7,AND(c&gt;=100,c&lt;120),0.4,AND(c&gt;190,c&lt;=210),0.4,TRUE,0.2))),AVERAGE(k_s,p_s,f_s,c_s)))),1),""))</f>
        <v/>
      </c>
      <c r="Z364">
        <f>IF($A364="","",TEXTJOIN(", ",TRUE,IF($B364="","??????????",""),IF($C364="","??????",""),IF($D364="","????",""),IF($E364="","??????????",""),IF($F364="","???-?????",""),IF($G364="","???-????",""),IF($H364="","??????",""),IF($L364="","???",""),IF($M364="","?????",""),IF($N364="","??????????????",""),IF($O364="","??????????",""),IF($P364="","???????",""),IF($U364="","???","")))</f>
        <v/>
      </c>
    </row>
    <row r="365">
      <c r="U365">
        <f>IF($A365="","",IF(SUMIF(FoodLog!$A:$A,$A365,FoodLog!$I:$I)=0,"",SUMIF(FoodLog!$A:$A,$A365,FoodLog!$I:$I)))</f>
        <v/>
      </c>
      <c r="V365">
        <f>IF($A365="","",IF(SUMIF(FoodLog!$A:$A,$A365,FoodLog!$F:$F)=0,"",SUMIF(FoodLog!$A:$A,$A365,FoodLog!$F:$F)))</f>
        <v/>
      </c>
      <c r="W365">
        <f>IF($A365="","",IF(SUMIF(FoodLog!$A:$A,$A365,FoodLog!$G:$G)=0,"",SUMIF(FoodLog!$A:$A,$A365,FoodLog!$G:$G)))</f>
        <v/>
      </c>
      <c r="X365">
        <f>IF($A365="","",IF(SUMIF(FoodLog!$A:$A,$A365,FoodLog!$H:$H)=0,"",SUMIF(FoodLog!$A:$A,$A365,FoodLog!$H:$H)))</f>
        <v/>
      </c>
      <c r="Y365">
        <f>IF($A365="","",IFERROR(ROUND(100*AVERAGE(IF($B365="","",XLOOKUP($B365,FILTER(Dictionaries!$B:$B,Dictionaries!$A:$A="??????????"),FILTER(Dictionaries!$C:$C,Dictionaries!$A:$A="??????????"))),IF($C365="","",MIN($C365/40,1)),IF($D365="","",XLOOKUP($D365,FILTER(Dictionaries!$B:$B,Dictionaries!$A:$A="????"),FILTER(Dictionaries!$C:$C,Dictionaries!$A:$A="????"))),IF($E365="","",MIN($E365/120,1)),IF(OR($F365&lt;&gt;"",$G365&lt;&gt;""),1,""),IF($H365="","",MIN($H365/100,1)),IF($L365="","",XLOOKUP($L365,FILTER(Dictionaries!$B:$B,Dictionaries!$A:$A="???_????"),FILTER(Dictionaries!$C:$C,Dictionaries!$A:$A="???_????"))),IF($M365="","",XLOOKUP($M365,FILTER(Dictionaries!$B:$B,Dictionaries!$A:$A="?????"),FILTER(Dictionaries!$C:$C,Dictionaries!$A:$A="?????"))),IF($N365="","",MIN($N365/100,1)),IF($O365="","",XLOOKUP($O365,FILTER(Dictionaries!$B:$B,Dictionaries!$A:$A="??????????"),FILTER(Dictionaries!$C:$C,Dictionaries!$A:$A="??????????"))),IF($P365="","",XLOOKUP($P365,FILTER(Dictionaries!$B:$B,Dictionaries!$A:$A="???????"),FILTER(Dictionaries!$C:$C,Dictionaries!$A:$A="???????"))),IF($U365="","",LET(t,IF(OR($B365="????",$B365="????"),"train","rest"),k,$U365,p,$V365,f,$W365,c,$X365,k_s,IF(t="train",IF(k="","",IFS(AND(k&gt;=1900,k&lt;=2050),1,AND(k&gt;=1850,k&lt;1900),0.7,AND(k&gt;2050,k&lt;=2100),0.7,TRUE,0.2)),IF(k="","",IFS(AND(k&gt;=1700,k&lt;=1850),1,AND(k&gt;=1650,k&lt;1700),0.7,AND(k&gt;1850,k&lt;=1900),0.7,TRUE,0.2))),p_s,IF(t="train",IF(p="","",IFS(AND(p&gt;=125,p&lt;=135),1,AND(p&gt;=115,p&lt;125),0.7,AND(p&gt;135,p&lt;=145),0.7,AND(p&gt;=105,p&lt;115),0.4,AND(p&gt;145,p&lt;=155),0.4,TRUE,0.2)),IF(p="","",IFS(AND(p&gt;=120,p&lt;=130),1,AND(p&gt;=110,p&lt;120),0.7,AND(p&gt;130,p&lt;=140),0.7,AND(p&gt;=100,p&lt;110),0.4,AND(p&gt;140,p&lt;=150),0.4,TRUE,0.2))),f_s,IF(f="","",IFS(AND(f&gt;=55,f&lt;=65),1,AND(f&gt;=50,f&lt;55),0.7,AND(f&gt;65,f&lt;=70),0.7,AND(f&gt;=45,f&lt;50),0.4,AND(f&gt;70,f&lt;=75),0.4,TRUE,0.2)),c_s,IF(t="train",IF(c="","",IFS(AND(c&gt;=180,c&lt;=210),1,AND(c&gt;=160,c&lt;180),0.7,AND(c&gt;210,c&lt;=230),0.7,AND(c&gt;=140,c&lt;160),0.4,AND(c&gt;230,c&lt;=250),0.4,TRUE,0.2)),IF(c="","",IFS(AND(c&gt;=140,c&lt;=170),1,AND(c&gt;=120,c&lt;140),0.7,AND(c&gt;170,c&lt;=190),0.7,AND(c&gt;=100,c&lt;120),0.4,AND(c&gt;190,c&lt;=210),0.4,TRUE,0.2))),AVERAGE(k_s,p_s,f_s,c_s)))),1),""))</f>
        <v/>
      </c>
      <c r="Z365">
        <f>IF($A365="","",TEXTJOIN(", ",TRUE,IF($B365="","??????????",""),IF($C365="","??????",""),IF($D365="","????",""),IF($E365="","??????????",""),IF($F365="","???-?????",""),IF($G365="","???-????",""),IF($H365="","??????",""),IF($L365="","???",""),IF($M365="","?????",""),IF($N365="","??????????????",""),IF($O365="","??????????",""),IF($P365="","???????",""),IF($U365="","???","")))</f>
        <v/>
      </c>
    </row>
    <row r="366">
      <c r="U366">
        <f>IF($A366="","",IF(SUMIF(FoodLog!$A:$A,$A366,FoodLog!$I:$I)=0,"",SUMIF(FoodLog!$A:$A,$A366,FoodLog!$I:$I)))</f>
        <v/>
      </c>
      <c r="V366">
        <f>IF($A366="","",IF(SUMIF(FoodLog!$A:$A,$A366,FoodLog!$F:$F)=0,"",SUMIF(FoodLog!$A:$A,$A366,FoodLog!$F:$F)))</f>
        <v/>
      </c>
      <c r="W366">
        <f>IF($A366="","",IF(SUMIF(FoodLog!$A:$A,$A366,FoodLog!$G:$G)=0,"",SUMIF(FoodLog!$A:$A,$A366,FoodLog!$G:$G)))</f>
        <v/>
      </c>
      <c r="X366">
        <f>IF($A366="","",IF(SUMIF(FoodLog!$A:$A,$A366,FoodLog!$H:$H)=0,"",SUMIF(FoodLog!$A:$A,$A366,FoodLog!$H:$H)))</f>
        <v/>
      </c>
      <c r="Y366">
        <f>IF($A366="","",IFERROR(ROUND(100*AVERAGE(IF($B366="","",XLOOKUP($B366,FILTER(Dictionaries!$B:$B,Dictionaries!$A:$A="??????????"),FILTER(Dictionaries!$C:$C,Dictionaries!$A:$A="??????????"))),IF($C366="","",MIN($C366/40,1)),IF($D366="","",XLOOKUP($D366,FILTER(Dictionaries!$B:$B,Dictionaries!$A:$A="????"),FILTER(Dictionaries!$C:$C,Dictionaries!$A:$A="????"))),IF($E366="","",MIN($E366/120,1)),IF(OR($F366&lt;&gt;"",$G366&lt;&gt;""),1,""),IF($H366="","",MIN($H366/100,1)),IF($L366="","",XLOOKUP($L366,FILTER(Dictionaries!$B:$B,Dictionaries!$A:$A="???_????"),FILTER(Dictionaries!$C:$C,Dictionaries!$A:$A="???_????"))),IF($M366="","",XLOOKUP($M366,FILTER(Dictionaries!$B:$B,Dictionaries!$A:$A="?????"),FILTER(Dictionaries!$C:$C,Dictionaries!$A:$A="?????"))),IF($N366="","",MIN($N366/100,1)),IF($O366="","",XLOOKUP($O366,FILTER(Dictionaries!$B:$B,Dictionaries!$A:$A="??????????"),FILTER(Dictionaries!$C:$C,Dictionaries!$A:$A="??????????"))),IF($P366="","",XLOOKUP($P366,FILTER(Dictionaries!$B:$B,Dictionaries!$A:$A="???????"),FILTER(Dictionaries!$C:$C,Dictionaries!$A:$A="???????"))),IF($U366="","",LET(t,IF(OR($B366="????",$B366="????"),"train","rest"),k,$U366,p,$V366,f,$W366,c,$X366,k_s,IF(t="train",IF(k="","",IFS(AND(k&gt;=1900,k&lt;=2050),1,AND(k&gt;=1850,k&lt;1900),0.7,AND(k&gt;2050,k&lt;=2100),0.7,TRUE,0.2)),IF(k="","",IFS(AND(k&gt;=1700,k&lt;=1850),1,AND(k&gt;=1650,k&lt;1700),0.7,AND(k&gt;1850,k&lt;=1900),0.7,TRUE,0.2))),p_s,IF(t="train",IF(p="","",IFS(AND(p&gt;=125,p&lt;=135),1,AND(p&gt;=115,p&lt;125),0.7,AND(p&gt;135,p&lt;=145),0.7,AND(p&gt;=105,p&lt;115),0.4,AND(p&gt;145,p&lt;=155),0.4,TRUE,0.2)),IF(p="","",IFS(AND(p&gt;=120,p&lt;=130),1,AND(p&gt;=110,p&lt;120),0.7,AND(p&gt;130,p&lt;=140),0.7,AND(p&gt;=100,p&lt;110),0.4,AND(p&gt;140,p&lt;=150),0.4,TRUE,0.2))),f_s,IF(f="","",IFS(AND(f&gt;=55,f&lt;=65),1,AND(f&gt;=50,f&lt;55),0.7,AND(f&gt;65,f&lt;=70),0.7,AND(f&gt;=45,f&lt;50),0.4,AND(f&gt;70,f&lt;=75),0.4,TRUE,0.2)),c_s,IF(t="train",IF(c="","",IFS(AND(c&gt;=180,c&lt;=210),1,AND(c&gt;=160,c&lt;180),0.7,AND(c&gt;210,c&lt;=230),0.7,AND(c&gt;=140,c&lt;160),0.4,AND(c&gt;230,c&lt;=250),0.4,TRUE,0.2)),IF(c="","",IFS(AND(c&gt;=140,c&lt;=170),1,AND(c&gt;=120,c&lt;140),0.7,AND(c&gt;170,c&lt;=190),0.7,AND(c&gt;=100,c&lt;120),0.4,AND(c&gt;190,c&lt;=210),0.4,TRUE,0.2))),AVERAGE(k_s,p_s,f_s,c_s)))),1),""))</f>
        <v/>
      </c>
      <c r="Z366">
        <f>IF($A366="","",TEXTJOIN(", ",TRUE,IF($B366="","??????????",""),IF($C366="","??????",""),IF($D366="","????",""),IF($E366="","??????????",""),IF($F366="","???-?????",""),IF($G366="","???-????",""),IF($H366="","??????",""),IF($L366="","???",""),IF($M366="","?????",""),IF($N366="","??????????????",""),IF($O366="","??????????",""),IF($P366="","???????",""),IF($U366="","???","")))</f>
        <v/>
      </c>
    </row>
    <row r="367">
      <c r="U367">
        <f>IF($A367="","",IF(SUMIF(FoodLog!$A:$A,$A367,FoodLog!$I:$I)=0,"",SUMIF(FoodLog!$A:$A,$A367,FoodLog!$I:$I)))</f>
        <v/>
      </c>
      <c r="V367">
        <f>IF($A367="","",IF(SUMIF(FoodLog!$A:$A,$A367,FoodLog!$F:$F)=0,"",SUMIF(FoodLog!$A:$A,$A367,FoodLog!$F:$F)))</f>
        <v/>
      </c>
      <c r="W367">
        <f>IF($A367="","",IF(SUMIF(FoodLog!$A:$A,$A367,FoodLog!$G:$G)=0,"",SUMIF(FoodLog!$A:$A,$A367,FoodLog!$G:$G)))</f>
        <v/>
      </c>
      <c r="X367">
        <f>IF($A367="","",IF(SUMIF(FoodLog!$A:$A,$A367,FoodLog!$H:$H)=0,"",SUMIF(FoodLog!$A:$A,$A367,FoodLog!$H:$H)))</f>
        <v/>
      </c>
      <c r="Y367">
        <f>IF($A367="","",IFERROR(ROUND(100*AVERAGE(IF($B367="","",XLOOKUP($B367,FILTER(Dictionaries!$B:$B,Dictionaries!$A:$A="??????????"),FILTER(Dictionaries!$C:$C,Dictionaries!$A:$A="??????????"))),IF($C367="","",MIN($C367/40,1)),IF($D367="","",XLOOKUP($D367,FILTER(Dictionaries!$B:$B,Dictionaries!$A:$A="????"),FILTER(Dictionaries!$C:$C,Dictionaries!$A:$A="????"))),IF($E367="","",MIN($E367/120,1)),IF(OR($F367&lt;&gt;"",$G367&lt;&gt;""),1,""),IF($H367="","",MIN($H367/100,1)),IF($L367="","",XLOOKUP($L367,FILTER(Dictionaries!$B:$B,Dictionaries!$A:$A="???_????"),FILTER(Dictionaries!$C:$C,Dictionaries!$A:$A="???_????"))),IF($M367="","",XLOOKUP($M367,FILTER(Dictionaries!$B:$B,Dictionaries!$A:$A="?????"),FILTER(Dictionaries!$C:$C,Dictionaries!$A:$A="?????"))),IF($N367="","",MIN($N367/100,1)),IF($O367="","",XLOOKUP($O367,FILTER(Dictionaries!$B:$B,Dictionaries!$A:$A="??????????"),FILTER(Dictionaries!$C:$C,Dictionaries!$A:$A="??????????"))),IF($P367="","",XLOOKUP($P367,FILTER(Dictionaries!$B:$B,Dictionaries!$A:$A="???????"),FILTER(Dictionaries!$C:$C,Dictionaries!$A:$A="???????"))),IF($U367="","",LET(t,IF(OR($B367="????",$B367="????"),"train","rest"),k,$U367,p,$V367,f,$W367,c,$X367,k_s,IF(t="train",IF(k="","",IFS(AND(k&gt;=1900,k&lt;=2050),1,AND(k&gt;=1850,k&lt;1900),0.7,AND(k&gt;2050,k&lt;=2100),0.7,TRUE,0.2)),IF(k="","",IFS(AND(k&gt;=1700,k&lt;=1850),1,AND(k&gt;=1650,k&lt;1700),0.7,AND(k&gt;1850,k&lt;=1900),0.7,TRUE,0.2))),p_s,IF(t="train",IF(p="","",IFS(AND(p&gt;=125,p&lt;=135),1,AND(p&gt;=115,p&lt;125),0.7,AND(p&gt;135,p&lt;=145),0.7,AND(p&gt;=105,p&lt;115),0.4,AND(p&gt;145,p&lt;=155),0.4,TRUE,0.2)),IF(p="","",IFS(AND(p&gt;=120,p&lt;=130),1,AND(p&gt;=110,p&lt;120),0.7,AND(p&gt;130,p&lt;=140),0.7,AND(p&gt;=100,p&lt;110),0.4,AND(p&gt;140,p&lt;=150),0.4,TRUE,0.2))),f_s,IF(f="","",IFS(AND(f&gt;=55,f&lt;=65),1,AND(f&gt;=50,f&lt;55),0.7,AND(f&gt;65,f&lt;=70),0.7,AND(f&gt;=45,f&lt;50),0.4,AND(f&gt;70,f&lt;=75),0.4,TRUE,0.2)),c_s,IF(t="train",IF(c="","",IFS(AND(c&gt;=180,c&lt;=210),1,AND(c&gt;=160,c&lt;180),0.7,AND(c&gt;210,c&lt;=230),0.7,AND(c&gt;=140,c&lt;160),0.4,AND(c&gt;230,c&lt;=250),0.4,TRUE,0.2)),IF(c="","",IFS(AND(c&gt;=140,c&lt;=170),1,AND(c&gt;=120,c&lt;140),0.7,AND(c&gt;170,c&lt;=190),0.7,AND(c&gt;=100,c&lt;120),0.4,AND(c&gt;190,c&lt;=210),0.4,TRUE,0.2))),AVERAGE(k_s,p_s,f_s,c_s)))),1),""))</f>
        <v/>
      </c>
      <c r="Z367">
        <f>IF($A367="","",TEXTJOIN(", ",TRUE,IF($B367="","??????????",""),IF($C367="","??????",""),IF($D367="","????",""),IF($E367="","??????????",""),IF($F367="","???-?????",""),IF($G367="","???-????",""),IF($H367="","??????",""),IF($L367="","???",""),IF($M367="","?????",""),IF($N367="","??????????????",""),IF($O367="","??????????",""),IF($P367="","???????",""),IF($U367="","???","")))</f>
        <v/>
      </c>
    </row>
    <row r="368">
      <c r="U368">
        <f>IF($A368="","",IF(SUMIF(FoodLog!$A:$A,$A368,FoodLog!$I:$I)=0,"",SUMIF(FoodLog!$A:$A,$A368,FoodLog!$I:$I)))</f>
        <v/>
      </c>
      <c r="V368">
        <f>IF($A368="","",IF(SUMIF(FoodLog!$A:$A,$A368,FoodLog!$F:$F)=0,"",SUMIF(FoodLog!$A:$A,$A368,FoodLog!$F:$F)))</f>
        <v/>
      </c>
      <c r="W368">
        <f>IF($A368="","",IF(SUMIF(FoodLog!$A:$A,$A368,FoodLog!$G:$G)=0,"",SUMIF(FoodLog!$A:$A,$A368,FoodLog!$G:$G)))</f>
        <v/>
      </c>
      <c r="X368">
        <f>IF($A368="","",IF(SUMIF(FoodLog!$A:$A,$A368,FoodLog!$H:$H)=0,"",SUMIF(FoodLog!$A:$A,$A368,FoodLog!$H:$H)))</f>
        <v/>
      </c>
      <c r="Y368">
        <f>IF($A368="","",IFERROR(ROUND(100*AVERAGE(IF($B368="","",XLOOKUP($B368,FILTER(Dictionaries!$B:$B,Dictionaries!$A:$A="??????????"),FILTER(Dictionaries!$C:$C,Dictionaries!$A:$A="??????????"))),IF($C368="","",MIN($C368/40,1)),IF($D368="","",XLOOKUP($D368,FILTER(Dictionaries!$B:$B,Dictionaries!$A:$A="????"),FILTER(Dictionaries!$C:$C,Dictionaries!$A:$A="????"))),IF($E368="","",MIN($E368/120,1)),IF(OR($F368&lt;&gt;"",$G368&lt;&gt;""),1,""),IF($H368="","",MIN($H368/100,1)),IF($L368="","",XLOOKUP($L368,FILTER(Dictionaries!$B:$B,Dictionaries!$A:$A="???_????"),FILTER(Dictionaries!$C:$C,Dictionaries!$A:$A="???_????"))),IF($M368="","",XLOOKUP($M368,FILTER(Dictionaries!$B:$B,Dictionaries!$A:$A="?????"),FILTER(Dictionaries!$C:$C,Dictionaries!$A:$A="?????"))),IF($N368="","",MIN($N368/100,1)),IF($O368="","",XLOOKUP($O368,FILTER(Dictionaries!$B:$B,Dictionaries!$A:$A="??????????"),FILTER(Dictionaries!$C:$C,Dictionaries!$A:$A="??????????"))),IF($P368="","",XLOOKUP($P368,FILTER(Dictionaries!$B:$B,Dictionaries!$A:$A="???????"),FILTER(Dictionaries!$C:$C,Dictionaries!$A:$A="???????"))),IF($U368="","",LET(t,IF(OR($B368="????",$B368="????"),"train","rest"),k,$U368,p,$V368,f,$W368,c,$X368,k_s,IF(t="train",IF(k="","",IFS(AND(k&gt;=1900,k&lt;=2050),1,AND(k&gt;=1850,k&lt;1900),0.7,AND(k&gt;2050,k&lt;=2100),0.7,TRUE,0.2)),IF(k="","",IFS(AND(k&gt;=1700,k&lt;=1850),1,AND(k&gt;=1650,k&lt;1700),0.7,AND(k&gt;1850,k&lt;=1900),0.7,TRUE,0.2))),p_s,IF(t="train",IF(p="","",IFS(AND(p&gt;=125,p&lt;=135),1,AND(p&gt;=115,p&lt;125),0.7,AND(p&gt;135,p&lt;=145),0.7,AND(p&gt;=105,p&lt;115),0.4,AND(p&gt;145,p&lt;=155),0.4,TRUE,0.2)),IF(p="","",IFS(AND(p&gt;=120,p&lt;=130),1,AND(p&gt;=110,p&lt;120),0.7,AND(p&gt;130,p&lt;=140),0.7,AND(p&gt;=100,p&lt;110),0.4,AND(p&gt;140,p&lt;=150),0.4,TRUE,0.2))),f_s,IF(f="","",IFS(AND(f&gt;=55,f&lt;=65),1,AND(f&gt;=50,f&lt;55),0.7,AND(f&gt;65,f&lt;=70),0.7,AND(f&gt;=45,f&lt;50),0.4,AND(f&gt;70,f&lt;=75),0.4,TRUE,0.2)),c_s,IF(t="train",IF(c="","",IFS(AND(c&gt;=180,c&lt;=210),1,AND(c&gt;=160,c&lt;180),0.7,AND(c&gt;210,c&lt;=230),0.7,AND(c&gt;=140,c&lt;160),0.4,AND(c&gt;230,c&lt;=250),0.4,TRUE,0.2)),IF(c="","",IFS(AND(c&gt;=140,c&lt;=170),1,AND(c&gt;=120,c&lt;140),0.7,AND(c&gt;170,c&lt;=190),0.7,AND(c&gt;=100,c&lt;120),0.4,AND(c&gt;190,c&lt;=210),0.4,TRUE,0.2))),AVERAGE(k_s,p_s,f_s,c_s)))),1),""))</f>
        <v/>
      </c>
      <c r="Z368">
        <f>IF($A368="","",TEXTJOIN(", ",TRUE,IF($B368="","??????????",""),IF($C368="","??????",""),IF($D368="","????",""),IF($E368="","??????????",""),IF($F368="","???-?????",""),IF($G368="","???-????",""),IF($H368="","??????",""),IF($L368="","???",""),IF($M368="","?????",""),IF($N368="","??????????????",""),IF($O368="","??????????",""),IF($P368="","???????",""),IF($U368="","???","")))</f>
        <v/>
      </c>
    </row>
    <row r="369">
      <c r="U369">
        <f>IF($A369="","",IF(SUMIF(FoodLog!$A:$A,$A369,FoodLog!$I:$I)=0,"",SUMIF(FoodLog!$A:$A,$A369,FoodLog!$I:$I)))</f>
        <v/>
      </c>
      <c r="V369">
        <f>IF($A369="","",IF(SUMIF(FoodLog!$A:$A,$A369,FoodLog!$F:$F)=0,"",SUMIF(FoodLog!$A:$A,$A369,FoodLog!$F:$F)))</f>
        <v/>
      </c>
      <c r="W369">
        <f>IF($A369="","",IF(SUMIF(FoodLog!$A:$A,$A369,FoodLog!$G:$G)=0,"",SUMIF(FoodLog!$A:$A,$A369,FoodLog!$G:$G)))</f>
        <v/>
      </c>
      <c r="X369">
        <f>IF($A369="","",IF(SUMIF(FoodLog!$A:$A,$A369,FoodLog!$H:$H)=0,"",SUMIF(FoodLog!$A:$A,$A369,FoodLog!$H:$H)))</f>
        <v/>
      </c>
      <c r="Y369">
        <f>IF($A369="","",IFERROR(ROUND(100*AVERAGE(IF($B369="","",XLOOKUP($B369,FILTER(Dictionaries!$B:$B,Dictionaries!$A:$A="??????????"),FILTER(Dictionaries!$C:$C,Dictionaries!$A:$A="??????????"))),IF($C369="","",MIN($C369/40,1)),IF($D369="","",XLOOKUP($D369,FILTER(Dictionaries!$B:$B,Dictionaries!$A:$A="????"),FILTER(Dictionaries!$C:$C,Dictionaries!$A:$A="????"))),IF($E369="","",MIN($E369/120,1)),IF(OR($F369&lt;&gt;"",$G369&lt;&gt;""),1,""),IF($H369="","",MIN($H369/100,1)),IF($L369="","",XLOOKUP($L369,FILTER(Dictionaries!$B:$B,Dictionaries!$A:$A="???_????"),FILTER(Dictionaries!$C:$C,Dictionaries!$A:$A="???_????"))),IF($M369="","",XLOOKUP($M369,FILTER(Dictionaries!$B:$B,Dictionaries!$A:$A="?????"),FILTER(Dictionaries!$C:$C,Dictionaries!$A:$A="?????"))),IF($N369="","",MIN($N369/100,1)),IF($O369="","",XLOOKUP($O369,FILTER(Dictionaries!$B:$B,Dictionaries!$A:$A="??????????"),FILTER(Dictionaries!$C:$C,Dictionaries!$A:$A="??????????"))),IF($P369="","",XLOOKUP($P369,FILTER(Dictionaries!$B:$B,Dictionaries!$A:$A="???????"),FILTER(Dictionaries!$C:$C,Dictionaries!$A:$A="???????"))),IF($U369="","",LET(t,IF(OR($B369="????",$B369="????"),"train","rest"),k,$U369,p,$V369,f,$W369,c,$X369,k_s,IF(t="train",IF(k="","",IFS(AND(k&gt;=1900,k&lt;=2050),1,AND(k&gt;=1850,k&lt;1900),0.7,AND(k&gt;2050,k&lt;=2100),0.7,TRUE,0.2)),IF(k="","",IFS(AND(k&gt;=1700,k&lt;=1850),1,AND(k&gt;=1650,k&lt;1700),0.7,AND(k&gt;1850,k&lt;=1900),0.7,TRUE,0.2))),p_s,IF(t="train",IF(p="","",IFS(AND(p&gt;=125,p&lt;=135),1,AND(p&gt;=115,p&lt;125),0.7,AND(p&gt;135,p&lt;=145),0.7,AND(p&gt;=105,p&lt;115),0.4,AND(p&gt;145,p&lt;=155),0.4,TRUE,0.2)),IF(p="","",IFS(AND(p&gt;=120,p&lt;=130),1,AND(p&gt;=110,p&lt;120),0.7,AND(p&gt;130,p&lt;=140),0.7,AND(p&gt;=100,p&lt;110),0.4,AND(p&gt;140,p&lt;=150),0.4,TRUE,0.2))),f_s,IF(f="","",IFS(AND(f&gt;=55,f&lt;=65),1,AND(f&gt;=50,f&lt;55),0.7,AND(f&gt;65,f&lt;=70),0.7,AND(f&gt;=45,f&lt;50),0.4,AND(f&gt;70,f&lt;=75),0.4,TRUE,0.2)),c_s,IF(t="train",IF(c="","",IFS(AND(c&gt;=180,c&lt;=210),1,AND(c&gt;=160,c&lt;180),0.7,AND(c&gt;210,c&lt;=230),0.7,AND(c&gt;=140,c&lt;160),0.4,AND(c&gt;230,c&lt;=250),0.4,TRUE,0.2)),IF(c="","",IFS(AND(c&gt;=140,c&lt;=170),1,AND(c&gt;=120,c&lt;140),0.7,AND(c&gt;170,c&lt;=190),0.7,AND(c&gt;=100,c&lt;120),0.4,AND(c&gt;190,c&lt;=210),0.4,TRUE,0.2))),AVERAGE(k_s,p_s,f_s,c_s)))),1),""))</f>
        <v/>
      </c>
      <c r="Z369">
        <f>IF($A369="","",TEXTJOIN(", ",TRUE,IF($B369="","??????????",""),IF($C369="","??????",""),IF($D369="","????",""),IF($E369="","??????????",""),IF($F369="","???-?????",""),IF($G369="","???-????",""),IF($H369="","??????",""),IF($L369="","???",""),IF($M369="","?????",""),IF($N369="","??????????????",""),IF($O369="","??????????",""),IF($P369="","???????",""),IF($U369="","???","")))</f>
        <v/>
      </c>
    </row>
    <row r="370">
      <c r="U370">
        <f>IF($A370="","",IF(SUMIF(FoodLog!$A:$A,$A370,FoodLog!$I:$I)=0,"",SUMIF(FoodLog!$A:$A,$A370,FoodLog!$I:$I)))</f>
        <v/>
      </c>
      <c r="V370">
        <f>IF($A370="","",IF(SUMIF(FoodLog!$A:$A,$A370,FoodLog!$F:$F)=0,"",SUMIF(FoodLog!$A:$A,$A370,FoodLog!$F:$F)))</f>
        <v/>
      </c>
      <c r="W370">
        <f>IF($A370="","",IF(SUMIF(FoodLog!$A:$A,$A370,FoodLog!$G:$G)=0,"",SUMIF(FoodLog!$A:$A,$A370,FoodLog!$G:$G)))</f>
        <v/>
      </c>
      <c r="X370">
        <f>IF($A370="","",IF(SUMIF(FoodLog!$A:$A,$A370,FoodLog!$H:$H)=0,"",SUMIF(FoodLog!$A:$A,$A370,FoodLog!$H:$H)))</f>
        <v/>
      </c>
      <c r="Y370">
        <f>IF($A370="","",IFERROR(ROUND(100*AVERAGE(IF($B370="","",XLOOKUP($B370,FILTER(Dictionaries!$B:$B,Dictionaries!$A:$A="??????????"),FILTER(Dictionaries!$C:$C,Dictionaries!$A:$A="??????????"))),IF($C370="","",MIN($C370/40,1)),IF($D370="","",XLOOKUP($D370,FILTER(Dictionaries!$B:$B,Dictionaries!$A:$A="????"),FILTER(Dictionaries!$C:$C,Dictionaries!$A:$A="????"))),IF($E370="","",MIN($E370/120,1)),IF(OR($F370&lt;&gt;"",$G370&lt;&gt;""),1,""),IF($H370="","",MIN($H370/100,1)),IF($L370="","",XLOOKUP($L370,FILTER(Dictionaries!$B:$B,Dictionaries!$A:$A="???_????"),FILTER(Dictionaries!$C:$C,Dictionaries!$A:$A="???_????"))),IF($M370="","",XLOOKUP($M370,FILTER(Dictionaries!$B:$B,Dictionaries!$A:$A="?????"),FILTER(Dictionaries!$C:$C,Dictionaries!$A:$A="?????"))),IF($N370="","",MIN($N370/100,1)),IF($O370="","",XLOOKUP($O370,FILTER(Dictionaries!$B:$B,Dictionaries!$A:$A="??????????"),FILTER(Dictionaries!$C:$C,Dictionaries!$A:$A="??????????"))),IF($P370="","",XLOOKUP($P370,FILTER(Dictionaries!$B:$B,Dictionaries!$A:$A="???????"),FILTER(Dictionaries!$C:$C,Dictionaries!$A:$A="???????"))),IF($U370="","",LET(t,IF(OR($B370="????",$B370="????"),"train","rest"),k,$U370,p,$V370,f,$W370,c,$X370,k_s,IF(t="train",IF(k="","",IFS(AND(k&gt;=1900,k&lt;=2050),1,AND(k&gt;=1850,k&lt;1900),0.7,AND(k&gt;2050,k&lt;=2100),0.7,TRUE,0.2)),IF(k="","",IFS(AND(k&gt;=1700,k&lt;=1850),1,AND(k&gt;=1650,k&lt;1700),0.7,AND(k&gt;1850,k&lt;=1900),0.7,TRUE,0.2))),p_s,IF(t="train",IF(p="","",IFS(AND(p&gt;=125,p&lt;=135),1,AND(p&gt;=115,p&lt;125),0.7,AND(p&gt;135,p&lt;=145),0.7,AND(p&gt;=105,p&lt;115),0.4,AND(p&gt;145,p&lt;=155),0.4,TRUE,0.2)),IF(p="","",IFS(AND(p&gt;=120,p&lt;=130),1,AND(p&gt;=110,p&lt;120),0.7,AND(p&gt;130,p&lt;=140),0.7,AND(p&gt;=100,p&lt;110),0.4,AND(p&gt;140,p&lt;=150),0.4,TRUE,0.2))),f_s,IF(f="","",IFS(AND(f&gt;=55,f&lt;=65),1,AND(f&gt;=50,f&lt;55),0.7,AND(f&gt;65,f&lt;=70),0.7,AND(f&gt;=45,f&lt;50),0.4,AND(f&gt;70,f&lt;=75),0.4,TRUE,0.2)),c_s,IF(t="train",IF(c="","",IFS(AND(c&gt;=180,c&lt;=210),1,AND(c&gt;=160,c&lt;180),0.7,AND(c&gt;210,c&lt;=230),0.7,AND(c&gt;=140,c&lt;160),0.4,AND(c&gt;230,c&lt;=250),0.4,TRUE,0.2)),IF(c="","",IFS(AND(c&gt;=140,c&lt;=170),1,AND(c&gt;=120,c&lt;140),0.7,AND(c&gt;170,c&lt;=190),0.7,AND(c&gt;=100,c&lt;120),0.4,AND(c&gt;190,c&lt;=210),0.4,TRUE,0.2))),AVERAGE(k_s,p_s,f_s,c_s)))),1),""))</f>
        <v/>
      </c>
      <c r="Z370">
        <f>IF($A370="","",TEXTJOIN(", ",TRUE,IF($B370="","??????????",""),IF($C370="","??????",""),IF($D370="","????",""),IF($E370="","??????????",""),IF($F370="","???-?????",""),IF($G370="","???-????",""),IF($H370="","??????",""),IF($L370="","???",""),IF($M370="","?????",""),IF($N370="","??????????????",""),IF($O370="","??????????",""),IF($P370="","???????",""),IF($U370="","???","")))</f>
        <v/>
      </c>
    </row>
    <row r="371">
      <c r="U371">
        <f>IF($A371="","",IF(SUMIF(FoodLog!$A:$A,$A371,FoodLog!$I:$I)=0,"",SUMIF(FoodLog!$A:$A,$A371,FoodLog!$I:$I)))</f>
        <v/>
      </c>
      <c r="V371">
        <f>IF($A371="","",IF(SUMIF(FoodLog!$A:$A,$A371,FoodLog!$F:$F)=0,"",SUMIF(FoodLog!$A:$A,$A371,FoodLog!$F:$F)))</f>
        <v/>
      </c>
      <c r="W371">
        <f>IF($A371="","",IF(SUMIF(FoodLog!$A:$A,$A371,FoodLog!$G:$G)=0,"",SUMIF(FoodLog!$A:$A,$A371,FoodLog!$G:$G)))</f>
        <v/>
      </c>
      <c r="X371">
        <f>IF($A371="","",IF(SUMIF(FoodLog!$A:$A,$A371,FoodLog!$H:$H)=0,"",SUMIF(FoodLog!$A:$A,$A371,FoodLog!$H:$H)))</f>
        <v/>
      </c>
      <c r="Y371">
        <f>IF($A371="","",IFERROR(ROUND(100*AVERAGE(IF($B371="","",XLOOKUP($B371,FILTER(Dictionaries!$B:$B,Dictionaries!$A:$A="??????????"),FILTER(Dictionaries!$C:$C,Dictionaries!$A:$A="??????????"))),IF($C371="","",MIN($C371/40,1)),IF($D371="","",XLOOKUP($D371,FILTER(Dictionaries!$B:$B,Dictionaries!$A:$A="????"),FILTER(Dictionaries!$C:$C,Dictionaries!$A:$A="????"))),IF($E371="","",MIN($E371/120,1)),IF(OR($F371&lt;&gt;"",$G371&lt;&gt;""),1,""),IF($H371="","",MIN($H371/100,1)),IF($L371="","",XLOOKUP($L371,FILTER(Dictionaries!$B:$B,Dictionaries!$A:$A="???_????"),FILTER(Dictionaries!$C:$C,Dictionaries!$A:$A="???_????"))),IF($M371="","",XLOOKUP($M371,FILTER(Dictionaries!$B:$B,Dictionaries!$A:$A="?????"),FILTER(Dictionaries!$C:$C,Dictionaries!$A:$A="?????"))),IF($N371="","",MIN($N371/100,1)),IF($O371="","",XLOOKUP($O371,FILTER(Dictionaries!$B:$B,Dictionaries!$A:$A="??????????"),FILTER(Dictionaries!$C:$C,Dictionaries!$A:$A="??????????"))),IF($P371="","",XLOOKUP($P371,FILTER(Dictionaries!$B:$B,Dictionaries!$A:$A="???????"),FILTER(Dictionaries!$C:$C,Dictionaries!$A:$A="???????"))),IF($U371="","",LET(t,IF(OR($B371="????",$B371="????"),"train","rest"),k,$U371,p,$V371,f,$W371,c,$X371,k_s,IF(t="train",IF(k="","",IFS(AND(k&gt;=1900,k&lt;=2050),1,AND(k&gt;=1850,k&lt;1900),0.7,AND(k&gt;2050,k&lt;=2100),0.7,TRUE,0.2)),IF(k="","",IFS(AND(k&gt;=1700,k&lt;=1850),1,AND(k&gt;=1650,k&lt;1700),0.7,AND(k&gt;1850,k&lt;=1900),0.7,TRUE,0.2))),p_s,IF(t="train",IF(p="","",IFS(AND(p&gt;=125,p&lt;=135),1,AND(p&gt;=115,p&lt;125),0.7,AND(p&gt;135,p&lt;=145),0.7,AND(p&gt;=105,p&lt;115),0.4,AND(p&gt;145,p&lt;=155),0.4,TRUE,0.2)),IF(p="","",IFS(AND(p&gt;=120,p&lt;=130),1,AND(p&gt;=110,p&lt;120),0.7,AND(p&gt;130,p&lt;=140),0.7,AND(p&gt;=100,p&lt;110),0.4,AND(p&gt;140,p&lt;=150),0.4,TRUE,0.2))),f_s,IF(f="","",IFS(AND(f&gt;=55,f&lt;=65),1,AND(f&gt;=50,f&lt;55),0.7,AND(f&gt;65,f&lt;=70),0.7,AND(f&gt;=45,f&lt;50),0.4,AND(f&gt;70,f&lt;=75),0.4,TRUE,0.2)),c_s,IF(t="train",IF(c="","",IFS(AND(c&gt;=180,c&lt;=210),1,AND(c&gt;=160,c&lt;180),0.7,AND(c&gt;210,c&lt;=230),0.7,AND(c&gt;=140,c&lt;160),0.4,AND(c&gt;230,c&lt;=250),0.4,TRUE,0.2)),IF(c="","",IFS(AND(c&gt;=140,c&lt;=170),1,AND(c&gt;=120,c&lt;140),0.7,AND(c&gt;170,c&lt;=190),0.7,AND(c&gt;=100,c&lt;120),0.4,AND(c&gt;190,c&lt;=210),0.4,TRUE,0.2))),AVERAGE(k_s,p_s,f_s,c_s)))),1),""))</f>
        <v/>
      </c>
      <c r="Z371">
        <f>IF($A371="","",TEXTJOIN(", ",TRUE,IF($B371="","??????????",""),IF($C371="","??????",""),IF($D371="","????",""),IF($E371="","??????????",""),IF($F371="","???-?????",""),IF($G371="","???-????",""),IF($H371="","??????",""),IF($L371="","???",""),IF($M371="","?????",""),IF($N371="","??????????????",""),IF($O371="","??????????",""),IF($P371="","???????",""),IF($U371="","???","")))</f>
        <v/>
      </c>
    </row>
    <row r="372">
      <c r="U372">
        <f>IF($A372="","",IF(SUMIF(FoodLog!$A:$A,$A372,FoodLog!$I:$I)=0,"",SUMIF(FoodLog!$A:$A,$A372,FoodLog!$I:$I)))</f>
        <v/>
      </c>
      <c r="V372">
        <f>IF($A372="","",IF(SUMIF(FoodLog!$A:$A,$A372,FoodLog!$F:$F)=0,"",SUMIF(FoodLog!$A:$A,$A372,FoodLog!$F:$F)))</f>
        <v/>
      </c>
      <c r="W372">
        <f>IF($A372="","",IF(SUMIF(FoodLog!$A:$A,$A372,FoodLog!$G:$G)=0,"",SUMIF(FoodLog!$A:$A,$A372,FoodLog!$G:$G)))</f>
        <v/>
      </c>
      <c r="X372">
        <f>IF($A372="","",IF(SUMIF(FoodLog!$A:$A,$A372,FoodLog!$H:$H)=0,"",SUMIF(FoodLog!$A:$A,$A372,FoodLog!$H:$H)))</f>
        <v/>
      </c>
      <c r="Y372">
        <f>IF($A372="","",IFERROR(ROUND(100*AVERAGE(IF($B372="","",XLOOKUP($B372,FILTER(Dictionaries!$B:$B,Dictionaries!$A:$A="??????????"),FILTER(Dictionaries!$C:$C,Dictionaries!$A:$A="??????????"))),IF($C372="","",MIN($C372/40,1)),IF($D372="","",XLOOKUP($D372,FILTER(Dictionaries!$B:$B,Dictionaries!$A:$A="????"),FILTER(Dictionaries!$C:$C,Dictionaries!$A:$A="????"))),IF($E372="","",MIN($E372/120,1)),IF(OR($F372&lt;&gt;"",$G372&lt;&gt;""),1,""),IF($H372="","",MIN($H372/100,1)),IF($L372="","",XLOOKUP($L372,FILTER(Dictionaries!$B:$B,Dictionaries!$A:$A="???_????"),FILTER(Dictionaries!$C:$C,Dictionaries!$A:$A="???_????"))),IF($M372="","",XLOOKUP($M372,FILTER(Dictionaries!$B:$B,Dictionaries!$A:$A="?????"),FILTER(Dictionaries!$C:$C,Dictionaries!$A:$A="?????"))),IF($N372="","",MIN($N372/100,1)),IF($O372="","",XLOOKUP($O372,FILTER(Dictionaries!$B:$B,Dictionaries!$A:$A="??????????"),FILTER(Dictionaries!$C:$C,Dictionaries!$A:$A="??????????"))),IF($P372="","",XLOOKUP($P372,FILTER(Dictionaries!$B:$B,Dictionaries!$A:$A="???????"),FILTER(Dictionaries!$C:$C,Dictionaries!$A:$A="???????"))),IF($U372="","",LET(t,IF(OR($B372="????",$B372="????"),"train","rest"),k,$U372,p,$V372,f,$W372,c,$X372,k_s,IF(t="train",IF(k="","",IFS(AND(k&gt;=1900,k&lt;=2050),1,AND(k&gt;=1850,k&lt;1900),0.7,AND(k&gt;2050,k&lt;=2100),0.7,TRUE,0.2)),IF(k="","",IFS(AND(k&gt;=1700,k&lt;=1850),1,AND(k&gt;=1650,k&lt;1700),0.7,AND(k&gt;1850,k&lt;=1900),0.7,TRUE,0.2))),p_s,IF(t="train",IF(p="","",IFS(AND(p&gt;=125,p&lt;=135),1,AND(p&gt;=115,p&lt;125),0.7,AND(p&gt;135,p&lt;=145),0.7,AND(p&gt;=105,p&lt;115),0.4,AND(p&gt;145,p&lt;=155),0.4,TRUE,0.2)),IF(p="","",IFS(AND(p&gt;=120,p&lt;=130),1,AND(p&gt;=110,p&lt;120),0.7,AND(p&gt;130,p&lt;=140),0.7,AND(p&gt;=100,p&lt;110),0.4,AND(p&gt;140,p&lt;=150),0.4,TRUE,0.2))),f_s,IF(f="","",IFS(AND(f&gt;=55,f&lt;=65),1,AND(f&gt;=50,f&lt;55),0.7,AND(f&gt;65,f&lt;=70),0.7,AND(f&gt;=45,f&lt;50),0.4,AND(f&gt;70,f&lt;=75),0.4,TRUE,0.2)),c_s,IF(t="train",IF(c="","",IFS(AND(c&gt;=180,c&lt;=210),1,AND(c&gt;=160,c&lt;180),0.7,AND(c&gt;210,c&lt;=230),0.7,AND(c&gt;=140,c&lt;160),0.4,AND(c&gt;230,c&lt;=250),0.4,TRUE,0.2)),IF(c="","",IFS(AND(c&gt;=140,c&lt;=170),1,AND(c&gt;=120,c&lt;140),0.7,AND(c&gt;170,c&lt;=190),0.7,AND(c&gt;=100,c&lt;120),0.4,AND(c&gt;190,c&lt;=210),0.4,TRUE,0.2))),AVERAGE(k_s,p_s,f_s,c_s)))),1),""))</f>
        <v/>
      </c>
      <c r="Z372">
        <f>IF($A372="","",TEXTJOIN(", ",TRUE,IF($B372="","??????????",""),IF($C372="","??????",""),IF($D372="","????",""),IF($E372="","??????????",""),IF($F372="","???-?????",""),IF($G372="","???-????",""),IF($H372="","??????",""),IF($L372="","???",""),IF($M372="","?????",""),IF($N372="","??????????????",""),IF($O372="","??????????",""),IF($P372="","???????",""),IF($U372="","???","")))</f>
        <v/>
      </c>
    </row>
    <row r="373">
      <c r="U373">
        <f>IF($A373="","",IF(SUMIF(FoodLog!$A:$A,$A373,FoodLog!$I:$I)=0,"",SUMIF(FoodLog!$A:$A,$A373,FoodLog!$I:$I)))</f>
        <v/>
      </c>
      <c r="V373">
        <f>IF($A373="","",IF(SUMIF(FoodLog!$A:$A,$A373,FoodLog!$F:$F)=0,"",SUMIF(FoodLog!$A:$A,$A373,FoodLog!$F:$F)))</f>
        <v/>
      </c>
      <c r="W373">
        <f>IF($A373="","",IF(SUMIF(FoodLog!$A:$A,$A373,FoodLog!$G:$G)=0,"",SUMIF(FoodLog!$A:$A,$A373,FoodLog!$G:$G)))</f>
        <v/>
      </c>
      <c r="X373">
        <f>IF($A373="","",IF(SUMIF(FoodLog!$A:$A,$A373,FoodLog!$H:$H)=0,"",SUMIF(FoodLog!$A:$A,$A373,FoodLog!$H:$H)))</f>
        <v/>
      </c>
      <c r="Y373">
        <f>IF($A373="","",IFERROR(ROUND(100*AVERAGE(IF($B373="","",XLOOKUP($B373,FILTER(Dictionaries!$B:$B,Dictionaries!$A:$A="??????????"),FILTER(Dictionaries!$C:$C,Dictionaries!$A:$A="??????????"))),IF($C373="","",MIN($C373/40,1)),IF($D373="","",XLOOKUP($D373,FILTER(Dictionaries!$B:$B,Dictionaries!$A:$A="????"),FILTER(Dictionaries!$C:$C,Dictionaries!$A:$A="????"))),IF($E373="","",MIN($E373/120,1)),IF(OR($F373&lt;&gt;"",$G373&lt;&gt;""),1,""),IF($H373="","",MIN($H373/100,1)),IF($L373="","",XLOOKUP($L373,FILTER(Dictionaries!$B:$B,Dictionaries!$A:$A="???_????"),FILTER(Dictionaries!$C:$C,Dictionaries!$A:$A="???_????"))),IF($M373="","",XLOOKUP($M373,FILTER(Dictionaries!$B:$B,Dictionaries!$A:$A="?????"),FILTER(Dictionaries!$C:$C,Dictionaries!$A:$A="?????"))),IF($N373="","",MIN($N373/100,1)),IF($O373="","",XLOOKUP($O373,FILTER(Dictionaries!$B:$B,Dictionaries!$A:$A="??????????"),FILTER(Dictionaries!$C:$C,Dictionaries!$A:$A="??????????"))),IF($P373="","",XLOOKUP($P373,FILTER(Dictionaries!$B:$B,Dictionaries!$A:$A="???????"),FILTER(Dictionaries!$C:$C,Dictionaries!$A:$A="???????"))),IF($U373="","",LET(t,IF(OR($B373="????",$B373="????"),"train","rest"),k,$U373,p,$V373,f,$W373,c,$X373,k_s,IF(t="train",IF(k="","",IFS(AND(k&gt;=1900,k&lt;=2050),1,AND(k&gt;=1850,k&lt;1900),0.7,AND(k&gt;2050,k&lt;=2100),0.7,TRUE,0.2)),IF(k="","",IFS(AND(k&gt;=1700,k&lt;=1850),1,AND(k&gt;=1650,k&lt;1700),0.7,AND(k&gt;1850,k&lt;=1900),0.7,TRUE,0.2))),p_s,IF(t="train",IF(p="","",IFS(AND(p&gt;=125,p&lt;=135),1,AND(p&gt;=115,p&lt;125),0.7,AND(p&gt;135,p&lt;=145),0.7,AND(p&gt;=105,p&lt;115),0.4,AND(p&gt;145,p&lt;=155),0.4,TRUE,0.2)),IF(p="","",IFS(AND(p&gt;=120,p&lt;=130),1,AND(p&gt;=110,p&lt;120),0.7,AND(p&gt;130,p&lt;=140),0.7,AND(p&gt;=100,p&lt;110),0.4,AND(p&gt;140,p&lt;=150),0.4,TRUE,0.2))),f_s,IF(f="","",IFS(AND(f&gt;=55,f&lt;=65),1,AND(f&gt;=50,f&lt;55),0.7,AND(f&gt;65,f&lt;=70),0.7,AND(f&gt;=45,f&lt;50),0.4,AND(f&gt;70,f&lt;=75),0.4,TRUE,0.2)),c_s,IF(t="train",IF(c="","",IFS(AND(c&gt;=180,c&lt;=210),1,AND(c&gt;=160,c&lt;180),0.7,AND(c&gt;210,c&lt;=230),0.7,AND(c&gt;=140,c&lt;160),0.4,AND(c&gt;230,c&lt;=250),0.4,TRUE,0.2)),IF(c="","",IFS(AND(c&gt;=140,c&lt;=170),1,AND(c&gt;=120,c&lt;140),0.7,AND(c&gt;170,c&lt;=190),0.7,AND(c&gt;=100,c&lt;120),0.4,AND(c&gt;190,c&lt;=210),0.4,TRUE,0.2))),AVERAGE(k_s,p_s,f_s,c_s)))),1),""))</f>
        <v/>
      </c>
      <c r="Z373">
        <f>IF($A373="","",TEXTJOIN(", ",TRUE,IF($B373="","??????????",""),IF($C373="","??????",""),IF($D373="","????",""),IF($E373="","??????????",""),IF($F373="","???-?????",""),IF($G373="","???-????",""),IF($H373="","??????",""),IF($L373="","???",""),IF($M373="","?????",""),IF($N373="","??????????????",""),IF($O373="","??????????",""),IF($P373="","???????",""),IF($U373="","???","")))</f>
        <v/>
      </c>
    </row>
    <row r="374">
      <c r="U374">
        <f>IF($A374="","",IF(SUMIF(FoodLog!$A:$A,$A374,FoodLog!$I:$I)=0,"",SUMIF(FoodLog!$A:$A,$A374,FoodLog!$I:$I)))</f>
        <v/>
      </c>
      <c r="V374">
        <f>IF($A374="","",IF(SUMIF(FoodLog!$A:$A,$A374,FoodLog!$F:$F)=0,"",SUMIF(FoodLog!$A:$A,$A374,FoodLog!$F:$F)))</f>
        <v/>
      </c>
      <c r="W374">
        <f>IF($A374="","",IF(SUMIF(FoodLog!$A:$A,$A374,FoodLog!$G:$G)=0,"",SUMIF(FoodLog!$A:$A,$A374,FoodLog!$G:$G)))</f>
        <v/>
      </c>
      <c r="X374">
        <f>IF($A374="","",IF(SUMIF(FoodLog!$A:$A,$A374,FoodLog!$H:$H)=0,"",SUMIF(FoodLog!$A:$A,$A374,FoodLog!$H:$H)))</f>
        <v/>
      </c>
      <c r="Y374">
        <f>IF($A374="","",IFERROR(ROUND(100*AVERAGE(IF($B374="","",XLOOKUP($B374,FILTER(Dictionaries!$B:$B,Dictionaries!$A:$A="??????????"),FILTER(Dictionaries!$C:$C,Dictionaries!$A:$A="??????????"))),IF($C374="","",MIN($C374/40,1)),IF($D374="","",XLOOKUP($D374,FILTER(Dictionaries!$B:$B,Dictionaries!$A:$A="????"),FILTER(Dictionaries!$C:$C,Dictionaries!$A:$A="????"))),IF($E374="","",MIN($E374/120,1)),IF(OR($F374&lt;&gt;"",$G374&lt;&gt;""),1,""),IF($H374="","",MIN($H374/100,1)),IF($L374="","",XLOOKUP($L374,FILTER(Dictionaries!$B:$B,Dictionaries!$A:$A="???_????"),FILTER(Dictionaries!$C:$C,Dictionaries!$A:$A="???_????"))),IF($M374="","",XLOOKUP($M374,FILTER(Dictionaries!$B:$B,Dictionaries!$A:$A="?????"),FILTER(Dictionaries!$C:$C,Dictionaries!$A:$A="?????"))),IF($N374="","",MIN($N374/100,1)),IF($O374="","",XLOOKUP($O374,FILTER(Dictionaries!$B:$B,Dictionaries!$A:$A="??????????"),FILTER(Dictionaries!$C:$C,Dictionaries!$A:$A="??????????"))),IF($P374="","",XLOOKUP($P374,FILTER(Dictionaries!$B:$B,Dictionaries!$A:$A="???????"),FILTER(Dictionaries!$C:$C,Dictionaries!$A:$A="???????"))),IF($U374="","",LET(t,IF(OR($B374="????",$B374="????"),"train","rest"),k,$U374,p,$V374,f,$W374,c,$X374,k_s,IF(t="train",IF(k="","",IFS(AND(k&gt;=1900,k&lt;=2050),1,AND(k&gt;=1850,k&lt;1900),0.7,AND(k&gt;2050,k&lt;=2100),0.7,TRUE,0.2)),IF(k="","",IFS(AND(k&gt;=1700,k&lt;=1850),1,AND(k&gt;=1650,k&lt;1700),0.7,AND(k&gt;1850,k&lt;=1900),0.7,TRUE,0.2))),p_s,IF(t="train",IF(p="","",IFS(AND(p&gt;=125,p&lt;=135),1,AND(p&gt;=115,p&lt;125),0.7,AND(p&gt;135,p&lt;=145),0.7,AND(p&gt;=105,p&lt;115),0.4,AND(p&gt;145,p&lt;=155),0.4,TRUE,0.2)),IF(p="","",IFS(AND(p&gt;=120,p&lt;=130),1,AND(p&gt;=110,p&lt;120),0.7,AND(p&gt;130,p&lt;=140),0.7,AND(p&gt;=100,p&lt;110),0.4,AND(p&gt;140,p&lt;=150),0.4,TRUE,0.2))),f_s,IF(f="","",IFS(AND(f&gt;=55,f&lt;=65),1,AND(f&gt;=50,f&lt;55),0.7,AND(f&gt;65,f&lt;=70),0.7,AND(f&gt;=45,f&lt;50),0.4,AND(f&gt;70,f&lt;=75),0.4,TRUE,0.2)),c_s,IF(t="train",IF(c="","",IFS(AND(c&gt;=180,c&lt;=210),1,AND(c&gt;=160,c&lt;180),0.7,AND(c&gt;210,c&lt;=230),0.7,AND(c&gt;=140,c&lt;160),0.4,AND(c&gt;230,c&lt;=250),0.4,TRUE,0.2)),IF(c="","",IFS(AND(c&gt;=140,c&lt;=170),1,AND(c&gt;=120,c&lt;140),0.7,AND(c&gt;170,c&lt;=190),0.7,AND(c&gt;=100,c&lt;120),0.4,AND(c&gt;190,c&lt;=210),0.4,TRUE,0.2))),AVERAGE(k_s,p_s,f_s,c_s)))),1),""))</f>
        <v/>
      </c>
      <c r="Z374">
        <f>IF($A374="","",TEXTJOIN(", ",TRUE,IF($B374="","??????????",""),IF($C374="","??????",""),IF($D374="","????",""),IF($E374="","??????????",""),IF($F374="","???-?????",""),IF($G374="","???-????",""),IF($H374="","??????",""),IF($L374="","???",""),IF($M374="","?????",""),IF($N374="","??????????????",""),IF($O374="","??????????",""),IF($P374="","???????",""),IF($U374="","???","")))</f>
        <v/>
      </c>
    </row>
    <row r="375">
      <c r="U375">
        <f>IF($A375="","",IF(SUMIF(FoodLog!$A:$A,$A375,FoodLog!$I:$I)=0,"",SUMIF(FoodLog!$A:$A,$A375,FoodLog!$I:$I)))</f>
        <v/>
      </c>
      <c r="V375">
        <f>IF($A375="","",IF(SUMIF(FoodLog!$A:$A,$A375,FoodLog!$F:$F)=0,"",SUMIF(FoodLog!$A:$A,$A375,FoodLog!$F:$F)))</f>
        <v/>
      </c>
      <c r="W375">
        <f>IF($A375="","",IF(SUMIF(FoodLog!$A:$A,$A375,FoodLog!$G:$G)=0,"",SUMIF(FoodLog!$A:$A,$A375,FoodLog!$G:$G)))</f>
        <v/>
      </c>
      <c r="X375">
        <f>IF($A375="","",IF(SUMIF(FoodLog!$A:$A,$A375,FoodLog!$H:$H)=0,"",SUMIF(FoodLog!$A:$A,$A375,FoodLog!$H:$H)))</f>
        <v/>
      </c>
      <c r="Y375">
        <f>IF($A375="","",IFERROR(ROUND(100*AVERAGE(IF($B375="","",XLOOKUP($B375,FILTER(Dictionaries!$B:$B,Dictionaries!$A:$A="??????????"),FILTER(Dictionaries!$C:$C,Dictionaries!$A:$A="??????????"))),IF($C375="","",MIN($C375/40,1)),IF($D375="","",XLOOKUP($D375,FILTER(Dictionaries!$B:$B,Dictionaries!$A:$A="????"),FILTER(Dictionaries!$C:$C,Dictionaries!$A:$A="????"))),IF($E375="","",MIN($E375/120,1)),IF(OR($F375&lt;&gt;"",$G375&lt;&gt;""),1,""),IF($H375="","",MIN($H375/100,1)),IF($L375="","",XLOOKUP($L375,FILTER(Dictionaries!$B:$B,Dictionaries!$A:$A="???_????"),FILTER(Dictionaries!$C:$C,Dictionaries!$A:$A="???_????"))),IF($M375="","",XLOOKUP($M375,FILTER(Dictionaries!$B:$B,Dictionaries!$A:$A="?????"),FILTER(Dictionaries!$C:$C,Dictionaries!$A:$A="?????"))),IF($N375="","",MIN($N375/100,1)),IF($O375="","",XLOOKUP($O375,FILTER(Dictionaries!$B:$B,Dictionaries!$A:$A="??????????"),FILTER(Dictionaries!$C:$C,Dictionaries!$A:$A="??????????"))),IF($P375="","",XLOOKUP($P375,FILTER(Dictionaries!$B:$B,Dictionaries!$A:$A="???????"),FILTER(Dictionaries!$C:$C,Dictionaries!$A:$A="???????"))),IF($U375="","",LET(t,IF(OR($B375="????",$B375="????"),"train","rest"),k,$U375,p,$V375,f,$W375,c,$X375,k_s,IF(t="train",IF(k="","",IFS(AND(k&gt;=1900,k&lt;=2050),1,AND(k&gt;=1850,k&lt;1900),0.7,AND(k&gt;2050,k&lt;=2100),0.7,TRUE,0.2)),IF(k="","",IFS(AND(k&gt;=1700,k&lt;=1850),1,AND(k&gt;=1650,k&lt;1700),0.7,AND(k&gt;1850,k&lt;=1900),0.7,TRUE,0.2))),p_s,IF(t="train",IF(p="","",IFS(AND(p&gt;=125,p&lt;=135),1,AND(p&gt;=115,p&lt;125),0.7,AND(p&gt;135,p&lt;=145),0.7,AND(p&gt;=105,p&lt;115),0.4,AND(p&gt;145,p&lt;=155),0.4,TRUE,0.2)),IF(p="","",IFS(AND(p&gt;=120,p&lt;=130),1,AND(p&gt;=110,p&lt;120),0.7,AND(p&gt;130,p&lt;=140),0.7,AND(p&gt;=100,p&lt;110),0.4,AND(p&gt;140,p&lt;=150),0.4,TRUE,0.2))),f_s,IF(f="","",IFS(AND(f&gt;=55,f&lt;=65),1,AND(f&gt;=50,f&lt;55),0.7,AND(f&gt;65,f&lt;=70),0.7,AND(f&gt;=45,f&lt;50),0.4,AND(f&gt;70,f&lt;=75),0.4,TRUE,0.2)),c_s,IF(t="train",IF(c="","",IFS(AND(c&gt;=180,c&lt;=210),1,AND(c&gt;=160,c&lt;180),0.7,AND(c&gt;210,c&lt;=230),0.7,AND(c&gt;=140,c&lt;160),0.4,AND(c&gt;230,c&lt;=250),0.4,TRUE,0.2)),IF(c="","",IFS(AND(c&gt;=140,c&lt;=170),1,AND(c&gt;=120,c&lt;140),0.7,AND(c&gt;170,c&lt;=190),0.7,AND(c&gt;=100,c&lt;120),0.4,AND(c&gt;190,c&lt;=210),0.4,TRUE,0.2))),AVERAGE(k_s,p_s,f_s,c_s)))),1),""))</f>
        <v/>
      </c>
      <c r="Z375">
        <f>IF($A375="","",TEXTJOIN(", ",TRUE,IF($B375="","??????????",""),IF($C375="","??????",""),IF($D375="","????",""),IF($E375="","??????????",""),IF($F375="","???-?????",""),IF($G375="","???-????",""),IF($H375="","??????",""),IF($L375="","???",""),IF($M375="","?????",""),IF($N375="","??????????????",""),IF($O375="","??????????",""),IF($P375="","???????",""),IF($U375="","???","")))</f>
        <v/>
      </c>
    </row>
    <row r="376">
      <c r="U376">
        <f>IF($A376="","",IF(SUMIF(FoodLog!$A:$A,$A376,FoodLog!$I:$I)=0,"",SUMIF(FoodLog!$A:$A,$A376,FoodLog!$I:$I)))</f>
        <v/>
      </c>
      <c r="V376">
        <f>IF($A376="","",IF(SUMIF(FoodLog!$A:$A,$A376,FoodLog!$F:$F)=0,"",SUMIF(FoodLog!$A:$A,$A376,FoodLog!$F:$F)))</f>
        <v/>
      </c>
      <c r="W376">
        <f>IF($A376="","",IF(SUMIF(FoodLog!$A:$A,$A376,FoodLog!$G:$G)=0,"",SUMIF(FoodLog!$A:$A,$A376,FoodLog!$G:$G)))</f>
        <v/>
      </c>
      <c r="X376">
        <f>IF($A376="","",IF(SUMIF(FoodLog!$A:$A,$A376,FoodLog!$H:$H)=0,"",SUMIF(FoodLog!$A:$A,$A376,FoodLog!$H:$H)))</f>
        <v/>
      </c>
      <c r="Y376">
        <f>IF($A376="","",IFERROR(ROUND(100*AVERAGE(IF($B376="","",XLOOKUP($B376,FILTER(Dictionaries!$B:$B,Dictionaries!$A:$A="??????????"),FILTER(Dictionaries!$C:$C,Dictionaries!$A:$A="??????????"))),IF($C376="","",MIN($C376/40,1)),IF($D376="","",XLOOKUP($D376,FILTER(Dictionaries!$B:$B,Dictionaries!$A:$A="????"),FILTER(Dictionaries!$C:$C,Dictionaries!$A:$A="????"))),IF($E376="","",MIN($E376/120,1)),IF(OR($F376&lt;&gt;"",$G376&lt;&gt;""),1,""),IF($H376="","",MIN($H376/100,1)),IF($L376="","",XLOOKUP($L376,FILTER(Dictionaries!$B:$B,Dictionaries!$A:$A="???_????"),FILTER(Dictionaries!$C:$C,Dictionaries!$A:$A="???_????"))),IF($M376="","",XLOOKUP($M376,FILTER(Dictionaries!$B:$B,Dictionaries!$A:$A="?????"),FILTER(Dictionaries!$C:$C,Dictionaries!$A:$A="?????"))),IF($N376="","",MIN($N376/100,1)),IF($O376="","",XLOOKUP($O376,FILTER(Dictionaries!$B:$B,Dictionaries!$A:$A="??????????"),FILTER(Dictionaries!$C:$C,Dictionaries!$A:$A="??????????"))),IF($P376="","",XLOOKUP($P376,FILTER(Dictionaries!$B:$B,Dictionaries!$A:$A="???????"),FILTER(Dictionaries!$C:$C,Dictionaries!$A:$A="???????"))),IF($U376="","",LET(t,IF(OR($B376="????",$B376="????"),"train","rest"),k,$U376,p,$V376,f,$W376,c,$X376,k_s,IF(t="train",IF(k="","",IFS(AND(k&gt;=1900,k&lt;=2050),1,AND(k&gt;=1850,k&lt;1900),0.7,AND(k&gt;2050,k&lt;=2100),0.7,TRUE,0.2)),IF(k="","",IFS(AND(k&gt;=1700,k&lt;=1850),1,AND(k&gt;=1650,k&lt;1700),0.7,AND(k&gt;1850,k&lt;=1900),0.7,TRUE,0.2))),p_s,IF(t="train",IF(p="","",IFS(AND(p&gt;=125,p&lt;=135),1,AND(p&gt;=115,p&lt;125),0.7,AND(p&gt;135,p&lt;=145),0.7,AND(p&gt;=105,p&lt;115),0.4,AND(p&gt;145,p&lt;=155),0.4,TRUE,0.2)),IF(p="","",IFS(AND(p&gt;=120,p&lt;=130),1,AND(p&gt;=110,p&lt;120),0.7,AND(p&gt;130,p&lt;=140),0.7,AND(p&gt;=100,p&lt;110),0.4,AND(p&gt;140,p&lt;=150),0.4,TRUE,0.2))),f_s,IF(f="","",IFS(AND(f&gt;=55,f&lt;=65),1,AND(f&gt;=50,f&lt;55),0.7,AND(f&gt;65,f&lt;=70),0.7,AND(f&gt;=45,f&lt;50),0.4,AND(f&gt;70,f&lt;=75),0.4,TRUE,0.2)),c_s,IF(t="train",IF(c="","",IFS(AND(c&gt;=180,c&lt;=210),1,AND(c&gt;=160,c&lt;180),0.7,AND(c&gt;210,c&lt;=230),0.7,AND(c&gt;=140,c&lt;160),0.4,AND(c&gt;230,c&lt;=250),0.4,TRUE,0.2)),IF(c="","",IFS(AND(c&gt;=140,c&lt;=170),1,AND(c&gt;=120,c&lt;140),0.7,AND(c&gt;170,c&lt;=190),0.7,AND(c&gt;=100,c&lt;120),0.4,AND(c&gt;190,c&lt;=210),0.4,TRUE,0.2))),AVERAGE(k_s,p_s,f_s,c_s)))),1),""))</f>
        <v/>
      </c>
      <c r="Z376">
        <f>IF($A376="","",TEXTJOIN(", ",TRUE,IF($B376="","??????????",""),IF($C376="","??????",""),IF($D376="","????",""),IF($E376="","??????????",""),IF($F376="","???-?????",""),IF($G376="","???-????",""),IF($H376="","??????",""),IF($L376="","???",""),IF($M376="","?????",""),IF($N376="","??????????????",""),IF($O376="","??????????",""),IF($P376="","???????",""),IF($U376="","???","")))</f>
        <v/>
      </c>
    </row>
    <row r="377">
      <c r="U377">
        <f>IF($A377="","",IF(SUMIF(FoodLog!$A:$A,$A377,FoodLog!$I:$I)=0,"",SUMIF(FoodLog!$A:$A,$A377,FoodLog!$I:$I)))</f>
        <v/>
      </c>
      <c r="V377">
        <f>IF($A377="","",IF(SUMIF(FoodLog!$A:$A,$A377,FoodLog!$F:$F)=0,"",SUMIF(FoodLog!$A:$A,$A377,FoodLog!$F:$F)))</f>
        <v/>
      </c>
      <c r="W377">
        <f>IF($A377="","",IF(SUMIF(FoodLog!$A:$A,$A377,FoodLog!$G:$G)=0,"",SUMIF(FoodLog!$A:$A,$A377,FoodLog!$G:$G)))</f>
        <v/>
      </c>
      <c r="X377">
        <f>IF($A377="","",IF(SUMIF(FoodLog!$A:$A,$A377,FoodLog!$H:$H)=0,"",SUMIF(FoodLog!$A:$A,$A377,FoodLog!$H:$H)))</f>
        <v/>
      </c>
      <c r="Y377">
        <f>IF($A377="","",IFERROR(ROUND(100*AVERAGE(IF($B377="","",XLOOKUP($B377,FILTER(Dictionaries!$B:$B,Dictionaries!$A:$A="??????????"),FILTER(Dictionaries!$C:$C,Dictionaries!$A:$A="??????????"))),IF($C377="","",MIN($C377/40,1)),IF($D377="","",XLOOKUP($D377,FILTER(Dictionaries!$B:$B,Dictionaries!$A:$A="????"),FILTER(Dictionaries!$C:$C,Dictionaries!$A:$A="????"))),IF($E377="","",MIN($E377/120,1)),IF(OR($F377&lt;&gt;"",$G377&lt;&gt;""),1,""),IF($H377="","",MIN($H377/100,1)),IF($L377="","",XLOOKUP($L377,FILTER(Dictionaries!$B:$B,Dictionaries!$A:$A="???_????"),FILTER(Dictionaries!$C:$C,Dictionaries!$A:$A="???_????"))),IF($M377="","",XLOOKUP($M377,FILTER(Dictionaries!$B:$B,Dictionaries!$A:$A="?????"),FILTER(Dictionaries!$C:$C,Dictionaries!$A:$A="?????"))),IF($N377="","",MIN($N377/100,1)),IF($O377="","",XLOOKUP($O377,FILTER(Dictionaries!$B:$B,Dictionaries!$A:$A="??????????"),FILTER(Dictionaries!$C:$C,Dictionaries!$A:$A="??????????"))),IF($P377="","",XLOOKUP($P377,FILTER(Dictionaries!$B:$B,Dictionaries!$A:$A="???????"),FILTER(Dictionaries!$C:$C,Dictionaries!$A:$A="???????"))),IF($U377="","",LET(t,IF(OR($B377="????",$B377="????"),"train","rest"),k,$U377,p,$V377,f,$W377,c,$X377,k_s,IF(t="train",IF(k="","",IFS(AND(k&gt;=1900,k&lt;=2050),1,AND(k&gt;=1850,k&lt;1900),0.7,AND(k&gt;2050,k&lt;=2100),0.7,TRUE,0.2)),IF(k="","",IFS(AND(k&gt;=1700,k&lt;=1850),1,AND(k&gt;=1650,k&lt;1700),0.7,AND(k&gt;1850,k&lt;=1900),0.7,TRUE,0.2))),p_s,IF(t="train",IF(p="","",IFS(AND(p&gt;=125,p&lt;=135),1,AND(p&gt;=115,p&lt;125),0.7,AND(p&gt;135,p&lt;=145),0.7,AND(p&gt;=105,p&lt;115),0.4,AND(p&gt;145,p&lt;=155),0.4,TRUE,0.2)),IF(p="","",IFS(AND(p&gt;=120,p&lt;=130),1,AND(p&gt;=110,p&lt;120),0.7,AND(p&gt;130,p&lt;=140),0.7,AND(p&gt;=100,p&lt;110),0.4,AND(p&gt;140,p&lt;=150),0.4,TRUE,0.2))),f_s,IF(f="","",IFS(AND(f&gt;=55,f&lt;=65),1,AND(f&gt;=50,f&lt;55),0.7,AND(f&gt;65,f&lt;=70),0.7,AND(f&gt;=45,f&lt;50),0.4,AND(f&gt;70,f&lt;=75),0.4,TRUE,0.2)),c_s,IF(t="train",IF(c="","",IFS(AND(c&gt;=180,c&lt;=210),1,AND(c&gt;=160,c&lt;180),0.7,AND(c&gt;210,c&lt;=230),0.7,AND(c&gt;=140,c&lt;160),0.4,AND(c&gt;230,c&lt;=250),0.4,TRUE,0.2)),IF(c="","",IFS(AND(c&gt;=140,c&lt;=170),1,AND(c&gt;=120,c&lt;140),0.7,AND(c&gt;170,c&lt;=190),0.7,AND(c&gt;=100,c&lt;120),0.4,AND(c&gt;190,c&lt;=210),0.4,TRUE,0.2))),AVERAGE(k_s,p_s,f_s,c_s)))),1),""))</f>
        <v/>
      </c>
      <c r="Z377">
        <f>IF($A377="","",TEXTJOIN(", ",TRUE,IF($B377="","??????????",""),IF($C377="","??????",""),IF($D377="","????",""),IF($E377="","??????????",""),IF($F377="","???-?????",""),IF($G377="","???-????",""),IF($H377="","??????",""),IF($L377="","???",""),IF($M377="","?????",""),IF($N377="","??????????????",""),IF($O377="","??????????",""),IF($P377="","???????",""),IF($U377="","???","")))</f>
        <v/>
      </c>
    </row>
    <row r="378">
      <c r="U378">
        <f>IF($A378="","",IF(SUMIF(FoodLog!$A:$A,$A378,FoodLog!$I:$I)=0,"",SUMIF(FoodLog!$A:$A,$A378,FoodLog!$I:$I)))</f>
        <v/>
      </c>
      <c r="V378">
        <f>IF($A378="","",IF(SUMIF(FoodLog!$A:$A,$A378,FoodLog!$F:$F)=0,"",SUMIF(FoodLog!$A:$A,$A378,FoodLog!$F:$F)))</f>
        <v/>
      </c>
      <c r="W378">
        <f>IF($A378="","",IF(SUMIF(FoodLog!$A:$A,$A378,FoodLog!$G:$G)=0,"",SUMIF(FoodLog!$A:$A,$A378,FoodLog!$G:$G)))</f>
        <v/>
      </c>
      <c r="X378">
        <f>IF($A378="","",IF(SUMIF(FoodLog!$A:$A,$A378,FoodLog!$H:$H)=0,"",SUMIF(FoodLog!$A:$A,$A378,FoodLog!$H:$H)))</f>
        <v/>
      </c>
      <c r="Y378">
        <f>IF($A378="","",IFERROR(ROUND(100*AVERAGE(IF($B378="","",XLOOKUP($B378,FILTER(Dictionaries!$B:$B,Dictionaries!$A:$A="??????????"),FILTER(Dictionaries!$C:$C,Dictionaries!$A:$A="??????????"))),IF($C378="","",MIN($C378/40,1)),IF($D378="","",XLOOKUP($D378,FILTER(Dictionaries!$B:$B,Dictionaries!$A:$A="????"),FILTER(Dictionaries!$C:$C,Dictionaries!$A:$A="????"))),IF($E378="","",MIN($E378/120,1)),IF(OR($F378&lt;&gt;"",$G378&lt;&gt;""),1,""),IF($H378="","",MIN($H378/100,1)),IF($L378="","",XLOOKUP($L378,FILTER(Dictionaries!$B:$B,Dictionaries!$A:$A="???_????"),FILTER(Dictionaries!$C:$C,Dictionaries!$A:$A="???_????"))),IF($M378="","",XLOOKUP($M378,FILTER(Dictionaries!$B:$B,Dictionaries!$A:$A="?????"),FILTER(Dictionaries!$C:$C,Dictionaries!$A:$A="?????"))),IF($N378="","",MIN($N378/100,1)),IF($O378="","",XLOOKUP($O378,FILTER(Dictionaries!$B:$B,Dictionaries!$A:$A="??????????"),FILTER(Dictionaries!$C:$C,Dictionaries!$A:$A="??????????"))),IF($P378="","",XLOOKUP($P378,FILTER(Dictionaries!$B:$B,Dictionaries!$A:$A="???????"),FILTER(Dictionaries!$C:$C,Dictionaries!$A:$A="???????"))),IF($U378="","",LET(t,IF(OR($B378="????",$B378="????"),"train","rest"),k,$U378,p,$V378,f,$W378,c,$X378,k_s,IF(t="train",IF(k="","",IFS(AND(k&gt;=1900,k&lt;=2050),1,AND(k&gt;=1850,k&lt;1900),0.7,AND(k&gt;2050,k&lt;=2100),0.7,TRUE,0.2)),IF(k="","",IFS(AND(k&gt;=1700,k&lt;=1850),1,AND(k&gt;=1650,k&lt;1700),0.7,AND(k&gt;1850,k&lt;=1900),0.7,TRUE,0.2))),p_s,IF(t="train",IF(p="","",IFS(AND(p&gt;=125,p&lt;=135),1,AND(p&gt;=115,p&lt;125),0.7,AND(p&gt;135,p&lt;=145),0.7,AND(p&gt;=105,p&lt;115),0.4,AND(p&gt;145,p&lt;=155),0.4,TRUE,0.2)),IF(p="","",IFS(AND(p&gt;=120,p&lt;=130),1,AND(p&gt;=110,p&lt;120),0.7,AND(p&gt;130,p&lt;=140),0.7,AND(p&gt;=100,p&lt;110),0.4,AND(p&gt;140,p&lt;=150),0.4,TRUE,0.2))),f_s,IF(f="","",IFS(AND(f&gt;=55,f&lt;=65),1,AND(f&gt;=50,f&lt;55),0.7,AND(f&gt;65,f&lt;=70),0.7,AND(f&gt;=45,f&lt;50),0.4,AND(f&gt;70,f&lt;=75),0.4,TRUE,0.2)),c_s,IF(t="train",IF(c="","",IFS(AND(c&gt;=180,c&lt;=210),1,AND(c&gt;=160,c&lt;180),0.7,AND(c&gt;210,c&lt;=230),0.7,AND(c&gt;=140,c&lt;160),0.4,AND(c&gt;230,c&lt;=250),0.4,TRUE,0.2)),IF(c="","",IFS(AND(c&gt;=140,c&lt;=170),1,AND(c&gt;=120,c&lt;140),0.7,AND(c&gt;170,c&lt;=190),0.7,AND(c&gt;=100,c&lt;120),0.4,AND(c&gt;190,c&lt;=210),0.4,TRUE,0.2))),AVERAGE(k_s,p_s,f_s,c_s)))),1),""))</f>
        <v/>
      </c>
      <c r="Z378">
        <f>IF($A378="","",TEXTJOIN(", ",TRUE,IF($B378="","??????????",""),IF($C378="","??????",""),IF($D378="","????",""),IF($E378="","??????????",""),IF($F378="","???-?????",""),IF($G378="","???-????",""),IF($H378="","??????",""),IF($L378="","???",""),IF($M378="","?????",""),IF($N378="","??????????????",""),IF($O378="","??????????",""),IF($P378="","???????",""),IF($U378="","???","")))</f>
        <v/>
      </c>
    </row>
    <row r="379">
      <c r="U379">
        <f>IF($A379="","",IF(SUMIF(FoodLog!$A:$A,$A379,FoodLog!$I:$I)=0,"",SUMIF(FoodLog!$A:$A,$A379,FoodLog!$I:$I)))</f>
        <v/>
      </c>
      <c r="V379">
        <f>IF($A379="","",IF(SUMIF(FoodLog!$A:$A,$A379,FoodLog!$F:$F)=0,"",SUMIF(FoodLog!$A:$A,$A379,FoodLog!$F:$F)))</f>
        <v/>
      </c>
      <c r="W379">
        <f>IF($A379="","",IF(SUMIF(FoodLog!$A:$A,$A379,FoodLog!$G:$G)=0,"",SUMIF(FoodLog!$A:$A,$A379,FoodLog!$G:$G)))</f>
        <v/>
      </c>
      <c r="X379">
        <f>IF($A379="","",IF(SUMIF(FoodLog!$A:$A,$A379,FoodLog!$H:$H)=0,"",SUMIF(FoodLog!$A:$A,$A379,FoodLog!$H:$H)))</f>
        <v/>
      </c>
      <c r="Y379">
        <f>IF($A379="","",IFERROR(ROUND(100*AVERAGE(IF($B379="","",XLOOKUP($B379,FILTER(Dictionaries!$B:$B,Dictionaries!$A:$A="??????????"),FILTER(Dictionaries!$C:$C,Dictionaries!$A:$A="??????????"))),IF($C379="","",MIN($C379/40,1)),IF($D379="","",XLOOKUP($D379,FILTER(Dictionaries!$B:$B,Dictionaries!$A:$A="????"),FILTER(Dictionaries!$C:$C,Dictionaries!$A:$A="????"))),IF($E379="","",MIN($E379/120,1)),IF(OR($F379&lt;&gt;"",$G379&lt;&gt;""),1,""),IF($H379="","",MIN($H379/100,1)),IF($L379="","",XLOOKUP($L379,FILTER(Dictionaries!$B:$B,Dictionaries!$A:$A="???_????"),FILTER(Dictionaries!$C:$C,Dictionaries!$A:$A="???_????"))),IF($M379="","",XLOOKUP($M379,FILTER(Dictionaries!$B:$B,Dictionaries!$A:$A="?????"),FILTER(Dictionaries!$C:$C,Dictionaries!$A:$A="?????"))),IF($N379="","",MIN($N379/100,1)),IF($O379="","",XLOOKUP($O379,FILTER(Dictionaries!$B:$B,Dictionaries!$A:$A="??????????"),FILTER(Dictionaries!$C:$C,Dictionaries!$A:$A="??????????"))),IF($P379="","",XLOOKUP($P379,FILTER(Dictionaries!$B:$B,Dictionaries!$A:$A="???????"),FILTER(Dictionaries!$C:$C,Dictionaries!$A:$A="???????"))),IF($U379="","",LET(t,IF(OR($B379="????",$B379="????"),"train","rest"),k,$U379,p,$V379,f,$W379,c,$X379,k_s,IF(t="train",IF(k="","",IFS(AND(k&gt;=1900,k&lt;=2050),1,AND(k&gt;=1850,k&lt;1900),0.7,AND(k&gt;2050,k&lt;=2100),0.7,TRUE,0.2)),IF(k="","",IFS(AND(k&gt;=1700,k&lt;=1850),1,AND(k&gt;=1650,k&lt;1700),0.7,AND(k&gt;1850,k&lt;=1900),0.7,TRUE,0.2))),p_s,IF(t="train",IF(p="","",IFS(AND(p&gt;=125,p&lt;=135),1,AND(p&gt;=115,p&lt;125),0.7,AND(p&gt;135,p&lt;=145),0.7,AND(p&gt;=105,p&lt;115),0.4,AND(p&gt;145,p&lt;=155),0.4,TRUE,0.2)),IF(p="","",IFS(AND(p&gt;=120,p&lt;=130),1,AND(p&gt;=110,p&lt;120),0.7,AND(p&gt;130,p&lt;=140),0.7,AND(p&gt;=100,p&lt;110),0.4,AND(p&gt;140,p&lt;=150),0.4,TRUE,0.2))),f_s,IF(f="","",IFS(AND(f&gt;=55,f&lt;=65),1,AND(f&gt;=50,f&lt;55),0.7,AND(f&gt;65,f&lt;=70),0.7,AND(f&gt;=45,f&lt;50),0.4,AND(f&gt;70,f&lt;=75),0.4,TRUE,0.2)),c_s,IF(t="train",IF(c="","",IFS(AND(c&gt;=180,c&lt;=210),1,AND(c&gt;=160,c&lt;180),0.7,AND(c&gt;210,c&lt;=230),0.7,AND(c&gt;=140,c&lt;160),0.4,AND(c&gt;230,c&lt;=250),0.4,TRUE,0.2)),IF(c="","",IFS(AND(c&gt;=140,c&lt;=170),1,AND(c&gt;=120,c&lt;140),0.7,AND(c&gt;170,c&lt;=190),0.7,AND(c&gt;=100,c&lt;120),0.4,AND(c&gt;190,c&lt;=210),0.4,TRUE,0.2))),AVERAGE(k_s,p_s,f_s,c_s)))),1),""))</f>
        <v/>
      </c>
      <c r="Z379">
        <f>IF($A379="","",TEXTJOIN(", ",TRUE,IF($B379="","??????????",""),IF($C379="","??????",""),IF($D379="","????",""),IF($E379="","??????????",""),IF($F379="","???-?????",""),IF($G379="","???-????",""),IF($H379="","??????",""),IF($L379="","???",""),IF($M379="","?????",""),IF($N379="","??????????????",""),IF($O379="","??????????",""),IF($P379="","???????",""),IF($U379="","???","")))</f>
        <v/>
      </c>
    </row>
    <row r="380">
      <c r="U380">
        <f>IF($A380="","",IF(SUMIF(FoodLog!$A:$A,$A380,FoodLog!$I:$I)=0,"",SUMIF(FoodLog!$A:$A,$A380,FoodLog!$I:$I)))</f>
        <v/>
      </c>
      <c r="V380">
        <f>IF($A380="","",IF(SUMIF(FoodLog!$A:$A,$A380,FoodLog!$F:$F)=0,"",SUMIF(FoodLog!$A:$A,$A380,FoodLog!$F:$F)))</f>
        <v/>
      </c>
      <c r="W380">
        <f>IF($A380="","",IF(SUMIF(FoodLog!$A:$A,$A380,FoodLog!$G:$G)=0,"",SUMIF(FoodLog!$A:$A,$A380,FoodLog!$G:$G)))</f>
        <v/>
      </c>
      <c r="X380">
        <f>IF($A380="","",IF(SUMIF(FoodLog!$A:$A,$A380,FoodLog!$H:$H)=0,"",SUMIF(FoodLog!$A:$A,$A380,FoodLog!$H:$H)))</f>
        <v/>
      </c>
      <c r="Y380">
        <f>IF($A380="","",IFERROR(ROUND(100*AVERAGE(IF($B380="","",XLOOKUP($B380,FILTER(Dictionaries!$B:$B,Dictionaries!$A:$A="??????????"),FILTER(Dictionaries!$C:$C,Dictionaries!$A:$A="??????????"))),IF($C380="","",MIN($C380/40,1)),IF($D380="","",XLOOKUP($D380,FILTER(Dictionaries!$B:$B,Dictionaries!$A:$A="????"),FILTER(Dictionaries!$C:$C,Dictionaries!$A:$A="????"))),IF($E380="","",MIN($E380/120,1)),IF(OR($F380&lt;&gt;"",$G380&lt;&gt;""),1,""),IF($H380="","",MIN($H380/100,1)),IF($L380="","",XLOOKUP($L380,FILTER(Dictionaries!$B:$B,Dictionaries!$A:$A="???_????"),FILTER(Dictionaries!$C:$C,Dictionaries!$A:$A="???_????"))),IF($M380="","",XLOOKUP($M380,FILTER(Dictionaries!$B:$B,Dictionaries!$A:$A="?????"),FILTER(Dictionaries!$C:$C,Dictionaries!$A:$A="?????"))),IF($N380="","",MIN($N380/100,1)),IF($O380="","",XLOOKUP($O380,FILTER(Dictionaries!$B:$B,Dictionaries!$A:$A="??????????"),FILTER(Dictionaries!$C:$C,Dictionaries!$A:$A="??????????"))),IF($P380="","",XLOOKUP($P380,FILTER(Dictionaries!$B:$B,Dictionaries!$A:$A="???????"),FILTER(Dictionaries!$C:$C,Dictionaries!$A:$A="???????"))),IF($U380="","",LET(t,IF(OR($B380="????",$B380="????"),"train","rest"),k,$U380,p,$V380,f,$W380,c,$X380,k_s,IF(t="train",IF(k="","",IFS(AND(k&gt;=1900,k&lt;=2050),1,AND(k&gt;=1850,k&lt;1900),0.7,AND(k&gt;2050,k&lt;=2100),0.7,TRUE,0.2)),IF(k="","",IFS(AND(k&gt;=1700,k&lt;=1850),1,AND(k&gt;=1650,k&lt;1700),0.7,AND(k&gt;1850,k&lt;=1900),0.7,TRUE,0.2))),p_s,IF(t="train",IF(p="","",IFS(AND(p&gt;=125,p&lt;=135),1,AND(p&gt;=115,p&lt;125),0.7,AND(p&gt;135,p&lt;=145),0.7,AND(p&gt;=105,p&lt;115),0.4,AND(p&gt;145,p&lt;=155),0.4,TRUE,0.2)),IF(p="","",IFS(AND(p&gt;=120,p&lt;=130),1,AND(p&gt;=110,p&lt;120),0.7,AND(p&gt;130,p&lt;=140),0.7,AND(p&gt;=100,p&lt;110),0.4,AND(p&gt;140,p&lt;=150),0.4,TRUE,0.2))),f_s,IF(f="","",IFS(AND(f&gt;=55,f&lt;=65),1,AND(f&gt;=50,f&lt;55),0.7,AND(f&gt;65,f&lt;=70),0.7,AND(f&gt;=45,f&lt;50),0.4,AND(f&gt;70,f&lt;=75),0.4,TRUE,0.2)),c_s,IF(t="train",IF(c="","",IFS(AND(c&gt;=180,c&lt;=210),1,AND(c&gt;=160,c&lt;180),0.7,AND(c&gt;210,c&lt;=230),0.7,AND(c&gt;=140,c&lt;160),0.4,AND(c&gt;230,c&lt;=250),0.4,TRUE,0.2)),IF(c="","",IFS(AND(c&gt;=140,c&lt;=170),1,AND(c&gt;=120,c&lt;140),0.7,AND(c&gt;170,c&lt;=190),0.7,AND(c&gt;=100,c&lt;120),0.4,AND(c&gt;190,c&lt;=210),0.4,TRUE,0.2))),AVERAGE(k_s,p_s,f_s,c_s)))),1),""))</f>
        <v/>
      </c>
      <c r="Z380">
        <f>IF($A380="","",TEXTJOIN(", ",TRUE,IF($B380="","??????????",""),IF($C380="","??????",""),IF($D380="","????",""),IF($E380="","??????????",""),IF($F380="","???-?????",""),IF($G380="","???-????",""),IF($H380="","??????",""),IF($L380="","???",""),IF($M380="","?????",""),IF($N380="","??????????????",""),IF($O380="","??????????",""),IF($P380="","???????",""),IF($U380="","???","")))</f>
        <v/>
      </c>
    </row>
    <row r="381">
      <c r="U381">
        <f>IF($A381="","",IF(SUMIF(FoodLog!$A:$A,$A381,FoodLog!$I:$I)=0,"",SUMIF(FoodLog!$A:$A,$A381,FoodLog!$I:$I)))</f>
        <v/>
      </c>
      <c r="V381">
        <f>IF($A381="","",IF(SUMIF(FoodLog!$A:$A,$A381,FoodLog!$F:$F)=0,"",SUMIF(FoodLog!$A:$A,$A381,FoodLog!$F:$F)))</f>
        <v/>
      </c>
      <c r="W381">
        <f>IF($A381="","",IF(SUMIF(FoodLog!$A:$A,$A381,FoodLog!$G:$G)=0,"",SUMIF(FoodLog!$A:$A,$A381,FoodLog!$G:$G)))</f>
        <v/>
      </c>
      <c r="X381">
        <f>IF($A381="","",IF(SUMIF(FoodLog!$A:$A,$A381,FoodLog!$H:$H)=0,"",SUMIF(FoodLog!$A:$A,$A381,FoodLog!$H:$H)))</f>
        <v/>
      </c>
      <c r="Y381">
        <f>IF($A381="","",IFERROR(ROUND(100*AVERAGE(IF($B381="","",XLOOKUP($B381,FILTER(Dictionaries!$B:$B,Dictionaries!$A:$A="??????????"),FILTER(Dictionaries!$C:$C,Dictionaries!$A:$A="??????????"))),IF($C381="","",MIN($C381/40,1)),IF($D381="","",XLOOKUP($D381,FILTER(Dictionaries!$B:$B,Dictionaries!$A:$A="????"),FILTER(Dictionaries!$C:$C,Dictionaries!$A:$A="????"))),IF($E381="","",MIN($E381/120,1)),IF(OR($F381&lt;&gt;"",$G381&lt;&gt;""),1,""),IF($H381="","",MIN($H381/100,1)),IF($L381="","",XLOOKUP($L381,FILTER(Dictionaries!$B:$B,Dictionaries!$A:$A="???_????"),FILTER(Dictionaries!$C:$C,Dictionaries!$A:$A="???_????"))),IF($M381="","",XLOOKUP($M381,FILTER(Dictionaries!$B:$B,Dictionaries!$A:$A="?????"),FILTER(Dictionaries!$C:$C,Dictionaries!$A:$A="?????"))),IF($N381="","",MIN($N381/100,1)),IF($O381="","",XLOOKUP($O381,FILTER(Dictionaries!$B:$B,Dictionaries!$A:$A="??????????"),FILTER(Dictionaries!$C:$C,Dictionaries!$A:$A="??????????"))),IF($P381="","",XLOOKUP($P381,FILTER(Dictionaries!$B:$B,Dictionaries!$A:$A="???????"),FILTER(Dictionaries!$C:$C,Dictionaries!$A:$A="???????"))),IF($U381="","",LET(t,IF(OR($B381="????",$B381="????"),"train","rest"),k,$U381,p,$V381,f,$W381,c,$X381,k_s,IF(t="train",IF(k="","",IFS(AND(k&gt;=1900,k&lt;=2050),1,AND(k&gt;=1850,k&lt;1900),0.7,AND(k&gt;2050,k&lt;=2100),0.7,TRUE,0.2)),IF(k="","",IFS(AND(k&gt;=1700,k&lt;=1850),1,AND(k&gt;=1650,k&lt;1700),0.7,AND(k&gt;1850,k&lt;=1900),0.7,TRUE,0.2))),p_s,IF(t="train",IF(p="","",IFS(AND(p&gt;=125,p&lt;=135),1,AND(p&gt;=115,p&lt;125),0.7,AND(p&gt;135,p&lt;=145),0.7,AND(p&gt;=105,p&lt;115),0.4,AND(p&gt;145,p&lt;=155),0.4,TRUE,0.2)),IF(p="","",IFS(AND(p&gt;=120,p&lt;=130),1,AND(p&gt;=110,p&lt;120),0.7,AND(p&gt;130,p&lt;=140),0.7,AND(p&gt;=100,p&lt;110),0.4,AND(p&gt;140,p&lt;=150),0.4,TRUE,0.2))),f_s,IF(f="","",IFS(AND(f&gt;=55,f&lt;=65),1,AND(f&gt;=50,f&lt;55),0.7,AND(f&gt;65,f&lt;=70),0.7,AND(f&gt;=45,f&lt;50),0.4,AND(f&gt;70,f&lt;=75),0.4,TRUE,0.2)),c_s,IF(t="train",IF(c="","",IFS(AND(c&gt;=180,c&lt;=210),1,AND(c&gt;=160,c&lt;180),0.7,AND(c&gt;210,c&lt;=230),0.7,AND(c&gt;=140,c&lt;160),0.4,AND(c&gt;230,c&lt;=250),0.4,TRUE,0.2)),IF(c="","",IFS(AND(c&gt;=140,c&lt;=170),1,AND(c&gt;=120,c&lt;140),0.7,AND(c&gt;170,c&lt;=190),0.7,AND(c&gt;=100,c&lt;120),0.4,AND(c&gt;190,c&lt;=210),0.4,TRUE,0.2))),AVERAGE(k_s,p_s,f_s,c_s)))),1),""))</f>
        <v/>
      </c>
      <c r="Z381">
        <f>IF($A381="","",TEXTJOIN(", ",TRUE,IF($B381="","??????????",""),IF($C381="","??????",""),IF($D381="","????",""),IF($E381="","??????????",""),IF($F381="","???-?????",""),IF($G381="","???-????",""),IF($H381="","??????",""),IF($L381="","???",""),IF($M381="","?????",""),IF($N381="","??????????????",""),IF($O381="","??????????",""),IF($P381="","???????",""),IF($U381="","???","")))</f>
        <v/>
      </c>
    </row>
    <row r="382">
      <c r="U382">
        <f>IF($A382="","",IF(SUMIF(FoodLog!$A:$A,$A382,FoodLog!$I:$I)=0,"",SUMIF(FoodLog!$A:$A,$A382,FoodLog!$I:$I)))</f>
        <v/>
      </c>
      <c r="V382">
        <f>IF($A382="","",IF(SUMIF(FoodLog!$A:$A,$A382,FoodLog!$F:$F)=0,"",SUMIF(FoodLog!$A:$A,$A382,FoodLog!$F:$F)))</f>
        <v/>
      </c>
      <c r="W382">
        <f>IF($A382="","",IF(SUMIF(FoodLog!$A:$A,$A382,FoodLog!$G:$G)=0,"",SUMIF(FoodLog!$A:$A,$A382,FoodLog!$G:$G)))</f>
        <v/>
      </c>
      <c r="X382">
        <f>IF($A382="","",IF(SUMIF(FoodLog!$A:$A,$A382,FoodLog!$H:$H)=0,"",SUMIF(FoodLog!$A:$A,$A382,FoodLog!$H:$H)))</f>
        <v/>
      </c>
      <c r="Y382">
        <f>IF($A382="","",IFERROR(ROUND(100*AVERAGE(IF($B382="","",XLOOKUP($B382,FILTER(Dictionaries!$B:$B,Dictionaries!$A:$A="??????????"),FILTER(Dictionaries!$C:$C,Dictionaries!$A:$A="??????????"))),IF($C382="","",MIN($C382/40,1)),IF($D382="","",XLOOKUP($D382,FILTER(Dictionaries!$B:$B,Dictionaries!$A:$A="????"),FILTER(Dictionaries!$C:$C,Dictionaries!$A:$A="????"))),IF($E382="","",MIN($E382/120,1)),IF(OR($F382&lt;&gt;"",$G382&lt;&gt;""),1,""),IF($H382="","",MIN($H382/100,1)),IF($L382="","",XLOOKUP($L382,FILTER(Dictionaries!$B:$B,Dictionaries!$A:$A="???_????"),FILTER(Dictionaries!$C:$C,Dictionaries!$A:$A="???_????"))),IF($M382="","",XLOOKUP($M382,FILTER(Dictionaries!$B:$B,Dictionaries!$A:$A="?????"),FILTER(Dictionaries!$C:$C,Dictionaries!$A:$A="?????"))),IF($N382="","",MIN($N382/100,1)),IF($O382="","",XLOOKUP($O382,FILTER(Dictionaries!$B:$B,Dictionaries!$A:$A="??????????"),FILTER(Dictionaries!$C:$C,Dictionaries!$A:$A="??????????"))),IF($P382="","",XLOOKUP($P382,FILTER(Dictionaries!$B:$B,Dictionaries!$A:$A="???????"),FILTER(Dictionaries!$C:$C,Dictionaries!$A:$A="???????"))),IF($U382="","",LET(t,IF(OR($B382="????",$B382="????"),"train","rest"),k,$U382,p,$V382,f,$W382,c,$X382,k_s,IF(t="train",IF(k="","",IFS(AND(k&gt;=1900,k&lt;=2050),1,AND(k&gt;=1850,k&lt;1900),0.7,AND(k&gt;2050,k&lt;=2100),0.7,TRUE,0.2)),IF(k="","",IFS(AND(k&gt;=1700,k&lt;=1850),1,AND(k&gt;=1650,k&lt;1700),0.7,AND(k&gt;1850,k&lt;=1900),0.7,TRUE,0.2))),p_s,IF(t="train",IF(p="","",IFS(AND(p&gt;=125,p&lt;=135),1,AND(p&gt;=115,p&lt;125),0.7,AND(p&gt;135,p&lt;=145),0.7,AND(p&gt;=105,p&lt;115),0.4,AND(p&gt;145,p&lt;=155),0.4,TRUE,0.2)),IF(p="","",IFS(AND(p&gt;=120,p&lt;=130),1,AND(p&gt;=110,p&lt;120),0.7,AND(p&gt;130,p&lt;=140),0.7,AND(p&gt;=100,p&lt;110),0.4,AND(p&gt;140,p&lt;=150),0.4,TRUE,0.2))),f_s,IF(f="","",IFS(AND(f&gt;=55,f&lt;=65),1,AND(f&gt;=50,f&lt;55),0.7,AND(f&gt;65,f&lt;=70),0.7,AND(f&gt;=45,f&lt;50),0.4,AND(f&gt;70,f&lt;=75),0.4,TRUE,0.2)),c_s,IF(t="train",IF(c="","",IFS(AND(c&gt;=180,c&lt;=210),1,AND(c&gt;=160,c&lt;180),0.7,AND(c&gt;210,c&lt;=230),0.7,AND(c&gt;=140,c&lt;160),0.4,AND(c&gt;230,c&lt;=250),0.4,TRUE,0.2)),IF(c="","",IFS(AND(c&gt;=140,c&lt;=170),1,AND(c&gt;=120,c&lt;140),0.7,AND(c&gt;170,c&lt;=190),0.7,AND(c&gt;=100,c&lt;120),0.4,AND(c&gt;190,c&lt;=210),0.4,TRUE,0.2))),AVERAGE(k_s,p_s,f_s,c_s)))),1),""))</f>
        <v/>
      </c>
      <c r="Z382">
        <f>IF($A382="","",TEXTJOIN(", ",TRUE,IF($B382="","??????????",""),IF($C382="","??????",""),IF($D382="","????",""),IF($E382="","??????????",""),IF($F382="","???-?????",""),IF($G382="","???-????",""),IF($H382="","??????",""),IF($L382="","???",""),IF($M382="","?????",""),IF($N382="","??????????????",""),IF($O382="","??????????",""),IF($P382="","???????",""),IF($U382="","???","")))</f>
        <v/>
      </c>
    </row>
    <row r="383">
      <c r="U383">
        <f>IF($A383="","",IF(SUMIF(FoodLog!$A:$A,$A383,FoodLog!$I:$I)=0,"",SUMIF(FoodLog!$A:$A,$A383,FoodLog!$I:$I)))</f>
        <v/>
      </c>
      <c r="V383">
        <f>IF($A383="","",IF(SUMIF(FoodLog!$A:$A,$A383,FoodLog!$F:$F)=0,"",SUMIF(FoodLog!$A:$A,$A383,FoodLog!$F:$F)))</f>
        <v/>
      </c>
      <c r="W383">
        <f>IF($A383="","",IF(SUMIF(FoodLog!$A:$A,$A383,FoodLog!$G:$G)=0,"",SUMIF(FoodLog!$A:$A,$A383,FoodLog!$G:$G)))</f>
        <v/>
      </c>
      <c r="X383">
        <f>IF($A383="","",IF(SUMIF(FoodLog!$A:$A,$A383,FoodLog!$H:$H)=0,"",SUMIF(FoodLog!$A:$A,$A383,FoodLog!$H:$H)))</f>
        <v/>
      </c>
      <c r="Y383">
        <f>IF($A383="","",IFERROR(ROUND(100*AVERAGE(IF($B383="","",XLOOKUP($B383,FILTER(Dictionaries!$B:$B,Dictionaries!$A:$A="??????????"),FILTER(Dictionaries!$C:$C,Dictionaries!$A:$A="??????????"))),IF($C383="","",MIN($C383/40,1)),IF($D383="","",XLOOKUP($D383,FILTER(Dictionaries!$B:$B,Dictionaries!$A:$A="????"),FILTER(Dictionaries!$C:$C,Dictionaries!$A:$A="????"))),IF($E383="","",MIN($E383/120,1)),IF(OR($F383&lt;&gt;"",$G383&lt;&gt;""),1,""),IF($H383="","",MIN($H383/100,1)),IF($L383="","",XLOOKUP($L383,FILTER(Dictionaries!$B:$B,Dictionaries!$A:$A="???_????"),FILTER(Dictionaries!$C:$C,Dictionaries!$A:$A="???_????"))),IF($M383="","",XLOOKUP($M383,FILTER(Dictionaries!$B:$B,Dictionaries!$A:$A="?????"),FILTER(Dictionaries!$C:$C,Dictionaries!$A:$A="?????"))),IF($N383="","",MIN($N383/100,1)),IF($O383="","",XLOOKUP($O383,FILTER(Dictionaries!$B:$B,Dictionaries!$A:$A="??????????"),FILTER(Dictionaries!$C:$C,Dictionaries!$A:$A="??????????"))),IF($P383="","",XLOOKUP($P383,FILTER(Dictionaries!$B:$B,Dictionaries!$A:$A="???????"),FILTER(Dictionaries!$C:$C,Dictionaries!$A:$A="???????"))),IF($U383="","",LET(t,IF(OR($B383="????",$B383="????"),"train","rest"),k,$U383,p,$V383,f,$W383,c,$X383,k_s,IF(t="train",IF(k="","",IFS(AND(k&gt;=1900,k&lt;=2050),1,AND(k&gt;=1850,k&lt;1900),0.7,AND(k&gt;2050,k&lt;=2100),0.7,TRUE,0.2)),IF(k="","",IFS(AND(k&gt;=1700,k&lt;=1850),1,AND(k&gt;=1650,k&lt;1700),0.7,AND(k&gt;1850,k&lt;=1900),0.7,TRUE,0.2))),p_s,IF(t="train",IF(p="","",IFS(AND(p&gt;=125,p&lt;=135),1,AND(p&gt;=115,p&lt;125),0.7,AND(p&gt;135,p&lt;=145),0.7,AND(p&gt;=105,p&lt;115),0.4,AND(p&gt;145,p&lt;=155),0.4,TRUE,0.2)),IF(p="","",IFS(AND(p&gt;=120,p&lt;=130),1,AND(p&gt;=110,p&lt;120),0.7,AND(p&gt;130,p&lt;=140),0.7,AND(p&gt;=100,p&lt;110),0.4,AND(p&gt;140,p&lt;=150),0.4,TRUE,0.2))),f_s,IF(f="","",IFS(AND(f&gt;=55,f&lt;=65),1,AND(f&gt;=50,f&lt;55),0.7,AND(f&gt;65,f&lt;=70),0.7,AND(f&gt;=45,f&lt;50),0.4,AND(f&gt;70,f&lt;=75),0.4,TRUE,0.2)),c_s,IF(t="train",IF(c="","",IFS(AND(c&gt;=180,c&lt;=210),1,AND(c&gt;=160,c&lt;180),0.7,AND(c&gt;210,c&lt;=230),0.7,AND(c&gt;=140,c&lt;160),0.4,AND(c&gt;230,c&lt;=250),0.4,TRUE,0.2)),IF(c="","",IFS(AND(c&gt;=140,c&lt;=170),1,AND(c&gt;=120,c&lt;140),0.7,AND(c&gt;170,c&lt;=190),0.7,AND(c&gt;=100,c&lt;120),0.4,AND(c&gt;190,c&lt;=210),0.4,TRUE,0.2))),AVERAGE(k_s,p_s,f_s,c_s)))),1),""))</f>
        <v/>
      </c>
      <c r="Z383">
        <f>IF($A383="","",TEXTJOIN(", ",TRUE,IF($B383="","??????????",""),IF($C383="","??????",""),IF($D383="","????",""),IF($E383="","??????????",""),IF($F383="","???-?????",""),IF($G383="","???-????",""),IF($H383="","??????",""),IF($L383="","???",""),IF($M383="","?????",""),IF($N383="","??????????????",""),IF($O383="","??????????",""),IF($P383="","???????",""),IF($U383="","???","")))</f>
        <v/>
      </c>
    </row>
    <row r="384">
      <c r="U384">
        <f>IF($A384="","",IF(SUMIF(FoodLog!$A:$A,$A384,FoodLog!$I:$I)=0,"",SUMIF(FoodLog!$A:$A,$A384,FoodLog!$I:$I)))</f>
        <v/>
      </c>
      <c r="V384">
        <f>IF($A384="","",IF(SUMIF(FoodLog!$A:$A,$A384,FoodLog!$F:$F)=0,"",SUMIF(FoodLog!$A:$A,$A384,FoodLog!$F:$F)))</f>
        <v/>
      </c>
      <c r="W384">
        <f>IF($A384="","",IF(SUMIF(FoodLog!$A:$A,$A384,FoodLog!$G:$G)=0,"",SUMIF(FoodLog!$A:$A,$A384,FoodLog!$G:$G)))</f>
        <v/>
      </c>
      <c r="X384">
        <f>IF($A384="","",IF(SUMIF(FoodLog!$A:$A,$A384,FoodLog!$H:$H)=0,"",SUMIF(FoodLog!$A:$A,$A384,FoodLog!$H:$H)))</f>
        <v/>
      </c>
      <c r="Y384">
        <f>IF($A384="","",IFERROR(ROUND(100*AVERAGE(IF($B384="","",XLOOKUP($B384,FILTER(Dictionaries!$B:$B,Dictionaries!$A:$A="??????????"),FILTER(Dictionaries!$C:$C,Dictionaries!$A:$A="??????????"))),IF($C384="","",MIN($C384/40,1)),IF($D384="","",XLOOKUP($D384,FILTER(Dictionaries!$B:$B,Dictionaries!$A:$A="????"),FILTER(Dictionaries!$C:$C,Dictionaries!$A:$A="????"))),IF($E384="","",MIN($E384/120,1)),IF(OR($F384&lt;&gt;"",$G384&lt;&gt;""),1,""),IF($H384="","",MIN($H384/100,1)),IF($L384="","",XLOOKUP($L384,FILTER(Dictionaries!$B:$B,Dictionaries!$A:$A="???_????"),FILTER(Dictionaries!$C:$C,Dictionaries!$A:$A="???_????"))),IF($M384="","",XLOOKUP($M384,FILTER(Dictionaries!$B:$B,Dictionaries!$A:$A="?????"),FILTER(Dictionaries!$C:$C,Dictionaries!$A:$A="?????"))),IF($N384="","",MIN($N384/100,1)),IF($O384="","",XLOOKUP($O384,FILTER(Dictionaries!$B:$B,Dictionaries!$A:$A="??????????"),FILTER(Dictionaries!$C:$C,Dictionaries!$A:$A="??????????"))),IF($P384="","",XLOOKUP($P384,FILTER(Dictionaries!$B:$B,Dictionaries!$A:$A="???????"),FILTER(Dictionaries!$C:$C,Dictionaries!$A:$A="???????"))),IF($U384="","",LET(t,IF(OR($B384="????",$B384="????"),"train","rest"),k,$U384,p,$V384,f,$W384,c,$X384,k_s,IF(t="train",IF(k="","",IFS(AND(k&gt;=1900,k&lt;=2050),1,AND(k&gt;=1850,k&lt;1900),0.7,AND(k&gt;2050,k&lt;=2100),0.7,TRUE,0.2)),IF(k="","",IFS(AND(k&gt;=1700,k&lt;=1850),1,AND(k&gt;=1650,k&lt;1700),0.7,AND(k&gt;1850,k&lt;=1900),0.7,TRUE,0.2))),p_s,IF(t="train",IF(p="","",IFS(AND(p&gt;=125,p&lt;=135),1,AND(p&gt;=115,p&lt;125),0.7,AND(p&gt;135,p&lt;=145),0.7,AND(p&gt;=105,p&lt;115),0.4,AND(p&gt;145,p&lt;=155),0.4,TRUE,0.2)),IF(p="","",IFS(AND(p&gt;=120,p&lt;=130),1,AND(p&gt;=110,p&lt;120),0.7,AND(p&gt;130,p&lt;=140),0.7,AND(p&gt;=100,p&lt;110),0.4,AND(p&gt;140,p&lt;=150),0.4,TRUE,0.2))),f_s,IF(f="","",IFS(AND(f&gt;=55,f&lt;=65),1,AND(f&gt;=50,f&lt;55),0.7,AND(f&gt;65,f&lt;=70),0.7,AND(f&gt;=45,f&lt;50),0.4,AND(f&gt;70,f&lt;=75),0.4,TRUE,0.2)),c_s,IF(t="train",IF(c="","",IFS(AND(c&gt;=180,c&lt;=210),1,AND(c&gt;=160,c&lt;180),0.7,AND(c&gt;210,c&lt;=230),0.7,AND(c&gt;=140,c&lt;160),0.4,AND(c&gt;230,c&lt;=250),0.4,TRUE,0.2)),IF(c="","",IFS(AND(c&gt;=140,c&lt;=170),1,AND(c&gt;=120,c&lt;140),0.7,AND(c&gt;170,c&lt;=190),0.7,AND(c&gt;=100,c&lt;120),0.4,AND(c&gt;190,c&lt;=210),0.4,TRUE,0.2))),AVERAGE(k_s,p_s,f_s,c_s)))),1),""))</f>
        <v/>
      </c>
      <c r="Z384">
        <f>IF($A384="","",TEXTJOIN(", ",TRUE,IF($B384="","??????????",""),IF($C384="","??????",""),IF($D384="","????",""),IF($E384="","??????????",""),IF($F384="","???-?????",""),IF($G384="","???-????",""),IF($H384="","??????",""),IF($L384="","???",""),IF($M384="","?????",""),IF($N384="","??????????????",""),IF($O384="","??????????",""),IF($P384="","???????",""),IF($U384="","???","")))</f>
        <v/>
      </c>
    </row>
    <row r="385">
      <c r="U385">
        <f>IF($A385="","",IF(SUMIF(FoodLog!$A:$A,$A385,FoodLog!$I:$I)=0,"",SUMIF(FoodLog!$A:$A,$A385,FoodLog!$I:$I)))</f>
        <v/>
      </c>
      <c r="V385">
        <f>IF($A385="","",IF(SUMIF(FoodLog!$A:$A,$A385,FoodLog!$F:$F)=0,"",SUMIF(FoodLog!$A:$A,$A385,FoodLog!$F:$F)))</f>
        <v/>
      </c>
      <c r="W385">
        <f>IF($A385="","",IF(SUMIF(FoodLog!$A:$A,$A385,FoodLog!$G:$G)=0,"",SUMIF(FoodLog!$A:$A,$A385,FoodLog!$G:$G)))</f>
        <v/>
      </c>
      <c r="X385">
        <f>IF($A385="","",IF(SUMIF(FoodLog!$A:$A,$A385,FoodLog!$H:$H)=0,"",SUMIF(FoodLog!$A:$A,$A385,FoodLog!$H:$H)))</f>
        <v/>
      </c>
      <c r="Y385">
        <f>IF($A385="","",IFERROR(ROUND(100*AVERAGE(IF($B385="","",XLOOKUP($B385,FILTER(Dictionaries!$B:$B,Dictionaries!$A:$A="??????????"),FILTER(Dictionaries!$C:$C,Dictionaries!$A:$A="??????????"))),IF($C385="","",MIN($C385/40,1)),IF($D385="","",XLOOKUP($D385,FILTER(Dictionaries!$B:$B,Dictionaries!$A:$A="????"),FILTER(Dictionaries!$C:$C,Dictionaries!$A:$A="????"))),IF($E385="","",MIN($E385/120,1)),IF(OR($F385&lt;&gt;"",$G385&lt;&gt;""),1,""),IF($H385="","",MIN($H385/100,1)),IF($L385="","",XLOOKUP($L385,FILTER(Dictionaries!$B:$B,Dictionaries!$A:$A="???_????"),FILTER(Dictionaries!$C:$C,Dictionaries!$A:$A="???_????"))),IF($M385="","",XLOOKUP($M385,FILTER(Dictionaries!$B:$B,Dictionaries!$A:$A="?????"),FILTER(Dictionaries!$C:$C,Dictionaries!$A:$A="?????"))),IF($N385="","",MIN($N385/100,1)),IF($O385="","",XLOOKUP($O385,FILTER(Dictionaries!$B:$B,Dictionaries!$A:$A="??????????"),FILTER(Dictionaries!$C:$C,Dictionaries!$A:$A="??????????"))),IF($P385="","",XLOOKUP($P385,FILTER(Dictionaries!$B:$B,Dictionaries!$A:$A="???????"),FILTER(Dictionaries!$C:$C,Dictionaries!$A:$A="???????"))),IF($U385="","",LET(t,IF(OR($B385="????",$B385="????"),"train","rest"),k,$U385,p,$V385,f,$W385,c,$X385,k_s,IF(t="train",IF(k="","",IFS(AND(k&gt;=1900,k&lt;=2050),1,AND(k&gt;=1850,k&lt;1900),0.7,AND(k&gt;2050,k&lt;=2100),0.7,TRUE,0.2)),IF(k="","",IFS(AND(k&gt;=1700,k&lt;=1850),1,AND(k&gt;=1650,k&lt;1700),0.7,AND(k&gt;1850,k&lt;=1900),0.7,TRUE,0.2))),p_s,IF(t="train",IF(p="","",IFS(AND(p&gt;=125,p&lt;=135),1,AND(p&gt;=115,p&lt;125),0.7,AND(p&gt;135,p&lt;=145),0.7,AND(p&gt;=105,p&lt;115),0.4,AND(p&gt;145,p&lt;=155),0.4,TRUE,0.2)),IF(p="","",IFS(AND(p&gt;=120,p&lt;=130),1,AND(p&gt;=110,p&lt;120),0.7,AND(p&gt;130,p&lt;=140),0.7,AND(p&gt;=100,p&lt;110),0.4,AND(p&gt;140,p&lt;=150),0.4,TRUE,0.2))),f_s,IF(f="","",IFS(AND(f&gt;=55,f&lt;=65),1,AND(f&gt;=50,f&lt;55),0.7,AND(f&gt;65,f&lt;=70),0.7,AND(f&gt;=45,f&lt;50),0.4,AND(f&gt;70,f&lt;=75),0.4,TRUE,0.2)),c_s,IF(t="train",IF(c="","",IFS(AND(c&gt;=180,c&lt;=210),1,AND(c&gt;=160,c&lt;180),0.7,AND(c&gt;210,c&lt;=230),0.7,AND(c&gt;=140,c&lt;160),0.4,AND(c&gt;230,c&lt;=250),0.4,TRUE,0.2)),IF(c="","",IFS(AND(c&gt;=140,c&lt;=170),1,AND(c&gt;=120,c&lt;140),0.7,AND(c&gt;170,c&lt;=190),0.7,AND(c&gt;=100,c&lt;120),0.4,AND(c&gt;190,c&lt;=210),0.4,TRUE,0.2))),AVERAGE(k_s,p_s,f_s,c_s)))),1),""))</f>
        <v/>
      </c>
      <c r="Z385">
        <f>IF($A385="","",TEXTJOIN(", ",TRUE,IF($B385="","??????????",""),IF($C385="","??????",""),IF($D385="","????",""),IF($E385="","??????????",""),IF($F385="","???-?????",""),IF($G385="","???-????",""),IF($H385="","??????",""),IF($L385="","???",""),IF($M385="","?????",""),IF($N385="","??????????????",""),IF($O385="","??????????",""),IF($P385="","???????",""),IF($U385="","???","")))</f>
        <v/>
      </c>
    </row>
    <row r="386">
      <c r="U386">
        <f>IF($A386="","",IF(SUMIF(FoodLog!$A:$A,$A386,FoodLog!$I:$I)=0,"",SUMIF(FoodLog!$A:$A,$A386,FoodLog!$I:$I)))</f>
        <v/>
      </c>
      <c r="V386">
        <f>IF($A386="","",IF(SUMIF(FoodLog!$A:$A,$A386,FoodLog!$F:$F)=0,"",SUMIF(FoodLog!$A:$A,$A386,FoodLog!$F:$F)))</f>
        <v/>
      </c>
      <c r="W386">
        <f>IF($A386="","",IF(SUMIF(FoodLog!$A:$A,$A386,FoodLog!$G:$G)=0,"",SUMIF(FoodLog!$A:$A,$A386,FoodLog!$G:$G)))</f>
        <v/>
      </c>
      <c r="X386">
        <f>IF($A386="","",IF(SUMIF(FoodLog!$A:$A,$A386,FoodLog!$H:$H)=0,"",SUMIF(FoodLog!$A:$A,$A386,FoodLog!$H:$H)))</f>
        <v/>
      </c>
      <c r="Y386">
        <f>IF($A386="","",IFERROR(ROUND(100*AVERAGE(IF($B386="","",XLOOKUP($B386,FILTER(Dictionaries!$B:$B,Dictionaries!$A:$A="??????????"),FILTER(Dictionaries!$C:$C,Dictionaries!$A:$A="??????????"))),IF($C386="","",MIN($C386/40,1)),IF($D386="","",XLOOKUP($D386,FILTER(Dictionaries!$B:$B,Dictionaries!$A:$A="????"),FILTER(Dictionaries!$C:$C,Dictionaries!$A:$A="????"))),IF($E386="","",MIN($E386/120,1)),IF(OR($F386&lt;&gt;"",$G386&lt;&gt;""),1,""),IF($H386="","",MIN($H386/100,1)),IF($L386="","",XLOOKUP($L386,FILTER(Dictionaries!$B:$B,Dictionaries!$A:$A="???_????"),FILTER(Dictionaries!$C:$C,Dictionaries!$A:$A="???_????"))),IF($M386="","",XLOOKUP($M386,FILTER(Dictionaries!$B:$B,Dictionaries!$A:$A="?????"),FILTER(Dictionaries!$C:$C,Dictionaries!$A:$A="?????"))),IF($N386="","",MIN($N386/100,1)),IF($O386="","",XLOOKUP($O386,FILTER(Dictionaries!$B:$B,Dictionaries!$A:$A="??????????"),FILTER(Dictionaries!$C:$C,Dictionaries!$A:$A="??????????"))),IF($P386="","",XLOOKUP($P386,FILTER(Dictionaries!$B:$B,Dictionaries!$A:$A="???????"),FILTER(Dictionaries!$C:$C,Dictionaries!$A:$A="???????"))),IF($U386="","",LET(t,IF(OR($B386="????",$B386="????"),"train","rest"),k,$U386,p,$V386,f,$W386,c,$X386,k_s,IF(t="train",IF(k="","",IFS(AND(k&gt;=1900,k&lt;=2050),1,AND(k&gt;=1850,k&lt;1900),0.7,AND(k&gt;2050,k&lt;=2100),0.7,TRUE,0.2)),IF(k="","",IFS(AND(k&gt;=1700,k&lt;=1850),1,AND(k&gt;=1650,k&lt;1700),0.7,AND(k&gt;1850,k&lt;=1900),0.7,TRUE,0.2))),p_s,IF(t="train",IF(p="","",IFS(AND(p&gt;=125,p&lt;=135),1,AND(p&gt;=115,p&lt;125),0.7,AND(p&gt;135,p&lt;=145),0.7,AND(p&gt;=105,p&lt;115),0.4,AND(p&gt;145,p&lt;=155),0.4,TRUE,0.2)),IF(p="","",IFS(AND(p&gt;=120,p&lt;=130),1,AND(p&gt;=110,p&lt;120),0.7,AND(p&gt;130,p&lt;=140),0.7,AND(p&gt;=100,p&lt;110),0.4,AND(p&gt;140,p&lt;=150),0.4,TRUE,0.2))),f_s,IF(f="","",IFS(AND(f&gt;=55,f&lt;=65),1,AND(f&gt;=50,f&lt;55),0.7,AND(f&gt;65,f&lt;=70),0.7,AND(f&gt;=45,f&lt;50),0.4,AND(f&gt;70,f&lt;=75),0.4,TRUE,0.2)),c_s,IF(t="train",IF(c="","",IFS(AND(c&gt;=180,c&lt;=210),1,AND(c&gt;=160,c&lt;180),0.7,AND(c&gt;210,c&lt;=230),0.7,AND(c&gt;=140,c&lt;160),0.4,AND(c&gt;230,c&lt;=250),0.4,TRUE,0.2)),IF(c="","",IFS(AND(c&gt;=140,c&lt;=170),1,AND(c&gt;=120,c&lt;140),0.7,AND(c&gt;170,c&lt;=190),0.7,AND(c&gt;=100,c&lt;120),0.4,AND(c&gt;190,c&lt;=210),0.4,TRUE,0.2))),AVERAGE(k_s,p_s,f_s,c_s)))),1),""))</f>
        <v/>
      </c>
      <c r="Z386">
        <f>IF($A386="","",TEXTJOIN(", ",TRUE,IF($B386="","??????????",""),IF($C386="","??????",""),IF($D386="","????",""),IF($E386="","??????????",""),IF($F386="","???-?????",""),IF($G386="","???-????",""),IF($H386="","??????",""),IF($L386="","???",""),IF($M386="","?????",""),IF($N386="","??????????????",""),IF($O386="","??????????",""),IF($P386="","???????",""),IF($U386="","???","")))</f>
        <v/>
      </c>
    </row>
    <row r="387">
      <c r="U387">
        <f>IF($A387="","",IF(SUMIF(FoodLog!$A:$A,$A387,FoodLog!$I:$I)=0,"",SUMIF(FoodLog!$A:$A,$A387,FoodLog!$I:$I)))</f>
        <v/>
      </c>
      <c r="V387">
        <f>IF($A387="","",IF(SUMIF(FoodLog!$A:$A,$A387,FoodLog!$F:$F)=0,"",SUMIF(FoodLog!$A:$A,$A387,FoodLog!$F:$F)))</f>
        <v/>
      </c>
      <c r="W387">
        <f>IF($A387="","",IF(SUMIF(FoodLog!$A:$A,$A387,FoodLog!$G:$G)=0,"",SUMIF(FoodLog!$A:$A,$A387,FoodLog!$G:$G)))</f>
        <v/>
      </c>
      <c r="X387">
        <f>IF($A387="","",IF(SUMIF(FoodLog!$A:$A,$A387,FoodLog!$H:$H)=0,"",SUMIF(FoodLog!$A:$A,$A387,FoodLog!$H:$H)))</f>
        <v/>
      </c>
      <c r="Y387">
        <f>IF($A387="","",IFERROR(ROUND(100*AVERAGE(IF($B387="","",XLOOKUP($B387,FILTER(Dictionaries!$B:$B,Dictionaries!$A:$A="??????????"),FILTER(Dictionaries!$C:$C,Dictionaries!$A:$A="??????????"))),IF($C387="","",MIN($C387/40,1)),IF($D387="","",XLOOKUP($D387,FILTER(Dictionaries!$B:$B,Dictionaries!$A:$A="????"),FILTER(Dictionaries!$C:$C,Dictionaries!$A:$A="????"))),IF($E387="","",MIN($E387/120,1)),IF(OR($F387&lt;&gt;"",$G387&lt;&gt;""),1,""),IF($H387="","",MIN($H387/100,1)),IF($L387="","",XLOOKUP($L387,FILTER(Dictionaries!$B:$B,Dictionaries!$A:$A="???_????"),FILTER(Dictionaries!$C:$C,Dictionaries!$A:$A="???_????"))),IF($M387="","",XLOOKUP($M387,FILTER(Dictionaries!$B:$B,Dictionaries!$A:$A="?????"),FILTER(Dictionaries!$C:$C,Dictionaries!$A:$A="?????"))),IF($N387="","",MIN($N387/100,1)),IF($O387="","",XLOOKUP($O387,FILTER(Dictionaries!$B:$B,Dictionaries!$A:$A="??????????"),FILTER(Dictionaries!$C:$C,Dictionaries!$A:$A="??????????"))),IF($P387="","",XLOOKUP($P387,FILTER(Dictionaries!$B:$B,Dictionaries!$A:$A="???????"),FILTER(Dictionaries!$C:$C,Dictionaries!$A:$A="???????"))),IF($U387="","",LET(t,IF(OR($B387="????",$B387="????"),"train","rest"),k,$U387,p,$V387,f,$W387,c,$X387,k_s,IF(t="train",IF(k="","",IFS(AND(k&gt;=1900,k&lt;=2050),1,AND(k&gt;=1850,k&lt;1900),0.7,AND(k&gt;2050,k&lt;=2100),0.7,TRUE,0.2)),IF(k="","",IFS(AND(k&gt;=1700,k&lt;=1850),1,AND(k&gt;=1650,k&lt;1700),0.7,AND(k&gt;1850,k&lt;=1900),0.7,TRUE,0.2))),p_s,IF(t="train",IF(p="","",IFS(AND(p&gt;=125,p&lt;=135),1,AND(p&gt;=115,p&lt;125),0.7,AND(p&gt;135,p&lt;=145),0.7,AND(p&gt;=105,p&lt;115),0.4,AND(p&gt;145,p&lt;=155),0.4,TRUE,0.2)),IF(p="","",IFS(AND(p&gt;=120,p&lt;=130),1,AND(p&gt;=110,p&lt;120),0.7,AND(p&gt;130,p&lt;=140),0.7,AND(p&gt;=100,p&lt;110),0.4,AND(p&gt;140,p&lt;=150),0.4,TRUE,0.2))),f_s,IF(f="","",IFS(AND(f&gt;=55,f&lt;=65),1,AND(f&gt;=50,f&lt;55),0.7,AND(f&gt;65,f&lt;=70),0.7,AND(f&gt;=45,f&lt;50),0.4,AND(f&gt;70,f&lt;=75),0.4,TRUE,0.2)),c_s,IF(t="train",IF(c="","",IFS(AND(c&gt;=180,c&lt;=210),1,AND(c&gt;=160,c&lt;180),0.7,AND(c&gt;210,c&lt;=230),0.7,AND(c&gt;=140,c&lt;160),0.4,AND(c&gt;230,c&lt;=250),0.4,TRUE,0.2)),IF(c="","",IFS(AND(c&gt;=140,c&lt;=170),1,AND(c&gt;=120,c&lt;140),0.7,AND(c&gt;170,c&lt;=190),0.7,AND(c&gt;=100,c&lt;120),0.4,AND(c&gt;190,c&lt;=210),0.4,TRUE,0.2))),AVERAGE(k_s,p_s,f_s,c_s)))),1),""))</f>
        <v/>
      </c>
      <c r="Z387">
        <f>IF($A387="","",TEXTJOIN(", ",TRUE,IF($B387="","??????????",""),IF($C387="","??????",""),IF($D387="","????",""),IF($E387="","??????????",""),IF($F387="","???-?????",""),IF($G387="","???-????",""),IF($H387="","??????",""),IF($L387="","???",""),IF($M387="","?????",""),IF($N387="","??????????????",""),IF($O387="","??????????",""),IF($P387="","???????",""),IF($U387="","???","")))</f>
        <v/>
      </c>
    </row>
    <row r="388">
      <c r="U388">
        <f>IF($A388="","",IF(SUMIF(FoodLog!$A:$A,$A388,FoodLog!$I:$I)=0,"",SUMIF(FoodLog!$A:$A,$A388,FoodLog!$I:$I)))</f>
        <v/>
      </c>
      <c r="V388">
        <f>IF($A388="","",IF(SUMIF(FoodLog!$A:$A,$A388,FoodLog!$F:$F)=0,"",SUMIF(FoodLog!$A:$A,$A388,FoodLog!$F:$F)))</f>
        <v/>
      </c>
      <c r="W388">
        <f>IF($A388="","",IF(SUMIF(FoodLog!$A:$A,$A388,FoodLog!$G:$G)=0,"",SUMIF(FoodLog!$A:$A,$A388,FoodLog!$G:$G)))</f>
        <v/>
      </c>
      <c r="X388">
        <f>IF($A388="","",IF(SUMIF(FoodLog!$A:$A,$A388,FoodLog!$H:$H)=0,"",SUMIF(FoodLog!$A:$A,$A388,FoodLog!$H:$H)))</f>
        <v/>
      </c>
      <c r="Y388">
        <f>IF($A388="","",IFERROR(ROUND(100*AVERAGE(IF($B388="","",XLOOKUP($B388,FILTER(Dictionaries!$B:$B,Dictionaries!$A:$A="??????????"),FILTER(Dictionaries!$C:$C,Dictionaries!$A:$A="??????????"))),IF($C388="","",MIN($C388/40,1)),IF($D388="","",XLOOKUP($D388,FILTER(Dictionaries!$B:$B,Dictionaries!$A:$A="????"),FILTER(Dictionaries!$C:$C,Dictionaries!$A:$A="????"))),IF($E388="","",MIN($E388/120,1)),IF(OR($F388&lt;&gt;"",$G388&lt;&gt;""),1,""),IF($H388="","",MIN($H388/100,1)),IF($L388="","",XLOOKUP($L388,FILTER(Dictionaries!$B:$B,Dictionaries!$A:$A="???_????"),FILTER(Dictionaries!$C:$C,Dictionaries!$A:$A="???_????"))),IF($M388="","",XLOOKUP($M388,FILTER(Dictionaries!$B:$B,Dictionaries!$A:$A="?????"),FILTER(Dictionaries!$C:$C,Dictionaries!$A:$A="?????"))),IF($N388="","",MIN($N388/100,1)),IF($O388="","",XLOOKUP($O388,FILTER(Dictionaries!$B:$B,Dictionaries!$A:$A="??????????"),FILTER(Dictionaries!$C:$C,Dictionaries!$A:$A="??????????"))),IF($P388="","",XLOOKUP($P388,FILTER(Dictionaries!$B:$B,Dictionaries!$A:$A="???????"),FILTER(Dictionaries!$C:$C,Dictionaries!$A:$A="???????"))),IF($U388="","",LET(t,IF(OR($B388="????",$B388="????"),"train","rest"),k,$U388,p,$V388,f,$W388,c,$X388,k_s,IF(t="train",IF(k="","",IFS(AND(k&gt;=1900,k&lt;=2050),1,AND(k&gt;=1850,k&lt;1900),0.7,AND(k&gt;2050,k&lt;=2100),0.7,TRUE,0.2)),IF(k="","",IFS(AND(k&gt;=1700,k&lt;=1850),1,AND(k&gt;=1650,k&lt;1700),0.7,AND(k&gt;1850,k&lt;=1900),0.7,TRUE,0.2))),p_s,IF(t="train",IF(p="","",IFS(AND(p&gt;=125,p&lt;=135),1,AND(p&gt;=115,p&lt;125),0.7,AND(p&gt;135,p&lt;=145),0.7,AND(p&gt;=105,p&lt;115),0.4,AND(p&gt;145,p&lt;=155),0.4,TRUE,0.2)),IF(p="","",IFS(AND(p&gt;=120,p&lt;=130),1,AND(p&gt;=110,p&lt;120),0.7,AND(p&gt;130,p&lt;=140),0.7,AND(p&gt;=100,p&lt;110),0.4,AND(p&gt;140,p&lt;=150),0.4,TRUE,0.2))),f_s,IF(f="","",IFS(AND(f&gt;=55,f&lt;=65),1,AND(f&gt;=50,f&lt;55),0.7,AND(f&gt;65,f&lt;=70),0.7,AND(f&gt;=45,f&lt;50),0.4,AND(f&gt;70,f&lt;=75),0.4,TRUE,0.2)),c_s,IF(t="train",IF(c="","",IFS(AND(c&gt;=180,c&lt;=210),1,AND(c&gt;=160,c&lt;180),0.7,AND(c&gt;210,c&lt;=230),0.7,AND(c&gt;=140,c&lt;160),0.4,AND(c&gt;230,c&lt;=250),0.4,TRUE,0.2)),IF(c="","",IFS(AND(c&gt;=140,c&lt;=170),1,AND(c&gt;=120,c&lt;140),0.7,AND(c&gt;170,c&lt;=190),0.7,AND(c&gt;=100,c&lt;120),0.4,AND(c&gt;190,c&lt;=210),0.4,TRUE,0.2))),AVERAGE(k_s,p_s,f_s,c_s)))),1),""))</f>
        <v/>
      </c>
      <c r="Z388">
        <f>IF($A388="","",TEXTJOIN(", ",TRUE,IF($B388="","??????????",""),IF($C388="","??????",""),IF($D388="","????",""),IF($E388="","??????????",""),IF($F388="","???-?????",""),IF($G388="","???-????",""),IF($H388="","??????",""),IF($L388="","???",""),IF($M388="","?????",""),IF($N388="","??????????????",""),IF($O388="","??????????",""),IF($P388="","???????",""),IF($U388="","???","")))</f>
        <v/>
      </c>
    </row>
    <row r="389">
      <c r="U389">
        <f>IF($A389="","",IF(SUMIF(FoodLog!$A:$A,$A389,FoodLog!$I:$I)=0,"",SUMIF(FoodLog!$A:$A,$A389,FoodLog!$I:$I)))</f>
        <v/>
      </c>
      <c r="V389">
        <f>IF($A389="","",IF(SUMIF(FoodLog!$A:$A,$A389,FoodLog!$F:$F)=0,"",SUMIF(FoodLog!$A:$A,$A389,FoodLog!$F:$F)))</f>
        <v/>
      </c>
      <c r="W389">
        <f>IF($A389="","",IF(SUMIF(FoodLog!$A:$A,$A389,FoodLog!$G:$G)=0,"",SUMIF(FoodLog!$A:$A,$A389,FoodLog!$G:$G)))</f>
        <v/>
      </c>
      <c r="X389">
        <f>IF($A389="","",IF(SUMIF(FoodLog!$A:$A,$A389,FoodLog!$H:$H)=0,"",SUMIF(FoodLog!$A:$A,$A389,FoodLog!$H:$H)))</f>
        <v/>
      </c>
      <c r="Y389">
        <f>IF($A389="","",IFERROR(ROUND(100*AVERAGE(IF($B389="","",XLOOKUP($B389,FILTER(Dictionaries!$B:$B,Dictionaries!$A:$A="??????????"),FILTER(Dictionaries!$C:$C,Dictionaries!$A:$A="??????????"))),IF($C389="","",MIN($C389/40,1)),IF($D389="","",XLOOKUP($D389,FILTER(Dictionaries!$B:$B,Dictionaries!$A:$A="????"),FILTER(Dictionaries!$C:$C,Dictionaries!$A:$A="????"))),IF($E389="","",MIN($E389/120,1)),IF(OR($F389&lt;&gt;"",$G389&lt;&gt;""),1,""),IF($H389="","",MIN($H389/100,1)),IF($L389="","",XLOOKUP($L389,FILTER(Dictionaries!$B:$B,Dictionaries!$A:$A="???_????"),FILTER(Dictionaries!$C:$C,Dictionaries!$A:$A="???_????"))),IF($M389="","",XLOOKUP($M389,FILTER(Dictionaries!$B:$B,Dictionaries!$A:$A="?????"),FILTER(Dictionaries!$C:$C,Dictionaries!$A:$A="?????"))),IF($N389="","",MIN($N389/100,1)),IF($O389="","",XLOOKUP($O389,FILTER(Dictionaries!$B:$B,Dictionaries!$A:$A="??????????"),FILTER(Dictionaries!$C:$C,Dictionaries!$A:$A="??????????"))),IF($P389="","",XLOOKUP($P389,FILTER(Dictionaries!$B:$B,Dictionaries!$A:$A="???????"),FILTER(Dictionaries!$C:$C,Dictionaries!$A:$A="???????"))),IF($U389="","",LET(t,IF(OR($B389="????",$B389="????"),"train","rest"),k,$U389,p,$V389,f,$W389,c,$X389,k_s,IF(t="train",IF(k="","",IFS(AND(k&gt;=1900,k&lt;=2050),1,AND(k&gt;=1850,k&lt;1900),0.7,AND(k&gt;2050,k&lt;=2100),0.7,TRUE,0.2)),IF(k="","",IFS(AND(k&gt;=1700,k&lt;=1850),1,AND(k&gt;=1650,k&lt;1700),0.7,AND(k&gt;1850,k&lt;=1900),0.7,TRUE,0.2))),p_s,IF(t="train",IF(p="","",IFS(AND(p&gt;=125,p&lt;=135),1,AND(p&gt;=115,p&lt;125),0.7,AND(p&gt;135,p&lt;=145),0.7,AND(p&gt;=105,p&lt;115),0.4,AND(p&gt;145,p&lt;=155),0.4,TRUE,0.2)),IF(p="","",IFS(AND(p&gt;=120,p&lt;=130),1,AND(p&gt;=110,p&lt;120),0.7,AND(p&gt;130,p&lt;=140),0.7,AND(p&gt;=100,p&lt;110),0.4,AND(p&gt;140,p&lt;=150),0.4,TRUE,0.2))),f_s,IF(f="","",IFS(AND(f&gt;=55,f&lt;=65),1,AND(f&gt;=50,f&lt;55),0.7,AND(f&gt;65,f&lt;=70),0.7,AND(f&gt;=45,f&lt;50),0.4,AND(f&gt;70,f&lt;=75),0.4,TRUE,0.2)),c_s,IF(t="train",IF(c="","",IFS(AND(c&gt;=180,c&lt;=210),1,AND(c&gt;=160,c&lt;180),0.7,AND(c&gt;210,c&lt;=230),0.7,AND(c&gt;=140,c&lt;160),0.4,AND(c&gt;230,c&lt;=250),0.4,TRUE,0.2)),IF(c="","",IFS(AND(c&gt;=140,c&lt;=170),1,AND(c&gt;=120,c&lt;140),0.7,AND(c&gt;170,c&lt;=190),0.7,AND(c&gt;=100,c&lt;120),0.4,AND(c&gt;190,c&lt;=210),0.4,TRUE,0.2))),AVERAGE(k_s,p_s,f_s,c_s)))),1),""))</f>
        <v/>
      </c>
      <c r="Z389">
        <f>IF($A389="","",TEXTJOIN(", ",TRUE,IF($B389="","??????????",""),IF($C389="","??????",""),IF($D389="","????",""),IF($E389="","??????????",""),IF($F389="","???-?????",""),IF($G389="","???-????",""),IF($H389="","??????",""),IF($L389="","???",""),IF($M389="","?????",""),IF($N389="","??????????????",""),IF($O389="","??????????",""),IF($P389="","???????",""),IF($U389="","???","")))</f>
        <v/>
      </c>
    </row>
    <row r="390">
      <c r="U390">
        <f>IF($A390="","",IF(SUMIF(FoodLog!$A:$A,$A390,FoodLog!$I:$I)=0,"",SUMIF(FoodLog!$A:$A,$A390,FoodLog!$I:$I)))</f>
        <v/>
      </c>
      <c r="V390">
        <f>IF($A390="","",IF(SUMIF(FoodLog!$A:$A,$A390,FoodLog!$F:$F)=0,"",SUMIF(FoodLog!$A:$A,$A390,FoodLog!$F:$F)))</f>
        <v/>
      </c>
      <c r="W390">
        <f>IF($A390="","",IF(SUMIF(FoodLog!$A:$A,$A390,FoodLog!$G:$G)=0,"",SUMIF(FoodLog!$A:$A,$A390,FoodLog!$G:$G)))</f>
        <v/>
      </c>
      <c r="X390">
        <f>IF($A390="","",IF(SUMIF(FoodLog!$A:$A,$A390,FoodLog!$H:$H)=0,"",SUMIF(FoodLog!$A:$A,$A390,FoodLog!$H:$H)))</f>
        <v/>
      </c>
      <c r="Y390">
        <f>IF($A390="","",IFERROR(ROUND(100*AVERAGE(IF($B390="","",XLOOKUP($B390,FILTER(Dictionaries!$B:$B,Dictionaries!$A:$A="??????????"),FILTER(Dictionaries!$C:$C,Dictionaries!$A:$A="??????????"))),IF($C390="","",MIN($C390/40,1)),IF($D390="","",XLOOKUP($D390,FILTER(Dictionaries!$B:$B,Dictionaries!$A:$A="????"),FILTER(Dictionaries!$C:$C,Dictionaries!$A:$A="????"))),IF($E390="","",MIN($E390/120,1)),IF(OR($F390&lt;&gt;"",$G390&lt;&gt;""),1,""),IF($H390="","",MIN($H390/100,1)),IF($L390="","",XLOOKUP($L390,FILTER(Dictionaries!$B:$B,Dictionaries!$A:$A="???_????"),FILTER(Dictionaries!$C:$C,Dictionaries!$A:$A="???_????"))),IF($M390="","",XLOOKUP($M390,FILTER(Dictionaries!$B:$B,Dictionaries!$A:$A="?????"),FILTER(Dictionaries!$C:$C,Dictionaries!$A:$A="?????"))),IF($N390="","",MIN($N390/100,1)),IF($O390="","",XLOOKUP($O390,FILTER(Dictionaries!$B:$B,Dictionaries!$A:$A="??????????"),FILTER(Dictionaries!$C:$C,Dictionaries!$A:$A="??????????"))),IF($P390="","",XLOOKUP($P390,FILTER(Dictionaries!$B:$B,Dictionaries!$A:$A="???????"),FILTER(Dictionaries!$C:$C,Dictionaries!$A:$A="???????"))),IF($U390="","",LET(t,IF(OR($B390="????",$B390="????"),"train","rest"),k,$U390,p,$V390,f,$W390,c,$X390,k_s,IF(t="train",IF(k="","",IFS(AND(k&gt;=1900,k&lt;=2050),1,AND(k&gt;=1850,k&lt;1900),0.7,AND(k&gt;2050,k&lt;=2100),0.7,TRUE,0.2)),IF(k="","",IFS(AND(k&gt;=1700,k&lt;=1850),1,AND(k&gt;=1650,k&lt;1700),0.7,AND(k&gt;1850,k&lt;=1900),0.7,TRUE,0.2))),p_s,IF(t="train",IF(p="","",IFS(AND(p&gt;=125,p&lt;=135),1,AND(p&gt;=115,p&lt;125),0.7,AND(p&gt;135,p&lt;=145),0.7,AND(p&gt;=105,p&lt;115),0.4,AND(p&gt;145,p&lt;=155),0.4,TRUE,0.2)),IF(p="","",IFS(AND(p&gt;=120,p&lt;=130),1,AND(p&gt;=110,p&lt;120),0.7,AND(p&gt;130,p&lt;=140),0.7,AND(p&gt;=100,p&lt;110),0.4,AND(p&gt;140,p&lt;=150),0.4,TRUE,0.2))),f_s,IF(f="","",IFS(AND(f&gt;=55,f&lt;=65),1,AND(f&gt;=50,f&lt;55),0.7,AND(f&gt;65,f&lt;=70),0.7,AND(f&gt;=45,f&lt;50),0.4,AND(f&gt;70,f&lt;=75),0.4,TRUE,0.2)),c_s,IF(t="train",IF(c="","",IFS(AND(c&gt;=180,c&lt;=210),1,AND(c&gt;=160,c&lt;180),0.7,AND(c&gt;210,c&lt;=230),0.7,AND(c&gt;=140,c&lt;160),0.4,AND(c&gt;230,c&lt;=250),0.4,TRUE,0.2)),IF(c="","",IFS(AND(c&gt;=140,c&lt;=170),1,AND(c&gt;=120,c&lt;140),0.7,AND(c&gt;170,c&lt;=190),0.7,AND(c&gt;=100,c&lt;120),0.4,AND(c&gt;190,c&lt;=210),0.4,TRUE,0.2))),AVERAGE(k_s,p_s,f_s,c_s)))),1),""))</f>
        <v/>
      </c>
      <c r="Z390">
        <f>IF($A390="","",TEXTJOIN(", ",TRUE,IF($B390="","??????????",""),IF($C390="","??????",""),IF($D390="","????",""),IF($E390="","??????????",""),IF($F390="","???-?????",""),IF($G390="","???-????",""),IF($H390="","??????",""),IF($L390="","???",""),IF($M390="","?????",""),IF($N390="","??????????????",""),IF($O390="","??????????",""),IF($P390="","???????",""),IF($U390="","???","")))</f>
        <v/>
      </c>
    </row>
    <row r="391">
      <c r="U391">
        <f>IF($A391="","",IF(SUMIF(FoodLog!$A:$A,$A391,FoodLog!$I:$I)=0,"",SUMIF(FoodLog!$A:$A,$A391,FoodLog!$I:$I)))</f>
        <v/>
      </c>
      <c r="V391">
        <f>IF($A391="","",IF(SUMIF(FoodLog!$A:$A,$A391,FoodLog!$F:$F)=0,"",SUMIF(FoodLog!$A:$A,$A391,FoodLog!$F:$F)))</f>
        <v/>
      </c>
      <c r="W391">
        <f>IF($A391="","",IF(SUMIF(FoodLog!$A:$A,$A391,FoodLog!$G:$G)=0,"",SUMIF(FoodLog!$A:$A,$A391,FoodLog!$G:$G)))</f>
        <v/>
      </c>
      <c r="X391">
        <f>IF($A391="","",IF(SUMIF(FoodLog!$A:$A,$A391,FoodLog!$H:$H)=0,"",SUMIF(FoodLog!$A:$A,$A391,FoodLog!$H:$H)))</f>
        <v/>
      </c>
      <c r="Y391">
        <f>IF($A391="","",IFERROR(ROUND(100*AVERAGE(IF($B391="","",XLOOKUP($B391,FILTER(Dictionaries!$B:$B,Dictionaries!$A:$A="??????????"),FILTER(Dictionaries!$C:$C,Dictionaries!$A:$A="??????????"))),IF($C391="","",MIN($C391/40,1)),IF($D391="","",XLOOKUP($D391,FILTER(Dictionaries!$B:$B,Dictionaries!$A:$A="????"),FILTER(Dictionaries!$C:$C,Dictionaries!$A:$A="????"))),IF($E391="","",MIN($E391/120,1)),IF(OR($F391&lt;&gt;"",$G391&lt;&gt;""),1,""),IF($H391="","",MIN($H391/100,1)),IF($L391="","",XLOOKUP($L391,FILTER(Dictionaries!$B:$B,Dictionaries!$A:$A="???_????"),FILTER(Dictionaries!$C:$C,Dictionaries!$A:$A="???_????"))),IF($M391="","",XLOOKUP($M391,FILTER(Dictionaries!$B:$B,Dictionaries!$A:$A="?????"),FILTER(Dictionaries!$C:$C,Dictionaries!$A:$A="?????"))),IF($N391="","",MIN($N391/100,1)),IF($O391="","",XLOOKUP($O391,FILTER(Dictionaries!$B:$B,Dictionaries!$A:$A="??????????"),FILTER(Dictionaries!$C:$C,Dictionaries!$A:$A="??????????"))),IF($P391="","",XLOOKUP($P391,FILTER(Dictionaries!$B:$B,Dictionaries!$A:$A="???????"),FILTER(Dictionaries!$C:$C,Dictionaries!$A:$A="???????"))),IF($U391="","",LET(t,IF(OR($B391="????",$B391="????"),"train","rest"),k,$U391,p,$V391,f,$W391,c,$X391,k_s,IF(t="train",IF(k="","",IFS(AND(k&gt;=1900,k&lt;=2050),1,AND(k&gt;=1850,k&lt;1900),0.7,AND(k&gt;2050,k&lt;=2100),0.7,TRUE,0.2)),IF(k="","",IFS(AND(k&gt;=1700,k&lt;=1850),1,AND(k&gt;=1650,k&lt;1700),0.7,AND(k&gt;1850,k&lt;=1900),0.7,TRUE,0.2))),p_s,IF(t="train",IF(p="","",IFS(AND(p&gt;=125,p&lt;=135),1,AND(p&gt;=115,p&lt;125),0.7,AND(p&gt;135,p&lt;=145),0.7,AND(p&gt;=105,p&lt;115),0.4,AND(p&gt;145,p&lt;=155),0.4,TRUE,0.2)),IF(p="","",IFS(AND(p&gt;=120,p&lt;=130),1,AND(p&gt;=110,p&lt;120),0.7,AND(p&gt;130,p&lt;=140),0.7,AND(p&gt;=100,p&lt;110),0.4,AND(p&gt;140,p&lt;=150),0.4,TRUE,0.2))),f_s,IF(f="","",IFS(AND(f&gt;=55,f&lt;=65),1,AND(f&gt;=50,f&lt;55),0.7,AND(f&gt;65,f&lt;=70),0.7,AND(f&gt;=45,f&lt;50),0.4,AND(f&gt;70,f&lt;=75),0.4,TRUE,0.2)),c_s,IF(t="train",IF(c="","",IFS(AND(c&gt;=180,c&lt;=210),1,AND(c&gt;=160,c&lt;180),0.7,AND(c&gt;210,c&lt;=230),0.7,AND(c&gt;=140,c&lt;160),0.4,AND(c&gt;230,c&lt;=250),0.4,TRUE,0.2)),IF(c="","",IFS(AND(c&gt;=140,c&lt;=170),1,AND(c&gt;=120,c&lt;140),0.7,AND(c&gt;170,c&lt;=190),0.7,AND(c&gt;=100,c&lt;120),0.4,AND(c&gt;190,c&lt;=210),0.4,TRUE,0.2))),AVERAGE(k_s,p_s,f_s,c_s)))),1),""))</f>
        <v/>
      </c>
      <c r="Z391">
        <f>IF($A391="","",TEXTJOIN(", ",TRUE,IF($B391="","??????????",""),IF($C391="","??????",""),IF($D391="","????",""),IF($E391="","??????????",""),IF($F391="","???-?????",""),IF($G391="","???-????",""),IF($H391="","??????",""),IF($L391="","???",""),IF($M391="","?????",""),IF($N391="","??????????????",""),IF($O391="","??????????",""),IF($P391="","???????",""),IF($U391="","???","")))</f>
        <v/>
      </c>
    </row>
    <row r="392">
      <c r="U392">
        <f>IF($A392="","",IF(SUMIF(FoodLog!$A:$A,$A392,FoodLog!$I:$I)=0,"",SUMIF(FoodLog!$A:$A,$A392,FoodLog!$I:$I)))</f>
        <v/>
      </c>
      <c r="V392">
        <f>IF($A392="","",IF(SUMIF(FoodLog!$A:$A,$A392,FoodLog!$F:$F)=0,"",SUMIF(FoodLog!$A:$A,$A392,FoodLog!$F:$F)))</f>
        <v/>
      </c>
      <c r="W392">
        <f>IF($A392="","",IF(SUMIF(FoodLog!$A:$A,$A392,FoodLog!$G:$G)=0,"",SUMIF(FoodLog!$A:$A,$A392,FoodLog!$G:$G)))</f>
        <v/>
      </c>
      <c r="X392">
        <f>IF($A392="","",IF(SUMIF(FoodLog!$A:$A,$A392,FoodLog!$H:$H)=0,"",SUMIF(FoodLog!$A:$A,$A392,FoodLog!$H:$H)))</f>
        <v/>
      </c>
      <c r="Y392">
        <f>IF($A392="","",IFERROR(ROUND(100*AVERAGE(IF($B392="","",XLOOKUP($B392,FILTER(Dictionaries!$B:$B,Dictionaries!$A:$A="??????????"),FILTER(Dictionaries!$C:$C,Dictionaries!$A:$A="??????????"))),IF($C392="","",MIN($C392/40,1)),IF($D392="","",XLOOKUP($D392,FILTER(Dictionaries!$B:$B,Dictionaries!$A:$A="????"),FILTER(Dictionaries!$C:$C,Dictionaries!$A:$A="????"))),IF($E392="","",MIN($E392/120,1)),IF(OR($F392&lt;&gt;"",$G392&lt;&gt;""),1,""),IF($H392="","",MIN($H392/100,1)),IF($L392="","",XLOOKUP($L392,FILTER(Dictionaries!$B:$B,Dictionaries!$A:$A="???_????"),FILTER(Dictionaries!$C:$C,Dictionaries!$A:$A="???_????"))),IF($M392="","",XLOOKUP($M392,FILTER(Dictionaries!$B:$B,Dictionaries!$A:$A="?????"),FILTER(Dictionaries!$C:$C,Dictionaries!$A:$A="?????"))),IF($N392="","",MIN($N392/100,1)),IF($O392="","",XLOOKUP($O392,FILTER(Dictionaries!$B:$B,Dictionaries!$A:$A="??????????"),FILTER(Dictionaries!$C:$C,Dictionaries!$A:$A="??????????"))),IF($P392="","",XLOOKUP($P392,FILTER(Dictionaries!$B:$B,Dictionaries!$A:$A="???????"),FILTER(Dictionaries!$C:$C,Dictionaries!$A:$A="???????"))),IF($U392="","",LET(t,IF(OR($B392="????",$B392="????"),"train","rest"),k,$U392,p,$V392,f,$W392,c,$X392,k_s,IF(t="train",IF(k="","",IFS(AND(k&gt;=1900,k&lt;=2050),1,AND(k&gt;=1850,k&lt;1900),0.7,AND(k&gt;2050,k&lt;=2100),0.7,TRUE,0.2)),IF(k="","",IFS(AND(k&gt;=1700,k&lt;=1850),1,AND(k&gt;=1650,k&lt;1700),0.7,AND(k&gt;1850,k&lt;=1900),0.7,TRUE,0.2))),p_s,IF(t="train",IF(p="","",IFS(AND(p&gt;=125,p&lt;=135),1,AND(p&gt;=115,p&lt;125),0.7,AND(p&gt;135,p&lt;=145),0.7,AND(p&gt;=105,p&lt;115),0.4,AND(p&gt;145,p&lt;=155),0.4,TRUE,0.2)),IF(p="","",IFS(AND(p&gt;=120,p&lt;=130),1,AND(p&gt;=110,p&lt;120),0.7,AND(p&gt;130,p&lt;=140),0.7,AND(p&gt;=100,p&lt;110),0.4,AND(p&gt;140,p&lt;=150),0.4,TRUE,0.2))),f_s,IF(f="","",IFS(AND(f&gt;=55,f&lt;=65),1,AND(f&gt;=50,f&lt;55),0.7,AND(f&gt;65,f&lt;=70),0.7,AND(f&gt;=45,f&lt;50),0.4,AND(f&gt;70,f&lt;=75),0.4,TRUE,0.2)),c_s,IF(t="train",IF(c="","",IFS(AND(c&gt;=180,c&lt;=210),1,AND(c&gt;=160,c&lt;180),0.7,AND(c&gt;210,c&lt;=230),0.7,AND(c&gt;=140,c&lt;160),0.4,AND(c&gt;230,c&lt;=250),0.4,TRUE,0.2)),IF(c="","",IFS(AND(c&gt;=140,c&lt;=170),1,AND(c&gt;=120,c&lt;140),0.7,AND(c&gt;170,c&lt;=190),0.7,AND(c&gt;=100,c&lt;120),0.4,AND(c&gt;190,c&lt;=210),0.4,TRUE,0.2))),AVERAGE(k_s,p_s,f_s,c_s)))),1),""))</f>
        <v/>
      </c>
      <c r="Z392">
        <f>IF($A392="","",TEXTJOIN(", ",TRUE,IF($B392="","??????????",""),IF($C392="","??????",""),IF($D392="","????",""),IF($E392="","??????????",""),IF($F392="","???-?????",""),IF($G392="","???-????",""),IF($H392="","??????",""),IF($L392="","???",""),IF($M392="","?????",""),IF($N392="","??????????????",""),IF($O392="","??????????",""),IF($P392="","???????",""),IF($U392="","???","")))</f>
        <v/>
      </c>
    </row>
    <row r="393">
      <c r="U393">
        <f>IF($A393="","",IF(SUMIF(FoodLog!$A:$A,$A393,FoodLog!$I:$I)=0,"",SUMIF(FoodLog!$A:$A,$A393,FoodLog!$I:$I)))</f>
        <v/>
      </c>
      <c r="V393">
        <f>IF($A393="","",IF(SUMIF(FoodLog!$A:$A,$A393,FoodLog!$F:$F)=0,"",SUMIF(FoodLog!$A:$A,$A393,FoodLog!$F:$F)))</f>
        <v/>
      </c>
      <c r="W393">
        <f>IF($A393="","",IF(SUMIF(FoodLog!$A:$A,$A393,FoodLog!$G:$G)=0,"",SUMIF(FoodLog!$A:$A,$A393,FoodLog!$G:$G)))</f>
        <v/>
      </c>
      <c r="X393">
        <f>IF($A393="","",IF(SUMIF(FoodLog!$A:$A,$A393,FoodLog!$H:$H)=0,"",SUMIF(FoodLog!$A:$A,$A393,FoodLog!$H:$H)))</f>
        <v/>
      </c>
      <c r="Y393">
        <f>IF($A393="","",IFERROR(ROUND(100*AVERAGE(IF($B393="","",XLOOKUP($B393,FILTER(Dictionaries!$B:$B,Dictionaries!$A:$A="??????????"),FILTER(Dictionaries!$C:$C,Dictionaries!$A:$A="??????????"))),IF($C393="","",MIN($C393/40,1)),IF($D393="","",XLOOKUP($D393,FILTER(Dictionaries!$B:$B,Dictionaries!$A:$A="????"),FILTER(Dictionaries!$C:$C,Dictionaries!$A:$A="????"))),IF($E393="","",MIN($E393/120,1)),IF(OR($F393&lt;&gt;"",$G393&lt;&gt;""),1,""),IF($H393="","",MIN($H393/100,1)),IF($L393="","",XLOOKUP($L393,FILTER(Dictionaries!$B:$B,Dictionaries!$A:$A="???_????"),FILTER(Dictionaries!$C:$C,Dictionaries!$A:$A="???_????"))),IF($M393="","",XLOOKUP($M393,FILTER(Dictionaries!$B:$B,Dictionaries!$A:$A="?????"),FILTER(Dictionaries!$C:$C,Dictionaries!$A:$A="?????"))),IF($N393="","",MIN($N393/100,1)),IF($O393="","",XLOOKUP($O393,FILTER(Dictionaries!$B:$B,Dictionaries!$A:$A="??????????"),FILTER(Dictionaries!$C:$C,Dictionaries!$A:$A="??????????"))),IF($P393="","",XLOOKUP($P393,FILTER(Dictionaries!$B:$B,Dictionaries!$A:$A="???????"),FILTER(Dictionaries!$C:$C,Dictionaries!$A:$A="???????"))),IF($U393="","",LET(t,IF(OR($B393="????",$B393="????"),"train","rest"),k,$U393,p,$V393,f,$W393,c,$X393,k_s,IF(t="train",IF(k="","",IFS(AND(k&gt;=1900,k&lt;=2050),1,AND(k&gt;=1850,k&lt;1900),0.7,AND(k&gt;2050,k&lt;=2100),0.7,TRUE,0.2)),IF(k="","",IFS(AND(k&gt;=1700,k&lt;=1850),1,AND(k&gt;=1650,k&lt;1700),0.7,AND(k&gt;1850,k&lt;=1900),0.7,TRUE,0.2))),p_s,IF(t="train",IF(p="","",IFS(AND(p&gt;=125,p&lt;=135),1,AND(p&gt;=115,p&lt;125),0.7,AND(p&gt;135,p&lt;=145),0.7,AND(p&gt;=105,p&lt;115),0.4,AND(p&gt;145,p&lt;=155),0.4,TRUE,0.2)),IF(p="","",IFS(AND(p&gt;=120,p&lt;=130),1,AND(p&gt;=110,p&lt;120),0.7,AND(p&gt;130,p&lt;=140),0.7,AND(p&gt;=100,p&lt;110),0.4,AND(p&gt;140,p&lt;=150),0.4,TRUE,0.2))),f_s,IF(f="","",IFS(AND(f&gt;=55,f&lt;=65),1,AND(f&gt;=50,f&lt;55),0.7,AND(f&gt;65,f&lt;=70),0.7,AND(f&gt;=45,f&lt;50),0.4,AND(f&gt;70,f&lt;=75),0.4,TRUE,0.2)),c_s,IF(t="train",IF(c="","",IFS(AND(c&gt;=180,c&lt;=210),1,AND(c&gt;=160,c&lt;180),0.7,AND(c&gt;210,c&lt;=230),0.7,AND(c&gt;=140,c&lt;160),0.4,AND(c&gt;230,c&lt;=250),0.4,TRUE,0.2)),IF(c="","",IFS(AND(c&gt;=140,c&lt;=170),1,AND(c&gt;=120,c&lt;140),0.7,AND(c&gt;170,c&lt;=190),0.7,AND(c&gt;=100,c&lt;120),0.4,AND(c&gt;190,c&lt;=210),0.4,TRUE,0.2))),AVERAGE(k_s,p_s,f_s,c_s)))),1),""))</f>
        <v/>
      </c>
      <c r="Z393">
        <f>IF($A393="","",TEXTJOIN(", ",TRUE,IF($B393="","??????????",""),IF($C393="","??????",""),IF($D393="","????",""),IF($E393="","??????????",""),IF($F393="","???-?????",""),IF($G393="","???-????",""),IF($H393="","??????",""),IF($L393="","???",""),IF($M393="","?????",""),IF($N393="","??????????????",""),IF($O393="","??????????",""),IF($P393="","???????",""),IF($U393="","???","")))</f>
        <v/>
      </c>
    </row>
    <row r="394">
      <c r="U394">
        <f>IF($A394="","",IF(SUMIF(FoodLog!$A:$A,$A394,FoodLog!$I:$I)=0,"",SUMIF(FoodLog!$A:$A,$A394,FoodLog!$I:$I)))</f>
        <v/>
      </c>
      <c r="V394">
        <f>IF($A394="","",IF(SUMIF(FoodLog!$A:$A,$A394,FoodLog!$F:$F)=0,"",SUMIF(FoodLog!$A:$A,$A394,FoodLog!$F:$F)))</f>
        <v/>
      </c>
      <c r="W394">
        <f>IF($A394="","",IF(SUMIF(FoodLog!$A:$A,$A394,FoodLog!$G:$G)=0,"",SUMIF(FoodLog!$A:$A,$A394,FoodLog!$G:$G)))</f>
        <v/>
      </c>
      <c r="X394">
        <f>IF($A394="","",IF(SUMIF(FoodLog!$A:$A,$A394,FoodLog!$H:$H)=0,"",SUMIF(FoodLog!$A:$A,$A394,FoodLog!$H:$H)))</f>
        <v/>
      </c>
      <c r="Y394">
        <f>IF($A394="","",IFERROR(ROUND(100*AVERAGE(IF($B394="","",XLOOKUP($B394,FILTER(Dictionaries!$B:$B,Dictionaries!$A:$A="??????????"),FILTER(Dictionaries!$C:$C,Dictionaries!$A:$A="??????????"))),IF($C394="","",MIN($C394/40,1)),IF($D394="","",XLOOKUP($D394,FILTER(Dictionaries!$B:$B,Dictionaries!$A:$A="????"),FILTER(Dictionaries!$C:$C,Dictionaries!$A:$A="????"))),IF($E394="","",MIN($E394/120,1)),IF(OR($F394&lt;&gt;"",$G394&lt;&gt;""),1,""),IF($H394="","",MIN($H394/100,1)),IF($L394="","",XLOOKUP($L394,FILTER(Dictionaries!$B:$B,Dictionaries!$A:$A="???_????"),FILTER(Dictionaries!$C:$C,Dictionaries!$A:$A="???_????"))),IF($M394="","",XLOOKUP($M394,FILTER(Dictionaries!$B:$B,Dictionaries!$A:$A="?????"),FILTER(Dictionaries!$C:$C,Dictionaries!$A:$A="?????"))),IF($N394="","",MIN($N394/100,1)),IF($O394="","",XLOOKUP($O394,FILTER(Dictionaries!$B:$B,Dictionaries!$A:$A="??????????"),FILTER(Dictionaries!$C:$C,Dictionaries!$A:$A="??????????"))),IF($P394="","",XLOOKUP($P394,FILTER(Dictionaries!$B:$B,Dictionaries!$A:$A="???????"),FILTER(Dictionaries!$C:$C,Dictionaries!$A:$A="???????"))),IF($U394="","",LET(t,IF(OR($B394="????",$B394="????"),"train","rest"),k,$U394,p,$V394,f,$W394,c,$X394,k_s,IF(t="train",IF(k="","",IFS(AND(k&gt;=1900,k&lt;=2050),1,AND(k&gt;=1850,k&lt;1900),0.7,AND(k&gt;2050,k&lt;=2100),0.7,TRUE,0.2)),IF(k="","",IFS(AND(k&gt;=1700,k&lt;=1850),1,AND(k&gt;=1650,k&lt;1700),0.7,AND(k&gt;1850,k&lt;=1900),0.7,TRUE,0.2))),p_s,IF(t="train",IF(p="","",IFS(AND(p&gt;=125,p&lt;=135),1,AND(p&gt;=115,p&lt;125),0.7,AND(p&gt;135,p&lt;=145),0.7,AND(p&gt;=105,p&lt;115),0.4,AND(p&gt;145,p&lt;=155),0.4,TRUE,0.2)),IF(p="","",IFS(AND(p&gt;=120,p&lt;=130),1,AND(p&gt;=110,p&lt;120),0.7,AND(p&gt;130,p&lt;=140),0.7,AND(p&gt;=100,p&lt;110),0.4,AND(p&gt;140,p&lt;=150),0.4,TRUE,0.2))),f_s,IF(f="","",IFS(AND(f&gt;=55,f&lt;=65),1,AND(f&gt;=50,f&lt;55),0.7,AND(f&gt;65,f&lt;=70),0.7,AND(f&gt;=45,f&lt;50),0.4,AND(f&gt;70,f&lt;=75),0.4,TRUE,0.2)),c_s,IF(t="train",IF(c="","",IFS(AND(c&gt;=180,c&lt;=210),1,AND(c&gt;=160,c&lt;180),0.7,AND(c&gt;210,c&lt;=230),0.7,AND(c&gt;=140,c&lt;160),0.4,AND(c&gt;230,c&lt;=250),0.4,TRUE,0.2)),IF(c="","",IFS(AND(c&gt;=140,c&lt;=170),1,AND(c&gt;=120,c&lt;140),0.7,AND(c&gt;170,c&lt;=190),0.7,AND(c&gt;=100,c&lt;120),0.4,AND(c&gt;190,c&lt;=210),0.4,TRUE,0.2))),AVERAGE(k_s,p_s,f_s,c_s)))),1),""))</f>
        <v/>
      </c>
      <c r="Z394">
        <f>IF($A394="","",TEXTJOIN(", ",TRUE,IF($B394="","??????????",""),IF($C394="","??????",""),IF($D394="","????",""),IF($E394="","??????????",""),IF($F394="","???-?????",""),IF($G394="","???-????",""),IF($H394="","??????",""),IF($L394="","???",""),IF($M394="","?????",""),IF($N394="","??????????????",""),IF($O394="","??????????",""),IF($P394="","???????",""),IF($U394="","???","")))</f>
        <v/>
      </c>
    </row>
    <row r="395">
      <c r="U395">
        <f>IF($A395="","",IF(SUMIF(FoodLog!$A:$A,$A395,FoodLog!$I:$I)=0,"",SUMIF(FoodLog!$A:$A,$A395,FoodLog!$I:$I)))</f>
        <v/>
      </c>
      <c r="V395">
        <f>IF($A395="","",IF(SUMIF(FoodLog!$A:$A,$A395,FoodLog!$F:$F)=0,"",SUMIF(FoodLog!$A:$A,$A395,FoodLog!$F:$F)))</f>
        <v/>
      </c>
      <c r="W395">
        <f>IF($A395="","",IF(SUMIF(FoodLog!$A:$A,$A395,FoodLog!$G:$G)=0,"",SUMIF(FoodLog!$A:$A,$A395,FoodLog!$G:$G)))</f>
        <v/>
      </c>
      <c r="X395">
        <f>IF($A395="","",IF(SUMIF(FoodLog!$A:$A,$A395,FoodLog!$H:$H)=0,"",SUMIF(FoodLog!$A:$A,$A395,FoodLog!$H:$H)))</f>
        <v/>
      </c>
      <c r="Y395">
        <f>IF($A395="","",IFERROR(ROUND(100*AVERAGE(IF($B395="","",XLOOKUP($B395,FILTER(Dictionaries!$B:$B,Dictionaries!$A:$A="??????????"),FILTER(Dictionaries!$C:$C,Dictionaries!$A:$A="??????????"))),IF($C395="","",MIN($C395/40,1)),IF($D395="","",XLOOKUP($D395,FILTER(Dictionaries!$B:$B,Dictionaries!$A:$A="????"),FILTER(Dictionaries!$C:$C,Dictionaries!$A:$A="????"))),IF($E395="","",MIN($E395/120,1)),IF(OR($F395&lt;&gt;"",$G395&lt;&gt;""),1,""),IF($H395="","",MIN($H395/100,1)),IF($L395="","",XLOOKUP($L395,FILTER(Dictionaries!$B:$B,Dictionaries!$A:$A="???_????"),FILTER(Dictionaries!$C:$C,Dictionaries!$A:$A="???_????"))),IF($M395="","",XLOOKUP($M395,FILTER(Dictionaries!$B:$B,Dictionaries!$A:$A="?????"),FILTER(Dictionaries!$C:$C,Dictionaries!$A:$A="?????"))),IF($N395="","",MIN($N395/100,1)),IF($O395="","",XLOOKUP($O395,FILTER(Dictionaries!$B:$B,Dictionaries!$A:$A="??????????"),FILTER(Dictionaries!$C:$C,Dictionaries!$A:$A="??????????"))),IF($P395="","",XLOOKUP($P395,FILTER(Dictionaries!$B:$B,Dictionaries!$A:$A="???????"),FILTER(Dictionaries!$C:$C,Dictionaries!$A:$A="???????"))),IF($U395="","",LET(t,IF(OR($B395="????",$B395="????"),"train","rest"),k,$U395,p,$V395,f,$W395,c,$X395,k_s,IF(t="train",IF(k="","",IFS(AND(k&gt;=1900,k&lt;=2050),1,AND(k&gt;=1850,k&lt;1900),0.7,AND(k&gt;2050,k&lt;=2100),0.7,TRUE,0.2)),IF(k="","",IFS(AND(k&gt;=1700,k&lt;=1850),1,AND(k&gt;=1650,k&lt;1700),0.7,AND(k&gt;1850,k&lt;=1900),0.7,TRUE,0.2))),p_s,IF(t="train",IF(p="","",IFS(AND(p&gt;=125,p&lt;=135),1,AND(p&gt;=115,p&lt;125),0.7,AND(p&gt;135,p&lt;=145),0.7,AND(p&gt;=105,p&lt;115),0.4,AND(p&gt;145,p&lt;=155),0.4,TRUE,0.2)),IF(p="","",IFS(AND(p&gt;=120,p&lt;=130),1,AND(p&gt;=110,p&lt;120),0.7,AND(p&gt;130,p&lt;=140),0.7,AND(p&gt;=100,p&lt;110),0.4,AND(p&gt;140,p&lt;=150),0.4,TRUE,0.2))),f_s,IF(f="","",IFS(AND(f&gt;=55,f&lt;=65),1,AND(f&gt;=50,f&lt;55),0.7,AND(f&gt;65,f&lt;=70),0.7,AND(f&gt;=45,f&lt;50),0.4,AND(f&gt;70,f&lt;=75),0.4,TRUE,0.2)),c_s,IF(t="train",IF(c="","",IFS(AND(c&gt;=180,c&lt;=210),1,AND(c&gt;=160,c&lt;180),0.7,AND(c&gt;210,c&lt;=230),0.7,AND(c&gt;=140,c&lt;160),0.4,AND(c&gt;230,c&lt;=250),0.4,TRUE,0.2)),IF(c="","",IFS(AND(c&gt;=140,c&lt;=170),1,AND(c&gt;=120,c&lt;140),0.7,AND(c&gt;170,c&lt;=190),0.7,AND(c&gt;=100,c&lt;120),0.4,AND(c&gt;190,c&lt;=210),0.4,TRUE,0.2))),AVERAGE(k_s,p_s,f_s,c_s)))),1),""))</f>
        <v/>
      </c>
      <c r="Z395">
        <f>IF($A395="","",TEXTJOIN(", ",TRUE,IF($B395="","??????????",""),IF($C395="","??????",""),IF($D395="","????",""),IF($E395="","??????????",""),IF($F395="","???-?????",""),IF($G395="","???-????",""),IF($H395="","??????",""),IF($L395="","???",""),IF($M395="","?????",""),IF($N395="","??????????????",""),IF($O395="","??????????",""),IF($P395="","???????",""),IF($U395="","???","")))</f>
        <v/>
      </c>
    </row>
    <row r="396">
      <c r="U396">
        <f>IF($A396="","",IF(SUMIF(FoodLog!$A:$A,$A396,FoodLog!$I:$I)=0,"",SUMIF(FoodLog!$A:$A,$A396,FoodLog!$I:$I)))</f>
        <v/>
      </c>
      <c r="V396">
        <f>IF($A396="","",IF(SUMIF(FoodLog!$A:$A,$A396,FoodLog!$F:$F)=0,"",SUMIF(FoodLog!$A:$A,$A396,FoodLog!$F:$F)))</f>
        <v/>
      </c>
      <c r="W396">
        <f>IF($A396="","",IF(SUMIF(FoodLog!$A:$A,$A396,FoodLog!$G:$G)=0,"",SUMIF(FoodLog!$A:$A,$A396,FoodLog!$G:$G)))</f>
        <v/>
      </c>
      <c r="X396">
        <f>IF($A396="","",IF(SUMIF(FoodLog!$A:$A,$A396,FoodLog!$H:$H)=0,"",SUMIF(FoodLog!$A:$A,$A396,FoodLog!$H:$H)))</f>
        <v/>
      </c>
      <c r="Y396">
        <f>IF($A396="","",IFERROR(ROUND(100*AVERAGE(IF($B396="","",XLOOKUP($B396,FILTER(Dictionaries!$B:$B,Dictionaries!$A:$A="??????????"),FILTER(Dictionaries!$C:$C,Dictionaries!$A:$A="??????????"))),IF($C396="","",MIN($C396/40,1)),IF($D396="","",XLOOKUP($D396,FILTER(Dictionaries!$B:$B,Dictionaries!$A:$A="????"),FILTER(Dictionaries!$C:$C,Dictionaries!$A:$A="????"))),IF($E396="","",MIN($E396/120,1)),IF(OR($F396&lt;&gt;"",$G396&lt;&gt;""),1,""),IF($H396="","",MIN($H396/100,1)),IF($L396="","",XLOOKUP($L396,FILTER(Dictionaries!$B:$B,Dictionaries!$A:$A="???_????"),FILTER(Dictionaries!$C:$C,Dictionaries!$A:$A="???_????"))),IF($M396="","",XLOOKUP($M396,FILTER(Dictionaries!$B:$B,Dictionaries!$A:$A="?????"),FILTER(Dictionaries!$C:$C,Dictionaries!$A:$A="?????"))),IF($N396="","",MIN($N396/100,1)),IF($O396="","",XLOOKUP($O396,FILTER(Dictionaries!$B:$B,Dictionaries!$A:$A="??????????"),FILTER(Dictionaries!$C:$C,Dictionaries!$A:$A="??????????"))),IF($P396="","",XLOOKUP($P396,FILTER(Dictionaries!$B:$B,Dictionaries!$A:$A="???????"),FILTER(Dictionaries!$C:$C,Dictionaries!$A:$A="???????"))),IF($U396="","",LET(t,IF(OR($B396="????",$B396="????"),"train","rest"),k,$U396,p,$V396,f,$W396,c,$X396,k_s,IF(t="train",IF(k="","",IFS(AND(k&gt;=1900,k&lt;=2050),1,AND(k&gt;=1850,k&lt;1900),0.7,AND(k&gt;2050,k&lt;=2100),0.7,TRUE,0.2)),IF(k="","",IFS(AND(k&gt;=1700,k&lt;=1850),1,AND(k&gt;=1650,k&lt;1700),0.7,AND(k&gt;1850,k&lt;=1900),0.7,TRUE,0.2))),p_s,IF(t="train",IF(p="","",IFS(AND(p&gt;=125,p&lt;=135),1,AND(p&gt;=115,p&lt;125),0.7,AND(p&gt;135,p&lt;=145),0.7,AND(p&gt;=105,p&lt;115),0.4,AND(p&gt;145,p&lt;=155),0.4,TRUE,0.2)),IF(p="","",IFS(AND(p&gt;=120,p&lt;=130),1,AND(p&gt;=110,p&lt;120),0.7,AND(p&gt;130,p&lt;=140),0.7,AND(p&gt;=100,p&lt;110),0.4,AND(p&gt;140,p&lt;=150),0.4,TRUE,0.2))),f_s,IF(f="","",IFS(AND(f&gt;=55,f&lt;=65),1,AND(f&gt;=50,f&lt;55),0.7,AND(f&gt;65,f&lt;=70),0.7,AND(f&gt;=45,f&lt;50),0.4,AND(f&gt;70,f&lt;=75),0.4,TRUE,0.2)),c_s,IF(t="train",IF(c="","",IFS(AND(c&gt;=180,c&lt;=210),1,AND(c&gt;=160,c&lt;180),0.7,AND(c&gt;210,c&lt;=230),0.7,AND(c&gt;=140,c&lt;160),0.4,AND(c&gt;230,c&lt;=250),0.4,TRUE,0.2)),IF(c="","",IFS(AND(c&gt;=140,c&lt;=170),1,AND(c&gt;=120,c&lt;140),0.7,AND(c&gt;170,c&lt;=190),0.7,AND(c&gt;=100,c&lt;120),0.4,AND(c&gt;190,c&lt;=210),0.4,TRUE,0.2))),AVERAGE(k_s,p_s,f_s,c_s)))),1),""))</f>
        <v/>
      </c>
      <c r="Z396">
        <f>IF($A396="","",TEXTJOIN(", ",TRUE,IF($B396="","??????????",""),IF($C396="","??????",""),IF($D396="","????",""),IF($E396="","??????????",""),IF($F396="","???-?????",""),IF($G396="","???-????",""),IF($H396="","??????",""),IF($L396="","???",""),IF($M396="","?????",""),IF($N396="","??????????????",""),IF($O396="","??????????",""),IF($P396="","???????",""),IF($U396="","???","")))</f>
        <v/>
      </c>
    </row>
    <row r="397">
      <c r="U397">
        <f>IF($A397="","",IF(SUMIF(FoodLog!$A:$A,$A397,FoodLog!$I:$I)=0,"",SUMIF(FoodLog!$A:$A,$A397,FoodLog!$I:$I)))</f>
        <v/>
      </c>
      <c r="V397">
        <f>IF($A397="","",IF(SUMIF(FoodLog!$A:$A,$A397,FoodLog!$F:$F)=0,"",SUMIF(FoodLog!$A:$A,$A397,FoodLog!$F:$F)))</f>
        <v/>
      </c>
      <c r="W397">
        <f>IF($A397="","",IF(SUMIF(FoodLog!$A:$A,$A397,FoodLog!$G:$G)=0,"",SUMIF(FoodLog!$A:$A,$A397,FoodLog!$G:$G)))</f>
        <v/>
      </c>
      <c r="X397">
        <f>IF($A397="","",IF(SUMIF(FoodLog!$A:$A,$A397,FoodLog!$H:$H)=0,"",SUMIF(FoodLog!$A:$A,$A397,FoodLog!$H:$H)))</f>
        <v/>
      </c>
      <c r="Y397">
        <f>IF($A397="","",IFERROR(ROUND(100*AVERAGE(IF($B397="","",XLOOKUP($B397,FILTER(Dictionaries!$B:$B,Dictionaries!$A:$A="??????????"),FILTER(Dictionaries!$C:$C,Dictionaries!$A:$A="??????????"))),IF($C397="","",MIN($C397/40,1)),IF($D397="","",XLOOKUP($D397,FILTER(Dictionaries!$B:$B,Dictionaries!$A:$A="????"),FILTER(Dictionaries!$C:$C,Dictionaries!$A:$A="????"))),IF($E397="","",MIN($E397/120,1)),IF(OR($F397&lt;&gt;"",$G397&lt;&gt;""),1,""),IF($H397="","",MIN($H397/100,1)),IF($L397="","",XLOOKUP($L397,FILTER(Dictionaries!$B:$B,Dictionaries!$A:$A="???_????"),FILTER(Dictionaries!$C:$C,Dictionaries!$A:$A="???_????"))),IF($M397="","",XLOOKUP($M397,FILTER(Dictionaries!$B:$B,Dictionaries!$A:$A="?????"),FILTER(Dictionaries!$C:$C,Dictionaries!$A:$A="?????"))),IF($N397="","",MIN($N397/100,1)),IF($O397="","",XLOOKUP($O397,FILTER(Dictionaries!$B:$B,Dictionaries!$A:$A="??????????"),FILTER(Dictionaries!$C:$C,Dictionaries!$A:$A="??????????"))),IF($P397="","",XLOOKUP($P397,FILTER(Dictionaries!$B:$B,Dictionaries!$A:$A="???????"),FILTER(Dictionaries!$C:$C,Dictionaries!$A:$A="???????"))),IF($U397="","",LET(t,IF(OR($B397="????",$B397="????"),"train","rest"),k,$U397,p,$V397,f,$W397,c,$X397,k_s,IF(t="train",IF(k="","",IFS(AND(k&gt;=1900,k&lt;=2050),1,AND(k&gt;=1850,k&lt;1900),0.7,AND(k&gt;2050,k&lt;=2100),0.7,TRUE,0.2)),IF(k="","",IFS(AND(k&gt;=1700,k&lt;=1850),1,AND(k&gt;=1650,k&lt;1700),0.7,AND(k&gt;1850,k&lt;=1900),0.7,TRUE,0.2))),p_s,IF(t="train",IF(p="","",IFS(AND(p&gt;=125,p&lt;=135),1,AND(p&gt;=115,p&lt;125),0.7,AND(p&gt;135,p&lt;=145),0.7,AND(p&gt;=105,p&lt;115),0.4,AND(p&gt;145,p&lt;=155),0.4,TRUE,0.2)),IF(p="","",IFS(AND(p&gt;=120,p&lt;=130),1,AND(p&gt;=110,p&lt;120),0.7,AND(p&gt;130,p&lt;=140),0.7,AND(p&gt;=100,p&lt;110),0.4,AND(p&gt;140,p&lt;=150),0.4,TRUE,0.2))),f_s,IF(f="","",IFS(AND(f&gt;=55,f&lt;=65),1,AND(f&gt;=50,f&lt;55),0.7,AND(f&gt;65,f&lt;=70),0.7,AND(f&gt;=45,f&lt;50),0.4,AND(f&gt;70,f&lt;=75),0.4,TRUE,0.2)),c_s,IF(t="train",IF(c="","",IFS(AND(c&gt;=180,c&lt;=210),1,AND(c&gt;=160,c&lt;180),0.7,AND(c&gt;210,c&lt;=230),0.7,AND(c&gt;=140,c&lt;160),0.4,AND(c&gt;230,c&lt;=250),0.4,TRUE,0.2)),IF(c="","",IFS(AND(c&gt;=140,c&lt;=170),1,AND(c&gt;=120,c&lt;140),0.7,AND(c&gt;170,c&lt;=190),0.7,AND(c&gt;=100,c&lt;120),0.4,AND(c&gt;190,c&lt;=210),0.4,TRUE,0.2))),AVERAGE(k_s,p_s,f_s,c_s)))),1),""))</f>
        <v/>
      </c>
      <c r="Z397">
        <f>IF($A397="","",TEXTJOIN(", ",TRUE,IF($B397="","??????????",""),IF($C397="","??????",""),IF($D397="","????",""),IF($E397="","??????????",""),IF($F397="","???-?????",""),IF($G397="","???-????",""),IF($H397="","??????",""),IF($L397="","???",""),IF($M397="","?????",""),IF($N397="","??????????????",""),IF($O397="","??????????",""),IF($P397="","???????",""),IF($U397="","???","")))</f>
        <v/>
      </c>
    </row>
    <row r="398">
      <c r="U398">
        <f>IF($A398="","",IF(SUMIF(FoodLog!$A:$A,$A398,FoodLog!$I:$I)=0,"",SUMIF(FoodLog!$A:$A,$A398,FoodLog!$I:$I)))</f>
        <v/>
      </c>
      <c r="V398">
        <f>IF($A398="","",IF(SUMIF(FoodLog!$A:$A,$A398,FoodLog!$F:$F)=0,"",SUMIF(FoodLog!$A:$A,$A398,FoodLog!$F:$F)))</f>
        <v/>
      </c>
      <c r="W398">
        <f>IF($A398="","",IF(SUMIF(FoodLog!$A:$A,$A398,FoodLog!$G:$G)=0,"",SUMIF(FoodLog!$A:$A,$A398,FoodLog!$G:$G)))</f>
        <v/>
      </c>
      <c r="X398">
        <f>IF($A398="","",IF(SUMIF(FoodLog!$A:$A,$A398,FoodLog!$H:$H)=0,"",SUMIF(FoodLog!$A:$A,$A398,FoodLog!$H:$H)))</f>
        <v/>
      </c>
      <c r="Y398">
        <f>IF($A398="","",IFERROR(ROUND(100*AVERAGE(IF($B398="","",XLOOKUP($B398,FILTER(Dictionaries!$B:$B,Dictionaries!$A:$A="??????????"),FILTER(Dictionaries!$C:$C,Dictionaries!$A:$A="??????????"))),IF($C398="","",MIN($C398/40,1)),IF($D398="","",XLOOKUP($D398,FILTER(Dictionaries!$B:$B,Dictionaries!$A:$A="????"),FILTER(Dictionaries!$C:$C,Dictionaries!$A:$A="????"))),IF($E398="","",MIN($E398/120,1)),IF(OR($F398&lt;&gt;"",$G398&lt;&gt;""),1,""),IF($H398="","",MIN($H398/100,1)),IF($L398="","",XLOOKUP($L398,FILTER(Dictionaries!$B:$B,Dictionaries!$A:$A="???_????"),FILTER(Dictionaries!$C:$C,Dictionaries!$A:$A="???_????"))),IF($M398="","",XLOOKUP($M398,FILTER(Dictionaries!$B:$B,Dictionaries!$A:$A="?????"),FILTER(Dictionaries!$C:$C,Dictionaries!$A:$A="?????"))),IF($N398="","",MIN($N398/100,1)),IF($O398="","",XLOOKUP($O398,FILTER(Dictionaries!$B:$B,Dictionaries!$A:$A="??????????"),FILTER(Dictionaries!$C:$C,Dictionaries!$A:$A="??????????"))),IF($P398="","",XLOOKUP($P398,FILTER(Dictionaries!$B:$B,Dictionaries!$A:$A="???????"),FILTER(Dictionaries!$C:$C,Dictionaries!$A:$A="???????"))),IF($U398="","",LET(t,IF(OR($B398="????",$B398="????"),"train","rest"),k,$U398,p,$V398,f,$W398,c,$X398,k_s,IF(t="train",IF(k="","",IFS(AND(k&gt;=1900,k&lt;=2050),1,AND(k&gt;=1850,k&lt;1900),0.7,AND(k&gt;2050,k&lt;=2100),0.7,TRUE,0.2)),IF(k="","",IFS(AND(k&gt;=1700,k&lt;=1850),1,AND(k&gt;=1650,k&lt;1700),0.7,AND(k&gt;1850,k&lt;=1900),0.7,TRUE,0.2))),p_s,IF(t="train",IF(p="","",IFS(AND(p&gt;=125,p&lt;=135),1,AND(p&gt;=115,p&lt;125),0.7,AND(p&gt;135,p&lt;=145),0.7,AND(p&gt;=105,p&lt;115),0.4,AND(p&gt;145,p&lt;=155),0.4,TRUE,0.2)),IF(p="","",IFS(AND(p&gt;=120,p&lt;=130),1,AND(p&gt;=110,p&lt;120),0.7,AND(p&gt;130,p&lt;=140),0.7,AND(p&gt;=100,p&lt;110),0.4,AND(p&gt;140,p&lt;=150),0.4,TRUE,0.2))),f_s,IF(f="","",IFS(AND(f&gt;=55,f&lt;=65),1,AND(f&gt;=50,f&lt;55),0.7,AND(f&gt;65,f&lt;=70),0.7,AND(f&gt;=45,f&lt;50),0.4,AND(f&gt;70,f&lt;=75),0.4,TRUE,0.2)),c_s,IF(t="train",IF(c="","",IFS(AND(c&gt;=180,c&lt;=210),1,AND(c&gt;=160,c&lt;180),0.7,AND(c&gt;210,c&lt;=230),0.7,AND(c&gt;=140,c&lt;160),0.4,AND(c&gt;230,c&lt;=250),0.4,TRUE,0.2)),IF(c="","",IFS(AND(c&gt;=140,c&lt;=170),1,AND(c&gt;=120,c&lt;140),0.7,AND(c&gt;170,c&lt;=190),0.7,AND(c&gt;=100,c&lt;120),0.4,AND(c&gt;190,c&lt;=210),0.4,TRUE,0.2))),AVERAGE(k_s,p_s,f_s,c_s)))),1),""))</f>
        <v/>
      </c>
      <c r="Z398">
        <f>IF($A398="","",TEXTJOIN(", ",TRUE,IF($B398="","??????????",""),IF($C398="","??????",""),IF($D398="","????",""),IF($E398="","??????????",""),IF($F398="","???-?????",""),IF($G398="","???-????",""),IF($H398="","??????",""),IF($L398="","???",""),IF($M398="","?????",""),IF($N398="","??????????????",""),IF($O398="","??????????",""),IF($P398="","???????",""),IF($U398="","???","")))</f>
        <v/>
      </c>
    </row>
    <row r="399">
      <c r="U399">
        <f>IF($A399="","",IF(SUMIF(FoodLog!$A:$A,$A399,FoodLog!$I:$I)=0,"",SUMIF(FoodLog!$A:$A,$A399,FoodLog!$I:$I)))</f>
        <v/>
      </c>
      <c r="V399">
        <f>IF($A399="","",IF(SUMIF(FoodLog!$A:$A,$A399,FoodLog!$F:$F)=0,"",SUMIF(FoodLog!$A:$A,$A399,FoodLog!$F:$F)))</f>
        <v/>
      </c>
      <c r="W399">
        <f>IF($A399="","",IF(SUMIF(FoodLog!$A:$A,$A399,FoodLog!$G:$G)=0,"",SUMIF(FoodLog!$A:$A,$A399,FoodLog!$G:$G)))</f>
        <v/>
      </c>
      <c r="X399">
        <f>IF($A399="","",IF(SUMIF(FoodLog!$A:$A,$A399,FoodLog!$H:$H)=0,"",SUMIF(FoodLog!$A:$A,$A399,FoodLog!$H:$H)))</f>
        <v/>
      </c>
      <c r="Y399">
        <f>IF($A399="","",IFERROR(ROUND(100*AVERAGE(IF($B399="","",XLOOKUP($B399,FILTER(Dictionaries!$B:$B,Dictionaries!$A:$A="??????????"),FILTER(Dictionaries!$C:$C,Dictionaries!$A:$A="??????????"))),IF($C399="","",MIN($C399/40,1)),IF($D399="","",XLOOKUP($D399,FILTER(Dictionaries!$B:$B,Dictionaries!$A:$A="????"),FILTER(Dictionaries!$C:$C,Dictionaries!$A:$A="????"))),IF($E399="","",MIN($E399/120,1)),IF(OR($F399&lt;&gt;"",$G399&lt;&gt;""),1,""),IF($H399="","",MIN($H399/100,1)),IF($L399="","",XLOOKUP($L399,FILTER(Dictionaries!$B:$B,Dictionaries!$A:$A="???_????"),FILTER(Dictionaries!$C:$C,Dictionaries!$A:$A="???_????"))),IF($M399="","",XLOOKUP($M399,FILTER(Dictionaries!$B:$B,Dictionaries!$A:$A="?????"),FILTER(Dictionaries!$C:$C,Dictionaries!$A:$A="?????"))),IF($N399="","",MIN($N399/100,1)),IF($O399="","",XLOOKUP($O399,FILTER(Dictionaries!$B:$B,Dictionaries!$A:$A="??????????"),FILTER(Dictionaries!$C:$C,Dictionaries!$A:$A="??????????"))),IF($P399="","",XLOOKUP($P399,FILTER(Dictionaries!$B:$B,Dictionaries!$A:$A="???????"),FILTER(Dictionaries!$C:$C,Dictionaries!$A:$A="???????"))),IF($U399="","",LET(t,IF(OR($B399="????",$B399="????"),"train","rest"),k,$U399,p,$V399,f,$W399,c,$X399,k_s,IF(t="train",IF(k="","",IFS(AND(k&gt;=1900,k&lt;=2050),1,AND(k&gt;=1850,k&lt;1900),0.7,AND(k&gt;2050,k&lt;=2100),0.7,TRUE,0.2)),IF(k="","",IFS(AND(k&gt;=1700,k&lt;=1850),1,AND(k&gt;=1650,k&lt;1700),0.7,AND(k&gt;1850,k&lt;=1900),0.7,TRUE,0.2))),p_s,IF(t="train",IF(p="","",IFS(AND(p&gt;=125,p&lt;=135),1,AND(p&gt;=115,p&lt;125),0.7,AND(p&gt;135,p&lt;=145),0.7,AND(p&gt;=105,p&lt;115),0.4,AND(p&gt;145,p&lt;=155),0.4,TRUE,0.2)),IF(p="","",IFS(AND(p&gt;=120,p&lt;=130),1,AND(p&gt;=110,p&lt;120),0.7,AND(p&gt;130,p&lt;=140),0.7,AND(p&gt;=100,p&lt;110),0.4,AND(p&gt;140,p&lt;=150),0.4,TRUE,0.2))),f_s,IF(f="","",IFS(AND(f&gt;=55,f&lt;=65),1,AND(f&gt;=50,f&lt;55),0.7,AND(f&gt;65,f&lt;=70),0.7,AND(f&gt;=45,f&lt;50),0.4,AND(f&gt;70,f&lt;=75),0.4,TRUE,0.2)),c_s,IF(t="train",IF(c="","",IFS(AND(c&gt;=180,c&lt;=210),1,AND(c&gt;=160,c&lt;180),0.7,AND(c&gt;210,c&lt;=230),0.7,AND(c&gt;=140,c&lt;160),0.4,AND(c&gt;230,c&lt;=250),0.4,TRUE,0.2)),IF(c="","",IFS(AND(c&gt;=140,c&lt;=170),1,AND(c&gt;=120,c&lt;140),0.7,AND(c&gt;170,c&lt;=190),0.7,AND(c&gt;=100,c&lt;120),0.4,AND(c&gt;190,c&lt;=210),0.4,TRUE,0.2))),AVERAGE(k_s,p_s,f_s,c_s)))),1),""))</f>
        <v/>
      </c>
      <c r="Z399">
        <f>IF($A399="","",TEXTJOIN(", ",TRUE,IF($B399="","??????????",""),IF($C399="","??????",""),IF($D399="","????",""),IF($E399="","??????????",""),IF($F399="","???-?????",""),IF($G399="","???-????",""),IF($H399="","??????",""),IF($L399="","???",""),IF($M399="","?????",""),IF($N399="","??????????????",""),IF($O399="","??????????",""),IF($P399="","???????",""),IF($U399="","???","")))</f>
        <v/>
      </c>
    </row>
    <row r="400">
      <c r="U400">
        <f>IF($A400="","",IF(SUMIF(FoodLog!$A:$A,$A400,FoodLog!$I:$I)=0,"",SUMIF(FoodLog!$A:$A,$A400,FoodLog!$I:$I)))</f>
        <v/>
      </c>
      <c r="V400">
        <f>IF($A400="","",IF(SUMIF(FoodLog!$A:$A,$A400,FoodLog!$F:$F)=0,"",SUMIF(FoodLog!$A:$A,$A400,FoodLog!$F:$F)))</f>
        <v/>
      </c>
      <c r="W400">
        <f>IF($A400="","",IF(SUMIF(FoodLog!$A:$A,$A400,FoodLog!$G:$G)=0,"",SUMIF(FoodLog!$A:$A,$A400,FoodLog!$G:$G)))</f>
        <v/>
      </c>
      <c r="X400">
        <f>IF($A400="","",IF(SUMIF(FoodLog!$A:$A,$A400,FoodLog!$H:$H)=0,"",SUMIF(FoodLog!$A:$A,$A400,FoodLog!$H:$H)))</f>
        <v/>
      </c>
      <c r="Y400">
        <f>IF($A400="","",IFERROR(ROUND(100*AVERAGE(IF($B400="","",XLOOKUP($B400,FILTER(Dictionaries!$B:$B,Dictionaries!$A:$A="??????????"),FILTER(Dictionaries!$C:$C,Dictionaries!$A:$A="??????????"))),IF($C400="","",MIN($C400/40,1)),IF($D400="","",XLOOKUP($D400,FILTER(Dictionaries!$B:$B,Dictionaries!$A:$A="????"),FILTER(Dictionaries!$C:$C,Dictionaries!$A:$A="????"))),IF($E400="","",MIN($E400/120,1)),IF(OR($F400&lt;&gt;"",$G400&lt;&gt;""),1,""),IF($H400="","",MIN($H400/100,1)),IF($L400="","",XLOOKUP($L400,FILTER(Dictionaries!$B:$B,Dictionaries!$A:$A="???_????"),FILTER(Dictionaries!$C:$C,Dictionaries!$A:$A="???_????"))),IF($M400="","",XLOOKUP($M400,FILTER(Dictionaries!$B:$B,Dictionaries!$A:$A="?????"),FILTER(Dictionaries!$C:$C,Dictionaries!$A:$A="?????"))),IF($N400="","",MIN($N400/100,1)),IF($O400="","",XLOOKUP($O400,FILTER(Dictionaries!$B:$B,Dictionaries!$A:$A="??????????"),FILTER(Dictionaries!$C:$C,Dictionaries!$A:$A="??????????"))),IF($P400="","",XLOOKUP($P400,FILTER(Dictionaries!$B:$B,Dictionaries!$A:$A="???????"),FILTER(Dictionaries!$C:$C,Dictionaries!$A:$A="???????"))),IF($U400="","",LET(t,IF(OR($B400="????",$B400="????"),"train","rest"),k,$U400,p,$V400,f,$W400,c,$X400,k_s,IF(t="train",IF(k="","",IFS(AND(k&gt;=1900,k&lt;=2050),1,AND(k&gt;=1850,k&lt;1900),0.7,AND(k&gt;2050,k&lt;=2100),0.7,TRUE,0.2)),IF(k="","",IFS(AND(k&gt;=1700,k&lt;=1850),1,AND(k&gt;=1650,k&lt;1700),0.7,AND(k&gt;1850,k&lt;=1900),0.7,TRUE,0.2))),p_s,IF(t="train",IF(p="","",IFS(AND(p&gt;=125,p&lt;=135),1,AND(p&gt;=115,p&lt;125),0.7,AND(p&gt;135,p&lt;=145),0.7,AND(p&gt;=105,p&lt;115),0.4,AND(p&gt;145,p&lt;=155),0.4,TRUE,0.2)),IF(p="","",IFS(AND(p&gt;=120,p&lt;=130),1,AND(p&gt;=110,p&lt;120),0.7,AND(p&gt;130,p&lt;=140),0.7,AND(p&gt;=100,p&lt;110),0.4,AND(p&gt;140,p&lt;=150),0.4,TRUE,0.2))),f_s,IF(f="","",IFS(AND(f&gt;=55,f&lt;=65),1,AND(f&gt;=50,f&lt;55),0.7,AND(f&gt;65,f&lt;=70),0.7,AND(f&gt;=45,f&lt;50),0.4,AND(f&gt;70,f&lt;=75),0.4,TRUE,0.2)),c_s,IF(t="train",IF(c="","",IFS(AND(c&gt;=180,c&lt;=210),1,AND(c&gt;=160,c&lt;180),0.7,AND(c&gt;210,c&lt;=230),0.7,AND(c&gt;=140,c&lt;160),0.4,AND(c&gt;230,c&lt;=250),0.4,TRUE,0.2)),IF(c="","",IFS(AND(c&gt;=140,c&lt;=170),1,AND(c&gt;=120,c&lt;140),0.7,AND(c&gt;170,c&lt;=190),0.7,AND(c&gt;=100,c&lt;120),0.4,AND(c&gt;190,c&lt;=210),0.4,TRUE,0.2))),AVERAGE(k_s,p_s,f_s,c_s)))),1),""))</f>
        <v/>
      </c>
      <c r="Z400">
        <f>IF($A400="","",TEXTJOIN(", ",TRUE,IF($B400="","??????????",""),IF($C400="","??????",""),IF($D400="","????",""),IF($E400="","??????????",""),IF($F400="","???-?????",""),IF($G400="","???-????",""),IF($H400="","??????",""),IF($L400="","???",""),IF($M400="","?????",""),IF($N400="","??????????????",""),IF($O400="","??????????",""),IF($P400="","???????",""),IF($U400="","???","")))</f>
        <v/>
      </c>
    </row>
  </sheetData>
  <dataValidations count="7">
    <dataValidation sqref="B2:B200" showDropDown="0" showInputMessage="0" showErrorMessage="0" allowBlank="1" type="list">
      <formula1>"Пропустил,Отдых,Ноги,Верх"</formula1>
    </dataValidation>
    <dataValidation sqref="D2:D200" showDropDown="0" showInputMessage="0" showErrorMessage="0" allowBlank="1" type="list">
      <formula1>"&lt;5k,5-7k,7-10k,10-12k,12-15k,15k+"</formula1>
    </dataValidation>
    <dataValidation sqref="E2:E200" showDropDown="0" showInputMessage="0" showErrorMessage="0" allowBlank="1" type="list">
      <formula1>"&lt;6,6-8,&gt;8"</formula1>
    </dataValidation>
    <dataValidation sqref="F2:F200" showDropDown="0" showInputMessage="0" showErrorMessage="0" allowBlank="1" type="list">
      <formula1>"Не сбит,Сбит"</formula1>
    </dataValidation>
    <dataValidation sqref="G2:G200" showDropDown="0" showInputMessage="0" showErrorMessage="0" allowBlank="1" type="list">
      <formula1>"Отличное,Веселый,Обычное,Серьезный,Раздраженный,Беспокойный,Злой"</formula1>
    </dataValidation>
    <dataValidation sqref="H2:H200" showDropDown="0" showInputMessage="0" showErrorMessage="0" allowBlank="1" type="list">
      <formula1>"нет,мало,есть,я живчик"</formula1>
    </dataValidation>
    <dataValidation sqref="I2:I200" showDropDown="0" showInputMessage="0" showErrorMessage="0" allowBlank="1" type="list">
      <formula1>"0%,25%,50%,75%,100%"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0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 ht="22" customHeight="1">
      <c r="A1" s="1" t="inlineStr">
        <is>
          <t>????</t>
        </is>
      </c>
      <c r="B1" s="1" t="inlineStr">
        <is>
          <t>?????</t>
        </is>
      </c>
      <c r="C1" s="1" t="inlineStr">
        <is>
          <t>???_??????</t>
        </is>
      </c>
      <c r="D1" s="1" t="inlineStr">
        <is>
          <t>???-??_??????</t>
        </is>
      </c>
      <c r="E1" s="1" t="inlineStr">
        <is>
          <t>?????_?????</t>
        </is>
      </c>
      <c r="F1" s="1" t="inlineStr">
        <is>
          <t>?????</t>
        </is>
      </c>
      <c r="G1" s="1" t="inlineStr">
        <is>
          <t>????</t>
        </is>
      </c>
      <c r="H1" s="1" t="inlineStr">
        <is>
          <t>????</t>
        </is>
      </c>
      <c r="I1" s="1" t="inlineStr">
        <is>
          <t>????</t>
        </is>
      </c>
      <c r="J1" s="1" t="inlineStr">
        <is>
          <t>???????????</t>
        </is>
      </c>
    </row>
    <row r="2">
      <c r="E2">
        <f>ARRAYFORMULA(IF(C2:C="","",D2:D*XLOOKUP(C2:C,Portions!$A:$A,Portions!$D:$D)))</f>
        <v/>
      </c>
      <c r="F2">
        <f>ARRAYFORMULA(IF(E2:E="","",E2:E/100*XLOOKUP(XLOOKUP(C2:C,Portions!$A:$A,Portions!$B:$B),FoodItems!$A:$A,FoodItems!$B:$B)))</f>
        <v/>
      </c>
      <c r="G2">
        <f>ARRAYFORMULA(IF(E2:E="","",E2:E/100*XLOOKUP(XLOOKUP(C2:C,Portions!$A:$A,Portions!$B:$B),FoodItems!$A:$A,FoodItems!$C:$C)))</f>
        <v/>
      </c>
      <c r="H2">
        <f>ARRAYFORMULA(IF(E2:E="","",E2:E/100*XLOOKUP(XLOOKUP(C2:C,Portions!$A:$A,Portions!$B:$B),FoodItems!$A:$A,FoodItems!$D:$D)))</f>
        <v/>
      </c>
      <c r="I2">
        <f>ARRAYFORMULA(IF(E2:E="","",E2:E/100*XLOOKUP(XLOOKUP(C2:C,Portions!$A:$A,Portions!$B:$B),FoodItems!$A:$A,FoodItems!$E:$E)))</f>
        <v/>
      </c>
    </row>
    <row r="3">
      <c r="E3">
        <f>IF(C3="","",D3*XLOOKUP(C3,Portions!$A:$A,Portions!$D:$D))</f>
        <v/>
      </c>
      <c r="F3">
        <f>IF(E3="","",E3/100*XLOOKUP(XLOOKUP(C3,Portions!$A:$A,Portions!$B:$B),FoodItems!$A:$A,FoodItems!$B:$B))</f>
        <v/>
      </c>
      <c r="G3">
        <f>IF(E3="","",E3/100*XLOOKUP(XLOOKUP(C3,Portions!$A:$A,Portions!$B:$B),FoodItems!$A:$A,FoodItems!$C:$C))</f>
        <v/>
      </c>
      <c r="H3">
        <f>IF(E3="","",E3/100*XLOOKUP(XLOOKUP(C3,Portions!$A:$A,Portions!$B:$B),FoodItems!$A:$A,FoodItems!$D:$D))</f>
        <v/>
      </c>
      <c r="I3">
        <f>IF(E3="","",E3/100*XLOOKUP(XLOOKUP(C3,Portions!$A:$A,Portions!$B:$B),FoodItems!$A:$A,FoodItems!$E:$E))</f>
        <v/>
      </c>
    </row>
    <row r="4">
      <c r="E4">
        <f>IF(C4="","",D4*XLOOKUP(C4,Portions!$A:$A,Portions!$D:$D))</f>
        <v/>
      </c>
      <c r="F4">
        <f>IF(E4="","",E4/100*XLOOKUP(XLOOKUP(C4,Portions!$A:$A,Portions!$B:$B),FoodItems!$A:$A,FoodItems!$B:$B))</f>
        <v/>
      </c>
      <c r="G4">
        <f>IF(E4="","",E4/100*XLOOKUP(XLOOKUP(C4,Portions!$A:$A,Portions!$B:$B),FoodItems!$A:$A,FoodItems!$C:$C))</f>
        <v/>
      </c>
      <c r="H4">
        <f>IF(E4="","",E4/100*XLOOKUP(XLOOKUP(C4,Portions!$A:$A,Portions!$B:$B),FoodItems!$A:$A,FoodItems!$D:$D))</f>
        <v/>
      </c>
      <c r="I4">
        <f>IF(E4="","",E4/100*XLOOKUP(XLOOKUP(C4,Portions!$A:$A,Portions!$B:$B),FoodItems!$A:$A,FoodItems!$E:$E))</f>
        <v/>
      </c>
    </row>
    <row r="5">
      <c r="E5">
        <f>IF(C5="","",D5*XLOOKUP(C5,Portions!$A:$A,Portions!$D:$D))</f>
        <v/>
      </c>
      <c r="F5">
        <f>IF(E5="","",E5/100*XLOOKUP(XLOOKUP(C5,Portions!$A:$A,Portions!$B:$B),FoodItems!$A:$A,FoodItems!$B:$B))</f>
        <v/>
      </c>
      <c r="G5">
        <f>IF(E5="","",E5/100*XLOOKUP(XLOOKUP(C5,Portions!$A:$A,Portions!$B:$B),FoodItems!$A:$A,FoodItems!$C:$C))</f>
        <v/>
      </c>
      <c r="H5">
        <f>IF(E5="","",E5/100*XLOOKUP(XLOOKUP(C5,Portions!$A:$A,Portions!$B:$B),FoodItems!$A:$A,FoodItems!$D:$D))</f>
        <v/>
      </c>
      <c r="I5">
        <f>IF(E5="","",E5/100*XLOOKUP(XLOOKUP(C5,Portions!$A:$A,Portions!$B:$B),FoodItems!$A:$A,FoodItems!$E:$E))</f>
        <v/>
      </c>
    </row>
    <row r="6">
      <c r="E6">
        <f>IF(C6="","",D6*XLOOKUP(C6,Portions!$A:$A,Portions!$D:$D))</f>
        <v/>
      </c>
      <c r="F6">
        <f>IF(E6="","",E6/100*XLOOKUP(XLOOKUP(C6,Portions!$A:$A,Portions!$B:$B),FoodItems!$A:$A,FoodItems!$B:$B))</f>
        <v/>
      </c>
      <c r="G6">
        <f>IF(E6="","",E6/100*XLOOKUP(XLOOKUP(C6,Portions!$A:$A,Portions!$B:$B),FoodItems!$A:$A,FoodItems!$C:$C))</f>
        <v/>
      </c>
      <c r="H6">
        <f>IF(E6="","",E6/100*XLOOKUP(XLOOKUP(C6,Portions!$A:$A,Portions!$B:$B),FoodItems!$A:$A,FoodItems!$D:$D))</f>
        <v/>
      </c>
      <c r="I6">
        <f>IF(E6="","",E6/100*XLOOKUP(XLOOKUP(C6,Portions!$A:$A,Portions!$B:$B),FoodItems!$A:$A,FoodItems!$E:$E))</f>
        <v/>
      </c>
    </row>
    <row r="7">
      <c r="E7">
        <f>IF(C7="","",D7*XLOOKUP(C7,Portions!$A:$A,Portions!$D:$D))</f>
        <v/>
      </c>
      <c r="F7">
        <f>IF(E7="","",E7/100*XLOOKUP(XLOOKUP(C7,Portions!$A:$A,Portions!$B:$B),FoodItems!$A:$A,FoodItems!$B:$B))</f>
        <v/>
      </c>
      <c r="G7">
        <f>IF(E7="","",E7/100*XLOOKUP(XLOOKUP(C7,Portions!$A:$A,Portions!$B:$B),FoodItems!$A:$A,FoodItems!$C:$C))</f>
        <v/>
      </c>
      <c r="H7">
        <f>IF(E7="","",E7/100*XLOOKUP(XLOOKUP(C7,Portions!$A:$A,Portions!$B:$B),FoodItems!$A:$A,FoodItems!$D:$D))</f>
        <v/>
      </c>
      <c r="I7">
        <f>IF(E7="","",E7/100*XLOOKUP(XLOOKUP(C7,Portions!$A:$A,Portions!$B:$B),FoodItems!$A:$A,FoodItems!$E:$E))</f>
        <v/>
      </c>
    </row>
    <row r="8">
      <c r="E8">
        <f>IF(C8="","",D8*XLOOKUP(C8,Portions!$A:$A,Portions!$D:$D))</f>
        <v/>
      </c>
      <c r="F8">
        <f>IF(E8="","",E8/100*XLOOKUP(XLOOKUP(C8,Portions!$A:$A,Portions!$B:$B),FoodItems!$A:$A,FoodItems!$B:$B))</f>
        <v/>
      </c>
      <c r="G8">
        <f>IF(E8="","",E8/100*XLOOKUP(XLOOKUP(C8,Portions!$A:$A,Portions!$B:$B),FoodItems!$A:$A,FoodItems!$C:$C))</f>
        <v/>
      </c>
      <c r="H8">
        <f>IF(E8="","",E8/100*XLOOKUP(XLOOKUP(C8,Portions!$A:$A,Portions!$B:$B),FoodItems!$A:$A,FoodItems!$D:$D))</f>
        <v/>
      </c>
      <c r="I8">
        <f>IF(E8="","",E8/100*XLOOKUP(XLOOKUP(C8,Portions!$A:$A,Portions!$B:$B),FoodItems!$A:$A,FoodItems!$E:$E))</f>
        <v/>
      </c>
    </row>
    <row r="9">
      <c r="E9">
        <f>IF(C9="","",D9*XLOOKUP(C9,Portions!$A:$A,Portions!$D:$D))</f>
        <v/>
      </c>
      <c r="F9">
        <f>IF(E9="","",E9/100*XLOOKUP(XLOOKUP(C9,Portions!$A:$A,Portions!$B:$B),FoodItems!$A:$A,FoodItems!$B:$B))</f>
        <v/>
      </c>
      <c r="G9">
        <f>IF(E9="","",E9/100*XLOOKUP(XLOOKUP(C9,Portions!$A:$A,Portions!$B:$B),FoodItems!$A:$A,FoodItems!$C:$C))</f>
        <v/>
      </c>
      <c r="H9">
        <f>IF(E9="","",E9/100*XLOOKUP(XLOOKUP(C9,Portions!$A:$A,Portions!$B:$B),FoodItems!$A:$A,FoodItems!$D:$D))</f>
        <v/>
      </c>
      <c r="I9">
        <f>IF(E9="","",E9/100*XLOOKUP(XLOOKUP(C9,Portions!$A:$A,Portions!$B:$B),FoodItems!$A:$A,FoodItems!$E:$E))</f>
        <v/>
      </c>
    </row>
    <row r="10">
      <c r="E10">
        <f>IF(C10="","",D10*XLOOKUP(C10,Portions!$A:$A,Portions!$D:$D))</f>
        <v/>
      </c>
      <c r="F10">
        <f>IF(E10="","",E10/100*XLOOKUP(XLOOKUP(C10,Portions!$A:$A,Portions!$B:$B),FoodItems!$A:$A,FoodItems!$B:$B))</f>
        <v/>
      </c>
      <c r="G10">
        <f>IF(E10="","",E10/100*XLOOKUP(XLOOKUP(C10,Portions!$A:$A,Portions!$B:$B),FoodItems!$A:$A,FoodItems!$C:$C))</f>
        <v/>
      </c>
      <c r="H10">
        <f>IF(E10="","",E10/100*XLOOKUP(XLOOKUP(C10,Portions!$A:$A,Portions!$B:$B),FoodItems!$A:$A,FoodItems!$D:$D))</f>
        <v/>
      </c>
      <c r="I10">
        <f>IF(E10="","",E10/100*XLOOKUP(XLOOKUP(C10,Portions!$A:$A,Portions!$B:$B),FoodItems!$A:$A,FoodItems!$E:$E))</f>
        <v/>
      </c>
    </row>
    <row r="11">
      <c r="E11">
        <f>IF(C11="","",D11*XLOOKUP(C11,Portions!$A:$A,Portions!$D:$D))</f>
        <v/>
      </c>
      <c r="F11">
        <f>IF(E11="","",E11/100*XLOOKUP(XLOOKUP(C11,Portions!$A:$A,Portions!$B:$B),FoodItems!$A:$A,FoodItems!$B:$B))</f>
        <v/>
      </c>
      <c r="G11">
        <f>IF(E11="","",E11/100*XLOOKUP(XLOOKUP(C11,Portions!$A:$A,Portions!$B:$B),FoodItems!$A:$A,FoodItems!$C:$C))</f>
        <v/>
      </c>
      <c r="H11">
        <f>IF(E11="","",E11/100*XLOOKUP(XLOOKUP(C11,Portions!$A:$A,Portions!$B:$B),FoodItems!$A:$A,FoodItems!$D:$D))</f>
        <v/>
      </c>
      <c r="I11">
        <f>IF(E11="","",E11/100*XLOOKUP(XLOOKUP(C11,Portions!$A:$A,Portions!$B:$B),FoodItems!$A:$A,FoodItems!$E:$E))</f>
        <v/>
      </c>
    </row>
    <row r="12">
      <c r="E12">
        <f>IF(C12="","",D12*XLOOKUP(C12,Portions!$A:$A,Portions!$D:$D))</f>
        <v/>
      </c>
      <c r="F12">
        <f>IF(E12="","",E12/100*XLOOKUP(XLOOKUP(C12,Portions!$A:$A,Portions!$B:$B),FoodItems!$A:$A,FoodItems!$B:$B))</f>
        <v/>
      </c>
      <c r="G12">
        <f>IF(E12="","",E12/100*XLOOKUP(XLOOKUP(C12,Portions!$A:$A,Portions!$B:$B),FoodItems!$A:$A,FoodItems!$C:$C))</f>
        <v/>
      </c>
      <c r="H12">
        <f>IF(E12="","",E12/100*XLOOKUP(XLOOKUP(C12,Portions!$A:$A,Portions!$B:$B),FoodItems!$A:$A,FoodItems!$D:$D))</f>
        <v/>
      </c>
      <c r="I12">
        <f>IF(E12="","",E12/100*XLOOKUP(XLOOKUP(C12,Portions!$A:$A,Portions!$B:$B),FoodItems!$A:$A,FoodItems!$E:$E))</f>
        <v/>
      </c>
    </row>
    <row r="13">
      <c r="E13">
        <f>IF(C13="","",D13*XLOOKUP(C13,Portions!$A:$A,Portions!$D:$D))</f>
        <v/>
      </c>
      <c r="F13">
        <f>IF(E13="","",E13/100*XLOOKUP(XLOOKUP(C13,Portions!$A:$A,Portions!$B:$B),FoodItems!$A:$A,FoodItems!$B:$B))</f>
        <v/>
      </c>
      <c r="G13">
        <f>IF(E13="","",E13/100*XLOOKUP(XLOOKUP(C13,Portions!$A:$A,Portions!$B:$B),FoodItems!$A:$A,FoodItems!$C:$C))</f>
        <v/>
      </c>
      <c r="H13">
        <f>IF(E13="","",E13/100*XLOOKUP(XLOOKUP(C13,Portions!$A:$A,Portions!$B:$B),FoodItems!$A:$A,FoodItems!$D:$D))</f>
        <v/>
      </c>
      <c r="I13">
        <f>IF(E13="","",E13/100*XLOOKUP(XLOOKUP(C13,Portions!$A:$A,Portions!$B:$B),FoodItems!$A:$A,FoodItems!$E:$E))</f>
        <v/>
      </c>
    </row>
    <row r="14">
      <c r="E14">
        <f>IF(C14="","",D14*XLOOKUP(C14,Portions!$A:$A,Portions!$D:$D))</f>
        <v/>
      </c>
      <c r="F14">
        <f>IF(E14="","",E14/100*XLOOKUP(XLOOKUP(C14,Portions!$A:$A,Portions!$B:$B),FoodItems!$A:$A,FoodItems!$B:$B))</f>
        <v/>
      </c>
      <c r="G14">
        <f>IF(E14="","",E14/100*XLOOKUP(XLOOKUP(C14,Portions!$A:$A,Portions!$B:$B),FoodItems!$A:$A,FoodItems!$C:$C))</f>
        <v/>
      </c>
      <c r="H14">
        <f>IF(E14="","",E14/100*XLOOKUP(XLOOKUP(C14,Portions!$A:$A,Portions!$B:$B),FoodItems!$A:$A,FoodItems!$D:$D))</f>
        <v/>
      </c>
      <c r="I14">
        <f>IF(E14="","",E14/100*XLOOKUP(XLOOKUP(C14,Portions!$A:$A,Portions!$B:$B),FoodItems!$A:$A,FoodItems!$E:$E))</f>
        <v/>
      </c>
    </row>
    <row r="15">
      <c r="E15">
        <f>IF(C15="","",D15*XLOOKUP(C15,Portions!$A:$A,Portions!$D:$D))</f>
        <v/>
      </c>
      <c r="F15">
        <f>IF(E15="","",E15/100*XLOOKUP(XLOOKUP(C15,Portions!$A:$A,Portions!$B:$B),FoodItems!$A:$A,FoodItems!$B:$B))</f>
        <v/>
      </c>
      <c r="G15">
        <f>IF(E15="","",E15/100*XLOOKUP(XLOOKUP(C15,Portions!$A:$A,Portions!$B:$B),FoodItems!$A:$A,FoodItems!$C:$C))</f>
        <v/>
      </c>
      <c r="H15">
        <f>IF(E15="","",E15/100*XLOOKUP(XLOOKUP(C15,Portions!$A:$A,Portions!$B:$B),FoodItems!$A:$A,FoodItems!$D:$D))</f>
        <v/>
      </c>
      <c r="I15">
        <f>IF(E15="","",E15/100*XLOOKUP(XLOOKUP(C15,Portions!$A:$A,Portions!$B:$B),FoodItems!$A:$A,FoodItems!$E:$E))</f>
        <v/>
      </c>
    </row>
    <row r="16">
      <c r="E16">
        <f>IF(C16="","",D16*XLOOKUP(C16,Portions!$A:$A,Portions!$D:$D))</f>
        <v/>
      </c>
      <c r="F16">
        <f>IF(E16="","",E16/100*XLOOKUP(XLOOKUP(C16,Portions!$A:$A,Portions!$B:$B),FoodItems!$A:$A,FoodItems!$B:$B))</f>
        <v/>
      </c>
      <c r="G16">
        <f>IF(E16="","",E16/100*XLOOKUP(XLOOKUP(C16,Portions!$A:$A,Portions!$B:$B),FoodItems!$A:$A,FoodItems!$C:$C))</f>
        <v/>
      </c>
      <c r="H16">
        <f>IF(E16="","",E16/100*XLOOKUP(XLOOKUP(C16,Portions!$A:$A,Portions!$B:$B),FoodItems!$A:$A,FoodItems!$D:$D))</f>
        <v/>
      </c>
      <c r="I16">
        <f>IF(E16="","",E16/100*XLOOKUP(XLOOKUP(C16,Portions!$A:$A,Portions!$B:$B),FoodItems!$A:$A,FoodItems!$E:$E))</f>
        <v/>
      </c>
    </row>
    <row r="17">
      <c r="E17">
        <f>IF(C17="","",D17*XLOOKUP(C17,Portions!$A:$A,Portions!$D:$D))</f>
        <v/>
      </c>
      <c r="F17">
        <f>IF(E17="","",E17/100*XLOOKUP(XLOOKUP(C17,Portions!$A:$A,Portions!$B:$B),FoodItems!$A:$A,FoodItems!$B:$B))</f>
        <v/>
      </c>
      <c r="G17">
        <f>IF(E17="","",E17/100*XLOOKUP(XLOOKUP(C17,Portions!$A:$A,Portions!$B:$B),FoodItems!$A:$A,FoodItems!$C:$C))</f>
        <v/>
      </c>
      <c r="H17">
        <f>IF(E17="","",E17/100*XLOOKUP(XLOOKUP(C17,Portions!$A:$A,Portions!$B:$B),FoodItems!$A:$A,FoodItems!$D:$D))</f>
        <v/>
      </c>
      <c r="I17">
        <f>IF(E17="","",E17/100*XLOOKUP(XLOOKUP(C17,Portions!$A:$A,Portions!$B:$B),FoodItems!$A:$A,FoodItems!$E:$E))</f>
        <v/>
      </c>
    </row>
    <row r="18">
      <c r="E18">
        <f>IF(C18="","",D18*XLOOKUP(C18,Portions!$A:$A,Portions!$D:$D))</f>
        <v/>
      </c>
      <c r="F18">
        <f>IF(E18="","",E18/100*XLOOKUP(XLOOKUP(C18,Portions!$A:$A,Portions!$B:$B),FoodItems!$A:$A,FoodItems!$B:$B))</f>
        <v/>
      </c>
      <c r="G18">
        <f>IF(E18="","",E18/100*XLOOKUP(XLOOKUP(C18,Portions!$A:$A,Portions!$B:$B),FoodItems!$A:$A,FoodItems!$C:$C))</f>
        <v/>
      </c>
      <c r="H18">
        <f>IF(E18="","",E18/100*XLOOKUP(XLOOKUP(C18,Portions!$A:$A,Portions!$B:$B),FoodItems!$A:$A,FoodItems!$D:$D))</f>
        <v/>
      </c>
      <c r="I18">
        <f>IF(E18="","",E18/100*XLOOKUP(XLOOKUP(C18,Portions!$A:$A,Portions!$B:$B),FoodItems!$A:$A,FoodItems!$E:$E))</f>
        <v/>
      </c>
    </row>
    <row r="19">
      <c r="E19">
        <f>IF(C19="","",D19*XLOOKUP(C19,Portions!$A:$A,Portions!$D:$D))</f>
        <v/>
      </c>
      <c r="F19">
        <f>IF(E19="","",E19/100*XLOOKUP(XLOOKUP(C19,Portions!$A:$A,Portions!$B:$B),FoodItems!$A:$A,FoodItems!$B:$B))</f>
        <v/>
      </c>
      <c r="G19">
        <f>IF(E19="","",E19/100*XLOOKUP(XLOOKUP(C19,Portions!$A:$A,Portions!$B:$B),FoodItems!$A:$A,FoodItems!$C:$C))</f>
        <v/>
      </c>
      <c r="H19">
        <f>IF(E19="","",E19/100*XLOOKUP(XLOOKUP(C19,Portions!$A:$A,Portions!$B:$B),FoodItems!$A:$A,FoodItems!$D:$D))</f>
        <v/>
      </c>
      <c r="I19">
        <f>IF(E19="","",E19/100*XLOOKUP(XLOOKUP(C19,Portions!$A:$A,Portions!$B:$B),FoodItems!$A:$A,FoodItems!$E:$E))</f>
        <v/>
      </c>
    </row>
    <row r="20">
      <c r="E20">
        <f>IF(C20="","",D20*XLOOKUP(C20,Portions!$A:$A,Portions!$D:$D))</f>
        <v/>
      </c>
      <c r="F20">
        <f>IF(E20="","",E20/100*XLOOKUP(XLOOKUP(C20,Portions!$A:$A,Portions!$B:$B),FoodItems!$A:$A,FoodItems!$B:$B))</f>
        <v/>
      </c>
      <c r="G20">
        <f>IF(E20="","",E20/100*XLOOKUP(XLOOKUP(C20,Portions!$A:$A,Portions!$B:$B),FoodItems!$A:$A,FoodItems!$C:$C))</f>
        <v/>
      </c>
      <c r="H20">
        <f>IF(E20="","",E20/100*XLOOKUP(XLOOKUP(C20,Portions!$A:$A,Portions!$B:$B),FoodItems!$A:$A,FoodItems!$D:$D))</f>
        <v/>
      </c>
      <c r="I20">
        <f>IF(E20="","",E20/100*XLOOKUP(XLOOKUP(C20,Portions!$A:$A,Portions!$B:$B),FoodItems!$A:$A,FoodItems!$E:$E))</f>
        <v/>
      </c>
    </row>
    <row r="21">
      <c r="E21">
        <f>IF(C21="","",D21*XLOOKUP(C21,Portions!$A:$A,Portions!$D:$D))</f>
        <v/>
      </c>
      <c r="F21">
        <f>IF(E21="","",E21/100*XLOOKUP(XLOOKUP(C21,Portions!$A:$A,Portions!$B:$B),FoodItems!$A:$A,FoodItems!$B:$B))</f>
        <v/>
      </c>
      <c r="G21">
        <f>IF(E21="","",E21/100*XLOOKUP(XLOOKUP(C21,Portions!$A:$A,Portions!$B:$B),FoodItems!$A:$A,FoodItems!$C:$C))</f>
        <v/>
      </c>
      <c r="H21">
        <f>IF(E21="","",E21/100*XLOOKUP(XLOOKUP(C21,Portions!$A:$A,Portions!$B:$B),FoodItems!$A:$A,FoodItems!$D:$D))</f>
        <v/>
      </c>
      <c r="I21">
        <f>IF(E21="","",E21/100*XLOOKUP(XLOOKUP(C21,Portions!$A:$A,Portions!$B:$B),FoodItems!$A:$A,FoodItems!$E:$E))</f>
        <v/>
      </c>
    </row>
    <row r="22">
      <c r="E22">
        <f>IF(C22="","",D22*XLOOKUP(C22,Portions!$A:$A,Portions!$D:$D))</f>
        <v/>
      </c>
      <c r="F22">
        <f>IF(E22="","",E22/100*XLOOKUP(XLOOKUP(C22,Portions!$A:$A,Portions!$B:$B),FoodItems!$A:$A,FoodItems!$B:$B))</f>
        <v/>
      </c>
      <c r="G22">
        <f>IF(E22="","",E22/100*XLOOKUP(XLOOKUP(C22,Portions!$A:$A,Portions!$B:$B),FoodItems!$A:$A,FoodItems!$C:$C))</f>
        <v/>
      </c>
      <c r="H22">
        <f>IF(E22="","",E22/100*XLOOKUP(XLOOKUP(C22,Portions!$A:$A,Portions!$B:$B),FoodItems!$A:$A,FoodItems!$D:$D))</f>
        <v/>
      </c>
      <c r="I22">
        <f>IF(E22="","",E22/100*XLOOKUP(XLOOKUP(C22,Portions!$A:$A,Portions!$B:$B),FoodItems!$A:$A,FoodItems!$E:$E))</f>
        <v/>
      </c>
    </row>
    <row r="23">
      <c r="E23">
        <f>IF(C23="","",D23*XLOOKUP(C23,Portions!$A:$A,Portions!$D:$D))</f>
        <v/>
      </c>
      <c r="F23">
        <f>IF(E23="","",E23/100*XLOOKUP(XLOOKUP(C23,Portions!$A:$A,Portions!$B:$B),FoodItems!$A:$A,FoodItems!$B:$B))</f>
        <v/>
      </c>
      <c r="G23">
        <f>IF(E23="","",E23/100*XLOOKUP(XLOOKUP(C23,Portions!$A:$A,Portions!$B:$B),FoodItems!$A:$A,FoodItems!$C:$C))</f>
        <v/>
      </c>
      <c r="H23">
        <f>IF(E23="","",E23/100*XLOOKUP(XLOOKUP(C23,Portions!$A:$A,Portions!$B:$B),FoodItems!$A:$A,FoodItems!$D:$D))</f>
        <v/>
      </c>
      <c r="I23">
        <f>IF(E23="","",E23/100*XLOOKUP(XLOOKUP(C23,Portions!$A:$A,Portions!$B:$B),FoodItems!$A:$A,FoodItems!$E:$E))</f>
        <v/>
      </c>
    </row>
    <row r="24">
      <c r="E24">
        <f>IF(C24="","",D24*XLOOKUP(C24,Portions!$A:$A,Portions!$D:$D))</f>
        <v/>
      </c>
      <c r="F24">
        <f>IF(E24="","",E24/100*XLOOKUP(XLOOKUP(C24,Portions!$A:$A,Portions!$B:$B),FoodItems!$A:$A,FoodItems!$B:$B))</f>
        <v/>
      </c>
      <c r="G24">
        <f>IF(E24="","",E24/100*XLOOKUP(XLOOKUP(C24,Portions!$A:$A,Portions!$B:$B),FoodItems!$A:$A,FoodItems!$C:$C))</f>
        <v/>
      </c>
      <c r="H24">
        <f>IF(E24="","",E24/100*XLOOKUP(XLOOKUP(C24,Portions!$A:$A,Portions!$B:$B),FoodItems!$A:$A,FoodItems!$D:$D))</f>
        <v/>
      </c>
      <c r="I24">
        <f>IF(E24="","",E24/100*XLOOKUP(XLOOKUP(C24,Portions!$A:$A,Portions!$B:$B),FoodItems!$A:$A,FoodItems!$E:$E))</f>
        <v/>
      </c>
    </row>
    <row r="25">
      <c r="E25">
        <f>IF(C25="","",D25*XLOOKUP(C25,Portions!$A:$A,Portions!$D:$D))</f>
        <v/>
      </c>
      <c r="F25">
        <f>IF(E25="","",E25/100*XLOOKUP(XLOOKUP(C25,Portions!$A:$A,Portions!$B:$B),FoodItems!$A:$A,FoodItems!$B:$B))</f>
        <v/>
      </c>
      <c r="G25">
        <f>IF(E25="","",E25/100*XLOOKUP(XLOOKUP(C25,Portions!$A:$A,Portions!$B:$B),FoodItems!$A:$A,FoodItems!$C:$C))</f>
        <v/>
      </c>
      <c r="H25">
        <f>IF(E25="","",E25/100*XLOOKUP(XLOOKUP(C25,Portions!$A:$A,Portions!$B:$B),FoodItems!$A:$A,FoodItems!$D:$D))</f>
        <v/>
      </c>
      <c r="I25">
        <f>IF(E25="","",E25/100*XLOOKUP(XLOOKUP(C25,Portions!$A:$A,Portions!$B:$B),FoodItems!$A:$A,FoodItems!$E:$E))</f>
        <v/>
      </c>
    </row>
    <row r="26">
      <c r="E26">
        <f>IF(C26="","",D26*XLOOKUP(C26,Portions!$A:$A,Portions!$D:$D))</f>
        <v/>
      </c>
      <c r="F26">
        <f>IF(E26="","",E26/100*XLOOKUP(XLOOKUP(C26,Portions!$A:$A,Portions!$B:$B),FoodItems!$A:$A,FoodItems!$B:$B))</f>
        <v/>
      </c>
      <c r="G26">
        <f>IF(E26="","",E26/100*XLOOKUP(XLOOKUP(C26,Portions!$A:$A,Portions!$B:$B),FoodItems!$A:$A,FoodItems!$C:$C))</f>
        <v/>
      </c>
      <c r="H26">
        <f>IF(E26="","",E26/100*XLOOKUP(XLOOKUP(C26,Portions!$A:$A,Portions!$B:$B),FoodItems!$A:$A,FoodItems!$D:$D))</f>
        <v/>
      </c>
      <c r="I26">
        <f>IF(E26="","",E26/100*XLOOKUP(XLOOKUP(C26,Portions!$A:$A,Portions!$B:$B),FoodItems!$A:$A,FoodItems!$E:$E))</f>
        <v/>
      </c>
    </row>
    <row r="27">
      <c r="E27">
        <f>IF(C27="","",D27*XLOOKUP(C27,Portions!$A:$A,Portions!$D:$D))</f>
        <v/>
      </c>
      <c r="F27">
        <f>IF(E27="","",E27/100*XLOOKUP(XLOOKUP(C27,Portions!$A:$A,Portions!$B:$B),FoodItems!$A:$A,FoodItems!$B:$B))</f>
        <v/>
      </c>
      <c r="G27">
        <f>IF(E27="","",E27/100*XLOOKUP(XLOOKUP(C27,Portions!$A:$A,Portions!$B:$B),FoodItems!$A:$A,FoodItems!$C:$C))</f>
        <v/>
      </c>
      <c r="H27">
        <f>IF(E27="","",E27/100*XLOOKUP(XLOOKUP(C27,Portions!$A:$A,Portions!$B:$B),FoodItems!$A:$A,FoodItems!$D:$D))</f>
        <v/>
      </c>
      <c r="I27">
        <f>IF(E27="","",E27/100*XLOOKUP(XLOOKUP(C27,Portions!$A:$A,Portions!$B:$B),FoodItems!$A:$A,FoodItems!$E:$E))</f>
        <v/>
      </c>
    </row>
    <row r="28">
      <c r="E28">
        <f>IF(C28="","",D28*XLOOKUP(C28,Portions!$A:$A,Portions!$D:$D))</f>
        <v/>
      </c>
      <c r="F28">
        <f>IF(E28="","",E28/100*XLOOKUP(XLOOKUP(C28,Portions!$A:$A,Portions!$B:$B),FoodItems!$A:$A,FoodItems!$B:$B))</f>
        <v/>
      </c>
      <c r="G28">
        <f>IF(E28="","",E28/100*XLOOKUP(XLOOKUP(C28,Portions!$A:$A,Portions!$B:$B),FoodItems!$A:$A,FoodItems!$C:$C))</f>
        <v/>
      </c>
      <c r="H28">
        <f>IF(E28="","",E28/100*XLOOKUP(XLOOKUP(C28,Portions!$A:$A,Portions!$B:$B),FoodItems!$A:$A,FoodItems!$D:$D))</f>
        <v/>
      </c>
      <c r="I28">
        <f>IF(E28="","",E28/100*XLOOKUP(XLOOKUP(C28,Portions!$A:$A,Portions!$B:$B),FoodItems!$A:$A,FoodItems!$E:$E))</f>
        <v/>
      </c>
    </row>
    <row r="29">
      <c r="E29">
        <f>IF(C29="","",D29*XLOOKUP(C29,Portions!$A:$A,Portions!$D:$D))</f>
        <v/>
      </c>
      <c r="F29">
        <f>IF(E29="","",E29/100*XLOOKUP(XLOOKUP(C29,Portions!$A:$A,Portions!$B:$B),FoodItems!$A:$A,FoodItems!$B:$B))</f>
        <v/>
      </c>
      <c r="G29">
        <f>IF(E29="","",E29/100*XLOOKUP(XLOOKUP(C29,Portions!$A:$A,Portions!$B:$B),FoodItems!$A:$A,FoodItems!$C:$C))</f>
        <v/>
      </c>
      <c r="H29">
        <f>IF(E29="","",E29/100*XLOOKUP(XLOOKUP(C29,Portions!$A:$A,Portions!$B:$B),FoodItems!$A:$A,FoodItems!$D:$D))</f>
        <v/>
      </c>
      <c r="I29">
        <f>IF(E29="","",E29/100*XLOOKUP(XLOOKUP(C29,Portions!$A:$A,Portions!$B:$B),FoodItems!$A:$A,FoodItems!$E:$E))</f>
        <v/>
      </c>
    </row>
    <row r="30">
      <c r="E30">
        <f>IF(C30="","",D30*XLOOKUP(C30,Portions!$A:$A,Portions!$D:$D))</f>
        <v/>
      </c>
      <c r="F30">
        <f>IF(E30="","",E30/100*XLOOKUP(XLOOKUP(C30,Portions!$A:$A,Portions!$B:$B),FoodItems!$A:$A,FoodItems!$B:$B))</f>
        <v/>
      </c>
      <c r="G30">
        <f>IF(E30="","",E30/100*XLOOKUP(XLOOKUP(C30,Portions!$A:$A,Portions!$B:$B),FoodItems!$A:$A,FoodItems!$C:$C))</f>
        <v/>
      </c>
      <c r="H30">
        <f>IF(E30="","",E30/100*XLOOKUP(XLOOKUP(C30,Portions!$A:$A,Portions!$B:$B),FoodItems!$A:$A,FoodItems!$D:$D))</f>
        <v/>
      </c>
      <c r="I30">
        <f>IF(E30="","",E30/100*XLOOKUP(XLOOKUP(C30,Portions!$A:$A,Portions!$B:$B),FoodItems!$A:$A,FoodItems!$E:$E))</f>
        <v/>
      </c>
    </row>
    <row r="31">
      <c r="E31">
        <f>IF(C31="","",D31*XLOOKUP(C31,Portions!$A:$A,Portions!$D:$D))</f>
        <v/>
      </c>
      <c r="F31">
        <f>IF(E31="","",E31/100*XLOOKUP(XLOOKUP(C31,Portions!$A:$A,Portions!$B:$B),FoodItems!$A:$A,FoodItems!$B:$B))</f>
        <v/>
      </c>
      <c r="G31">
        <f>IF(E31="","",E31/100*XLOOKUP(XLOOKUP(C31,Portions!$A:$A,Portions!$B:$B),FoodItems!$A:$A,FoodItems!$C:$C))</f>
        <v/>
      </c>
      <c r="H31">
        <f>IF(E31="","",E31/100*XLOOKUP(XLOOKUP(C31,Portions!$A:$A,Portions!$B:$B),FoodItems!$A:$A,FoodItems!$D:$D))</f>
        <v/>
      </c>
      <c r="I31">
        <f>IF(E31="","",E31/100*XLOOKUP(XLOOKUP(C31,Portions!$A:$A,Portions!$B:$B),FoodItems!$A:$A,FoodItems!$E:$E))</f>
        <v/>
      </c>
    </row>
    <row r="32">
      <c r="E32">
        <f>IF(C32="","",D32*XLOOKUP(C32,Portions!$A:$A,Portions!$D:$D))</f>
        <v/>
      </c>
      <c r="F32">
        <f>IF(E32="","",E32/100*XLOOKUP(XLOOKUP(C32,Portions!$A:$A,Portions!$B:$B),FoodItems!$A:$A,FoodItems!$B:$B))</f>
        <v/>
      </c>
      <c r="G32">
        <f>IF(E32="","",E32/100*XLOOKUP(XLOOKUP(C32,Portions!$A:$A,Portions!$B:$B),FoodItems!$A:$A,FoodItems!$C:$C))</f>
        <v/>
      </c>
      <c r="H32">
        <f>IF(E32="","",E32/100*XLOOKUP(XLOOKUP(C32,Portions!$A:$A,Portions!$B:$B),FoodItems!$A:$A,FoodItems!$D:$D))</f>
        <v/>
      </c>
      <c r="I32">
        <f>IF(E32="","",E32/100*XLOOKUP(XLOOKUP(C32,Portions!$A:$A,Portions!$B:$B),FoodItems!$A:$A,FoodItems!$E:$E))</f>
        <v/>
      </c>
    </row>
    <row r="33">
      <c r="E33">
        <f>IF(C33="","",D33*XLOOKUP(C33,Portions!$A:$A,Portions!$D:$D))</f>
        <v/>
      </c>
      <c r="F33">
        <f>IF(E33="","",E33/100*XLOOKUP(XLOOKUP(C33,Portions!$A:$A,Portions!$B:$B),FoodItems!$A:$A,FoodItems!$B:$B))</f>
        <v/>
      </c>
      <c r="G33">
        <f>IF(E33="","",E33/100*XLOOKUP(XLOOKUP(C33,Portions!$A:$A,Portions!$B:$B),FoodItems!$A:$A,FoodItems!$C:$C))</f>
        <v/>
      </c>
      <c r="H33">
        <f>IF(E33="","",E33/100*XLOOKUP(XLOOKUP(C33,Portions!$A:$A,Portions!$B:$B),FoodItems!$A:$A,FoodItems!$D:$D))</f>
        <v/>
      </c>
      <c r="I33">
        <f>IF(E33="","",E33/100*XLOOKUP(XLOOKUP(C33,Portions!$A:$A,Portions!$B:$B),FoodItems!$A:$A,FoodItems!$E:$E))</f>
        <v/>
      </c>
    </row>
    <row r="34">
      <c r="E34">
        <f>IF(C34="","",D34*XLOOKUP(C34,Portions!$A:$A,Portions!$D:$D))</f>
        <v/>
      </c>
      <c r="F34">
        <f>IF(E34="","",E34/100*XLOOKUP(XLOOKUP(C34,Portions!$A:$A,Portions!$B:$B),FoodItems!$A:$A,FoodItems!$B:$B))</f>
        <v/>
      </c>
      <c r="G34">
        <f>IF(E34="","",E34/100*XLOOKUP(XLOOKUP(C34,Portions!$A:$A,Portions!$B:$B),FoodItems!$A:$A,FoodItems!$C:$C))</f>
        <v/>
      </c>
      <c r="H34">
        <f>IF(E34="","",E34/100*XLOOKUP(XLOOKUP(C34,Portions!$A:$A,Portions!$B:$B),FoodItems!$A:$A,FoodItems!$D:$D))</f>
        <v/>
      </c>
      <c r="I34">
        <f>IF(E34="","",E34/100*XLOOKUP(XLOOKUP(C34,Portions!$A:$A,Portions!$B:$B),FoodItems!$A:$A,FoodItems!$E:$E))</f>
        <v/>
      </c>
    </row>
    <row r="35">
      <c r="E35">
        <f>IF(C35="","",D35*XLOOKUP(C35,Portions!$A:$A,Portions!$D:$D))</f>
        <v/>
      </c>
      <c r="F35">
        <f>IF(E35="","",E35/100*XLOOKUP(XLOOKUP(C35,Portions!$A:$A,Portions!$B:$B),FoodItems!$A:$A,FoodItems!$B:$B))</f>
        <v/>
      </c>
      <c r="G35">
        <f>IF(E35="","",E35/100*XLOOKUP(XLOOKUP(C35,Portions!$A:$A,Portions!$B:$B),FoodItems!$A:$A,FoodItems!$C:$C))</f>
        <v/>
      </c>
      <c r="H35">
        <f>IF(E35="","",E35/100*XLOOKUP(XLOOKUP(C35,Portions!$A:$A,Portions!$B:$B),FoodItems!$A:$A,FoodItems!$D:$D))</f>
        <v/>
      </c>
      <c r="I35">
        <f>IF(E35="","",E35/100*XLOOKUP(XLOOKUP(C35,Portions!$A:$A,Portions!$B:$B),FoodItems!$A:$A,FoodItems!$E:$E))</f>
        <v/>
      </c>
    </row>
    <row r="36">
      <c r="E36">
        <f>IF(C36="","",D36*XLOOKUP(C36,Portions!$A:$A,Portions!$D:$D))</f>
        <v/>
      </c>
      <c r="F36">
        <f>IF(E36="","",E36/100*XLOOKUP(XLOOKUP(C36,Portions!$A:$A,Portions!$B:$B),FoodItems!$A:$A,FoodItems!$B:$B))</f>
        <v/>
      </c>
      <c r="G36">
        <f>IF(E36="","",E36/100*XLOOKUP(XLOOKUP(C36,Portions!$A:$A,Portions!$B:$B),FoodItems!$A:$A,FoodItems!$C:$C))</f>
        <v/>
      </c>
      <c r="H36">
        <f>IF(E36="","",E36/100*XLOOKUP(XLOOKUP(C36,Portions!$A:$A,Portions!$B:$B),FoodItems!$A:$A,FoodItems!$D:$D))</f>
        <v/>
      </c>
      <c r="I36">
        <f>IF(E36="","",E36/100*XLOOKUP(XLOOKUP(C36,Portions!$A:$A,Portions!$B:$B),FoodItems!$A:$A,FoodItems!$E:$E))</f>
        <v/>
      </c>
    </row>
    <row r="37">
      <c r="E37">
        <f>IF(C37="","",D37*XLOOKUP(C37,Portions!$A:$A,Portions!$D:$D))</f>
        <v/>
      </c>
      <c r="F37">
        <f>IF(E37="","",E37/100*XLOOKUP(XLOOKUP(C37,Portions!$A:$A,Portions!$B:$B),FoodItems!$A:$A,FoodItems!$B:$B))</f>
        <v/>
      </c>
      <c r="G37">
        <f>IF(E37="","",E37/100*XLOOKUP(XLOOKUP(C37,Portions!$A:$A,Portions!$B:$B),FoodItems!$A:$A,FoodItems!$C:$C))</f>
        <v/>
      </c>
      <c r="H37">
        <f>IF(E37="","",E37/100*XLOOKUP(XLOOKUP(C37,Portions!$A:$A,Portions!$B:$B),FoodItems!$A:$A,FoodItems!$D:$D))</f>
        <v/>
      </c>
      <c r="I37">
        <f>IF(E37="","",E37/100*XLOOKUP(XLOOKUP(C37,Portions!$A:$A,Portions!$B:$B),FoodItems!$A:$A,FoodItems!$E:$E))</f>
        <v/>
      </c>
    </row>
    <row r="38">
      <c r="E38">
        <f>IF(C38="","",D38*XLOOKUP(C38,Portions!$A:$A,Portions!$D:$D))</f>
        <v/>
      </c>
      <c r="F38">
        <f>IF(E38="","",E38/100*XLOOKUP(XLOOKUP(C38,Portions!$A:$A,Portions!$B:$B),FoodItems!$A:$A,FoodItems!$B:$B))</f>
        <v/>
      </c>
      <c r="G38">
        <f>IF(E38="","",E38/100*XLOOKUP(XLOOKUP(C38,Portions!$A:$A,Portions!$B:$B),FoodItems!$A:$A,FoodItems!$C:$C))</f>
        <v/>
      </c>
      <c r="H38">
        <f>IF(E38="","",E38/100*XLOOKUP(XLOOKUP(C38,Portions!$A:$A,Portions!$B:$B),FoodItems!$A:$A,FoodItems!$D:$D))</f>
        <v/>
      </c>
      <c r="I38">
        <f>IF(E38="","",E38/100*XLOOKUP(XLOOKUP(C38,Portions!$A:$A,Portions!$B:$B),FoodItems!$A:$A,FoodItems!$E:$E))</f>
        <v/>
      </c>
    </row>
    <row r="39">
      <c r="E39">
        <f>IF(C39="","",D39*XLOOKUP(C39,Portions!$A:$A,Portions!$D:$D))</f>
        <v/>
      </c>
      <c r="F39">
        <f>IF(E39="","",E39/100*XLOOKUP(XLOOKUP(C39,Portions!$A:$A,Portions!$B:$B),FoodItems!$A:$A,FoodItems!$B:$B))</f>
        <v/>
      </c>
      <c r="G39">
        <f>IF(E39="","",E39/100*XLOOKUP(XLOOKUP(C39,Portions!$A:$A,Portions!$B:$B),FoodItems!$A:$A,FoodItems!$C:$C))</f>
        <v/>
      </c>
      <c r="H39">
        <f>IF(E39="","",E39/100*XLOOKUP(XLOOKUP(C39,Portions!$A:$A,Portions!$B:$B),FoodItems!$A:$A,FoodItems!$D:$D))</f>
        <v/>
      </c>
      <c r="I39">
        <f>IF(E39="","",E39/100*XLOOKUP(XLOOKUP(C39,Portions!$A:$A,Portions!$B:$B),FoodItems!$A:$A,FoodItems!$E:$E))</f>
        <v/>
      </c>
    </row>
    <row r="40">
      <c r="E40">
        <f>IF(C40="","",D40*XLOOKUP(C40,Portions!$A:$A,Portions!$D:$D))</f>
        <v/>
      </c>
      <c r="F40">
        <f>IF(E40="","",E40/100*XLOOKUP(XLOOKUP(C40,Portions!$A:$A,Portions!$B:$B),FoodItems!$A:$A,FoodItems!$B:$B))</f>
        <v/>
      </c>
      <c r="G40">
        <f>IF(E40="","",E40/100*XLOOKUP(XLOOKUP(C40,Portions!$A:$A,Portions!$B:$B),FoodItems!$A:$A,FoodItems!$C:$C))</f>
        <v/>
      </c>
      <c r="H40">
        <f>IF(E40="","",E40/100*XLOOKUP(XLOOKUP(C40,Portions!$A:$A,Portions!$B:$B),FoodItems!$A:$A,FoodItems!$D:$D))</f>
        <v/>
      </c>
      <c r="I40">
        <f>IF(E40="","",E40/100*XLOOKUP(XLOOKUP(C40,Portions!$A:$A,Portions!$B:$B),FoodItems!$A:$A,FoodItems!$E:$E))</f>
        <v/>
      </c>
    </row>
    <row r="41">
      <c r="E41">
        <f>IF(C41="","",D41*XLOOKUP(C41,Portions!$A:$A,Portions!$D:$D))</f>
        <v/>
      </c>
      <c r="F41">
        <f>IF(E41="","",E41/100*XLOOKUP(XLOOKUP(C41,Portions!$A:$A,Portions!$B:$B),FoodItems!$A:$A,FoodItems!$B:$B))</f>
        <v/>
      </c>
      <c r="G41">
        <f>IF(E41="","",E41/100*XLOOKUP(XLOOKUP(C41,Portions!$A:$A,Portions!$B:$B),FoodItems!$A:$A,FoodItems!$C:$C))</f>
        <v/>
      </c>
      <c r="H41">
        <f>IF(E41="","",E41/100*XLOOKUP(XLOOKUP(C41,Portions!$A:$A,Portions!$B:$B),FoodItems!$A:$A,FoodItems!$D:$D))</f>
        <v/>
      </c>
      <c r="I41">
        <f>IF(E41="","",E41/100*XLOOKUP(XLOOKUP(C41,Portions!$A:$A,Portions!$B:$B),FoodItems!$A:$A,FoodItems!$E:$E))</f>
        <v/>
      </c>
    </row>
    <row r="42">
      <c r="E42">
        <f>IF(C42="","",D42*XLOOKUP(C42,Portions!$A:$A,Portions!$D:$D))</f>
        <v/>
      </c>
      <c r="F42">
        <f>IF(E42="","",E42/100*XLOOKUP(XLOOKUP(C42,Portions!$A:$A,Portions!$B:$B),FoodItems!$A:$A,FoodItems!$B:$B))</f>
        <v/>
      </c>
      <c r="G42">
        <f>IF(E42="","",E42/100*XLOOKUP(XLOOKUP(C42,Portions!$A:$A,Portions!$B:$B),FoodItems!$A:$A,FoodItems!$C:$C))</f>
        <v/>
      </c>
      <c r="H42">
        <f>IF(E42="","",E42/100*XLOOKUP(XLOOKUP(C42,Portions!$A:$A,Portions!$B:$B),FoodItems!$A:$A,FoodItems!$D:$D))</f>
        <v/>
      </c>
      <c r="I42">
        <f>IF(E42="","",E42/100*XLOOKUP(XLOOKUP(C42,Portions!$A:$A,Portions!$B:$B),FoodItems!$A:$A,FoodItems!$E:$E))</f>
        <v/>
      </c>
    </row>
    <row r="43">
      <c r="E43">
        <f>IF(C43="","",D43*XLOOKUP(C43,Portions!$A:$A,Portions!$D:$D))</f>
        <v/>
      </c>
      <c r="F43">
        <f>IF(E43="","",E43/100*XLOOKUP(XLOOKUP(C43,Portions!$A:$A,Portions!$B:$B),FoodItems!$A:$A,FoodItems!$B:$B))</f>
        <v/>
      </c>
      <c r="G43">
        <f>IF(E43="","",E43/100*XLOOKUP(XLOOKUP(C43,Portions!$A:$A,Portions!$B:$B),FoodItems!$A:$A,FoodItems!$C:$C))</f>
        <v/>
      </c>
      <c r="H43">
        <f>IF(E43="","",E43/100*XLOOKUP(XLOOKUP(C43,Portions!$A:$A,Portions!$B:$B),FoodItems!$A:$A,FoodItems!$D:$D))</f>
        <v/>
      </c>
      <c r="I43">
        <f>IF(E43="","",E43/100*XLOOKUP(XLOOKUP(C43,Portions!$A:$A,Portions!$B:$B),FoodItems!$A:$A,FoodItems!$E:$E))</f>
        <v/>
      </c>
    </row>
    <row r="44">
      <c r="E44">
        <f>IF(C44="","",D44*XLOOKUP(C44,Portions!$A:$A,Portions!$D:$D))</f>
        <v/>
      </c>
      <c r="F44">
        <f>IF(E44="","",E44/100*XLOOKUP(XLOOKUP(C44,Portions!$A:$A,Portions!$B:$B),FoodItems!$A:$A,FoodItems!$B:$B))</f>
        <v/>
      </c>
      <c r="G44">
        <f>IF(E44="","",E44/100*XLOOKUP(XLOOKUP(C44,Portions!$A:$A,Portions!$B:$B),FoodItems!$A:$A,FoodItems!$C:$C))</f>
        <v/>
      </c>
      <c r="H44">
        <f>IF(E44="","",E44/100*XLOOKUP(XLOOKUP(C44,Portions!$A:$A,Portions!$B:$B),FoodItems!$A:$A,FoodItems!$D:$D))</f>
        <v/>
      </c>
      <c r="I44">
        <f>IF(E44="","",E44/100*XLOOKUP(XLOOKUP(C44,Portions!$A:$A,Portions!$B:$B),FoodItems!$A:$A,FoodItems!$E:$E))</f>
        <v/>
      </c>
    </row>
    <row r="45">
      <c r="E45">
        <f>IF(C45="","",D45*XLOOKUP(C45,Portions!$A:$A,Portions!$D:$D))</f>
        <v/>
      </c>
      <c r="F45">
        <f>IF(E45="","",E45/100*XLOOKUP(XLOOKUP(C45,Portions!$A:$A,Portions!$B:$B),FoodItems!$A:$A,FoodItems!$B:$B))</f>
        <v/>
      </c>
      <c r="G45">
        <f>IF(E45="","",E45/100*XLOOKUP(XLOOKUP(C45,Portions!$A:$A,Portions!$B:$B),FoodItems!$A:$A,FoodItems!$C:$C))</f>
        <v/>
      </c>
      <c r="H45">
        <f>IF(E45="","",E45/100*XLOOKUP(XLOOKUP(C45,Portions!$A:$A,Portions!$B:$B),FoodItems!$A:$A,FoodItems!$D:$D))</f>
        <v/>
      </c>
      <c r="I45">
        <f>IF(E45="","",E45/100*XLOOKUP(XLOOKUP(C45,Portions!$A:$A,Portions!$B:$B),FoodItems!$A:$A,FoodItems!$E:$E))</f>
        <v/>
      </c>
    </row>
    <row r="46">
      <c r="E46">
        <f>IF(C46="","",D46*XLOOKUP(C46,Portions!$A:$A,Portions!$D:$D))</f>
        <v/>
      </c>
      <c r="F46">
        <f>IF(E46="","",E46/100*XLOOKUP(XLOOKUP(C46,Portions!$A:$A,Portions!$B:$B),FoodItems!$A:$A,FoodItems!$B:$B))</f>
        <v/>
      </c>
      <c r="G46">
        <f>IF(E46="","",E46/100*XLOOKUP(XLOOKUP(C46,Portions!$A:$A,Portions!$B:$B),FoodItems!$A:$A,FoodItems!$C:$C))</f>
        <v/>
      </c>
      <c r="H46">
        <f>IF(E46="","",E46/100*XLOOKUP(XLOOKUP(C46,Portions!$A:$A,Portions!$B:$B),FoodItems!$A:$A,FoodItems!$D:$D))</f>
        <v/>
      </c>
      <c r="I46">
        <f>IF(E46="","",E46/100*XLOOKUP(XLOOKUP(C46,Portions!$A:$A,Portions!$B:$B),FoodItems!$A:$A,FoodItems!$E:$E))</f>
        <v/>
      </c>
    </row>
    <row r="47">
      <c r="E47">
        <f>IF(C47="","",D47*XLOOKUP(C47,Portions!$A:$A,Portions!$D:$D))</f>
        <v/>
      </c>
      <c r="F47">
        <f>IF(E47="","",E47/100*XLOOKUP(XLOOKUP(C47,Portions!$A:$A,Portions!$B:$B),FoodItems!$A:$A,FoodItems!$B:$B))</f>
        <v/>
      </c>
      <c r="G47">
        <f>IF(E47="","",E47/100*XLOOKUP(XLOOKUP(C47,Portions!$A:$A,Portions!$B:$B),FoodItems!$A:$A,FoodItems!$C:$C))</f>
        <v/>
      </c>
      <c r="H47">
        <f>IF(E47="","",E47/100*XLOOKUP(XLOOKUP(C47,Portions!$A:$A,Portions!$B:$B),FoodItems!$A:$A,FoodItems!$D:$D))</f>
        <v/>
      </c>
      <c r="I47">
        <f>IF(E47="","",E47/100*XLOOKUP(XLOOKUP(C47,Portions!$A:$A,Portions!$B:$B),FoodItems!$A:$A,FoodItems!$E:$E))</f>
        <v/>
      </c>
    </row>
    <row r="48">
      <c r="E48">
        <f>IF(C48="","",D48*XLOOKUP(C48,Portions!$A:$A,Portions!$D:$D))</f>
        <v/>
      </c>
      <c r="F48">
        <f>IF(E48="","",E48/100*XLOOKUP(XLOOKUP(C48,Portions!$A:$A,Portions!$B:$B),FoodItems!$A:$A,FoodItems!$B:$B))</f>
        <v/>
      </c>
      <c r="G48">
        <f>IF(E48="","",E48/100*XLOOKUP(XLOOKUP(C48,Portions!$A:$A,Portions!$B:$B),FoodItems!$A:$A,FoodItems!$C:$C))</f>
        <v/>
      </c>
      <c r="H48">
        <f>IF(E48="","",E48/100*XLOOKUP(XLOOKUP(C48,Portions!$A:$A,Portions!$B:$B),FoodItems!$A:$A,FoodItems!$D:$D))</f>
        <v/>
      </c>
      <c r="I48">
        <f>IF(E48="","",E48/100*XLOOKUP(XLOOKUP(C48,Portions!$A:$A,Portions!$B:$B),FoodItems!$A:$A,FoodItems!$E:$E))</f>
        <v/>
      </c>
    </row>
    <row r="49">
      <c r="E49">
        <f>IF(C49="","",D49*XLOOKUP(C49,Portions!$A:$A,Portions!$D:$D))</f>
        <v/>
      </c>
      <c r="F49">
        <f>IF(E49="","",E49/100*XLOOKUP(XLOOKUP(C49,Portions!$A:$A,Portions!$B:$B),FoodItems!$A:$A,FoodItems!$B:$B))</f>
        <v/>
      </c>
      <c r="G49">
        <f>IF(E49="","",E49/100*XLOOKUP(XLOOKUP(C49,Portions!$A:$A,Portions!$B:$B),FoodItems!$A:$A,FoodItems!$C:$C))</f>
        <v/>
      </c>
      <c r="H49">
        <f>IF(E49="","",E49/100*XLOOKUP(XLOOKUP(C49,Portions!$A:$A,Portions!$B:$B),FoodItems!$A:$A,FoodItems!$D:$D))</f>
        <v/>
      </c>
      <c r="I49">
        <f>IF(E49="","",E49/100*XLOOKUP(XLOOKUP(C49,Portions!$A:$A,Portions!$B:$B),FoodItems!$A:$A,FoodItems!$E:$E))</f>
        <v/>
      </c>
    </row>
    <row r="50">
      <c r="E50">
        <f>IF(C50="","",D50*XLOOKUP(C50,Portions!$A:$A,Portions!$D:$D))</f>
        <v/>
      </c>
      <c r="F50">
        <f>IF(E50="","",E50/100*XLOOKUP(XLOOKUP(C50,Portions!$A:$A,Portions!$B:$B),FoodItems!$A:$A,FoodItems!$B:$B))</f>
        <v/>
      </c>
      <c r="G50">
        <f>IF(E50="","",E50/100*XLOOKUP(XLOOKUP(C50,Portions!$A:$A,Portions!$B:$B),FoodItems!$A:$A,FoodItems!$C:$C))</f>
        <v/>
      </c>
      <c r="H50">
        <f>IF(E50="","",E50/100*XLOOKUP(XLOOKUP(C50,Portions!$A:$A,Portions!$B:$B),FoodItems!$A:$A,FoodItems!$D:$D))</f>
        <v/>
      </c>
      <c r="I50">
        <f>IF(E50="","",E50/100*XLOOKUP(XLOOKUP(C50,Portions!$A:$A,Portions!$B:$B),FoodItems!$A:$A,FoodItems!$E:$E))</f>
        <v/>
      </c>
    </row>
    <row r="51">
      <c r="E51">
        <f>IF(C51="","",D51*XLOOKUP(C51,Portions!$A:$A,Portions!$D:$D))</f>
        <v/>
      </c>
      <c r="F51">
        <f>IF(E51="","",E51/100*XLOOKUP(XLOOKUP(C51,Portions!$A:$A,Portions!$B:$B),FoodItems!$A:$A,FoodItems!$B:$B))</f>
        <v/>
      </c>
      <c r="G51">
        <f>IF(E51="","",E51/100*XLOOKUP(XLOOKUP(C51,Portions!$A:$A,Portions!$B:$B),FoodItems!$A:$A,FoodItems!$C:$C))</f>
        <v/>
      </c>
      <c r="H51">
        <f>IF(E51="","",E51/100*XLOOKUP(XLOOKUP(C51,Portions!$A:$A,Portions!$B:$B),FoodItems!$A:$A,FoodItems!$D:$D))</f>
        <v/>
      </c>
      <c r="I51">
        <f>IF(E51="","",E51/100*XLOOKUP(XLOOKUP(C51,Portions!$A:$A,Portions!$B:$B),FoodItems!$A:$A,FoodItems!$E:$E))</f>
        <v/>
      </c>
    </row>
    <row r="52">
      <c r="E52">
        <f>IF(C52="","",D52*XLOOKUP(C52,Portions!$A:$A,Portions!$D:$D))</f>
        <v/>
      </c>
      <c r="F52">
        <f>IF(E52="","",E52/100*XLOOKUP(XLOOKUP(C52,Portions!$A:$A,Portions!$B:$B),FoodItems!$A:$A,FoodItems!$B:$B))</f>
        <v/>
      </c>
      <c r="G52">
        <f>IF(E52="","",E52/100*XLOOKUP(XLOOKUP(C52,Portions!$A:$A,Portions!$B:$B),FoodItems!$A:$A,FoodItems!$C:$C))</f>
        <v/>
      </c>
      <c r="H52">
        <f>IF(E52="","",E52/100*XLOOKUP(XLOOKUP(C52,Portions!$A:$A,Portions!$B:$B),FoodItems!$A:$A,FoodItems!$D:$D))</f>
        <v/>
      </c>
      <c r="I52">
        <f>IF(E52="","",E52/100*XLOOKUP(XLOOKUP(C52,Portions!$A:$A,Portions!$B:$B),FoodItems!$A:$A,FoodItems!$E:$E))</f>
        <v/>
      </c>
    </row>
    <row r="53">
      <c r="E53">
        <f>IF(C53="","",D53*XLOOKUP(C53,Portions!$A:$A,Portions!$D:$D))</f>
        <v/>
      </c>
      <c r="F53">
        <f>IF(E53="","",E53/100*XLOOKUP(XLOOKUP(C53,Portions!$A:$A,Portions!$B:$B),FoodItems!$A:$A,FoodItems!$B:$B))</f>
        <v/>
      </c>
      <c r="G53">
        <f>IF(E53="","",E53/100*XLOOKUP(XLOOKUP(C53,Portions!$A:$A,Portions!$B:$B),FoodItems!$A:$A,FoodItems!$C:$C))</f>
        <v/>
      </c>
      <c r="H53">
        <f>IF(E53="","",E53/100*XLOOKUP(XLOOKUP(C53,Portions!$A:$A,Portions!$B:$B),FoodItems!$A:$A,FoodItems!$D:$D))</f>
        <v/>
      </c>
      <c r="I53">
        <f>IF(E53="","",E53/100*XLOOKUP(XLOOKUP(C53,Portions!$A:$A,Portions!$B:$B),FoodItems!$A:$A,FoodItems!$E:$E))</f>
        <v/>
      </c>
    </row>
    <row r="54">
      <c r="E54">
        <f>IF(C54="","",D54*XLOOKUP(C54,Portions!$A:$A,Portions!$D:$D))</f>
        <v/>
      </c>
      <c r="F54">
        <f>IF(E54="","",E54/100*XLOOKUP(XLOOKUP(C54,Portions!$A:$A,Portions!$B:$B),FoodItems!$A:$A,FoodItems!$B:$B))</f>
        <v/>
      </c>
      <c r="G54">
        <f>IF(E54="","",E54/100*XLOOKUP(XLOOKUP(C54,Portions!$A:$A,Portions!$B:$B),FoodItems!$A:$A,FoodItems!$C:$C))</f>
        <v/>
      </c>
      <c r="H54">
        <f>IF(E54="","",E54/100*XLOOKUP(XLOOKUP(C54,Portions!$A:$A,Portions!$B:$B),FoodItems!$A:$A,FoodItems!$D:$D))</f>
        <v/>
      </c>
      <c r="I54">
        <f>IF(E54="","",E54/100*XLOOKUP(XLOOKUP(C54,Portions!$A:$A,Portions!$B:$B),FoodItems!$A:$A,FoodItems!$E:$E))</f>
        <v/>
      </c>
    </row>
    <row r="55">
      <c r="E55">
        <f>IF(C55="","",D55*XLOOKUP(C55,Portions!$A:$A,Portions!$D:$D))</f>
        <v/>
      </c>
      <c r="F55">
        <f>IF(E55="","",E55/100*XLOOKUP(XLOOKUP(C55,Portions!$A:$A,Portions!$B:$B),FoodItems!$A:$A,FoodItems!$B:$B))</f>
        <v/>
      </c>
      <c r="G55">
        <f>IF(E55="","",E55/100*XLOOKUP(XLOOKUP(C55,Portions!$A:$A,Portions!$B:$B),FoodItems!$A:$A,FoodItems!$C:$C))</f>
        <v/>
      </c>
      <c r="H55">
        <f>IF(E55="","",E55/100*XLOOKUP(XLOOKUP(C55,Portions!$A:$A,Portions!$B:$B),FoodItems!$A:$A,FoodItems!$D:$D))</f>
        <v/>
      </c>
      <c r="I55">
        <f>IF(E55="","",E55/100*XLOOKUP(XLOOKUP(C55,Portions!$A:$A,Portions!$B:$B),FoodItems!$A:$A,FoodItems!$E:$E))</f>
        <v/>
      </c>
    </row>
    <row r="56">
      <c r="E56">
        <f>IF(C56="","",D56*XLOOKUP(C56,Portions!$A:$A,Portions!$D:$D))</f>
        <v/>
      </c>
      <c r="F56">
        <f>IF(E56="","",E56/100*XLOOKUP(XLOOKUP(C56,Portions!$A:$A,Portions!$B:$B),FoodItems!$A:$A,FoodItems!$B:$B))</f>
        <v/>
      </c>
      <c r="G56">
        <f>IF(E56="","",E56/100*XLOOKUP(XLOOKUP(C56,Portions!$A:$A,Portions!$B:$B),FoodItems!$A:$A,FoodItems!$C:$C))</f>
        <v/>
      </c>
      <c r="H56">
        <f>IF(E56="","",E56/100*XLOOKUP(XLOOKUP(C56,Portions!$A:$A,Portions!$B:$B),FoodItems!$A:$A,FoodItems!$D:$D))</f>
        <v/>
      </c>
      <c r="I56">
        <f>IF(E56="","",E56/100*XLOOKUP(XLOOKUP(C56,Portions!$A:$A,Portions!$B:$B),FoodItems!$A:$A,FoodItems!$E:$E))</f>
        <v/>
      </c>
    </row>
    <row r="57">
      <c r="E57">
        <f>IF(C57="","",D57*XLOOKUP(C57,Portions!$A:$A,Portions!$D:$D))</f>
        <v/>
      </c>
      <c r="F57">
        <f>IF(E57="","",E57/100*XLOOKUP(XLOOKUP(C57,Portions!$A:$A,Portions!$B:$B),FoodItems!$A:$A,FoodItems!$B:$B))</f>
        <v/>
      </c>
      <c r="G57">
        <f>IF(E57="","",E57/100*XLOOKUP(XLOOKUP(C57,Portions!$A:$A,Portions!$B:$B),FoodItems!$A:$A,FoodItems!$C:$C))</f>
        <v/>
      </c>
      <c r="H57">
        <f>IF(E57="","",E57/100*XLOOKUP(XLOOKUP(C57,Portions!$A:$A,Portions!$B:$B),FoodItems!$A:$A,FoodItems!$D:$D))</f>
        <v/>
      </c>
      <c r="I57">
        <f>IF(E57="","",E57/100*XLOOKUP(XLOOKUP(C57,Portions!$A:$A,Portions!$B:$B),FoodItems!$A:$A,FoodItems!$E:$E))</f>
        <v/>
      </c>
    </row>
    <row r="58">
      <c r="E58">
        <f>IF(C58="","",D58*XLOOKUP(C58,Portions!$A:$A,Portions!$D:$D))</f>
        <v/>
      </c>
      <c r="F58">
        <f>IF(E58="","",E58/100*XLOOKUP(XLOOKUP(C58,Portions!$A:$A,Portions!$B:$B),FoodItems!$A:$A,FoodItems!$B:$B))</f>
        <v/>
      </c>
      <c r="G58">
        <f>IF(E58="","",E58/100*XLOOKUP(XLOOKUP(C58,Portions!$A:$A,Portions!$B:$B),FoodItems!$A:$A,FoodItems!$C:$C))</f>
        <v/>
      </c>
      <c r="H58">
        <f>IF(E58="","",E58/100*XLOOKUP(XLOOKUP(C58,Portions!$A:$A,Portions!$B:$B),FoodItems!$A:$A,FoodItems!$D:$D))</f>
        <v/>
      </c>
      <c r="I58">
        <f>IF(E58="","",E58/100*XLOOKUP(XLOOKUP(C58,Portions!$A:$A,Portions!$B:$B),FoodItems!$A:$A,FoodItems!$E:$E))</f>
        <v/>
      </c>
    </row>
    <row r="59">
      <c r="E59">
        <f>IF(C59="","",D59*XLOOKUP(C59,Portions!$A:$A,Portions!$D:$D))</f>
        <v/>
      </c>
      <c r="F59">
        <f>IF(E59="","",E59/100*XLOOKUP(XLOOKUP(C59,Portions!$A:$A,Portions!$B:$B),FoodItems!$A:$A,FoodItems!$B:$B))</f>
        <v/>
      </c>
      <c r="G59">
        <f>IF(E59="","",E59/100*XLOOKUP(XLOOKUP(C59,Portions!$A:$A,Portions!$B:$B),FoodItems!$A:$A,FoodItems!$C:$C))</f>
        <v/>
      </c>
      <c r="H59">
        <f>IF(E59="","",E59/100*XLOOKUP(XLOOKUP(C59,Portions!$A:$A,Portions!$B:$B),FoodItems!$A:$A,FoodItems!$D:$D))</f>
        <v/>
      </c>
      <c r="I59">
        <f>IF(E59="","",E59/100*XLOOKUP(XLOOKUP(C59,Portions!$A:$A,Portions!$B:$B),FoodItems!$A:$A,FoodItems!$E:$E))</f>
        <v/>
      </c>
    </row>
    <row r="60">
      <c r="E60">
        <f>IF(C60="","",D60*XLOOKUP(C60,Portions!$A:$A,Portions!$D:$D))</f>
        <v/>
      </c>
      <c r="F60">
        <f>IF(E60="","",E60/100*XLOOKUP(XLOOKUP(C60,Portions!$A:$A,Portions!$B:$B),FoodItems!$A:$A,FoodItems!$B:$B))</f>
        <v/>
      </c>
      <c r="G60">
        <f>IF(E60="","",E60/100*XLOOKUP(XLOOKUP(C60,Portions!$A:$A,Portions!$B:$B),FoodItems!$A:$A,FoodItems!$C:$C))</f>
        <v/>
      </c>
      <c r="H60">
        <f>IF(E60="","",E60/100*XLOOKUP(XLOOKUP(C60,Portions!$A:$A,Portions!$B:$B),FoodItems!$A:$A,FoodItems!$D:$D))</f>
        <v/>
      </c>
      <c r="I60">
        <f>IF(E60="","",E60/100*XLOOKUP(XLOOKUP(C60,Portions!$A:$A,Portions!$B:$B),FoodItems!$A:$A,FoodItems!$E:$E))</f>
        <v/>
      </c>
    </row>
    <row r="61">
      <c r="E61">
        <f>IF(C61="","",D61*XLOOKUP(C61,Portions!$A:$A,Portions!$D:$D))</f>
        <v/>
      </c>
      <c r="F61">
        <f>IF(E61="","",E61/100*XLOOKUP(XLOOKUP(C61,Portions!$A:$A,Portions!$B:$B),FoodItems!$A:$A,FoodItems!$B:$B))</f>
        <v/>
      </c>
      <c r="G61">
        <f>IF(E61="","",E61/100*XLOOKUP(XLOOKUP(C61,Portions!$A:$A,Portions!$B:$B),FoodItems!$A:$A,FoodItems!$C:$C))</f>
        <v/>
      </c>
      <c r="H61">
        <f>IF(E61="","",E61/100*XLOOKUP(XLOOKUP(C61,Portions!$A:$A,Portions!$B:$B),FoodItems!$A:$A,FoodItems!$D:$D))</f>
        <v/>
      </c>
      <c r="I61">
        <f>IF(E61="","",E61/100*XLOOKUP(XLOOKUP(C61,Portions!$A:$A,Portions!$B:$B),FoodItems!$A:$A,FoodItems!$E:$E))</f>
        <v/>
      </c>
    </row>
    <row r="62">
      <c r="E62">
        <f>IF(C62="","",D62*XLOOKUP(C62,Portions!$A:$A,Portions!$D:$D))</f>
        <v/>
      </c>
      <c r="F62">
        <f>IF(E62="","",E62/100*XLOOKUP(XLOOKUP(C62,Portions!$A:$A,Portions!$B:$B),FoodItems!$A:$A,FoodItems!$B:$B))</f>
        <v/>
      </c>
      <c r="G62">
        <f>IF(E62="","",E62/100*XLOOKUP(XLOOKUP(C62,Portions!$A:$A,Portions!$B:$B),FoodItems!$A:$A,FoodItems!$C:$C))</f>
        <v/>
      </c>
      <c r="H62">
        <f>IF(E62="","",E62/100*XLOOKUP(XLOOKUP(C62,Portions!$A:$A,Portions!$B:$B),FoodItems!$A:$A,FoodItems!$D:$D))</f>
        <v/>
      </c>
      <c r="I62">
        <f>IF(E62="","",E62/100*XLOOKUP(XLOOKUP(C62,Portions!$A:$A,Portions!$B:$B),FoodItems!$A:$A,FoodItems!$E:$E))</f>
        <v/>
      </c>
    </row>
    <row r="63">
      <c r="E63">
        <f>IF(C63="","",D63*XLOOKUP(C63,Portions!$A:$A,Portions!$D:$D))</f>
        <v/>
      </c>
      <c r="F63">
        <f>IF(E63="","",E63/100*XLOOKUP(XLOOKUP(C63,Portions!$A:$A,Portions!$B:$B),FoodItems!$A:$A,FoodItems!$B:$B))</f>
        <v/>
      </c>
      <c r="G63">
        <f>IF(E63="","",E63/100*XLOOKUP(XLOOKUP(C63,Portions!$A:$A,Portions!$B:$B),FoodItems!$A:$A,FoodItems!$C:$C))</f>
        <v/>
      </c>
      <c r="H63">
        <f>IF(E63="","",E63/100*XLOOKUP(XLOOKUP(C63,Portions!$A:$A,Portions!$B:$B),FoodItems!$A:$A,FoodItems!$D:$D))</f>
        <v/>
      </c>
      <c r="I63">
        <f>IF(E63="","",E63/100*XLOOKUP(XLOOKUP(C63,Portions!$A:$A,Portions!$B:$B),FoodItems!$A:$A,FoodItems!$E:$E))</f>
        <v/>
      </c>
    </row>
    <row r="64">
      <c r="E64">
        <f>IF(C64="","",D64*XLOOKUP(C64,Portions!$A:$A,Portions!$D:$D))</f>
        <v/>
      </c>
      <c r="F64">
        <f>IF(E64="","",E64/100*XLOOKUP(XLOOKUP(C64,Portions!$A:$A,Portions!$B:$B),FoodItems!$A:$A,FoodItems!$B:$B))</f>
        <v/>
      </c>
      <c r="G64">
        <f>IF(E64="","",E64/100*XLOOKUP(XLOOKUP(C64,Portions!$A:$A,Portions!$B:$B),FoodItems!$A:$A,FoodItems!$C:$C))</f>
        <v/>
      </c>
      <c r="H64">
        <f>IF(E64="","",E64/100*XLOOKUP(XLOOKUP(C64,Portions!$A:$A,Portions!$B:$B),FoodItems!$A:$A,FoodItems!$D:$D))</f>
        <v/>
      </c>
      <c r="I64">
        <f>IF(E64="","",E64/100*XLOOKUP(XLOOKUP(C64,Portions!$A:$A,Portions!$B:$B),FoodItems!$A:$A,FoodItems!$E:$E))</f>
        <v/>
      </c>
    </row>
    <row r="65">
      <c r="E65">
        <f>IF(C65="","",D65*XLOOKUP(C65,Portions!$A:$A,Portions!$D:$D))</f>
        <v/>
      </c>
      <c r="F65">
        <f>IF(E65="","",E65/100*XLOOKUP(XLOOKUP(C65,Portions!$A:$A,Portions!$B:$B),FoodItems!$A:$A,FoodItems!$B:$B))</f>
        <v/>
      </c>
      <c r="G65">
        <f>IF(E65="","",E65/100*XLOOKUP(XLOOKUP(C65,Portions!$A:$A,Portions!$B:$B),FoodItems!$A:$A,FoodItems!$C:$C))</f>
        <v/>
      </c>
      <c r="H65">
        <f>IF(E65="","",E65/100*XLOOKUP(XLOOKUP(C65,Portions!$A:$A,Portions!$B:$B),FoodItems!$A:$A,FoodItems!$D:$D))</f>
        <v/>
      </c>
      <c r="I65">
        <f>IF(E65="","",E65/100*XLOOKUP(XLOOKUP(C65,Portions!$A:$A,Portions!$B:$B),FoodItems!$A:$A,FoodItems!$E:$E))</f>
        <v/>
      </c>
    </row>
    <row r="66">
      <c r="E66">
        <f>IF(C66="","",D66*XLOOKUP(C66,Portions!$A:$A,Portions!$D:$D))</f>
        <v/>
      </c>
      <c r="F66">
        <f>IF(E66="","",E66/100*XLOOKUP(XLOOKUP(C66,Portions!$A:$A,Portions!$B:$B),FoodItems!$A:$A,FoodItems!$B:$B))</f>
        <v/>
      </c>
      <c r="G66">
        <f>IF(E66="","",E66/100*XLOOKUP(XLOOKUP(C66,Portions!$A:$A,Portions!$B:$B),FoodItems!$A:$A,FoodItems!$C:$C))</f>
        <v/>
      </c>
      <c r="H66">
        <f>IF(E66="","",E66/100*XLOOKUP(XLOOKUP(C66,Portions!$A:$A,Portions!$B:$B),FoodItems!$A:$A,FoodItems!$D:$D))</f>
        <v/>
      </c>
      <c r="I66">
        <f>IF(E66="","",E66/100*XLOOKUP(XLOOKUP(C66,Portions!$A:$A,Portions!$B:$B),FoodItems!$A:$A,FoodItems!$E:$E))</f>
        <v/>
      </c>
    </row>
    <row r="67">
      <c r="E67">
        <f>IF(C67="","",D67*XLOOKUP(C67,Portions!$A:$A,Portions!$D:$D))</f>
        <v/>
      </c>
      <c r="F67">
        <f>IF(E67="","",E67/100*XLOOKUP(XLOOKUP(C67,Portions!$A:$A,Portions!$B:$B),FoodItems!$A:$A,FoodItems!$B:$B))</f>
        <v/>
      </c>
      <c r="G67">
        <f>IF(E67="","",E67/100*XLOOKUP(XLOOKUP(C67,Portions!$A:$A,Portions!$B:$B),FoodItems!$A:$A,FoodItems!$C:$C))</f>
        <v/>
      </c>
      <c r="H67">
        <f>IF(E67="","",E67/100*XLOOKUP(XLOOKUP(C67,Portions!$A:$A,Portions!$B:$B),FoodItems!$A:$A,FoodItems!$D:$D))</f>
        <v/>
      </c>
      <c r="I67">
        <f>IF(E67="","",E67/100*XLOOKUP(XLOOKUP(C67,Portions!$A:$A,Portions!$B:$B),FoodItems!$A:$A,FoodItems!$E:$E))</f>
        <v/>
      </c>
    </row>
    <row r="68">
      <c r="E68">
        <f>IF(C68="","",D68*XLOOKUP(C68,Portions!$A:$A,Portions!$D:$D))</f>
        <v/>
      </c>
      <c r="F68">
        <f>IF(E68="","",E68/100*XLOOKUP(XLOOKUP(C68,Portions!$A:$A,Portions!$B:$B),FoodItems!$A:$A,FoodItems!$B:$B))</f>
        <v/>
      </c>
      <c r="G68">
        <f>IF(E68="","",E68/100*XLOOKUP(XLOOKUP(C68,Portions!$A:$A,Portions!$B:$B),FoodItems!$A:$A,FoodItems!$C:$C))</f>
        <v/>
      </c>
      <c r="H68">
        <f>IF(E68="","",E68/100*XLOOKUP(XLOOKUP(C68,Portions!$A:$A,Portions!$B:$B),FoodItems!$A:$A,FoodItems!$D:$D))</f>
        <v/>
      </c>
      <c r="I68">
        <f>IF(E68="","",E68/100*XLOOKUP(XLOOKUP(C68,Portions!$A:$A,Portions!$B:$B),FoodItems!$A:$A,FoodItems!$E:$E))</f>
        <v/>
      </c>
    </row>
    <row r="69">
      <c r="E69">
        <f>IF(C69="","",D69*XLOOKUP(C69,Portions!$A:$A,Portions!$D:$D))</f>
        <v/>
      </c>
      <c r="F69">
        <f>IF(E69="","",E69/100*XLOOKUP(XLOOKUP(C69,Portions!$A:$A,Portions!$B:$B),FoodItems!$A:$A,FoodItems!$B:$B))</f>
        <v/>
      </c>
      <c r="G69">
        <f>IF(E69="","",E69/100*XLOOKUP(XLOOKUP(C69,Portions!$A:$A,Portions!$B:$B),FoodItems!$A:$A,FoodItems!$C:$C))</f>
        <v/>
      </c>
      <c r="H69">
        <f>IF(E69="","",E69/100*XLOOKUP(XLOOKUP(C69,Portions!$A:$A,Portions!$B:$B),FoodItems!$A:$A,FoodItems!$D:$D))</f>
        <v/>
      </c>
      <c r="I69">
        <f>IF(E69="","",E69/100*XLOOKUP(XLOOKUP(C69,Portions!$A:$A,Portions!$B:$B),FoodItems!$A:$A,FoodItems!$E:$E))</f>
        <v/>
      </c>
    </row>
    <row r="70">
      <c r="E70">
        <f>IF(C70="","",D70*XLOOKUP(C70,Portions!$A:$A,Portions!$D:$D))</f>
        <v/>
      </c>
      <c r="F70">
        <f>IF(E70="","",E70/100*XLOOKUP(XLOOKUP(C70,Portions!$A:$A,Portions!$B:$B),FoodItems!$A:$A,FoodItems!$B:$B))</f>
        <v/>
      </c>
      <c r="G70">
        <f>IF(E70="","",E70/100*XLOOKUP(XLOOKUP(C70,Portions!$A:$A,Portions!$B:$B),FoodItems!$A:$A,FoodItems!$C:$C))</f>
        <v/>
      </c>
      <c r="H70">
        <f>IF(E70="","",E70/100*XLOOKUP(XLOOKUP(C70,Portions!$A:$A,Portions!$B:$B),FoodItems!$A:$A,FoodItems!$D:$D))</f>
        <v/>
      </c>
      <c r="I70">
        <f>IF(E70="","",E70/100*XLOOKUP(XLOOKUP(C70,Portions!$A:$A,Portions!$B:$B),FoodItems!$A:$A,FoodItems!$E:$E))</f>
        <v/>
      </c>
    </row>
    <row r="71">
      <c r="E71">
        <f>IF(C71="","",D71*XLOOKUP(C71,Portions!$A:$A,Portions!$D:$D))</f>
        <v/>
      </c>
      <c r="F71">
        <f>IF(E71="","",E71/100*XLOOKUP(XLOOKUP(C71,Portions!$A:$A,Portions!$B:$B),FoodItems!$A:$A,FoodItems!$B:$B))</f>
        <v/>
      </c>
      <c r="G71">
        <f>IF(E71="","",E71/100*XLOOKUP(XLOOKUP(C71,Portions!$A:$A,Portions!$B:$B),FoodItems!$A:$A,FoodItems!$C:$C))</f>
        <v/>
      </c>
      <c r="H71">
        <f>IF(E71="","",E71/100*XLOOKUP(XLOOKUP(C71,Portions!$A:$A,Portions!$B:$B),FoodItems!$A:$A,FoodItems!$D:$D))</f>
        <v/>
      </c>
      <c r="I71">
        <f>IF(E71="","",E71/100*XLOOKUP(XLOOKUP(C71,Portions!$A:$A,Portions!$B:$B),FoodItems!$A:$A,FoodItems!$E:$E))</f>
        <v/>
      </c>
    </row>
    <row r="72">
      <c r="E72">
        <f>IF(C72="","",D72*XLOOKUP(C72,Portions!$A:$A,Portions!$D:$D))</f>
        <v/>
      </c>
      <c r="F72">
        <f>IF(E72="","",E72/100*XLOOKUP(XLOOKUP(C72,Portions!$A:$A,Portions!$B:$B),FoodItems!$A:$A,FoodItems!$B:$B))</f>
        <v/>
      </c>
      <c r="G72">
        <f>IF(E72="","",E72/100*XLOOKUP(XLOOKUP(C72,Portions!$A:$A,Portions!$B:$B),FoodItems!$A:$A,FoodItems!$C:$C))</f>
        <v/>
      </c>
      <c r="H72">
        <f>IF(E72="","",E72/100*XLOOKUP(XLOOKUP(C72,Portions!$A:$A,Portions!$B:$B),FoodItems!$A:$A,FoodItems!$D:$D))</f>
        <v/>
      </c>
      <c r="I72">
        <f>IF(E72="","",E72/100*XLOOKUP(XLOOKUP(C72,Portions!$A:$A,Portions!$B:$B),FoodItems!$A:$A,FoodItems!$E:$E))</f>
        <v/>
      </c>
    </row>
    <row r="73">
      <c r="E73">
        <f>IF(C73="","",D73*XLOOKUP(C73,Portions!$A:$A,Portions!$D:$D))</f>
        <v/>
      </c>
      <c r="F73">
        <f>IF(E73="","",E73/100*XLOOKUP(XLOOKUP(C73,Portions!$A:$A,Portions!$B:$B),FoodItems!$A:$A,FoodItems!$B:$B))</f>
        <v/>
      </c>
      <c r="G73">
        <f>IF(E73="","",E73/100*XLOOKUP(XLOOKUP(C73,Portions!$A:$A,Portions!$B:$B),FoodItems!$A:$A,FoodItems!$C:$C))</f>
        <v/>
      </c>
      <c r="H73">
        <f>IF(E73="","",E73/100*XLOOKUP(XLOOKUP(C73,Portions!$A:$A,Portions!$B:$B),FoodItems!$A:$A,FoodItems!$D:$D))</f>
        <v/>
      </c>
      <c r="I73">
        <f>IF(E73="","",E73/100*XLOOKUP(XLOOKUP(C73,Portions!$A:$A,Portions!$B:$B),FoodItems!$A:$A,FoodItems!$E:$E))</f>
        <v/>
      </c>
    </row>
    <row r="74">
      <c r="E74">
        <f>IF(C74="","",D74*XLOOKUP(C74,Portions!$A:$A,Portions!$D:$D))</f>
        <v/>
      </c>
      <c r="F74">
        <f>IF(E74="","",E74/100*XLOOKUP(XLOOKUP(C74,Portions!$A:$A,Portions!$B:$B),FoodItems!$A:$A,FoodItems!$B:$B))</f>
        <v/>
      </c>
      <c r="G74">
        <f>IF(E74="","",E74/100*XLOOKUP(XLOOKUP(C74,Portions!$A:$A,Portions!$B:$B),FoodItems!$A:$A,FoodItems!$C:$C))</f>
        <v/>
      </c>
      <c r="H74">
        <f>IF(E74="","",E74/100*XLOOKUP(XLOOKUP(C74,Portions!$A:$A,Portions!$B:$B),FoodItems!$A:$A,FoodItems!$D:$D))</f>
        <v/>
      </c>
      <c r="I74">
        <f>IF(E74="","",E74/100*XLOOKUP(XLOOKUP(C74,Portions!$A:$A,Portions!$B:$B),FoodItems!$A:$A,FoodItems!$E:$E))</f>
        <v/>
      </c>
    </row>
    <row r="75">
      <c r="E75">
        <f>IF(C75="","",D75*XLOOKUP(C75,Portions!$A:$A,Portions!$D:$D))</f>
        <v/>
      </c>
      <c r="F75">
        <f>IF(E75="","",E75/100*XLOOKUP(XLOOKUP(C75,Portions!$A:$A,Portions!$B:$B),FoodItems!$A:$A,FoodItems!$B:$B))</f>
        <v/>
      </c>
      <c r="G75">
        <f>IF(E75="","",E75/100*XLOOKUP(XLOOKUP(C75,Portions!$A:$A,Portions!$B:$B),FoodItems!$A:$A,FoodItems!$C:$C))</f>
        <v/>
      </c>
      <c r="H75">
        <f>IF(E75="","",E75/100*XLOOKUP(XLOOKUP(C75,Portions!$A:$A,Portions!$B:$B),FoodItems!$A:$A,FoodItems!$D:$D))</f>
        <v/>
      </c>
      <c r="I75">
        <f>IF(E75="","",E75/100*XLOOKUP(XLOOKUP(C75,Portions!$A:$A,Portions!$B:$B),FoodItems!$A:$A,FoodItems!$E:$E))</f>
        <v/>
      </c>
    </row>
    <row r="76">
      <c r="E76">
        <f>IF(C76="","",D76*XLOOKUP(C76,Portions!$A:$A,Portions!$D:$D))</f>
        <v/>
      </c>
      <c r="F76">
        <f>IF(E76="","",E76/100*XLOOKUP(XLOOKUP(C76,Portions!$A:$A,Portions!$B:$B),FoodItems!$A:$A,FoodItems!$B:$B))</f>
        <v/>
      </c>
      <c r="G76">
        <f>IF(E76="","",E76/100*XLOOKUP(XLOOKUP(C76,Portions!$A:$A,Portions!$B:$B),FoodItems!$A:$A,FoodItems!$C:$C))</f>
        <v/>
      </c>
      <c r="H76">
        <f>IF(E76="","",E76/100*XLOOKUP(XLOOKUP(C76,Portions!$A:$A,Portions!$B:$B),FoodItems!$A:$A,FoodItems!$D:$D))</f>
        <v/>
      </c>
      <c r="I76">
        <f>IF(E76="","",E76/100*XLOOKUP(XLOOKUP(C76,Portions!$A:$A,Portions!$B:$B),FoodItems!$A:$A,FoodItems!$E:$E))</f>
        <v/>
      </c>
    </row>
    <row r="77">
      <c r="E77">
        <f>IF(C77="","",D77*XLOOKUP(C77,Portions!$A:$A,Portions!$D:$D))</f>
        <v/>
      </c>
      <c r="F77">
        <f>IF(E77="","",E77/100*XLOOKUP(XLOOKUP(C77,Portions!$A:$A,Portions!$B:$B),FoodItems!$A:$A,FoodItems!$B:$B))</f>
        <v/>
      </c>
      <c r="G77">
        <f>IF(E77="","",E77/100*XLOOKUP(XLOOKUP(C77,Portions!$A:$A,Portions!$B:$B),FoodItems!$A:$A,FoodItems!$C:$C))</f>
        <v/>
      </c>
      <c r="H77">
        <f>IF(E77="","",E77/100*XLOOKUP(XLOOKUP(C77,Portions!$A:$A,Portions!$B:$B),FoodItems!$A:$A,FoodItems!$D:$D))</f>
        <v/>
      </c>
      <c r="I77">
        <f>IF(E77="","",E77/100*XLOOKUP(XLOOKUP(C77,Portions!$A:$A,Portions!$B:$B),FoodItems!$A:$A,FoodItems!$E:$E))</f>
        <v/>
      </c>
    </row>
    <row r="78">
      <c r="E78">
        <f>IF(C78="","",D78*XLOOKUP(C78,Portions!$A:$A,Portions!$D:$D))</f>
        <v/>
      </c>
      <c r="F78">
        <f>IF(E78="","",E78/100*XLOOKUP(XLOOKUP(C78,Portions!$A:$A,Portions!$B:$B),FoodItems!$A:$A,FoodItems!$B:$B))</f>
        <v/>
      </c>
      <c r="G78">
        <f>IF(E78="","",E78/100*XLOOKUP(XLOOKUP(C78,Portions!$A:$A,Portions!$B:$B),FoodItems!$A:$A,FoodItems!$C:$C))</f>
        <v/>
      </c>
      <c r="H78">
        <f>IF(E78="","",E78/100*XLOOKUP(XLOOKUP(C78,Portions!$A:$A,Portions!$B:$B),FoodItems!$A:$A,FoodItems!$D:$D))</f>
        <v/>
      </c>
      <c r="I78">
        <f>IF(E78="","",E78/100*XLOOKUP(XLOOKUP(C78,Portions!$A:$A,Portions!$B:$B),FoodItems!$A:$A,FoodItems!$E:$E))</f>
        <v/>
      </c>
    </row>
    <row r="79">
      <c r="E79">
        <f>IF(C79="","",D79*XLOOKUP(C79,Portions!$A:$A,Portions!$D:$D))</f>
        <v/>
      </c>
      <c r="F79">
        <f>IF(E79="","",E79/100*XLOOKUP(XLOOKUP(C79,Portions!$A:$A,Portions!$B:$B),FoodItems!$A:$A,FoodItems!$B:$B))</f>
        <v/>
      </c>
      <c r="G79">
        <f>IF(E79="","",E79/100*XLOOKUP(XLOOKUP(C79,Portions!$A:$A,Portions!$B:$B),FoodItems!$A:$A,FoodItems!$C:$C))</f>
        <v/>
      </c>
      <c r="H79">
        <f>IF(E79="","",E79/100*XLOOKUP(XLOOKUP(C79,Portions!$A:$A,Portions!$B:$B),FoodItems!$A:$A,FoodItems!$D:$D))</f>
        <v/>
      </c>
      <c r="I79">
        <f>IF(E79="","",E79/100*XLOOKUP(XLOOKUP(C79,Portions!$A:$A,Portions!$B:$B),FoodItems!$A:$A,FoodItems!$E:$E))</f>
        <v/>
      </c>
    </row>
    <row r="80">
      <c r="E80">
        <f>IF(C80="","",D80*XLOOKUP(C80,Portions!$A:$A,Portions!$D:$D))</f>
        <v/>
      </c>
      <c r="F80">
        <f>IF(E80="","",E80/100*XLOOKUP(XLOOKUP(C80,Portions!$A:$A,Portions!$B:$B),FoodItems!$A:$A,FoodItems!$B:$B))</f>
        <v/>
      </c>
      <c r="G80">
        <f>IF(E80="","",E80/100*XLOOKUP(XLOOKUP(C80,Portions!$A:$A,Portions!$B:$B),FoodItems!$A:$A,FoodItems!$C:$C))</f>
        <v/>
      </c>
      <c r="H80">
        <f>IF(E80="","",E80/100*XLOOKUP(XLOOKUP(C80,Portions!$A:$A,Portions!$B:$B),FoodItems!$A:$A,FoodItems!$D:$D))</f>
        <v/>
      </c>
      <c r="I80">
        <f>IF(E80="","",E80/100*XLOOKUP(XLOOKUP(C80,Portions!$A:$A,Portions!$B:$B),FoodItems!$A:$A,FoodItems!$E:$E))</f>
        <v/>
      </c>
    </row>
    <row r="81">
      <c r="E81">
        <f>IF(C81="","",D81*XLOOKUP(C81,Portions!$A:$A,Portions!$D:$D))</f>
        <v/>
      </c>
      <c r="F81">
        <f>IF(E81="","",E81/100*XLOOKUP(XLOOKUP(C81,Portions!$A:$A,Portions!$B:$B),FoodItems!$A:$A,FoodItems!$B:$B))</f>
        <v/>
      </c>
      <c r="G81">
        <f>IF(E81="","",E81/100*XLOOKUP(XLOOKUP(C81,Portions!$A:$A,Portions!$B:$B),FoodItems!$A:$A,FoodItems!$C:$C))</f>
        <v/>
      </c>
      <c r="H81">
        <f>IF(E81="","",E81/100*XLOOKUP(XLOOKUP(C81,Portions!$A:$A,Portions!$B:$B),FoodItems!$A:$A,FoodItems!$D:$D))</f>
        <v/>
      </c>
      <c r="I81">
        <f>IF(E81="","",E81/100*XLOOKUP(XLOOKUP(C81,Portions!$A:$A,Portions!$B:$B),FoodItems!$A:$A,FoodItems!$E:$E))</f>
        <v/>
      </c>
    </row>
    <row r="82">
      <c r="E82">
        <f>IF(C82="","",D82*XLOOKUP(C82,Portions!$A:$A,Portions!$D:$D))</f>
        <v/>
      </c>
      <c r="F82">
        <f>IF(E82="","",E82/100*XLOOKUP(XLOOKUP(C82,Portions!$A:$A,Portions!$B:$B),FoodItems!$A:$A,FoodItems!$B:$B))</f>
        <v/>
      </c>
      <c r="G82">
        <f>IF(E82="","",E82/100*XLOOKUP(XLOOKUP(C82,Portions!$A:$A,Portions!$B:$B),FoodItems!$A:$A,FoodItems!$C:$C))</f>
        <v/>
      </c>
      <c r="H82">
        <f>IF(E82="","",E82/100*XLOOKUP(XLOOKUP(C82,Portions!$A:$A,Portions!$B:$B),FoodItems!$A:$A,FoodItems!$D:$D))</f>
        <v/>
      </c>
      <c r="I82">
        <f>IF(E82="","",E82/100*XLOOKUP(XLOOKUP(C82,Portions!$A:$A,Portions!$B:$B),FoodItems!$A:$A,FoodItems!$E:$E))</f>
        <v/>
      </c>
    </row>
    <row r="83">
      <c r="E83">
        <f>IF(C83="","",D83*XLOOKUP(C83,Portions!$A:$A,Portions!$D:$D))</f>
        <v/>
      </c>
      <c r="F83">
        <f>IF(E83="","",E83/100*XLOOKUP(XLOOKUP(C83,Portions!$A:$A,Portions!$B:$B),FoodItems!$A:$A,FoodItems!$B:$B))</f>
        <v/>
      </c>
      <c r="G83">
        <f>IF(E83="","",E83/100*XLOOKUP(XLOOKUP(C83,Portions!$A:$A,Portions!$B:$B),FoodItems!$A:$A,FoodItems!$C:$C))</f>
        <v/>
      </c>
      <c r="H83">
        <f>IF(E83="","",E83/100*XLOOKUP(XLOOKUP(C83,Portions!$A:$A,Portions!$B:$B),FoodItems!$A:$A,FoodItems!$D:$D))</f>
        <v/>
      </c>
      <c r="I83">
        <f>IF(E83="","",E83/100*XLOOKUP(XLOOKUP(C83,Portions!$A:$A,Portions!$B:$B),FoodItems!$A:$A,FoodItems!$E:$E))</f>
        <v/>
      </c>
    </row>
    <row r="84">
      <c r="E84">
        <f>IF(C84="","",D84*XLOOKUP(C84,Portions!$A:$A,Portions!$D:$D))</f>
        <v/>
      </c>
      <c r="F84">
        <f>IF(E84="","",E84/100*XLOOKUP(XLOOKUP(C84,Portions!$A:$A,Portions!$B:$B),FoodItems!$A:$A,FoodItems!$B:$B))</f>
        <v/>
      </c>
      <c r="G84">
        <f>IF(E84="","",E84/100*XLOOKUP(XLOOKUP(C84,Portions!$A:$A,Portions!$B:$B),FoodItems!$A:$A,FoodItems!$C:$C))</f>
        <v/>
      </c>
      <c r="H84">
        <f>IF(E84="","",E84/100*XLOOKUP(XLOOKUP(C84,Portions!$A:$A,Portions!$B:$B),FoodItems!$A:$A,FoodItems!$D:$D))</f>
        <v/>
      </c>
      <c r="I84">
        <f>IF(E84="","",E84/100*XLOOKUP(XLOOKUP(C84,Portions!$A:$A,Portions!$B:$B),FoodItems!$A:$A,FoodItems!$E:$E))</f>
        <v/>
      </c>
    </row>
    <row r="85">
      <c r="E85">
        <f>IF(C85="","",D85*XLOOKUP(C85,Portions!$A:$A,Portions!$D:$D))</f>
        <v/>
      </c>
      <c r="F85">
        <f>IF(E85="","",E85/100*XLOOKUP(XLOOKUP(C85,Portions!$A:$A,Portions!$B:$B),FoodItems!$A:$A,FoodItems!$B:$B))</f>
        <v/>
      </c>
      <c r="G85">
        <f>IF(E85="","",E85/100*XLOOKUP(XLOOKUP(C85,Portions!$A:$A,Portions!$B:$B),FoodItems!$A:$A,FoodItems!$C:$C))</f>
        <v/>
      </c>
      <c r="H85">
        <f>IF(E85="","",E85/100*XLOOKUP(XLOOKUP(C85,Portions!$A:$A,Portions!$B:$B),FoodItems!$A:$A,FoodItems!$D:$D))</f>
        <v/>
      </c>
      <c r="I85">
        <f>IF(E85="","",E85/100*XLOOKUP(XLOOKUP(C85,Portions!$A:$A,Portions!$B:$B),FoodItems!$A:$A,FoodItems!$E:$E))</f>
        <v/>
      </c>
    </row>
    <row r="86">
      <c r="E86">
        <f>IF(C86="","",D86*XLOOKUP(C86,Portions!$A:$A,Portions!$D:$D))</f>
        <v/>
      </c>
      <c r="F86">
        <f>IF(E86="","",E86/100*XLOOKUP(XLOOKUP(C86,Portions!$A:$A,Portions!$B:$B),FoodItems!$A:$A,FoodItems!$B:$B))</f>
        <v/>
      </c>
      <c r="G86">
        <f>IF(E86="","",E86/100*XLOOKUP(XLOOKUP(C86,Portions!$A:$A,Portions!$B:$B),FoodItems!$A:$A,FoodItems!$C:$C))</f>
        <v/>
      </c>
      <c r="H86">
        <f>IF(E86="","",E86/100*XLOOKUP(XLOOKUP(C86,Portions!$A:$A,Portions!$B:$B),FoodItems!$A:$A,FoodItems!$D:$D))</f>
        <v/>
      </c>
      <c r="I86">
        <f>IF(E86="","",E86/100*XLOOKUP(XLOOKUP(C86,Portions!$A:$A,Portions!$B:$B),FoodItems!$A:$A,FoodItems!$E:$E))</f>
        <v/>
      </c>
    </row>
    <row r="87">
      <c r="E87">
        <f>IF(C87="","",D87*XLOOKUP(C87,Portions!$A:$A,Portions!$D:$D))</f>
        <v/>
      </c>
      <c r="F87">
        <f>IF(E87="","",E87/100*XLOOKUP(XLOOKUP(C87,Portions!$A:$A,Portions!$B:$B),FoodItems!$A:$A,FoodItems!$B:$B))</f>
        <v/>
      </c>
      <c r="G87">
        <f>IF(E87="","",E87/100*XLOOKUP(XLOOKUP(C87,Portions!$A:$A,Portions!$B:$B),FoodItems!$A:$A,FoodItems!$C:$C))</f>
        <v/>
      </c>
      <c r="H87">
        <f>IF(E87="","",E87/100*XLOOKUP(XLOOKUP(C87,Portions!$A:$A,Portions!$B:$B),FoodItems!$A:$A,FoodItems!$D:$D))</f>
        <v/>
      </c>
      <c r="I87">
        <f>IF(E87="","",E87/100*XLOOKUP(XLOOKUP(C87,Portions!$A:$A,Portions!$B:$B),FoodItems!$A:$A,FoodItems!$E:$E))</f>
        <v/>
      </c>
    </row>
    <row r="88">
      <c r="E88">
        <f>IF(C88="","",D88*XLOOKUP(C88,Portions!$A:$A,Portions!$D:$D))</f>
        <v/>
      </c>
      <c r="F88">
        <f>IF(E88="","",E88/100*XLOOKUP(XLOOKUP(C88,Portions!$A:$A,Portions!$B:$B),FoodItems!$A:$A,FoodItems!$B:$B))</f>
        <v/>
      </c>
      <c r="G88">
        <f>IF(E88="","",E88/100*XLOOKUP(XLOOKUP(C88,Portions!$A:$A,Portions!$B:$B),FoodItems!$A:$A,FoodItems!$C:$C))</f>
        <v/>
      </c>
      <c r="H88">
        <f>IF(E88="","",E88/100*XLOOKUP(XLOOKUP(C88,Portions!$A:$A,Portions!$B:$B),FoodItems!$A:$A,FoodItems!$D:$D))</f>
        <v/>
      </c>
      <c r="I88">
        <f>IF(E88="","",E88/100*XLOOKUP(XLOOKUP(C88,Portions!$A:$A,Portions!$B:$B),FoodItems!$A:$A,FoodItems!$E:$E))</f>
        <v/>
      </c>
    </row>
    <row r="89">
      <c r="E89">
        <f>IF(C89="","",D89*XLOOKUP(C89,Portions!$A:$A,Portions!$D:$D))</f>
        <v/>
      </c>
      <c r="F89">
        <f>IF(E89="","",E89/100*XLOOKUP(XLOOKUP(C89,Portions!$A:$A,Portions!$B:$B),FoodItems!$A:$A,FoodItems!$B:$B))</f>
        <v/>
      </c>
      <c r="G89">
        <f>IF(E89="","",E89/100*XLOOKUP(XLOOKUP(C89,Portions!$A:$A,Portions!$B:$B),FoodItems!$A:$A,FoodItems!$C:$C))</f>
        <v/>
      </c>
      <c r="H89">
        <f>IF(E89="","",E89/100*XLOOKUP(XLOOKUP(C89,Portions!$A:$A,Portions!$B:$B),FoodItems!$A:$A,FoodItems!$D:$D))</f>
        <v/>
      </c>
      <c r="I89">
        <f>IF(E89="","",E89/100*XLOOKUP(XLOOKUP(C89,Portions!$A:$A,Portions!$B:$B),FoodItems!$A:$A,FoodItems!$E:$E))</f>
        <v/>
      </c>
    </row>
    <row r="90">
      <c r="E90">
        <f>IF(C90="","",D90*XLOOKUP(C90,Portions!$A:$A,Portions!$D:$D))</f>
        <v/>
      </c>
      <c r="F90">
        <f>IF(E90="","",E90/100*XLOOKUP(XLOOKUP(C90,Portions!$A:$A,Portions!$B:$B),FoodItems!$A:$A,FoodItems!$B:$B))</f>
        <v/>
      </c>
      <c r="G90">
        <f>IF(E90="","",E90/100*XLOOKUP(XLOOKUP(C90,Portions!$A:$A,Portions!$B:$B),FoodItems!$A:$A,FoodItems!$C:$C))</f>
        <v/>
      </c>
      <c r="H90">
        <f>IF(E90="","",E90/100*XLOOKUP(XLOOKUP(C90,Portions!$A:$A,Portions!$B:$B),FoodItems!$A:$A,FoodItems!$D:$D))</f>
        <v/>
      </c>
      <c r="I90">
        <f>IF(E90="","",E90/100*XLOOKUP(XLOOKUP(C90,Portions!$A:$A,Portions!$B:$B),FoodItems!$A:$A,FoodItems!$E:$E))</f>
        <v/>
      </c>
    </row>
    <row r="91">
      <c r="E91">
        <f>IF(C91="","",D91*XLOOKUP(C91,Portions!$A:$A,Portions!$D:$D))</f>
        <v/>
      </c>
      <c r="F91">
        <f>IF(E91="","",E91/100*XLOOKUP(XLOOKUP(C91,Portions!$A:$A,Portions!$B:$B),FoodItems!$A:$A,FoodItems!$B:$B))</f>
        <v/>
      </c>
      <c r="G91">
        <f>IF(E91="","",E91/100*XLOOKUP(XLOOKUP(C91,Portions!$A:$A,Portions!$B:$B),FoodItems!$A:$A,FoodItems!$C:$C))</f>
        <v/>
      </c>
      <c r="H91">
        <f>IF(E91="","",E91/100*XLOOKUP(XLOOKUP(C91,Portions!$A:$A,Portions!$B:$B),FoodItems!$A:$A,FoodItems!$D:$D))</f>
        <v/>
      </c>
      <c r="I91">
        <f>IF(E91="","",E91/100*XLOOKUP(XLOOKUP(C91,Portions!$A:$A,Portions!$B:$B),FoodItems!$A:$A,FoodItems!$E:$E))</f>
        <v/>
      </c>
    </row>
    <row r="92">
      <c r="E92">
        <f>IF(C92="","",D92*XLOOKUP(C92,Portions!$A:$A,Portions!$D:$D))</f>
        <v/>
      </c>
      <c r="F92">
        <f>IF(E92="","",E92/100*XLOOKUP(XLOOKUP(C92,Portions!$A:$A,Portions!$B:$B),FoodItems!$A:$A,FoodItems!$B:$B))</f>
        <v/>
      </c>
      <c r="G92">
        <f>IF(E92="","",E92/100*XLOOKUP(XLOOKUP(C92,Portions!$A:$A,Portions!$B:$B),FoodItems!$A:$A,FoodItems!$C:$C))</f>
        <v/>
      </c>
      <c r="H92">
        <f>IF(E92="","",E92/100*XLOOKUP(XLOOKUP(C92,Portions!$A:$A,Portions!$B:$B),FoodItems!$A:$A,FoodItems!$D:$D))</f>
        <v/>
      </c>
      <c r="I92">
        <f>IF(E92="","",E92/100*XLOOKUP(XLOOKUP(C92,Portions!$A:$A,Portions!$B:$B),FoodItems!$A:$A,FoodItems!$E:$E))</f>
        <v/>
      </c>
    </row>
    <row r="93">
      <c r="E93">
        <f>IF(C93="","",D93*XLOOKUP(C93,Portions!$A:$A,Portions!$D:$D))</f>
        <v/>
      </c>
      <c r="F93">
        <f>IF(E93="","",E93/100*XLOOKUP(XLOOKUP(C93,Portions!$A:$A,Portions!$B:$B),FoodItems!$A:$A,FoodItems!$B:$B))</f>
        <v/>
      </c>
      <c r="G93">
        <f>IF(E93="","",E93/100*XLOOKUP(XLOOKUP(C93,Portions!$A:$A,Portions!$B:$B),FoodItems!$A:$A,FoodItems!$C:$C))</f>
        <v/>
      </c>
      <c r="H93">
        <f>IF(E93="","",E93/100*XLOOKUP(XLOOKUP(C93,Portions!$A:$A,Portions!$B:$B),FoodItems!$A:$A,FoodItems!$D:$D))</f>
        <v/>
      </c>
      <c r="I93">
        <f>IF(E93="","",E93/100*XLOOKUP(XLOOKUP(C93,Portions!$A:$A,Portions!$B:$B),FoodItems!$A:$A,FoodItems!$E:$E))</f>
        <v/>
      </c>
    </row>
    <row r="94">
      <c r="E94">
        <f>IF(C94="","",D94*XLOOKUP(C94,Portions!$A:$A,Portions!$D:$D))</f>
        <v/>
      </c>
      <c r="F94">
        <f>IF(E94="","",E94/100*XLOOKUP(XLOOKUP(C94,Portions!$A:$A,Portions!$B:$B),FoodItems!$A:$A,FoodItems!$B:$B))</f>
        <v/>
      </c>
      <c r="G94">
        <f>IF(E94="","",E94/100*XLOOKUP(XLOOKUP(C94,Portions!$A:$A,Portions!$B:$B),FoodItems!$A:$A,FoodItems!$C:$C))</f>
        <v/>
      </c>
      <c r="H94">
        <f>IF(E94="","",E94/100*XLOOKUP(XLOOKUP(C94,Portions!$A:$A,Portions!$B:$B),FoodItems!$A:$A,FoodItems!$D:$D))</f>
        <v/>
      </c>
      <c r="I94">
        <f>IF(E94="","",E94/100*XLOOKUP(XLOOKUP(C94,Portions!$A:$A,Portions!$B:$B),FoodItems!$A:$A,FoodItems!$E:$E))</f>
        <v/>
      </c>
    </row>
    <row r="95">
      <c r="E95">
        <f>IF(C95="","",D95*XLOOKUP(C95,Portions!$A:$A,Portions!$D:$D))</f>
        <v/>
      </c>
      <c r="F95">
        <f>IF(E95="","",E95/100*XLOOKUP(XLOOKUP(C95,Portions!$A:$A,Portions!$B:$B),FoodItems!$A:$A,FoodItems!$B:$B))</f>
        <v/>
      </c>
      <c r="G95">
        <f>IF(E95="","",E95/100*XLOOKUP(XLOOKUP(C95,Portions!$A:$A,Portions!$B:$B),FoodItems!$A:$A,FoodItems!$C:$C))</f>
        <v/>
      </c>
      <c r="H95">
        <f>IF(E95="","",E95/100*XLOOKUP(XLOOKUP(C95,Portions!$A:$A,Portions!$B:$B),FoodItems!$A:$A,FoodItems!$D:$D))</f>
        <v/>
      </c>
      <c r="I95">
        <f>IF(E95="","",E95/100*XLOOKUP(XLOOKUP(C95,Portions!$A:$A,Portions!$B:$B),FoodItems!$A:$A,FoodItems!$E:$E))</f>
        <v/>
      </c>
    </row>
    <row r="96">
      <c r="E96">
        <f>IF(C96="","",D96*XLOOKUP(C96,Portions!$A:$A,Portions!$D:$D))</f>
        <v/>
      </c>
      <c r="F96">
        <f>IF(E96="","",E96/100*XLOOKUP(XLOOKUP(C96,Portions!$A:$A,Portions!$B:$B),FoodItems!$A:$A,FoodItems!$B:$B))</f>
        <v/>
      </c>
      <c r="G96">
        <f>IF(E96="","",E96/100*XLOOKUP(XLOOKUP(C96,Portions!$A:$A,Portions!$B:$B),FoodItems!$A:$A,FoodItems!$C:$C))</f>
        <v/>
      </c>
      <c r="H96">
        <f>IF(E96="","",E96/100*XLOOKUP(XLOOKUP(C96,Portions!$A:$A,Portions!$B:$B),FoodItems!$A:$A,FoodItems!$D:$D))</f>
        <v/>
      </c>
      <c r="I96">
        <f>IF(E96="","",E96/100*XLOOKUP(XLOOKUP(C96,Portions!$A:$A,Portions!$B:$B),FoodItems!$A:$A,FoodItems!$E:$E))</f>
        <v/>
      </c>
    </row>
    <row r="97">
      <c r="E97">
        <f>IF(C97="","",D97*XLOOKUP(C97,Portions!$A:$A,Portions!$D:$D))</f>
        <v/>
      </c>
      <c r="F97">
        <f>IF(E97="","",E97/100*XLOOKUP(XLOOKUP(C97,Portions!$A:$A,Portions!$B:$B),FoodItems!$A:$A,FoodItems!$B:$B))</f>
        <v/>
      </c>
      <c r="G97">
        <f>IF(E97="","",E97/100*XLOOKUP(XLOOKUP(C97,Portions!$A:$A,Portions!$B:$B),FoodItems!$A:$A,FoodItems!$C:$C))</f>
        <v/>
      </c>
      <c r="H97">
        <f>IF(E97="","",E97/100*XLOOKUP(XLOOKUP(C97,Portions!$A:$A,Portions!$B:$B),FoodItems!$A:$A,FoodItems!$D:$D))</f>
        <v/>
      </c>
      <c r="I97">
        <f>IF(E97="","",E97/100*XLOOKUP(XLOOKUP(C97,Portions!$A:$A,Portions!$B:$B),FoodItems!$A:$A,FoodItems!$E:$E))</f>
        <v/>
      </c>
    </row>
    <row r="98">
      <c r="E98">
        <f>IF(C98="","",D98*XLOOKUP(C98,Portions!$A:$A,Portions!$D:$D))</f>
        <v/>
      </c>
      <c r="F98">
        <f>IF(E98="","",E98/100*XLOOKUP(XLOOKUP(C98,Portions!$A:$A,Portions!$B:$B),FoodItems!$A:$A,FoodItems!$B:$B))</f>
        <v/>
      </c>
      <c r="G98">
        <f>IF(E98="","",E98/100*XLOOKUP(XLOOKUP(C98,Portions!$A:$A,Portions!$B:$B),FoodItems!$A:$A,FoodItems!$C:$C))</f>
        <v/>
      </c>
      <c r="H98">
        <f>IF(E98="","",E98/100*XLOOKUP(XLOOKUP(C98,Portions!$A:$A,Portions!$B:$B),FoodItems!$A:$A,FoodItems!$D:$D))</f>
        <v/>
      </c>
      <c r="I98">
        <f>IF(E98="","",E98/100*XLOOKUP(XLOOKUP(C98,Portions!$A:$A,Portions!$B:$B),FoodItems!$A:$A,FoodItems!$E:$E))</f>
        <v/>
      </c>
    </row>
    <row r="99">
      <c r="E99">
        <f>IF(C99="","",D99*XLOOKUP(C99,Portions!$A:$A,Portions!$D:$D))</f>
        <v/>
      </c>
      <c r="F99">
        <f>IF(E99="","",E99/100*XLOOKUP(XLOOKUP(C99,Portions!$A:$A,Portions!$B:$B),FoodItems!$A:$A,FoodItems!$B:$B))</f>
        <v/>
      </c>
      <c r="G99">
        <f>IF(E99="","",E99/100*XLOOKUP(XLOOKUP(C99,Portions!$A:$A,Portions!$B:$B),FoodItems!$A:$A,FoodItems!$C:$C))</f>
        <v/>
      </c>
      <c r="H99">
        <f>IF(E99="","",E99/100*XLOOKUP(XLOOKUP(C99,Portions!$A:$A,Portions!$B:$B),FoodItems!$A:$A,FoodItems!$D:$D))</f>
        <v/>
      </c>
      <c r="I99">
        <f>IF(E99="","",E99/100*XLOOKUP(XLOOKUP(C99,Portions!$A:$A,Portions!$B:$B),FoodItems!$A:$A,FoodItems!$E:$E))</f>
        <v/>
      </c>
    </row>
    <row r="100">
      <c r="E100">
        <f>IF(C100="","",D100*XLOOKUP(C100,Portions!$A:$A,Portions!$D:$D))</f>
        <v/>
      </c>
      <c r="F100">
        <f>IF(E100="","",E100/100*XLOOKUP(XLOOKUP(C100,Portions!$A:$A,Portions!$B:$B),FoodItems!$A:$A,FoodItems!$B:$B))</f>
        <v/>
      </c>
      <c r="G100">
        <f>IF(E100="","",E100/100*XLOOKUP(XLOOKUP(C100,Portions!$A:$A,Portions!$B:$B),FoodItems!$A:$A,FoodItems!$C:$C))</f>
        <v/>
      </c>
      <c r="H100">
        <f>IF(E100="","",E100/100*XLOOKUP(XLOOKUP(C100,Portions!$A:$A,Portions!$B:$B),FoodItems!$A:$A,FoodItems!$D:$D))</f>
        <v/>
      </c>
      <c r="I100">
        <f>IF(E100="","",E100/100*XLOOKUP(XLOOKUP(C100,Portions!$A:$A,Portions!$B:$B),FoodItems!$A:$A,FoodItems!$E:$E))</f>
        <v/>
      </c>
    </row>
    <row r="101">
      <c r="E101">
        <f>IF(C101="","",D101*XLOOKUP(C101,Portions!$A:$A,Portions!$D:$D))</f>
        <v/>
      </c>
      <c r="F101">
        <f>IF(E101="","",E101/100*XLOOKUP(XLOOKUP(C101,Portions!$A:$A,Portions!$B:$B),FoodItems!$A:$A,FoodItems!$B:$B))</f>
        <v/>
      </c>
      <c r="G101">
        <f>IF(E101="","",E101/100*XLOOKUP(XLOOKUP(C101,Portions!$A:$A,Portions!$B:$B),FoodItems!$A:$A,FoodItems!$C:$C))</f>
        <v/>
      </c>
      <c r="H101">
        <f>IF(E101="","",E101/100*XLOOKUP(XLOOKUP(C101,Portions!$A:$A,Portions!$B:$B),FoodItems!$A:$A,FoodItems!$D:$D))</f>
        <v/>
      </c>
      <c r="I101">
        <f>IF(E101="","",E101/100*XLOOKUP(XLOOKUP(C101,Portions!$A:$A,Portions!$B:$B),FoodItems!$A:$A,FoodItems!$E:$E))</f>
        <v/>
      </c>
    </row>
    <row r="102">
      <c r="E102">
        <f>IF(C102="","",D102*XLOOKUP(C102,Portions!$A:$A,Portions!$D:$D))</f>
        <v/>
      </c>
      <c r="F102">
        <f>IF(E102="","",E102/100*XLOOKUP(XLOOKUP(C102,Portions!$A:$A,Portions!$B:$B),FoodItems!$A:$A,FoodItems!$B:$B))</f>
        <v/>
      </c>
      <c r="G102">
        <f>IF(E102="","",E102/100*XLOOKUP(XLOOKUP(C102,Portions!$A:$A,Portions!$B:$B),FoodItems!$A:$A,FoodItems!$C:$C))</f>
        <v/>
      </c>
      <c r="H102">
        <f>IF(E102="","",E102/100*XLOOKUP(XLOOKUP(C102,Portions!$A:$A,Portions!$B:$B),FoodItems!$A:$A,FoodItems!$D:$D))</f>
        <v/>
      </c>
      <c r="I102">
        <f>IF(E102="","",E102/100*XLOOKUP(XLOOKUP(C102,Portions!$A:$A,Portions!$B:$B),FoodItems!$A:$A,FoodItems!$E:$E))</f>
        <v/>
      </c>
    </row>
    <row r="103">
      <c r="E103">
        <f>IF(C103="","",D103*XLOOKUP(C103,Portions!$A:$A,Portions!$D:$D))</f>
        <v/>
      </c>
      <c r="F103">
        <f>IF(E103="","",E103/100*XLOOKUP(XLOOKUP(C103,Portions!$A:$A,Portions!$B:$B),FoodItems!$A:$A,FoodItems!$B:$B))</f>
        <v/>
      </c>
      <c r="G103">
        <f>IF(E103="","",E103/100*XLOOKUP(XLOOKUP(C103,Portions!$A:$A,Portions!$B:$B),FoodItems!$A:$A,FoodItems!$C:$C))</f>
        <v/>
      </c>
      <c r="H103">
        <f>IF(E103="","",E103/100*XLOOKUP(XLOOKUP(C103,Portions!$A:$A,Portions!$B:$B),FoodItems!$A:$A,FoodItems!$D:$D))</f>
        <v/>
      </c>
      <c r="I103">
        <f>IF(E103="","",E103/100*XLOOKUP(XLOOKUP(C103,Portions!$A:$A,Portions!$B:$B),FoodItems!$A:$A,FoodItems!$E:$E))</f>
        <v/>
      </c>
    </row>
    <row r="104">
      <c r="E104">
        <f>IF(C104="","",D104*XLOOKUP(C104,Portions!$A:$A,Portions!$D:$D))</f>
        <v/>
      </c>
      <c r="F104">
        <f>IF(E104="","",E104/100*XLOOKUP(XLOOKUP(C104,Portions!$A:$A,Portions!$B:$B),FoodItems!$A:$A,FoodItems!$B:$B))</f>
        <v/>
      </c>
      <c r="G104">
        <f>IF(E104="","",E104/100*XLOOKUP(XLOOKUP(C104,Portions!$A:$A,Portions!$B:$B),FoodItems!$A:$A,FoodItems!$C:$C))</f>
        <v/>
      </c>
      <c r="H104">
        <f>IF(E104="","",E104/100*XLOOKUP(XLOOKUP(C104,Portions!$A:$A,Portions!$B:$B),FoodItems!$A:$A,FoodItems!$D:$D))</f>
        <v/>
      </c>
      <c r="I104">
        <f>IF(E104="","",E104/100*XLOOKUP(XLOOKUP(C104,Portions!$A:$A,Portions!$B:$B),FoodItems!$A:$A,FoodItems!$E:$E))</f>
        <v/>
      </c>
    </row>
    <row r="105">
      <c r="E105">
        <f>IF(C105="","",D105*XLOOKUP(C105,Portions!$A:$A,Portions!$D:$D))</f>
        <v/>
      </c>
      <c r="F105">
        <f>IF(E105="","",E105/100*XLOOKUP(XLOOKUP(C105,Portions!$A:$A,Portions!$B:$B),FoodItems!$A:$A,FoodItems!$B:$B))</f>
        <v/>
      </c>
      <c r="G105">
        <f>IF(E105="","",E105/100*XLOOKUP(XLOOKUP(C105,Portions!$A:$A,Portions!$B:$B),FoodItems!$A:$A,FoodItems!$C:$C))</f>
        <v/>
      </c>
      <c r="H105">
        <f>IF(E105="","",E105/100*XLOOKUP(XLOOKUP(C105,Portions!$A:$A,Portions!$B:$B),FoodItems!$A:$A,FoodItems!$D:$D))</f>
        <v/>
      </c>
      <c r="I105">
        <f>IF(E105="","",E105/100*XLOOKUP(XLOOKUP(C105,Portions!$A:$A,Portions!$B:$B),FoodItems!$A:$A,FoodItems!$E:$E))</f>
        <v/>
      </c>
    </row>
    <row r="106">
      <c r="E106">
        <f>IF(C106="","",D106*XLOOKUP(C106,Portions!$A:$A,Portions!$D:$D))</f>
        <v/>
      </c>
      <c r="F106">
        <f>IF(E106="","",E106/100*XLOOKUP(XLOOKUP(C106,Portions!$A:$A,Portions!$B:$B),FoodItems!$A:$A,FoodItems!$B:$B))</f>
        <v/>
      </c>
      <c r="G106">
        <f>IF(E106="","",E106/100*XLOOKUP(XLOOKUP(C106,Portions!$A:$A,Portions!$B:$B),FoodItems!$A:$A,FoodItems!$C:$C))</f>
        <v/>
      </c>
      <c r="H106">
        <f>IF(E106="","",E106/100*XLOOKUP(XLOOKUP(C106,Portions!$A:$A,Portions!$B:$B),FoodItems!$A:$A,FoodItems!$D:$D))</f>
        <v/>
      </c>
      <c r="I106">
        <f>IF(E106="","",E106/100*XLOOKUP(XLOOKUP(C106,Portions!$A:$A,Portions!$B:$B),FoodItems!$A:$A,FoodItems!$E:$E))</f>
        <v/>
      </c>
    </row>
    <row r="107">
      <c r="E107">
        <f>IF(C107="","",D107*XLOOKUP(C107,Portions!$A:$A,Portions!$D:$D))</f>
        <v/>
      </c>
      <c r="F107">
        <f>IF(E107="","",E107/100*XLOOKUP(XLOOKUP(C107,Portions!$A:$A,Portions!$B:$B),FoodItems!$A:$A,FoodItems!$B:$B))</f>
        <v/>
      </c>
      <c r="G107">
        <f>IF(E107="","",E107/100*XLOOKUP(XLOOKUP(C107,Portions!$A:$A,Portions!$B:$B),FoodItems!$A:$A,FoodItems!$C:$C))</f>
        <v/>
      </c>
      <c r="H107">
        <f>IF(E107="","",E107/100*XLOOKUP(XLOOKUP(C107,Portions!$A:$A,Portions!$B:$B),FoodItems!$A:$A,FoodItems!$D:$D))</f>
        <v/>
      </c>
      <c r="I107">
        <f>IF(E107="","",E107/100*XLOOKUP(XLOOKUP(C107,Portions!$A:$A,Portions!$B:$B),FoodItems!$A:$A,FoodItems!$E:$E))</f>
        <v/>
      </c>
    </row>
    <row r="108">
      <c r="E108">
        <f>IF(C108="","",D108*XLOOKUP(C108,Portions!$A:$A,Portions!$D:$D))</f>
        <v/>
      </c>
      <c r="F108">
        <f>IF(E108="","",E108/100*XLOOKUP(XLOOKUP(C108,Portions!$A:$A,Portions!$B:$B),FoodItems!$A:$A,FoodItems!$B:$B))</f>
        <v/>
      </c>
      <c r="G108">
        <f>IF(E108="","",E108/100*XLOOKUP(XLOOKUP(C108,Portions!$A:$A,Portions!$B:$B),FoodItems!$A:$A,FoodItems!$C:$C))</f>
        <v/>
      </c>
      <c r="H108">
        <f>IF(E108="","",E108/100*XLOOKUP(XLOOKUP(C108,Portions!$A:$A,Portions!$B:$B),FoodItems!$A:$A,FoodItems!$D:$D))</f>
        <v/>
      </c>
      <c r="I108">
        <f>IF(E108="","",E108/100*XLOOKUP(XLOOKUP(C108,Portions!$A:$A,Portions!$B:$B),FoodItems!$A:$A,FoodItems!$E:$E))</f>
        <v/>
      </c>
    </row>
    <row r="109">
      <c r="E109">
        <f>IF(C109="","",D109*XLOOKUP(C109,Portions!$A:$A,Portions!$D:$D))</f>
        <v/>
      </c>
      <c r="F109">
        <f>IF(E109="","",E109/100*XLOOKUP(XLOOKUP(C109,Portions!$A:$A,Portions!$B:$B),FoodItems!$A:$A,FoodItems!$B:$B))</f>
        <v/>
      </c>
      <c r="G109">
        <f>IF(E109="","",E109/100*XLOOKUP(XLOOKUP(C109,Portions!$A:$A,Portions!$B:$B),FoodItems!$A:$A,FoodItems!$C:$C))</f>
        <v/>
      </c>
      <c r="H109">
        <f>IF(E109="","",E109/100*XLOOKUP(XLOOKUP(C109,Portions!$A:$A,Portions!$B:$B),FoodItems!$A:$A,FoodItems!$D:$D))</f>
        <v/>
      </c>
      <c r="I109">
        <f>IF(E109="","",E109/100*XLOOKUP(XLOOKUP(C109,Portions!$A:$A,Portions!$B:$B),FoodItems!$A:$A,FoodItems!$E:$E))</f>
        <v/>
      </c>
    </row>
    <row r="110">
      <c r="E110">
        <f>IF(C110="","",D110*XLOOKUP(C110,Portions!$A:$A,Portions!$D:$D))</f>
        <v/>
      </c>
      <c r="F110">
        <f>IF(E110="","",E110/100*XLOOKUP(XLOOKUP(C110,Portions!$A:$A,Portions!$B:$B),FoodItems!$A:$A,FoodItems!$B:$B))</f>
        <v/>
      </c>
      <c r="G110">
        <f>IF(E110="","",E110/100*XLOOKUP(XLOOKUP(C110,Portions!$A:$A,Portions!$B:$B),FoodItems!$A:$A,FoodItems!$C:$C))</f>
        <v/>
      </c>
      <c r="H110">
        <f>IF(E110="","",E110/100*XLOOKUP(XLOOKUP(C110,Portions!$A:$A,Portions!$B:$B),FoodItems!$A:$A,FoodItems!$D:$D))</f>
        <v/>
      </c>
      <c r="I110">
        <f>IF(E110="","",E110/100*XLOOKUP(XLOOKUP(C110,Portions!$A:$A,Portions!$B:$B),FoodItems!$A:$A,FoodItems!$E:$E))</f>
        <v/>
      </c>
    </row>
    <row r="111">
      <c r="E111">
        <f>IF(C111="","",D111*XLOOKUP(C111,Portions!$A:$A,Portions!$D:$D))</f>
        <v/>
      </c>
      <c r="F111">
        <f>IF(E111="","",E111/100*XLOOKUP(XLOOKUP(C111,Portions!$A:$A,Portions!$B:$B),FoodItems!$A:$A,FoodItems!$B:$B))</f>
        <v/>
      </c>
      <c r="G111">
        <f>IF(E111="","",E111/100*XLOOKUP(XLOOKUP(C111,Portions!$A:$A,Portions!$B:$B),FoodItems!$A:$A,FoodItems!$C:$C))</f>
        <v/>
      </c>
      <c r="H111">
        <f>IF(E111="","",E111/100*XLOOKUP(XLOOKUP(C111,Portions!$A:$A,Portions!$B:$B),FoodItems!$A:$A,FoodItems!$D:$D))</f>
        <v/>
      </c>
      <c r="I111">
        <f>IF(E111="","",E111/100*XLOOKUP(XLOOKUP(C111,Portions!$A:$A,Portions!$B:$B),FoodItems!$A:$A,FoodItems!$E:$E))</f>
        <v/>
      </c>
    </row>
    <row r="112">
      <c r="E112">
        <f>IF(C112="","",D112*XLOOKUP(C112,Portions!$A:$A,Portions!$D:$D))</f>
        <v/>
      </c>
      <c r="F112">
        <f>IF(E112="","",E112/100*XLOOKUP(XLOOKUP(C112,Portions!$A:$A,Portions!$B:$B),FoodItems!$A:$A,FoodItems!$B:$B))</f>
        <v/>
      </c>
      <c r="G112">
        <f>IF(E112="","",E112/100*XLOOKUP(XLOOKUP(C112,Portions!$A:$A,Portions!$B:$B),FoodItems!$A:$A,FoodItems!$C:$C))</f>
        <v/>
      </c>
      <c r="H112">
        <f>IF(E112="","",E112/100*XLOOKUP(XLOOKUP(C112,Portions!$A:$A,Portions!$B:$B),FoodItems!$A:$A,FoodItems!$D:$D))</f>
        <v/>
      </c>
      <c r="I112">
        <f>IF(E112="","",E112/100*XLOOKUP(XLOOKUP(C112,Portions!$A:$A,Portions!$B:$B),FoodItems!$A:$A,FoodItems!$E:$E))</f>
        <v/>
      </c>
    </row>
    <row r="113">
      <c r="E113">
        <f>IF(C113="","",D113*XLOOKUP(C113,Portions!$A:$A,Portions!$D:$D))</f>
        <v/>
      </c>
      <c r="F113">
        <f>IF(E113="","",E113/100*XLOOKUP(XLOOKUP(C113,Portions!$A:$A,Portions!$B:$B),FoodItems!$A:$A,FoodItems!$B:$B))</f>
        <v/>
      </c>
      <c r="G113">
        <f>IF(E113="","",E113/100*XLOOKUP(XLOOKUP(C113,Portions!$A:$A,Portions!$B:$B),FoodItems!$A:$A,FoodItems!$C:$C))</f>
        <v/>
      </c>
      <c r="H113">
        <f>IF(E113="","",E113/100*XLOOKUP(XLOOKUP(C113,Portions!$A:$A,Portions!$B:$B),FoodItems!$A:$A,FoodItems!$D:$D))</f>
        <v/>
      </c>
      <c r="I113">
        <f>IF(E113="","",E113/100*XLOOKUP(XLOOKUP(C113,Portions!$A:$A,Portions!$B:$B),FoodItems!$A:$A,FoodItems!$E:$E))</f>
        <v/>
      </c>
    </row>
    <row r="114">
      <c r="E114">
        <f>IF(C114="","",D114*XLOOKUP(C114,Portions!$A:$A,Portions!$D:$D))</f>
        <v/>
      </c>
      <c r="F114">
        <f>IF(E114="","",E114/100*XLOOKUP(XLOOKUP(C114,Portions!$A:$A,Portions!$B:$B),FoodItems!$A:$A,FoodItems!$B:$B))</f>
        <v/>
      </c>
      <c r="G114">
        <f>IF(E114="","",E114/100*XLOOKUP(XLOOKUP(C114,Portions!$A:$A,Portions!$B:$B),FoodItems!$A:$A,FoodItems!$C:$C))</f>
        <v/>
      </c>
      <c r="H114">
        <f>IF(E114="","",E114/100*XLOOKUP(XLOOKUP(C114,Portions!$A:$A,Portions!$B:$B),FoodItems!$A:$A,FoodItems!$D:$D))</f>
        <v/>
      </c>
      <c r="I114">
        <f>IF(E114="","",E114/100*XLOOKUP(XLOOKUP(C114,Portions!$A:$A,Portions!$B:$B),FoodItems!$A:$A,FoodItems!$E:$E))</f>
        <v/>
      </c>
    </row>
    <row r="115">
      <c r="E115">
        <f>IF(C115="","",D115*XLOOKUP(C115,Portions!$A:$A,Portions!$D:$D))</f>
        <v/>
      </c>
      <c r="F115">
        <f>IF(E115="","",E115/100*XLOOKUP(XLOOKUP(C115,Portions!$A:$A,Portions!$B:$B),FoodItems!$A:$A,FoodItems!$B:$B))</f>
        <v/>
      </c>
      <c r="G115">
        <f>IF(E115="","",E115/100*XLOOKUP(XLOOKUP(C115,Portions!$A:$A,Portions!$B:$B),FoodItems!$A:$A,FoodItems!$C:$C))</f>
        <v/>
      </c>
      <c r="H115">
        <f>IF(E115="","",E115/100*XLOOKUP(XLOOKUP(C115,Portions!$A:$A,Portions!$B:$B),FoodItems!$A:$A,FoodItems!$D:$D))</f>
        <v/>
      </c>
      <c r="I115">
        <f>IF(E115="","",E115/100*XLOOKUP(XLOOKUP(C115,Portions!$A:$A,Portions!$B:$B),FoodItems!$A:$A,FoodItems!$E:$E))</f>
        <v/>
      </c>
    </row>
    <row r="116">
      <c r="E116">
        <f>IF(C116="","",D116*XLOOKUP(C116,Portions!$A:$A,Portions!$D:$D))</f>
        <v/>
      </c>
      <c r="F116">
        <f>IF(E116="","",E116/100*XLOOKUP(XLOOKUP(C116,Portions!$A:$A,Portions!$B:$B),FoodItems!$A:$A,FoodItems!$B:$B))</f>
        <v/>
      </c>
      <c r="G116">
        <f>IF(E116="","",E116/100*XLOOKUP(XLOOKUP(C116,Portions!$A:$A,Portions!$B:$B),FoodItems!$A:$A,FoodItems!$C:$C))</f>
        <v/>
      </c>
      <c r="H116">
        <f>IF(E116="","",E116/100*XLOOKUP(XLOOKUP(C116,Portions!$A:$A,Portions!$B:$B),FoodItems!$A:$A,FoodItems!$D:$D))</f>
        <v/>
      </c>
      <c r="I116">
        <f>IF(E116="","",E116/100*XLOOKUP(XLOOKUP(C116,Portions!$A:$A,Portions!$B:$B),FoodItems!$A:$A,FoodItems!$E:$E))</f>
        <v/>
      </c>
    </row>
    <row r="117">
      <c r="E117">
        <f>IF(C117="","",D117*XLOOKUP(C117,Portions!$A:$A,Portions!$D:$D))</f>
        <v/>
      </c>
      <c r="F117">
        <f>IF(E117="","",E117/100*XLOOKUP(XLOOKUP(C117,Portions!$A:$A,Portions!$B:$B),FoodItems!$A:$A,FoodItems!$B:$B))</f>
        <v/>
      </c>
      <c r="G117">
        <f>IF(E117="","",E117/100*XLOOKUP(XLOOKUP(C117,Portions!$A:$A,Portions!$B:$B),FoodItems!$A:$A,FoodItems!$C:$C))</f>
        <v/>
      </c>
      <c r="H117">
        <f>IF(E117="","",E117/100*XLOOKUP(XLOOKUP(C117,Portions!$A:$A,Portions!$B:$B),FoodItems!$A:$A,FoodItems!$D:$D))</f>
        <v/>
      </c>
      <c r="I117">
        <f>IF(E117="","",E117/100*XLOOKUP(XLOOKUP(C117,Portions!$A:$A,Portions!$B:$B),FoodItems!$A:$A,FoodItems!$E:$E))</f>
        <v/>
      </c>
    </row>
    <row r="118">
      <c r="E118">
        <f>IF(C118="","",D118*XLOOKUP(C118,Portions!$A:$A,Portions!$D:$D))</f>
        <v/>
      </c>
      <c r="F118">
        <f>IF(E118="","",E118/100*XLOOKUP(XLOOKUP(C118,Portions!$A:$A,Portions!$B:$B),FoodItems!$A:$A,FoodItems!$B:$B))</f>
        <v/>
      </c>
      <c r="G118">
        <f>IF(E118="","",E118/100*XLOOKUP(XLOOKUP(C118,Portions!$A:$A,Portions!$B:$B),FoodItems!$A:$A,FoodItems!$C:$C))</f>
        <v/>
      </c>
      <c r="H118">
        <f>IF(E118="","",E118/100*XLOOKUP(XLOOKUP(C118,Portions!$A:$A,Portions!$B:$B),FoodItems!$A:$A,FoodItems!$D:$D))</f>
        <v/>
      </c>
      <c r="I118">
        <f>IF(E118="","",E118/100*XLOOKUP(XLOOKUP(C118,Portions!$A:$A,Portions!$B:$B),FoodItems!$A:$A,FoodItems!$E:$E))</f>
        <v/>
      </c>
    </row>
    <row r="119">
      <c r="E119">
        <f>IF(C119="","",D119*XLOOKUP(C119,Portions!$A:$A,Portions!$D:$D))</f>
        <v/>
      </c>
      <c r="F119">
        <f>IF(E119="","",E119/100*XLOOKUP(XLOOKUP(C119,Portions!$A:$A,Portions!$B:$B),FoodItems!$A:$A,FoodItems!$B:$B))</f>
        <v/>
      </c>
      <c r="G119">
        <f>IF(E119="","",E119/100*XLOOKUP(XLOOKUP(C119,Portions!$A:$A,Portions!$B:$B),FoodItems!$A:$A,FoodItems!$C:$C))</f>
        <v/>
      </c>
      <c r="H119">
        <f>IF(E119="","",E119/100*XLOOKUP(XLOOKUP(C119,Portions!$A:$A,Portions!$B:$B),FoodItems!$A:$A,FoodItems!$D:$D))</f>
        <v/>
      </c>
      <c r="I119">
        <f>IF(E119="","",E119/100*XLOOKUP(XLOOKUP(C119,Portions!$A:$A,Portions!$B:$B),FoodItems!$A:$A,FoodItems!$E:$E))</f>
        <v/>
      </c>
    </row>
    <row r="120">
      <c r="E120">
        <f>IF(C120="","",D120*XLOOKUP(C120,Portions!$A:$A,Portions!$D:$D))</f>
        <v/>
      </c>
      <c r="F120">
        <f>IF(E120="","",E120/100*XLOOKUP(XLOOKUP(C120,Portions!$A:$A,Portions!$B:$B),FoodItems!$A:$A,FoodItems!$B:$B))</f>
        <v/>
      </c>
      <c r="G120">
        <f>IF(E120="","",E120/100*XLOOKUP(XLOOKUP(C120,Portions!$A:$A,Portions!$B:$B),FoodItems!$A:$A,FoodItems!$C:$C))</f>
        <v/>
      </c>
      <c r="H120">
        <f>IF(E120="","",E120/100*XLOOKUP(XLOOKUP(C120,Portions!$A:$A,Portions!$B:$B),FoodItems!$A:$A,FoodItems!$D:$D))</f>
        <v/>
      </c>
      <c r="I120">
        <f>IF(E120="","",E120/100*XLOOKUP(XLOOKUP(C120,Portions!$A:$A,Portions!$B:$B),FoodItems!$A:$A,FoodItems!$E:$E))</f>
        <v/>
      </c>
    </row>
    <row r="121">
      <c r="E121">
        <f>IF(C121="","",D121*XLOOKUP(C121,Portions!$A:$A,Portions!$D:$D))</f>
        <v/>
      </c>
      <c r="F121">
        <f>IF(E121="","",E121/100*XLOOKUP(XLOOKUP(C121,Portions!$A:$A,Portions!$B:$B),FoodItems!$A:$A,FoodItems!$B:$B))</f>
        <v/>
      </c>
      <c r="G121">
        <f>IF(E121="","",E121/100*XLOOKUP(XLOOKUP(C121,Portions!$A:$A,Portions!$B:$B),FoodItems!$A:$A,FoodItems!$C:$C))</f>
        <v/>
      </c>
      <c r="H121">
        <f>IF(E121="","",E121/100*XLOOKUP(XLOOKUP(C121,Portions!$A:$A,Portions!$B:$B),FoodItems!$A:$A,FoodItems!$D:$D))</f>
        <v/>
      </c>
      <c r="I121">
        <f>IF(E121="","",E121/100*XLOOKUP(XLOOKUP(C121,Portions!$A:$A,Portions!$B:$B),FoodItems!$A:$A,FoodItems!$E:$E))</f>
        <v/>
      </c>
    </row>
    <row r="122">
      <c r="E122">
        <f>IF(C122="","",D122*XLOOKUP(C122,Portions!$A:$A,Portions!$D:$D))</f>
        <v/>
      </c>
      <c r="F122">
        <f>IF(E122="","",E122/100*XLOOKUP(XLOOKUP(C122,Portions!$A:$A,Portions!$B:$B),FoodItems!$A:$A,FoodItems!$B:$B))</f>
        <v/>
      </c>
      <c r="G122">
        <f>IF(E122="","",E122/100*XLOOKUP(XLOOKUP(C122,Portions!$A:$A,Portions!$B:$B),FoodItems!$A:$A,FoodItems!$C:$C))</f>
        <v/>
      </c>
      <c r="H122">
        <f>IF(E122="","",E122/100*XLOOKUP(XLOOKUP(C122,Portions!$A:$A,Portions!$B:$B),FoodItems!$A:$A,FoodItems!$D:$D))</f>
        <v/>
      </c>
      <c r="I122">
        <f>IF(E122="","",E122/100*XLOOKUP(XLOOKUP(C122,Portions!$A:$A,Portions!$B:$B),FoodItems!$A:$A,FoodItems!$E:$E))</f>
        <v/>
      </c>
    </row>
    <row r="123">
      <c r="E123">
        <f>IF(C123="","",D123*XLOOKUP(C123,Portions!$A:$A,Portions!$D:$D))</f>
        <v/>
      </c>
      <c r="F123">
        <f>IF(E123="","",E123/100*XLOOKUP(XLOOKUP(C123,Portions!$A:$A,Portions!$B:$B),FoodItems!$A:$A,FoodItems!$B:$B))</f>
        <v/>
      </c>
      <c r="G123">
        <f>IF(E123="","",E123/100*XLOOKUP(XLOOKUP(C123,Portions!$A:$A,Portions!$B:$B),FoodItems!$A:$A,FoodItems!$C:$C))</f>
        <v/>
      </c>
      <c r="H123">
        <f>IF(E123="","",E123/100*XLOOKUP(XLOOKUP(C123,Portions!$A:$A,Portions!$B:$B),FoodItems!$A:$A,FoodItems!$D:$D))</f>
        <v/>
      </c>
      <c r="I123">
        <f>IF(E123="","",E123/100*XLOOKUP(XLOOKUP(C123,Portions!$A:$A,Portions!$B:$B),FoodItems!$A:$A,FoodItems!$E:$E))</f>
        <v/>
      </c>
    </row>
    <row r="124">
      <c r="E124">
        <f>IF(C124="","",D124*XLOOKUP(C124,Portions!$A:$A,Portions!$D:$D))</f>
        <v/>
      </c>
      <c r="F124">
        <f>IF(E124="","",E124/100*XLOOKUP(XLOOKUP(C124,Portions!$A:$A,Portions!$B:$B),FoodItems!$A:$A,FoodItems!$B:$B))</f>
        <v/>
      </c>
      <c r="G124">
        <f>IF(E124="","",E124/100*XLOOKUP(XLOOKUP(C124,Portions!$A:$A,Portions!$B:$B),FoodItems!$A:$A,FoodItems!$C:$C))</f>
        <v/>
      </c>
      <c r="H124">
        <f>IF(E124="","",E124/100*XLOOKUP(XLOOKUP(C124,Portions!$A:$A,Portions!$B:$B),FoodItems!$A:$A,FoodItems!$D:$D))</f>
        <v/>
      </c>
      <c r="I124">
        <f>IF(E124="","",E124/100*XLOOKUP(XLOOKUP(C124,Portions!$A:$A,Portions!$B:$B),FoodItems!$A:$A,FoodItems!$E:$E))</f>
        <v/>
      </c>
    </row>
    <row r="125">
      <c r="E125">
        <f>IF(C125="","",D125*XLOOKUP(C125,Portions!$A:$A,Portions!$D:$D))</f>
        <v/>
      </c>
      <c r="F125">
        <f>IF(E125="","",E125/100*XLOOKUP(XLOOKUP(C125,Portions!$A:$A,Portions!$B:$B),FoodItems!$A:$A,FoodItems!$B:$B))</f>
        <v/>
      </c>
      <c r="G125">
        <f>IF(E125="","",E125/100*XLOOKUP(XLOOKUP(C125,Portions!$A:$A,Portions!$B:$B),FoodItems!$A:$A,FoodItems!$C:$C))</f>
        <v/>
      </c>
      <c r="H125">
        <f>IF(E125="","",E125/100*XLOOKUP(XLOOKUP(C125,Portions!$A:$A,Portions!$B:$B),FoodItems!$A:$A,FoodItems!$D:$D))</f>
        <v/>
      </c>
      <c r="I125">
        <f>IF(E125="","",E125/100*XLOOKUP(XLOOKUP(C125,Portions!$A:$A,Portions!$B:$B),FoodItems!$A:$A,FoodItems!$E:$E))</f>
        <v/>
      </c>
    </row>
    <row r="126">
      <c r="E126">
        <f>IF(C126="","",D126*XLOOKUP(C126,Portions!$A:$A,Portions!$D:$D))</f>
        <v/>
      </c>
      <c r="F126">
        <f>IF(E126="","",E126/100*XLOOKUP(XLOOKUP(C126,Portions!$A:$A,Portions!$B:$B),FoodItems!$A:$A,FoodItems!$B:$B))</f>
        <v/>
      </c>
      <c r="G126">
        <f>IF(E126="","",E126/100*XLOOKUP(XLOOKUP(C126,Portions!$A:$A,Portions!$B:$B),FoodItems!$A:$A,FoodItems!$C:$C))</f>
        <v/>
      </c>
      <c r="H126">
        <f>IF(E126="","",E126/100*XLOOKUP(XLOOKUP(C126,Portions!$A:$A,Portions!$B:$B),FoodItems!$A:$A,FoodItems!$D:$D))</f>
        <v/>
      </c>
      <c r="I126">
        <f>IF(E126="","",E126/100*XLOOKUP(XLOOKUP(C126,Portions!$A:$A,Portions!$B:$B),FoodItems!$A:$A,FoodItems!$E:$E))</f>
        <v/>
      </c>
    </row>
    <row r="127">
      <c r="E127">
        <f>IF(C127="","",D127*XLOOKUP(C127,Portions!$A:$A,Portions!$D:$D))</f>
        <v/>
      </c>
      <c r="F127">
        <f>IF(E127="","",E127/100*XLOOKUP(XLOOKUP(C127,Portions!$A:$A,Portions!$B:$B),FoodItems!$A:$A,FoodItems!$B:$B))</f>
        <v/>
      </c>
      <c r="G127">
        <f>IF(E127="","",E127/100*XLOOKUP(XLOOKUP(C127,Portions!$A:$A,Portions!$B:$B),FoodItems!$A:$A,FoodItems!$C:$C))</f>
        <v/>
      </c>
      <c r="H127">
        <f>IF(E127="","",E127/100*XLOOKUP(XLOOKUP(C127,Portions!$A:$A,Portions!$B:$B),FoodItems!$A:$A,FoodItems!$D:$D))</f>
        <v/>
      </c>
      <c r="I127">
        <f>IF(E127="","",E127/100*XLOOKUP(XLOOKUP(C127,Portions!$A:$A,Portions!$B:$B),FoodItems!$A:$A,FoodItems!$E:$E))</f>
        <v/>
      </c>
    </row>
    <row r="128">
      <c r="E128">
        <f>IF(C128="","",D128*XLOOKUP(C128,Portions!$A:$A,Portions!$D:$D))</f>
        <v/>
      </c>
      <c r="F128">
        <f>IF(E128="","",E128/100*XLOOKUP(XLOOKUP(C128,Portions!$A:$A,Portions!$B:$B),FoodItems!$A:$A,FoodItems!$B:$B))</f>
        <v/>
      </c>
      <c r="G128">
        <f>IF(E128="","",E128/100*XLOOKUP(XLOOKUP(C128,Portions!$A:$A,Portions!$B:$B),FoodItems!$A:$A,FoodItems!$C:$C))</f>
        <v/>
      </c>
      <c r="H128">
        <f>IF(E128="","",E128/100*XLOOKUP(XLOOKUP(C128,Portions!$A:$A,Portions!$B:$B),FoodItems!$A:$A,FoodItems!$D:$D))</f>
        <v/>
      </c>
      <c r="I128">
        <f>IF(E128="","",E128/100*XLOOKUP(XLOOKUP(C128,Portions!$A:$A,Portions!$B:$B),FoodItems!$A:$A,FoodItems!$E:$E))</f>
        <v/>
      </c>
    </row>
    <row r="129">
      <c r="E129">
        <f>IF(C129="","",D129*XLOOKUP(C129,Portions!$A:$A,Portions!$D:$D))</f>
        <v/>
      </c>
      <c r="F129">
        <f>IF(E129="","",E129/100*XLOOKUP(XLOOKUP(C129,Portions!$A:$A,Portions!$B:$B),FoodItems!$A:$A,FoodItems!$B:$B))</f>
        <v/>
      </c>
      <c r="G129">
        <f>IF(E129="","",E129/100*XLOOKUP(XLOOKUP(C129,Portions!$A:$A,Portions!$B:$B),FoodItems!$A:$A,FoodItems!$C:$C))</f>
        <v/>
      </c>
      <c r="H129">
        <f>IF(E129="","",E129/100*XLOOKUP(XLOOKUP(C129,Portions!$A:$A,Portions!$B:$B),FoodItems!$A:$A,FoodItems!$D:$D))</f>
        <v/>
      </c>
      <c r="I129">
        <f>IF(E129="","",E129/100*XLOOKUP(XLOOKUP(C129,Portions!$A:$A,Portions!$B:$B),FoodItems!$A:$A,FoodItems!$E:$E))</f>
        <v/>
      </c>
    </row>
    <row r="130">
      <c r="E130">
        <f>IF(C130="","",D130*XLOOKUP(C130,Portions!$A:$A,Portions!$D:$D))</f>
        <v/>
      </c>
      <c r="F130">
        <f>IF(E130="","",E130/100*XLOOKUP(XLOOKUP(C130,Portions!$A:$A,Portions!$B:$B),FoodItems!$A:$A,FoodItems!$B:$B))</f>
        <v/>
      </c>
      <c r="G130">
        <f>IF(E130="","",E130/100*XLOOKUP(XLOOKUP(C130,Portions!$A:$A,Portions!$B:$B),FoodItems!$A:$A,FoodItems!$C:$C))</f>
        <v/>
      </c>
      <c r="H130">
        <f>IF(E130="","",E130/100*XLOOKUP(XLOOKUP(C130,Portions!$A:$A,Portions!$B:$B),FoodItems!$A:$A,FoodItems!$D:$D))</f>
        <v/>
      </c>
      <c r="I130">
        <f>IF(E130="","",E130/100*XLOOKUP(XLOOKUP(C130,Portions!$A:$A,Portions!$B:$B),FoodItems!$A:$A,FoodItems!$E:$E))</f>
        <v/>
      </c>
    </row>
    <row r="131">
      <c r="E131">
        <f>IF(C131="","",D131*XLOOKUP(C131,Portions!$A:$A,Portions!$D:$D))</f>
        <v/>
      </c>
      <c r="F131">
        <f>IF(E131="","",E131/100*XLOOKUP(XLOOKUP(C131,Portions!$A:$A,Portions!$B:$B),FoodItems!$A:$A,FoodItems!$B:$B))</f>
        <v/>
      </c>
      <c r="G131">
        <f>IF(E131="","",E131/100*XLOOKUP(XLOOKUP(C131,Portions!$A:$A,Portions!$B:$B),FoodItems!$A:$A,FoodItems!$C:$C))</f>
        <v/>
      </c>
      <c r="H131">
        <f>IF(E131="","",E131/100*XLOOKUP(XLOOKUP(C131,Portions!$A:$A,Portions!$B:$B),FoodItems!$A:$A,FoodItems!$D:$D))</f>
        <v/>
      </c>
      <c r="I131">
        <f>IF(E131="","",E131/100*XLOOKUP(XLOOKUP(C131,Portions!$A:$A,Portions!$B:$B),FoodItems!$A:$A,FoodItems!$E:$E))</f>
        <v/>
      </c>
    </row>
    <row r="132">
      <c r="E132">
        <f>IF(C132="","",D132*XLOOKUP(C132,Portions!$A:$A,Portions!$D:$D))</f>
        <v/>
      </c>
      <c r="F132">
        <f>IF(E132="","",E132/100*XLOOKUP(XLOOKUP(C132,Portions!$A:$A,Portions!$B:$B),FoodItems!$A:$A,FoodItems!$B:$B))</f>
        <v/>
      </c>
      <c r="G132">
        <f>IF(E132="","",E132/100*XLOOKUP(XLOOKUP(C132,Portions!$A:$A,Portions!$B:$B),FoodItems!$A:$A,FoodItems!$C:$C))</f>
        <v/>
      </c>
      <c r="H132">
        <f>IF(E132="","",E132/100*XLOOKUP(XLOOKUP(C132,Portions!$A:$A,Portions!$B:$B),FoodItems!$A:$A,FoodItems!$D:$D))</f>
        <v/>
      </c>
      <c r="I132">
        <f>IF(E132="","",E132/100*XLOOKUP(XLOOKUP(C132,Portions!$A:$A,Portions!$B:$B),FoodItems!$A:$A,FoodItems!$E:$E))</f>
        <v/>
      </c>
    </row>
    <row r="133">
      <c r="E133">
        <f>IF(C133="","",D133*XLOOKUP(C133,Portions!$A:$A,Portions!$D:$D))</f>
        <v/>
      </c>
      <c r="F133">
        <f>IF(E133="","",E133/100*XLOOKUP(XLOOKUP(C133,Portions!$A:$A,Portions!$B:$B),FoodItems!$A:$A,FoodItems!$B:$B))</f>
        <v/>
      </c>
      <c r="G133">
        <f>IF(E133="","",E133/100*XLOOKUP(XLOOKUP(C133,Portions!$A:$A,Portions!$B:$B),FoodItems!$A:$A,FoodItems!$C:$C))</f>
        <v/>
      </c>
      <c r="H133">
        <f>IF(E133="","",E133/100*XLOOKUP(XLOOKUP(C133,Portions!$A:$A,Portions!$B:$B),FoodItems!$A:$A,FoodItems!$D:$D))</f>
        <v/>
      </c>
      <c r="I133">
        <f>IF(E133="","",E133/100*XLOOKUP(XLOOKUP(C133,Portions!$A:$A,Portions!$B:$B),FoodItems!$A:$A,FoodItems!$E:$E))</f>
        <v/>
      </c>
    </row>
    <row r="134">
      <c r="E134">
        <f>IF(C134="","",D134*XLOOKUP(C134,Portions!$A:$A,Portions!$D:$D))</f>
        <v/>
      </c>
      <c r="F134">
        <f>IF(E134="","",E134/100*XLOOKUP(XLOOKUP(C134,Portions!$A:$A,Portions!$B:$B),FoodItems!$A:$A,FoodItems!$B:$B))</f>
        <v/>
      </c>
      <c r="G134">
        <f>IF(E134="","",E134/100*XLOOKUP(XLOOKUP(C134,Portions!$A:$A,Portions!$B:$B),FoodItems!$A:$A,FoodItems!$C:$C))</f>
        <v/>
      </c>
      <c r="H134">
        <f>IF(E134="","",E134/100*XLOOKUP(XLOOKUP(C134,Portions!$A:$A,Portions!$B:$B),FoodItems!$A:$A,FoodItems!$D:$D))</f>
        <v/>
      </c>
      <c r="I134">
        <f>IF(E134="","",E134/100*XLOOKUP(XLOOKUP(C134,Portions!$A:$A,Portions!$B:$B),FoodItems!$A:$A,FoodItems!$E:$E))</f>
        <v/>
      </c>
    </row>
    <row r="135">
      <c r="E135">
        <f>IF(C135="","",D135*XLOOKUP(C135,Portions!$A:$A,Portions!$D:$D))</f>
        <v/>
      </c>
      <c r="F135">
        <f>IF(E135="","",E135/100*XLOOKUP(XLOOKUP(C135,Portions!$A:$A,Portions!$B:$B),FoodItems!$A:$A,FoodItems!$B:$B))</f>
        <v/>
      </c>
      <c r="G135">
        <f>IF(E135="","",E135/100*XLOOKUP(XLOOKUP(C135,Portions!$A:$A,Portions!$B:$B),FoodItems!$A:$A,FoodItems!$C:$C))</f>
        <v/>
      </c>
      <c r="H135">
        <f>IF(E135="","",E135/100*XLOOKUP(XLOOKUP(C135,Portions!$A:$A,Portions!$B:$B),FoodItems!$A:$A,FoodItems!$D:$D))</f>
        <v/>
      </c>
      <c r="I135">
        <f>IF(E135="","",E135/100*XLOOKUP(XLOOKUP(C135,Portions!$A:$A,Portions!$B:$B),FoodItems!$A:$A,FoodItems!$E:$E))</f>
        <v/>
      </c>
    </row>
    <row r="136">
      <c r="E136">
        <f>IF(C136="","",D136*XLOOKUP(C136,Portions!$A:$A,Portions!$D:$D))</f>
        <v/>
      </c>
      <c r="F136">
        <f>IF(E136="","",E136/100*XLOOKUP(XLOOKUP(C136,Portions!$A:$A,Portions!$B:$B),FoodItems!$A:$A,FoodItems!$B:$B))</f>
        <v/>
      </c>
      <c r="G136">
        <f>IF(E136="","",E136/100*XLOOKUP(XLOOKUP(C136,Portions!$A:$A,Portions!$B:$B),FoodItems!$A:$A,FoodItems!$C:$C))</f>
        <v/>
      </c>
      <c r="H136">
        <f>IF(E136="","",E136/100*XLOOKUP(XLOOKUP(C136,Portions!$A:$A,Portions!$B:$B),FoodItems!$A:$A,FoodItems!$D:$D))</f>
        <v/>
      </c>
      <c r="I136">
        <f>IF(E136="","",E136/100*XLOOKUP(XLOOKUP(C136,Portions!$A:$A,Portions!$B:$B),FoodItems!$A:$A,FoodItems!$E:$E))</f>
        <v/>
      </c>
    </row>
    <row r="137">
      <c r="E137">
        <f>IF(C137="","",D137*XLOOKUP(C137,Portions!$A:$A,Portions!$D:$D))</f>
        <v/>
      </c>
      <c r="F137">
        <f>IF(E137="","",E137/100*XLOOKUP(XLOOKUP(C137,Portions!$A:$A,Portions!$B:$B),FoodItems!$A:$A,FoodItems!$B:$B))</f>
        <v/>
      </c>
      <c r="G137">
        <f>IF(E137="","",E137/100*XLOOKUP(XLOOKUP(C137,Portions!$A:$A,Portions!$B:$B),FoodItems!$A:$A,FoodItems!$C:$C))</f>
        <v/>
      </c>
      <c r="H137">
        <f>IF(E137="","",E137/100*XLOOKUP(XLOOKUP(C137,Portions!$A:$A,Portions!$B:$B),FoodItems!$A:$A,FoodItems!$D:$D))</f>
        <v/>
      </c>
      <c r="I137">
        <f>IF(E137="","",E137/100*XLOOKUP(XLOOKUP(C137,Portions!$A:$A,Portions!$B:$B),FoodItems!$A:$A,FoodItems!$E:$E))</f>
        <v/>
      </c>
    </row>
    <row r="138">
      <c r="E138">
        <f>IF(C138="","",D138*XLOOKUP(C138,Portions!$A:$A,Portions!$D:$D))</f>
        <v/>
      </c>
      <c r="F138">
        <f>IF(E138="","",E138/100*XLOOKUP(XLOOKUP(C138,Portions!$A:$A,Portions!$B:$B),FoodItems!$A:$A,FoodItems!$B:$B))</f>
        <v/>
      </c>
      <c r="G138">
        <f>IF(E138="","",E138/100*XLOOKUP(XLOOKUP(C138,Portions!$A:$A,Portions!$B:$B),FoodItems!$A:$A,FoodItems!$C:$C))</f>
        <v/>
      </c>
      <c r="H138">
        <f>IF(E138="","",E138/100*XLOOKUP(XLOOKUP(C138,Portions!$A:$A,Portions!$B:$B),FoodItems!$A:$A,FoodItems!$D:$D))</f>
        <v/>
      </c>
      <c r="I138">
        <f>IF(E138="","",E138/100*XLOOKUP(XLOOKUP(C138,Portions!$A:$A,Portions!$B:$B),FoodItems!$A:$A,FoodItems!$E:$E))</f>
        <v/>
      </c>
    </row>
    <row r="139">
      <c r="E139">
        <f>IF(C139="","",D139*XLOOKUP(C139,Portions!$A:$A,Portions!$D:$D))</f>
        <v/>
      </c>
      <c r="F139">
        <f>IF(E139="","",E139/100*XLOOKUP(XLOOKUP(C139,Portions!$A:$A,Portions!$B:$B),FoodItems!$A:$A,FoodItems!$B:$B))</f>
        <v/>
      </c>
      <c r="G139">
        <f>IF(E139="","",E139/100*XLOOKUP(XLOOKUP(C139,Portions!$A:$A,Portions!$B:$B),FoodItems!$A:$A,FoodItems!$C:$C))</f>
        <v/>
      </c>
      <c r="H139">
        <f>IF(E139="","",E139/100*XLOOKUP(XLOOKUP(C139,Portions!$A:$A,Portions!$B:$B),FoodItems!$A:$A,FoodItems!$D:$D))</f>
        <v/>
      </c>
      <c r="I139">
        <f>IF(E139="","",E139/100*XLOOKUP(XLOOKUP(C139,Portions!$A:$A,Portions!$B:$B),FoodItems!$A:$A,FoodItems!$E:$E))</f>
        <v/>
      </c>
    </row>
    <row r="140">
      <c r="E140">
        <f>IF(C140="","",D140*XLOOKUP(C140,Portions!$A:$A,Portions!$D:$D))</f>
        <v/>
      </c>
      <c r="F140">
        <f>IF(E140="","",E140/100*XLOOKUP(XLOOKUP(C140,Portions!$A:$A,Portions!$B:$B),FoodItems!$A:$A,FoodItems!$B:$B))</f>
        <v/>
      </c>
      <c r="G140">
        <f>IF(E140="","",E140/100*XLOOKUP(XLOOKUP(C140,Portions!$A:$A,Portions!$B:$B),FoodItems!$A:$A,FoodItems!$C:$C))</f>
        <v/>
      </c>
      <c r="H140">
        <f>IF(E140="","",E140/100*XLOOKUP(XLOOKUP(C140,Portions!$A:$A,Portions!$B:$B),FoodItems!$A:$A,FoodItems!$D:$D))</f>
        <v/>
      </c>
      <c r="I140">
        <f>IF(E140="","",E140/100*XLOOKUP(XLOOKUP(C140,Portions!$A:$A,Portions!$B:$B),FoodItems!$A:$A,FoodItems!$E:$E))</f>
        <v/>
      </c>
    </row>
    <row r="141">
      <c r="E141">
        <f>IF(C141="","",D141*XLOOKUP(C141,Portions!$A:$A,Portions!$D:$D))</f>
        <v/>
      </c>
      <c r="F141">
        <f>IF(E141="","",E141/100*XLOOKUP(XLOOKUP(C141,Portions!$A:$A,Portions!$B:$B),FoodItems!$A:$A,FoodItems!$B:$B))</f>
        <v/>
      </c>
      <c r="G141">
        <f>IF(E141="","",E141/100*XLOOKUP(XLOOKUP(C141,Portions!$A:$A,Portions!$B:$B),FoodItems!$A:$A,FoodItems!$C:$C))</f>
        <v/>
      </c>
      <c r="H141">
        <f>IF(E141="","",E141/100*XLOOKUP(XLOOKUP(C141,Portions!$A:$A,Portions!$B:$B),FoodItems!$A:$A,FoodItems!$D:$D))</f>
        <v/>
      </c>
      <c r="I141">
        <f>IF(E141="","",E141/100*XLOOKUP(XLOOKUP(C141,Portions!$A:$A,Portions!$B:$B),FoodItems!$A:$A,FoodItems!$E:$E))</f>
        <v/>
      </c>
    </row>
    <row r="142">
      <c r="E142">
        <f>IF(C142="","",D142*XLOOKUP(C142,Portions!$A:$A,Portions!$D:$D))</f>
        <v/>
      </c>
      <c r="F142">
        <f>IF(E142="","",E142/100*XLOOKUP(XLOOKUP(C142,Portions!$A:$A,Portions!$B:$B),FoodItems!$A:$A,FoodItems!$B:$B))</f>
        <v/>
      </c>
      <c r="G142">
        <f>IF(E142="","",E142/100*XLOOKUP(XLOOKUP(C142,Portions!$A:$A,Portions!$B:$B),FoodItems!$A:$A,FoodItems!$C:$C))</f>
        <v/>
      </c>
      <c r="H142">
        <f>IF(E142="","",E142/100*XLOOKUP(XLOOKUP(C142,Portions!$A:$A,Portions!$B:$B),FoodItems!$A:$A,FoodItems!$D:$D))</f>
        <v/>
      </c>
      <c r="I142">
        <f>IF(E142="","",E142/100*XLOOKUP(XLOOKUP(C142,Portions!$A:$A,Portions!$B:$B),FoodItems!$A:$A,FoodItems!$E:$E))</f>
        <v/>
      </c>
    </row>
    <row r="143">
      <c r="E143">
        <f>IF(C143="","",D143*XLOOKUP(C143,Portions!$A:$A,Portions!$D:$D))</f>
        <v/>
      </c>
      <c r="F143">
        <f>IF(E143="","",E143/100*XLOOKUP(XLOOKUP(C143,Portions!$A:$A,Portions!$B:$B),FoodItems!$A:$A,FoodItems!$B:$B))</f>
        <v/>
      </c>
      <c r="G143">
        <f>IF(E143="","",E143/100*XLOOKUP(XLOOKUP(C143,Portions!$A:$A,Portions!$B:$B),FoodItems!$A:$A,FoodItems!$C:$C))</f>
        <v/>
      </c>
      <c r="H143">
        <f>IF(E143="","",E143/100*XLOOKUP(XLOOKUP(C143,Portions!$A:$A,Portions!$B:$B),FoodItems!$A:$A,FoodItems!$D:$D))</f>
        <v/>
      </c>
      <c r="I143">
        <f>IF(E143="","",E143/100*XLOOKUP(XLOOKUP(C143,Portions!$A:$A,Portions!$B:$B),FoodItems!$A:$A,FoodItems!$E:$E))</f>
        <v/>
      </c>
    </row>
    <row r="144">
      <c r="E144">
        <f>IF(C144="","",D144*XLOOKUP(C144,Portions!$A:$A,Portions!$D:$D))</f>
        <v/>
      </c>
      <c r="F144">
        <f>IF(E144="","",E144/100*XLOOKUP(XLOOKUP(C144,Portions!$A:$A,Portions!$B:$B),FoodItems!$A:$A,FoodItems!$B:$B))</f>
        <v/>
      </c>
      <c r="G144">
        <f>IF(E144="","",E144/100*XLOOKUP(XLOOKUP(C144,Portions!$A:$A,Portions!$B:$B),FoodItems!$A:$A,FoodItems!$C:$C))</f>
        <v/>
      </c>
      <c r="H144">
        <f>IF(E144="","",E144/100*XLOOKUP(XLOOKUP(C144,Portions!$A:$A,Portions!$B:$B),FoodItems!$A:$A,FoodItems!$D:$D))</f>
        <v/>
      </c>
      <c r="I144">
        <f>IF(E144="","",E144/100*XLOOKUP(XLOOKUP(C144,Portions!$A:$A,Portions!$B:$B),FoodItems!$A:$A,FoodItems!$E:$E))</f>
        <v/>
      </c>
    </row>
    <row r="145">
      <c r="E145">
        <f>IF(C145="","",D145*XLOOKUP(C145,Portions!$A:$A,Portions!$D:$D))</f>
        <v/>
      </c>
      <c r="F145">
        <f>IF(E145="","",E145/100*XLOOKUP(XLOOKUP(C145,Portions!$A:$A,Portions!$B:$B),FoodItems!$A:$A,FoodItems!$B:$B))</f>
        <v/>
      </c>
      <c r="G145">
        <f>IF(E145="","",E145/100*XLOOKUP(XLOOKUP(C145,Portions!$A:$A,Portions!$B:$B),FoodItems!$A:$A,FoodItems!$C:$C))</f>
        <v/>
      </c>
      <c r="H145">
        <f>IF(E145="","",E145/100*XLOOKUP(XLOOKUP(C145,Portions!$A:$A,Portions!$B:$B),FoodItems!$A:$A,FoodItems!$D:$D))</f>
        <v/>
      </c>
      <c r="I145">
        <f>IF(E145="","",E145/100*XLOOKUP(XLOOKUP(C145,Portions!$A:$A,Portions!$B:$B),FoodItems!$A:$A,FoodItems!$E:$E))</f>
        <v/>
      </c>
    </row>
    <row r="146">
      <c r="E146">
        <f>IF(C146="","",D146*XLOOKUP(C146,Portions!$A:$A,Portions!$D:$D))</f>
        <v/>
      </c>
      <c r="F146">
        <f>IF(E146="","",E146/100*XLOOKUP(XLOOKUP(C146,Portions!$A:$A,Portions!$B:$B),FoodItems!$A:$A,FoodItems!$B:$B))</f>
        <v/>
      </c>
      <c r="G146">
        <f>IF(E146="","",E146/100*XLOOKUP(XLOOKUP(C146,Portions!$A:$A,Portions!$B:$B),FoodItems!$A:$A,FoodItems!$C:$C))</f>
        <v/>
      </c>
      <c r="H146">
        <f>IF(E146="","",E146/100*XLOOKUP(XLOOKUP(C146,Portions!$A:$A,Portions!$B:$B),FoodItems!$A:$A,FoodItems!$D:$D))</f>
        <v/>
      </c>
      <c r="I146">
        <f>IF(E146="","",E146/100*XLOOKUP(XLOOKUP(C146,Portions!$A:$A,Portions!$B:$B),FoodItems!$A:$A,FoodItems!$E:$E))</f>
        <v/>
      </c>
    </row>
    <row r="147">
      <c r="E147">
        <f>IF(C147="","",D147*XLOOKUP(C147,Portions!$A:$A,Portions!$D:$D))</f>
        <v/>
      </c>
      <c r="F147">
        <f>IF(E147="","",E147/100*XLOOKUP(XLOOKUP(C147,Portions!$A:$A,Portions!$B:$B),FoodItems!$A:$A,FoodItems!$B:$B))</f>
        <v/>
      </c>
      <c r="G147">
        <f>IF(E147="","",E147/100*XLOOKUP(XLOOKUP(C147,Portions!$A:$A,Portions!$B:$B),FoodItems!$A:$A,FoodItems!$C:$C))</f>
        <v/>
      </c>
      <c r="H147">
        <f>IF(E147="","",E147/100*XLOOKUP(XLOOKUP(C147,Portions!$A:$A,Portions!$B:$B),FoodItems!$A:$A,FoodItems!$D:$D))</f>
        <v/>
      </c>
      <c r="I147">
        <f>IF(E147="","",E147/100*XLOOKUP(XLOOKUP(C147,Portions!$A:$A,Portions!$B:$B),FoodItems!$A:$A,FoodItems!$E:$E))</f>
        <v/>
      </c>
    </row>
    <row r="148">
      <c r="E148">
        <f>IF(C148="","",D148*XLOOKUP(C148,Portions!$A:$A,Portions!$D:$D))</f>
        <v/>
      </c>
      <c r="F148">
        <f>IF(E148="","",E148/100*XLOOKUP(XLOOKUP(C148,Portions!$A:$A,Portions!$B:$B),FoodItems!$A:$A,FoodItems!$B:$B))</f>
        <v/>
      </c>
      <c r="G148">
        <f>IF(E148="","",E148/100*XLOOKUP(XLOOKUP(C148,Portions!$A:$A,Portions!$B:$B),FoodItems!$A:$A,FoodItems!$C:$C))</f>
        <v/>
      </c>
      <c r="H148">
        <f>IF(E148="","",E148/100*XLOOKUP(XLOOKUP(C148,Portions!$A:$A,Portions!$B:$B),FoodItems!$A:$A,FoodItems!$D:$D))</f>
        <v/>
      </c>
      <c r="I148">
        <f>IF(E148="","",E148/100*XLOOKUP(XLOOKUP(C148,Portions!$A:$A,Portions!$B:$B),FoodItems!$A:$A,FoodItems!$E:$E))</f>
        <v/>
      </c>
    </row>
    <row r="149">
      <c r="E149">
        <f>IF(C149="","",D149*XLOOKUP(C149,Portions!$A:$A,Portions!$D:$D))</f>
        <v/>
      </c>
      <c r="F149">
        <f>IF(E149="","",E149/100*XLOOKUP(XLOOKUP(C149,Portions!$A:$A,Portions!$B:$B),FoodItems!$A:$A,FoodItems!$B:$B))</f>
        <v/>
      </c>
      <c r="G149">
        <f>IF(E149="","",E149/100*XLOOKUP(XLOOKUP(C149,Portions!$A:$A,Portions!$B:$B),FoodItems!$A:$A,FoodItems!$C:$C))</f>
        <v/>
      </c>
      <c r="H149">
        <f>IF(E149="","",E149/100*XLOOKUP(XLOOKUP(C149,Portions!$A:$A,Portions!$B:$B),FoodItems!$A:$A,FoodItems!$D:$D))</f>
        <v/>
      </c>
      <c r="I149">
        <f>IF(E149="","",E149/100*XLOOKUP(XLOOKUP(C149,Portions!$A:$A,Portions!$B:$B),FoodItems!$A:$A,FoodItems!$E:$E))</f>
        <v/>
      </c>
    </row>
    <row r="150">
      <c r="E150">
        <f>IF(C150="","",D150*XLOOKUP(C150,Portions!$A:$A,Portions!$D:$D))</f>
        <v/>
      </c>
      <c r="F150">
        <f>IF(E150="","",E150/100*XLOOKUP(XLOOKUP(C150,Portions!$A:$A,Portions!$B:$B),FoodItems!$A:$A,FoodItems!$B:$B))</f>
        <v/>
      </c>
      <c r="G150">
        <f>IF(E150="","",E150/100*XLOOKUP(XLOOKUP(C150,Portions!$A:$A,Portions!$B:$B),FoodItems!$A:$A,FoodItems!$C:$C))</f>
        <v/>
      </c>
      <c r="H150">
        <f>IF(E150="","",E150/100*XLOOKUP(XLOOKUP(C150,Portions!$A:$A,Portions!$B:$B),FoodItems!$A:$A,FoodItems!$D:$D))</f>
        <v/>
      </c>
      <c r="I150">
        <f>IF(E150="","",E150/100*XLOOKUP(XLOOKUP(C150,Portions!$A:$A,Portions!$B:$B),FoodItems!$A:$A,FoodItems!$E:$E))</f>
        <v/>
      </c>
    </row>
    <row r="151">
      <c r="E151">
        <f>IF(C151="","",D151*XLOOKUP(C151,Portions!$A:$A,Portions!$D:$D))</f>
        <v/>
      </c>
      <c r="F151">
        <f>IF(E151="","",E151/100*XLOOKUP(XLOOKUP(C151,Portions!$A:$A,Portions!$B:$B),FoodItems!$A:$A,FoodItems!$B:$B))</f>
        <v/>
      </c>
      <c r="G151">
        <f>IF(E151="","",E151/100*XLOOKUP(XLOOKUP(C151,Portions!$A:$A,Portions!$B:$B),FoodItems!$A:$A,FoodItems!$C:$C))</f>
        <v/>
      </c>
      <c r="H151">
        <f>IF(E151="","",E151/100*XLOOKUP(XLOOKUP(C151,Portions!$A:$A,Portions!$B:$B),FoodItems!$A:$A,FoodItems!$D:$D))</f>
        <v/>
      </c>
      <c r="I151">
        <f>IF(E151="","",E151/100*XLOOKUP(XLOOKUP(C151,Portions!$A:$A,Portions!$B:$B),FoodItems!$A:$A,FoodItems!$E:$E))</f>
        <v/>
      </c>
    </row>
    <row r="152">
      <c r="E152">
        <f>IF(C152="","",D152*XLOOKUP(C152,Portions!$A:$A,Portions!$D:$D))</f>
        <v/>
      </c>
      <c r="F152">
        <f>IF(E152="","",E152/100*XLOOKUP(XLOOKUP(C152,Portions!$A:$A,Portions!$B:$B),FoodItems!$A:$A,FoodItems!$B:$B))</f>
        <v/>
      </c>
      <c r="G152">
        <f>IF(E152="","",E152/100*XLOOKUP(XLOOKUP(C152,Portions!$A:$A,Portions!$B:$B),FoodItems!$A:$A,FoodItems!$C:$C))</f>
        <v/>
      </c>
      <c r="H152">
        <f>IF(E152="","",E152/100*XLOOKUP(XLOOKUP(C152,Portions!$A:$A,Portions!$B:$B),FoodItems!$A:$A,FoodItems!$D:$D))</f>
        <v/>
      </c>
      <c r="I152">
        <f>IF(E152="","",E152/100*XLOOKUP(XLOOKUP(C152,Portions!$A:$A,Portions!$B:$B),FoodItems!$A:$A,FoodItems!$E:$E))</f>
        <v/>
      </c>
    </row>
    <row r="153">
      <c r="E153">
        <f>IF(C153="","",D153*XLOOKUP(C153,Portions!$A:$A,Portions!$D:$D))</f>
        <v/>
      </c>
      <c r="F153">
        <f>IF(E153="","",E153/100*XLOOKUP(XLOOKUP(C153,Portions!$A:$A,Portions!$B:$B),FoodItems!$A:$A,FoodItems!$B:$B))</f>
        <v/>
      </c>
      <c r="G153">
        <f>IF(E153="","",E153/100*XLOOKUP(XLOOKUP(C153,Portions!$A:$A,Portions!$B:$B),FoodItems!$A:$A,FoodItems!$C:$C))</f>
        <v/>
      </c>
      <c r="H153">
        <f>IF(E153="","",E153/100*XLOOKUP(XLOOKUP(C153,Portions!$A:$A,Portions!$B:$B),FoodItems!$A:$A,FoodItems!$D:$D))</f>
        <v/>
      </c>
      <c r="I153">
        <f>IF(E153="","",E153/100*XLOOKUP(XLOOKUP(C153,Portions!$A:$A,Portions!$B:$B),FoodItems!$A:$A,FoodItems!$E:$E))</f>
        <v/>
      </c>
    </row>
    <row r="154">
      <c r="E154">
        <f>IF(C154="","",D154*XLOOKUP(C154,Portions!$A:$A,Portions!$D:$D))</f>
        <v/>
      </c>
      <c r="F154">
        <f>IF(E154="","",E154/100*XLOOKUP(XLOOKUP(C154,Portions!$A:$A,Portions!$B:$B),FoodItems!$A:$A,FoodItems!$B:$B))</f>
        <v/>
      </c>
      <c r="G154">
        <f>IF(E154="","",E154/100*XLOOKUP(XLOOKUP(C154,Portions!$A:$A,Portions!$B:$B),FoodItems!$A:$A,FoodItems!$C:$C))</f>
        <v/>
      </c>
      <c r="H154">
        <f>IF(E154="","",E154/100*XLOOKUP(XLOOKUP(C154,Portions!$A:$A,Portions!$B:$B),FoodItems!$A:$A,FoodItems!$D:$D))</f>
        <v/>
      </c>
      <c r="I154">
        <f>IF(E154="","",E154/100*XLOOKUP(XLOOKUP(C154,Portions!$A:$A,Portions!$B:$B),FoodItems!$A:$A,FoodItems!$E:$E))</f>
        <v/>
      </c>
    </row>
    <row r="155">
      <c r="E155">
        <f>IF(C155="","",D155*XLOOKUP(C155,Portions!$A:$A,Portions!$D:$D))</f>
        <v/>
      </c>
      <c r="F155">
        <f>IF(E155="","",E155/100*XLOOKUP(XLOOKUP(C155,Portions!$A:$A,Portions!$B:$B),FoodItems!$A:$A,FoodItems!$B:$B))</f>
        <v/>
      </c>
      <c r="G155">
        <f>IF(E155="","",E155/100*XLOOKUP(XLOOKUP(C155,Portions!$A:$A,Portions!$B:$B),FoodItems!$A:$A,FoodItems!$C:$C))</f>
        <v/>
      </c>
      <c r="H155">
        <f>IF(E155="","",E155/100*XLOOKUP(XLOOKUP(C155,Portions!$A:$A,Portions!$B:$B),FoodItems!$A:$A,FoodItems!$D:$D))</f>
        <v/>
      </c>
      <c r="I155">
        <f>IF(E155="","",E155/100*XLOOKUP(XLOOKUP(C155,Portions!$A:$A,Portions!$B:$B),FoodItems!$A:$A,FoodItems!$E:$E))</f>
        <v/>
      </c>
    </row>
    <row r="156">
      <c r="E156">
        <f>IF(C156="","",D156*XLOOKUP(C156,Portions!$A:$A,Portions!$D:$D))</f>
        <v/>
      </c>
      <c r="F156">
        <f>IF(E156="","",E156/100*XLOOKUP(XLOOKUP(C156,Portions!$A:$A,Portions!$B:$B),FoodItems!$A:$A,FoodItems!$B:$B))</f>
        <v/>
      </c>
      <c r="G156">
        <f>IF(E156="","",E156/100*XLOOKUP(XLOOKUP(C156,Portions!$A:$A,Portions!$B:$B),FoodItems!$A:$A,FoodItems!$C:$C))</f>
        <v/>
      </c>
      <c r="H156">
        <f>IF(E156="","",E156/100*XLOOKUP(XLOOKUP(C156,Portions!$A:$A,Portions!$B:$B),FoodItems!$A:$A,FoodItems!$D:$D))</f>
        <v/>
      </c>
      <c r="I156">
        <f>IF(E156="","",E156/100*XLOOKUP(XLOOKUP(C156,Portions!$A:$A,Portions!$B:$B),FoodItems!$A:$A,FoodItems!$E:$E))</f>
        <v/>
      </c>
    </row>
    <row r="157">
      <c r="E157">
        <f>IF(C157="","",D157*XLOOKUP(C157,Portions!$A:$A,Portions!$D:$D))</f>
        <v/>
      </c>
      <c r="F157">
        <f>IF(E157="","",E157/100*XLOOKUP(XLOOKUP(C157,Portions!$A:$A,Portions!$B:$B),FoodItems!$A:$A,FoodItems!$B:$B))</f>
        <v/>
      </c>
      <c r="G157">
        <f>IF(E157="","",E157/100*XLOOKUP(XLOOKUP(C157,Portions!$A:$A,Portions!$B:$B),FoodItems!$A:$A,FoodItems!$C:$C))</f>
        <v/>
      </c>
      <c r="H157">
        <f>IF(E157="","",E157/100*XLOOKUP(XLOOKUP(C157,Portions!$A:$A,Portions!$B:$B),FoodItems!$A:$A,FoodItems!$D:$D))</f>
        <v/>
      </c>
      <c r="I157">
        <f>IF(E157="","",E157/100*XLOOKUP(XLOOKUP(C157,Portions!$A:$A,Portions!$B:$B),FoodItems!$A:$A,FoodItems!$E:$E))</f>
        <v/>
      </c>
    </row>
    <row r="158">
      <c r="E158">
        <f>IF(C158="","",D158*XLOOKUP(C158,Portions!$A:$A,Portions!$D:$D))</f>
        <v/>
      </c>
      <c r="F158">
        <f>IF(E158="","",E158/100*XLOOKUP(XLOOKUP(C158,Portions!$A:$A,Portions!$B:$B),FoodItems!$A:$A,FoodItems!$B:$B))</f>
        <v/>
      </c>
      <c r="G158">
        <f>IF(E158="","",E158/100*XLOOKUP(XLOOKUP(C158,Portions!$A:$A,Portions!$B:$B),FoodItems!$A:$A,FoodItems!$C:$C))</f>
        <v/>
      </c>
      <c r="H158">
        <f>IF(E158="","",E158/100*XLOOKUP(XLOOKUP(C158,Portions!$A:$A,Portions!$B:$B),FoodItems!$A:$A,FoodItems!$D:$D))</f>
        <v/>
      </c>
      <c r="I158">
        <f>IF(E158="","",E158/100*XLOOKUP(XLOOKUP(C158,Portions!$A:$A,Portions!$B:$B),FoodItems!$A:$A,FoodItems!$E:$E))</f>
        <v/>
      </c>
    </row>
    <row r="159">
      <c r="E159">
        <f>IF(C159="","",D159*XLOOKUP(C159,Portions!$A:$A,Portions!$D:$D))</f>
        <v/>
      </c>
      <c r="F159">
        <f>IF(E159="","",E159/100*XLOOKUP(XLOOKUP(C159,Portions!$A:$A,Portions!$B:$B),FoodItems!$A:$A,FoodItems!$B:$B))</f>
        <v/>
      </c>
      <c r="G159">
        <f>IF(E159="","",E159/100*XLOOKUP(XLOOKUP(C159,Portions!$A:$A,Portions!$B:$B),FoodItems!$A:$A,FoodItems!$C:$C))</f>
        <v/>
      </c>
      <c r="H159">
        <f>IF(E159="","",E159/100*XLOOKUP(XLOOKUP(C159,Portions!$A:$A,Portions!$B:$B),FoodItems!$A:$A,FoodItems!$D:$D))</f>
        <v/>
      </c>
      <c r="I159">
        <f>IF(E159="","",E159/100*XLOOKUP(XLOOKUP(C159,Portions!$A:$A,Portions!$B:$B),FoodItems!$A:$A,FoodItems!$E:$E))</f>
        <v/>
      </c>
    </row>
    <row r="160">
      <c r="E160">
        <f>IF(C160="","",D160*XLOOKUP(C160,Portions!$A:$A,Portions!$D:$D))</f>
        <v/>
      </c>
      <c r="F160">
        <f>IF(E160="","",E160/100*XLOOKUP(XLOOKUP(C160,Portions!$A:$A,Portions!$B:$B),FoodItems!$A:$A,FoodItems!$B:$B))</f>
        <v/>
      </c>
      <c r="G160">
        <f>IF(E160="","",E160/100*XLOOKUP(XLOOKUP(C160,Portions!$A:$A,Portions!$B:$B),FoodItems!$A:$A,FoodItems!$C:$C))</f>
        <v/>
      </c>
      <c r="H160">
        <f>IF(E160="","",E160/100*XLOOKUP(XLOOKUP(C160,Portions!$A:$A,Portions!$B:$B),FoodItems!$A:$A,FoodItems!$D:$D))</f>
        <v/>
      </c>
      <c r="I160">
        <f>IF(E160="","",E160/100*XLOOKUP(XLOOKUP(C160,Portions!$A:$A,Portions!$B:$B),FoodItems!$A:$A,FoodItems!$E:$E))</f>
        <v/>
      </c>
    </row>
    <row r="161">
      <c r="E161">
        <f>IF(C161="","",D161*XLOOKUP(C161,Portions!$A:$A,Portions!$D:$D))</f>
        <v/>
      </c>
      <c r="F161">
        <f>IF(E161="","",E161/100*XLOOKUP(XLOOKUP(C161,Portions!$A:$A,Portions!$B:$B),FoodItems!$A:$A,FoodItems!$B:$B))</f>
        <v/>
      </c>
      <c r="G161">
        <f>IF(E161="","",E161/100*XLOOKUP(XLOOKUP(C161,Portions!$A:$A,Portions!$B:$B),FoodItems!$A:$A,FoodItems!$C:$C))</f>
        <v/>
      </c>
      <c r="H161">
        <f>IF(E161="","",E161/100*XLOOKUP(XLOOKUP(C161,Portions!$A:$A,Portions!$B:$B),FoodItems!$A:$A,FoodItems!$D:$D))</f>
        <v/>
      </c>
      <c r="I161">
        <f>IF(E161="","",E161/100*XLOOKUP(XLOOKUP(C161,Portions!$A:$A,Portions!$B:$B),FoodItems!$A:$A,FoodItems!$E:$E))</f>
        <v/>
      </c>
    </row>
    <row r="162">
      <c r="E162">
        <f>IF(C162="","",D162*XLOOKUP(C162,Portions!$A:$A,Portions!$D:$D))</f>
        <v/>
      </c>
      <c r="F162">
        <f>IF(E162="","",E162/100*XLOOKUP(XLOOKUP(C162,Portions!$A:$A,Portions!$B:$B),FoodItems!$A:$A,FoodItems!$B:$B))</f>
        <v/>
      </c>
      <c r="G162">
        <f>IF(E162="","",E162/100*XLOOKUP(XLOOKUP(C162,Portions!$A:$A,Portions!$B:$B),FoodItems!$A:$A,FoodItems!$C:$C))</f>
        <v/>
      </c>
      <c r="H162">
        <f>IF(E162="","",E162/100*XLOOKUP(XLOOKUP(C162,Portions!$A:$A,Portions!$B:$B),FoodItems!$A:$A,FoodItems!$D:$D))</f>
        <v/>
      </c>
      <c r="I162">
        <f>IF(E162="","",E162/100*XLOOKUP(XLOOKUP(C162,Portions!$A:$A,Portions!$B:$B),FoodItems!$A:$A,FoodItems!$E:$E))</f>
        <v/>
      </c>
    </row>
    <row r="163">
      <c r="E163">
        <f>IF(C163="","",D163*XLOOKUP(C163,Portions!$A:$A,Portions!$D:$D))</f>
        <v/>
      </c>
      <c r="F163">
        <f>IF(E163="","",E163/100*XLOOKUP(XLOOKUP(C163,Portions!$A:$A,Portions!$B:$B),FoodItems!$A:$A,FoodItems!$B:$B))</f>
        <v/>
      </c>
      <c r="G163">
        <f>IF(E163="","",E163/100*XLOOKUP(XLOOKUP(C163,Portions!$A:$A,Portions!$B:$B),FoodItems!$A:$A,FoodItems!$C:$C))</f>
        <v/>
      </c>
      <c r="H163">
        <f>IF(E163="","",E163/100*XLOOKUP(XLOOKUP(C163,Portions!$A:$A,Portions!$B:$B),FoodItems!$A:$A,FoodItems!$D:$D))</f>
        <v/>
      </c>
      <c r="I163">
        <f>IF(E163="","",E163/100*XLOOKUP(XLOOKUP(C163,Portions!$A:$A,Portions!$B:$B),FoodItems!$A:$A,FoodItems!$E:$E))</f>
        <v/>
      </c>
    </row>
    <row r="164">
      <c r="E164">
        <f>IF(C164="","",D164*XLOOKUP(C164,Portions!$A:$A,Portions!$D:$D))</f>
        <v/>
      </c>
      <c r="F164">
        <f>IF(E164="","",E164/100*XLOOKUP(XLOOKUP(C164,Portions!$A:$A,Portions!$B:$B),FoodItems!$A:$A,FoodItems!$B:$B))</f>
        <v/>
      </c>
      <c r="G164">
        <f>IF(E164="","",E164/100*XLOOKUP(XLOOKUP(C164,Portions!$A:$A,Portions!$B:$B),FoodItems!$A:$A,FoodItems!$C:$C))</f>
        <v/>
      </c>
      <c r="H164">
        <f>IF(E164="","",E164/100*XLOOKUP(XLOOKUP(C164,Portions!$A:$A,Portions!$B:$B),FoodItems!$A:$A,FoodItems!$D:$D))</f>
        <v/>
      </c>
      <c r="I164">
        <f>IF(E164="","",E164/100*XLOOKUP(XLOOKUP(C164,Portions!$A:$A,Portions!$B:$B),FoodItems!$A:$A,FoodItems!$E:$E))</f>
        <v/>
      </c>
    </row>
    <row r="165">
      <c r="E165">
        <f>IF(C165="","",D165*XLOOKUP(C165,Portions!$A:$A,Portions!$D:$D))</f>
        <v/>
      </c>
      <c r="F165">
        <f>IF(E165="","",E165/100*XLOOKUP(XLOOKUP(C165,Portions!$A:$A,Portions!$B:$B),FoodItems!$A:$A,FoodItems!$B:$B))</f>
        <v/>
      </c>
      <c r="G165">
        <f>IF(E165="","",E165/100*XLOOKUP(XLOOKUP(C165,Portions!$A:$A,Portions!$B:$B),FoodItems!$A:$A,FoodItems!$C:$C))</f>
        <v/>
      </c>
      <c r="H165">
        <f>IF(E165="","",E165/100*XLOOKUP(XLOOKUP(C165,Portions!$A:$A,Portions!$B:$B),FoodItems!$A:$A,FoodItems!$D:$D))</f>
        <v/>
      </c>
      <c r="I165">
        <f>IF(E165="","",E165/100*XLOOKUP(XLOOKUP(C165,Portions!$A:$A,Portions!$B:$B),FoodItems!$A:$A,FoodItems!$E:$E))</f>
        <v/>
      </c>
    </row>
    <row r="166">
      <c r="E166">
        <f>IF(C166="","",D166*XLOOKUP(C166,Portions!$A:$A,Portions!$D:$D))</f>
        <v/>
      </c>
      <c r="F166">
        <f>IF(E166="","",E166/100*XLOOKUP(XLOOKUP(C166,Portions!$A:$A,Portions!$B:$B),FoodItems!$A:$A,FoodItems!$B:$B))</f>
        <v/>
      </c>
      <c r="G166">
        <f>IF(E166="","",E166/100*XLOOKUP(XLOOKUP(C166,Portions!$A:$A,Portions!$B:$B),FoodItems!$A:$A,FoodItems!$C:$C))</f>
        <v/>
      </c>
      <c r="H166">
        <f>IF(E166="","",E166/100*XLOOKUP(XLOOKUP(C166,Portions!$A:$A,Portions!$B:$B),FoodItems!$A:$A,FoodItems!$D:$D))</f>
        <v/>
      </c>
      <c r="I166">
        <f>IF(E166="","",E166/100*XLOOKUP(XLOOKUP(C166,Portions!$A:$A,Portions!$B:$B),FoodItems!$A:$A,FoodItems!$E:$E))</f>
        <v/>
      </c>
    </row>
    <row r="167">
      <c r="E167">
        <f>IF(C167="","",D167*XLOOKUP(C167,Portions!$A:$A,Portions!$D:$D))</f>
        <v/>
      </c>
      <c r="F167">
        <f>IF(E167="","",E167/100*XLOOKUP(XLOOKUP(C167,Portions!$A:$A,Portions!$B:$B),FoodItems!$A:$A,FoodItems!$B:$B))</f>
        <v/>
      </c>
      <c r="G167">
        <f>IF(E167="","",E167/100*XLOOKUP(XLOOKUP(C167,Portions!$A:$A,Portions!$B:$B),FoodItems!$A:$A,FoodItems!$C:$C))</f>
        <v/>
      </c>
      <c r="H167">
        <f>IF(E167="","",E167/100*XLOOKUP(XLOOKUP(C167,Portions!$A:$A,Portions!$B:$B),FoodItems!$A:$A,FoodItems!$D:$D))</f>
        <v/>
      </c>
      <c r="I167">
        <f>IF(E167="","",E167/100*XLOOKUP(XLOOKUP(C167,Portions!$A:$A,Portions!$B:$B),FoodItems!$A:$A,FoodItems!$E:$E))</f>
        <v/>
      </c>
    </row>
    <row r="168">
      <c r="E168">
        <f>IF(C168="","",D168*XLOOKUP(C168,Portions!$A:$A,Portions!$D:$D))</f>
        <v/>
      </c>
      <c r="F168">
        <f>IF(E168="","",E168/100*XLOOKUP(XLOOKUP(C168,Portions!$A:$A,Portions!$B:$B),FoodItems!$A:$A,FoodItems!$B:$B))</f>
        <v/>
      </c>
      <c r="G168">
        <f>IF(E168="","",E168/100*XLOOKUP(XLOOKUP(C168,Portions!$A:$A,Portions!$B:$B),FoodItems!$A:$A,FoodItems!$C:$C))</f>
        <v/>
      </c>
      <c r="H168">
        <f>IF(E168="","",E168/100*XLOOKUP(XLOOKUP(C168,Portions!$A:$A,Portions!$B:$B),FoodItems!$A:$A,FoodItems!$D:$D))</f>
        <v/>
      </c>
      <c r="I168">
        <f>IF(E168="","",E168/100*XLOOKUP(XLOOKUP(C168,Portions!$A:$A,Portions!$B:$B),FoodItems!$A:$A,FoodItems!$E:$E))</f>
        <v/>
      </c>
    </row>
    <row r="169">
      <c r="E169">
        <f>IF(C169="","",D169*XLOOKUP(C169,Portions!$A:$A,Portions!$D:$D))</f>
        <v/>
      </c>
      <c r="F169">
        <f>IF(E169="","",E169/100*XLOOKUP(XLOOKUP(C169,Portions!$A:$A,Portions!$B:$B),FoodItems!$A:$A,FoodItems!$B:$B))</f>
        <v/>
      </c>
      <c r="G169">
        <f>IF(E169="","",E169/100*XLOOKUP(XLOOKUP(C169,Portions!$A:$A,Portions!$B:$B),FoodItems!$A:$A,FoodItems!$C:$C))</f>
        <v/>
      </c>
      <c r="H169">
        <f>IF(E169="","",E169/100*XLOOKUP(XLOOKUP(C169,Portions!$A:$A,Portions!$B:$B),FoodItems!$A:$A,FoodItems!$D:$D))</f>
        <v/>
      </c>
      <c r="I169">
        <f>IF(E169="","",E169/100*XLOOKUP(XLOOKUP(C169,Portions!$A:$A,Portions!$B:$B),FoodItems!$A:$A,FoodItems!$E:$E))</f>
        <v/>
      </c>
    </row>
    <row r="170">
      <c r="E170">
        <f>IF(C170="","",D170*XLOOKUP(C170,Portions!$A:$A,Portions!$D:$D))</f>
        <v/>
      </c>
      <c r="F170">
        <f>IF(E170="","",E170/100*XLOOKUP(XLOOKUP(C170,Portions!$A:$A,Portions!$B:$B),FoodItems!$A:$A,FoodItems!$B:$B))</f>
        <v/>
      </c>
      <c r="G170">
        <f>IF(E170="","",E170/100*XLOOKUP(XLOOKUP(C170,Portions!$A:$A,Portions!$B:$B),FoodItems!$A:$A,FoodItems!$C:$C))</f>
        <v/>
      </c>
      <c r="H170">
        <f>IF(E170="","",E170/100*XLOOKUP(XLOOKUP(C170,Portions!$A:$A,Portions!$B:$B),FoodItems!$A:$A,FoodItems!$D:$D))</f>
        <v/>
      </c>
      <c r="I170">
        <f>IF(E170="","",E170/100*XLOOKUP(XLOOKUP(C170,Portions!$A:$A,Portions!$B:$B),FoodItems!$A:$A,FoodItems!$E:$E))</f>
        <v/>
      </c>
    </row>
    <row r="171">
      <c r="E171">
        <f>IF(C171="","",D171*XLOOKUP(C171,Portions!$A:$A,Portions!$D:$D))</f>
        <v/>
      </c>
      <c r="F171">
        <f>IF(E171="","",E171/100*XLOOKUP(XLOOKUP(C171,Portions!$A:$A,Portions!$B:$B),FoodItems!$A:$A,FoodItems!$B:$B))</f>
        <v/>
      </c>
      <c r="G171">
        <f>IF(E171="","",E171/100*XLOOKUP(XLOOKUP(C171,Portions!$A:$A,Portions!$B:$B),FoodItems!$A:$A,FoodItems!$C:$C))</f>
        <v/>
      </c>
      <c r="H171">
        <f>IF(E171="","",E171/100*XLOOKUP(XLOOKUP(C171,Portions!$A:$A,Portions!$B:$B),FoodItems!$A:$A,FoodItems!$D:$D))</f>
        <v/>
      </c>
      <c r="I171">
        <f>IF(E171="","",E171/100*XLOOKUP(XLOOKUP(C171,Portions!$A:$A,Portions!$B:$B),FoodItems!$A:$A,FoodItems!$E:$E))</f>
        <v/>
      </c>
    </row>
    <row r="172">
      <c r="E172">
        <f>IF(C172="","",D172*XLOOKUP(C172,Portions!$A:$A,Portions!$D:$D))</f>
        <v/>
      </c>
      <c r="F172">
        <f>IF(E172="","",E172/100*XLOOKUP(XLOOKUP(C172,Portions!$A:$A,Portions!$B:$B),FoodItems!$A:$A,FoodItems!$B:$B))</f>
        <v/>
      </c>
      <c r="G172">
        <f>IF(E172="","",E172/100*XLOOKUP(XLOOKUP(C172,Portions!$A:$A,Portions!$B:$B),FoodItems!$A:$A,FoodItems!$C:$C))</f>
        <v/>
      </c>
      <c r="H172">
        <f>IF(E172="","",E172/100*XLOOKUP(XLOOKUP(C172,Portions!$A:$A,Portions!$B:$B),FoodItems!$A:$A,FoodItems!$D:$D))</f>
        <v/>
      </c>
      <c r="I172">
        <f>IF(E172="","",E172/100*XLOOKUP(XLOOKUP(C172,Portions!$A:$A,Portions!$B:$B),FoodItems!$A:$A,FoodItems!$E:$E))</f>
        <v/>
      </c>
    </row>
    <row r="173">
      <c r="E173">
        <f>IF(C173="","",D173*XLOOKUP(C173,Portions!$A:$A,Portions!$D:$D))</f>
        <v/>
      </c>
      <c r="F173">
        <f>IF(E173="","",E173/100*XLOOKUP(XLOOKUP(C173,Portions!$A:$A,Portions!$B:$B),FoodItems!$A:$A,FoodItems!$B:$B))</f>
        <v/>
      </c>
      <c r="G173">
        <f>IF(E173="","",E173/100*XLOOKUP(XLOOKUP(C173,Portions!$A:$A,Portions!$B:$B),FoodItems!$A:$A,FoodItems!$C:$C))</f>
        <v/>
      </c>
      <c r="H173">
        <f>IF(E173="","",E173/100*XLOOKUP(XLOOKUP(C173,Portions!$A:$A,Portions!$B:$B),FoodItems!$A:$A,FoodItems!$D:$D))</f>
        <v/>
      </c>
      <c r="I173">
        <f>IF(E173="","",E173/100*XLOOKUP(XLOOKUP(C173,Portions!$A:$A,Portions!$B:$B),FoodItems!$A:$A,FoodItems!$E:$E))</f>
        <v/>
      </c>
    </row>
    <row r="174">
      <c r="E174">
        <f>IF(C174="","",D174*XLOOKUP(C174,Portions!$A:$A,Portions!$D:$D))</f>
        <v/>
      </c>
      <c r="F174">
        <f>IF(E174="","",E174/100*XLOOKUP(XLOOKUP(C174,Portions!$A:$A,Portions!$B:$B),FoodItems!$A:$A,FoodItems!$B:$B))</f>
        <v/>
      </c>
      <c r="G174">
        <f>IF(E174="","",E174/100*XLOOKUP(XLOOKUP(C174,Portions!$A:$A,Portions!$B:$B),FoodItems!$A:$A,FoodItems!$C:$C))</f>
        <v/>
      </c>
      <c r="H174">
        <f>IF(E174="","",E174/100*XLOOKUP(XLOOKUP(C174,Portions!$A:$A,Portions!$B:$B),FoodItems!$A:$A,FoodItems!$D:$D))</f>
        <v/>
      </c>
      <c r="I174">
        <f>IF(E174="","",E174/100*XLOOKUP(XLOOKUP(C174,Portions!$A:$A,Portions!$B:$B),FoodItems!$A:$A,FoodItems!$E:$E))</f>
        <v/>
      </c>
    </row>
    <row r="175">
      <c r="E175">
        <f>IF(C175="","",D175*XLOOKUP(C175,Portions!$A:$A,Portions!$D:$D))</f>
        <v/>
      </c>
      <c r="F175">
        <f>IF(E175="","",E175/100*XLOOKUP(XLOOKUP(C175,Portions!$A:$A,Portions!$B:$B),FoodItems!$A:$A,FoodItems!$B:$B))</f>
        <v/>
      </c>
      <c r="G175">
        <f>IF(E175="","",E175/100*XLOOKUP(XLOOKUP(C175,Portions!$A:$A,Portions!$B:$B),FoodItems!$A:$A,FoodItems!$C:$C))</f>
        <v/>
      </c>
      <c r="H175">
        <f>IF(E175="","",E175/100*XLOOKUP(XLOOKUP(C175,Portions!$A:$A,Portions!$B:$B),FoodItems!$A:$A,FoodItems!$D:$D))</f>
        <v/>
      </c>
      <c r="I175">
        <f>IF(E175="","",E175/100*XLOOKUP(XLOOKUP(C175,Portions!$A:$A,Portions!$B:$B),FoodItems!$A:$A,FoodItems!$E:$E))</f>
        <v/>
      </c>
    </row>
    <row r="176">
      <c r="E176">
        <f>IF(C176="","",D176*XLOOKUP(C176,Portions!$A:$A,Portions!$D:$D))</f>
        <v/>
      </c>
      <c r="F176">
        <f>IF(E176="","",E176/100*XLOOKUP(XLOOKUP(C176,Portions!$A:$A,Portions!$B:$B),FoodItems!$A:$A,FoodItems!$B:$B))</f>
        <v/>
      </c>
      <c r="G176">
        <f>IF(E176="","",E176/100*XLOOKUP(XLOOKUP(C176,Portions!$A:$A,Portions!$B:$B),FoodItems!$A:$A,FoodItems!$C:$C))</f>
        <v/>
      </c>
      <c r="H176">
        <f>IF(E176="","",E176/100*XLOOKUP(XLOOKUP(C176,Portions!$A:$A,Portions!$B:$B),FoodItems!$A:$A,FoodItems!$D:$D))</f>
        <v/>
      </c>
      <c r="I176">
        <f>IF(E176="","",E176/100*XLOOKUP(XLOOKUP(C176,Portions!$A:$A,Portions!$B:$B),FoodItems!$A:$A,FoodItems!$E:$E))</f>
        <v/>
      </c>
    </row>
    <row r="177">
      <c r="E177">
        <f>IF(C177="","",D177*XLOOKUP(C177,Portions!$A:$A,Portions!$D:$D))</f>
        <v/>
      </c>
      <c r="F177">
        <f>IF(E177="","",E177/100*XLOOKUP(XLOOKUP(C177,Portions!$A:$A,Portions!$B:$B),FoodItems!$A:$A,FoodItems!$B:$B))</f>
        <v/>
      </c>
      <c r="G177">
        <f>IF(E177="","",E177/100*XLOOKUP(XLOOKUP(C177,Portions!$A:$A,Portions!$B:$B),FoodItems!$A:$A,FoodItems!$C:$C))</f>
        <v/>
      </c>
      <c r="H177">
        <f>IF(E177="","",E177/100*XLOOKUP(XLOOKUP(C177,Portions!$A:$A,Portions!$B:$B),FoodItems!$A:$A,FoodItems!$D:$D))</f>
        <v/>
      </c>
      <c r="I177">
        <f>IF(E177="","",E177/100*XLOOKUP(XLOOKUP(C177,Portions!$A:$A,Portions!$B:$B),FoodItems!$A:$A,FoodItems!$E:$E))</f>
        <v/>
      </c>
    </row>
    <row r="178">
      <c r="E178">
        <f>IF(C178="","",D178*XLOOKUP(C178,Portions!$A:$A,Portions!$D:$D))</f>
        <v/>
      </c>
      <c r="F178">
        <f>IF(E178="","",E178/100*XLOOKUP(XLOOKUP(C178,Portions!$A:$A,Portions!$B:$B),FoodItems!$A:$A,FoodItems!$B:$B))</f>
        <v/>
      </c>
      <c r="G178">
        <f>IF(E178="","",E178/100*XLOOKUP(XLOOKUP(C178,Portions!$A:$A,Portions!$B:$B),FoodItems!$A:$A,FoodItems!$C:$C))</f>
        <v/>
      </c>
      <c r="H178">
        <f>IF(E178="","",E178/100*XLOOKUP(XLOOKUP(C178,Portions!$A:$A,Portions!$B:$B),FoodItems!$A:$A,FoodItems!$D:$D))</f>
        <v/>
      </c>
      <c r="I178">
        <f>IF(E178="","",E178/100*XLOOKUP(XLOOKUP(C178,Portions!$A:$A,Portions!$B:$B),FoodItems!$A:$A,FoodItems!$E:$E))</f>
        <v/>
      </c>
    </row>
    <row r="179">
      <c r="E179">
        <f>IF(C179="","",D179*XLOOKUP(C179,Portions!$A:$A,Portions!$D:$D))</f>
        <v/>
      </c>
      <c r="F179">
        <f>IF(E179="","",E179/100*XLOOKUP(XLOOKUP(C179,Portions!$A:$A,Portions!$B:$B),FoodItems!$A:$A,FoodItems!$B:$B))</f>
        <v/>
      </c>
      <c r="G179">
        <f>IF(E179="","",E179/100*XLOOKUP(XLOOKUP(C179,Portions!$A:$A,Portions!$B:$B),FoodItems!$A:$A,FoodItems!$C:$C))</f>
        <v/>
      </c>
      <c r="H179">
        <f>IF(E179="","",E179/100*XLOOKUP(XLOOKUP(C179,Portions!$A:$A,Portions!$B:$B),FoodItems!$A:$A,FoodItems!$D:$D))</f>
        <v/>
      </c>
      <c r="I179">
        <f>IF(E179="","",E179/100*XLOOKUP(XLOOKUP(C179,Portions!$A:$A,Portions!$B:$B),FoodItems!$A:$A,FoodItems!$E:$E))</f>
        <v/>
      </c>
    </row>
    <row r="180">
      <c r="E180">
        <f>IF(C180="","",D180*XLOOKUP(C180,Portions!$A:$A,Portions!$D:$D))</f>
        <v/>
      </c>
      <c r="F180">
        <f>IF(E180="","",E180/100*XLOOKUP(XLOOKUP(C180,Portions!$A:$A,Portions!$B:$B),FoodItems!$A:$A,FoodItems!$B:$B))</f>
        <v/>
      </c>
      <c r="G180">
        <f>IF(E180="","",E180/100*XLOOKUP(XLOOKUP(C180,Portions!$A:$A,Portions!$B:$B),FoodItems!$A:$A,FoodItems!$C:$C))</f>
        <v/>
      </c>
      <c r="H180">
        <f>IF(E180="","",E180/100*XLOOKUP(XLOOKUP(C180,Portions!$A:$A,Portions!$B:$B),FoodItems!$A:$A,FoodItems!$D:$D))</f>
        <v/>
      </c>
      <c r="I180">
        <f>IF(E180="","",E180/100*XLOOKUP(XLOOKUP(C180,Portions!$A:$A,Portions!$B:$B),FoodItems!$A:$A,FoodItems!$E:$E))</f>
        <v/>
      </c>
    </row>
    <row r="181">
      <c r="E181">
        <f>IF(C181="","",D181*XLOOKUP(C181,Portions!$A:$A,Portions!$D:$D))</f>
        <v/>
      </c>
      <c r="F181">
        <f>IF(E181="","",E181/100*XLOOKUP(XLOOKUP(C181,Portions!$A:$A,Portions!$B:$B),FoodItems!$A:$A,FoodItems!$B:$B))</f>
        <v/>
      </c>
      <c r="G181">
        <f>IF(E181="","",E181/100*XLOOKUP(XLOOKUP(C181,Portions!$A:$A,Portions!$B:$B),FoodItems!$A:$A,FoodItems!$C:$C))</f>
        <v/>
      </c>
      <c r="H181">
        <f>IF(E181="","",E181/100*XLOOKUP(XLOOKUP(C181,Portions!$A:$A,Portions!$B:$B),FoodItems!$A:$A,FoodItems!$D:$D))</f>
        <v/>
      </c>
      <c r="I181">
        <f>IF(E181="","",E181/100*XLOOKUP(XLOOKUP(C181,Portions!$A:$A,Portions!$B:$B),FoodItems!$A:$A,FoodItems!$E:$E))</f>
        <v/>
      </c>
    </row>
    <row r="182">
      <c r="E182">
        <f>IF(C182="","",D182*XLOOKUP(C182,Portions!$A:$A,Portions!$D:$D))</f>
        <v/>
      </c>
      <c r="F182">
        <f>IF(E182="","",E182/100*XLOOKUP(XLOOKUP(C182,Portions!$A:$A,Portions!$B:$B),FoodItems!$A:$A,FoodItems!$B:$B))</f>
        <v/>
      </c>
      <c r="G182">
        <f>IF(E182="","",E182/100*XLOOKUP(XLOOKUP(C182,Portions!$A:$A,Portions!$B:$B),FoodItems!$A:$A,FoodItems!$C:$C))</f>
        <v/>
      </c>
      <c r="H182">
        <f>IF(E182="","",E182/100*XLOOKUP(XLOOKUP(C182,Portions!$A:$A,Portions!$B:$B),FoodItems!$A:$A,FoodItems!$D:$D))</f>
        <v/>
      </c>
      <c r="I182">
        <f>IF(E182="","",E182/100*XLOOKUP(XLOOKUP(C182,Portions!$A:$A,Portions!$B:$B),FoodItems!$A:$A,FoodItems!$E:$E))</f>
        <v/>
      </c>
    </row>
    <row r="183">
      <c r="E183">
        <f>IF(C183="","",D183*XLOOKUP(C183,Portions!$A:$A,Portions!$D:$D))</f>
        <v/>
      </c>
      <c r="F183">
        <f>IF(E183="","",E183/100*XLOOKUP(XLOOKUP(C183,Portions!$A:$A,Portions!$B:$B),FoodItems!$A:$A,FoodItems!$B:$B))</f>
        <v/>
      </c>
      <c r="G183">
        <f>IF(E183="","",E183/100*XLOOKUP(XLOOKUP(C183,Portions!$A:$A,Portions!$B:$B),FoodItems!$A:$A,FoodItems!$C:$C))</f>
        <v/>
      </c>
      <c r="H183">
        <f>IF(E183="","",E183/100*XLOOKUP(XLOOKUP(C183,Portions!$A:$A,Portions!$B:$B),FoodItems!$A:$A,FoodItems!$D:$D))</f>
        <v/>
      </c>
      <c r="I183">
        <f>IF(E183="","",E183/100*XLOOKUP(XLOOKUP(C183,Portions!$A:$A,Portions!$B:$B),FoodItems!$A:$A,FoodItems!$E:$E))</f>
        <v/>
      </c>
    </row>
    <row r="184">
      <c r="E184">
        <f>IF(C184="","",D184*XLOOKUP(C184,Portions!$A:$A,Portions!$D:$D))</f>
        <v/>
      </c>
      <c r="F184">
        <f>IF(E184="","",E184/100*XLOOKUP(XLOOKUP(C184,Portions!$A:$A,Portions!$B:$B),FoodItems!$A:$A,FoodItems!$B:$B))</f>
        <v/>
      </c>
      <c r="G184">
        <f>IF(E184="","",E184/100*XLOOKUP(XLOOKUP(C184,Portions!$A:$A,Portions!$B:$B),FoodItems!$A:$A,FoodItems!$C:$C))</f>
        <v/>
      </c>
      <c r="H184">
        <f>IF(E184="","",E184/100*XLOOKUP(XLOOKUP(C184,Portions!$A:$A,Portions!$B:$B),FoodItems!$A:$A,FoodItems!$D:$D))</f>
        <v/>
      </c>
      <c r="I184">
        <f>IF(E184="","",E184/100*XLOOKUP(XLOOKUP(C184,Portions!$A:$A,Portions!$B:$B),FoodItems!$A:$A,FoodItems!$E:$E))</f>
        <v/>
      </c>
    </row>
    <row r="185">
      <c r="E185">
        <f>IF(C185="","",D185*XLOOKUP(C185,Portions!$A:$A,Portions!$D:$D))</f>
        <v/>
      </c>
      <c r="F185">
        <f>IF(E185="","",E185/100*XLOOKUP(XLOOKUP(C185,Portions!$A:$A,Portions!$B:$B),FoodItems!$A:$A,FoodItems!$B:$B))</f>
        <v/>
      </c>
      <c r="G185">
        <f>IF(E185="","",E185/100*XLOOKUP(XLOOKUP(C185,Portions!$A:$A,Portions!$B:$B),FoodItems!$A:$A,FoodItems!$C:$C))</f>
        <v/>
      </c>
      <c r="H185">
        <f>IF(E185="","",E185/100*XLOOKUP(XLOOKUP(C185,Portions!$A:$A,Portions!$B:$B),FoodItems!$A:$A,FoodItems!$D:$D))</f>
        <v/>
      </c>
      <c r="I185">
        <f>IF(E185="","",E185/100*XLOOKUP(XLOOKUP(C185,Portions!$A:$A,Portions!$B:$B),FoodItems!$A:$A,FoodItems!$E:$E))</f>
        <v/>
      </c>
    </row>
    <row r="186">
      <c r="E186">
        <f>IF(C186="","",D186*XLOOKUP(C186,Portions!$A:$A,Portions!$D:$D))</f>
        <v/>
      </c>
      <c r="F186">
        <f>IF(E186="","",E186/100*XLOOKUP(XLOOKUP(C186,Portions!$A:$A,Portions!$B:$B),FoodItems!$A:$A,FoodItems!$B:$B))</f>
        <v/>
      </c>
      <c r="G186">
        <f>IF(E186="","",E186/100*XLOOKUP(XLOOKUP(C186,Portions!$A:$A,Portions!$B:$B),FoodItems!$A:$A,FoodItems!$C:$C))</f>
        <v/>
      </c>
      <c r="H186">
        <f>IF(E186="","",E186/100*XLOOKUP(XLOOKUP(C186,Portions!$A:$A,Portions!$B:$B),FoodItems!$A:$A,FoodItems!$D:$D))</f>
        <v/>
      </c>
      <c r="I186">
        <f>IF(E186="","",E186/100*XLOOKUP(XLOOKUP(C186,Portions!$A:$A,Portions!$B:$B),FoodItems!$A:$A,FoodItems!$E:$E))</f>
        <v/>
      </c>
    </row>
    <row r="187">
      <c r="E187">
        <f>IF(C187="","",D187*XLOOKUP(C187,Portions!$A:$A,Portions!$D:$D))</f>
        <v/>
      </c>
      <c r="F187">
        <f>IF(E187="","",E187/100*XLOOKUP(XLOOKUP(C187,Portions!$A:$A,Portions!$B:$B),FoodItems!$A:$A,FoodItems!$B:$B))</f>
        <v/>
      </c>
      <c r="G187">
        <f>IF(E187="","",E187/100*XLOOKUP(XLOOKUP(C187,Portions!$A:$A,Portions!$B:$B),FoodItems!$A:$A,FoodItems!$C:$C))</f>
        <v/>
      </c>
      <c r="H187">
        <f>IF(E187="","",E187/100*XLOOKUP(XLOOKUP(C187,Portions!$A:$A,Portions!$B:$B),FoodItems!$A:$A,FoodItems!$D:$D))</f>
        <v/>
      </c>
      <c r="I187">
        <f>IF(E187="","",E187/100*XLOOKUP(XLOOKUP(C187,Portions!$A:$A,Portions!$B:$B),FoodItems!$A:$A,FoodItems!$E:$E))</f>
        <v/>
      </c>
    </row>
    <row r="188">
      <c r="E188">
        <f>IF(C188="","",D188*XLOOKUP(C188,Portions!$A:$A,Portions!$D:$D))</f>
        <v/>
      </c>
      <c r="F188">
        <f>IF(E188="","",E188/100*XLOOKUP(XLOOKUP(C188,Portions!$A:$A,Portions!$B:$B),FoodItems!$A:$A,FoodItems!$B:$B))</f>
        <v/>
      </c>
      <c r="G188">
        <f>IF(E188="","",E188/100*XLOOKUP(XLOOKUP(C188,Portions!$A:$A,Portions!$B:$B),FoodItems!$A:$A,FoodItems!$C:$C))</f>
        <v/>
      </c>
      <c r="H188">
        <f>IF(E188="","",E188/100*XLOOKUP(XLOOKUP(C188,Portions!$A:$A,Portions!$B:$B),FoodItems!$A:$A,FoodItems!$D:$D))</f>
        <v/>
      </c>
      <c r="I188">
        <f>IF(E188="","",E188/100*XLOOKUP(XLOOKUP(C188,Portions!$A:$A,Portions!$B:$B),FoodItems!$A:$A,FoodItems!$E:$E))</f>
        <v/>
      </c>
    </row>
    <row r="189">
      <c r="E189">
        <f>IF(C189="","",D189*XLOOKUP(C189,Portions!$A:$A,Portions!$D:$D))</f>
        <v/>
      </c>
      <c r="F189">
        <f>IF(E189="","",E189/100*XLOOKUP(XLOOKUP(C189,Portions!$A:$A,Portions!$B:$B),FoodItems!$A:$A,FoodItems!$B:$B))</f>
        <v/>
      </c>
      <c r="G189">
        <f>IF(E189="","",E189/100*XLOOKUP(XLOOKUP(C189,Portions!$A:$A,Portions!$B:$B),FoodItems!$A:$A,FoodItems!$C:$C))</f>
        <v/>
      </c>
      <c r="H189">
        <f>IF(E189="","",E189/100*XLOOKUP(XLOOKUP(C189,Portions!$A:$A,Portions!$B:$B),FoodItems!$A:$A,FoodItems!$D:$D))</f>
        <v/>
      </c>
      <c r="I189">
        <f>IF(E189="","",E189/100*XLOOKUP(XLOOKUP(C189,Portions!$A:$A,Portions!$B:$B),FoodItems!$A:$A,FoodItems!$E:$E))</f>
        <v/>
      </c>
    </row>
    <row r="190">
      <c r="E190">
        <f>IF(C190="","",D190*XLOOKUP(C190,Portions!$A:$A,Portions!$D:$D))</f>
        <v/>
      </c>
      <c r="F190">
        <f>IF(E190="","",E190/100*XLOOKUP(XLOOKUP(C190,Portions!$A:$A,Portions!$B:$B),FoodItems!$A:$A,FoodItems!$B:$B))</f>
        <v/>
      </c>
      <c r="G190">
        <f>IF(E190="","",E190/100*XLOOKUP(XLOOKUP(C190,Portions!$A:$A,Portions!$B:$B),FoodItems!$A:$A,FoodItems!$C:$C))</f>
        <v/>
      </c>
      <c r="H190">
        <f>IF(E190="","",E190/100*XLOOKUP(XLOOKUP(C190,Portions!$A:$A,Portions!$B:$B),FoodItems!$A:$A,FoodItems!$D:$D))</f>
        <v/>
      </c>
      <c r="I190">
        <f>IF(E190="","",E190/100*XLOOKUP(XLOOKUP(C190,Portions!$A:$A,Portions!$B:$B),FoodItems!$A:$A,FoodItems!$E:$E))</f>
        <v/>
      </c>
    </row>
    <row r="191">
      <c r="E191">
        <f>IF(C191="","",D191*XLOOKUP(C191,Portions!$A:$A,Portions!$D:$D))</f>
        <v/>
      </c>
      <c r="F191">
        <f>IF(E191="","",E191/100*XLOOKUP(XLOOKUP(C191,Portions!$A:$A,Portions!$B:$B),FoodItems!$A:$A,FoodItems!$B:$B))</f>
        <v/>
      </c>
      <c r="G191">
        <f>IF(E191="","",E191/100*XLOOKUP(XLOOKUP(C191,Portions!$A:$A,Portions!$B:$B),FoodItems!$A:$A,FoodItems!$C:$C))</f>
        <v/>
      </c>
      <c r="H191">
        <f>IF(E191="","",E191/100*XLOOKUP(XLOOKUP(C191,Portions!$A:$A,Portions!$B:$B),FoodItems!$A:$A,FoodItems!$D:$D))</f>
        <v/>
      </c>
      <c r="I191">
        <f>IF(E191="","",E191/100*XLOOKUP(XLOOKUP(C191,Portions!$A:$A,Portions!$B:$B),FoodItems!$A:$A,FoodItems!$E:$E))</f>
        <v/>
      </c>
    </row>
    <row r="192">
      <c r="E192">
        <f>IF(C192="","",D192*XLOOKUP(C192,Portions!$A:$A,Portions!$D:$D))</f>
        <v/>
      </c>
      <c r="F192">
        <f>IF(E192="","",E192/100*XLOOKUP(XLOOKUP(C192,Portions!$A:$A,Portions!$B:$B),FoodItems!$A:$A,FoodItems!$B:$B))</f>
        <v/>
      </c>
      <c r="G192">
        <f>IF(E192="","",E192/100*XLOOKUP(XLOOKUP(C192,Portions!$A:$A,Portions!$B:$B),FoodItems!$A:$A,FoodItems!$C:$C))</f>
        <v/>
      </c>
      <c r="H192">
        <f>IF(E192="","",E192/100*XLOOKUP(XLOOKUP(C192,Portions!$A:$A,Portions!$B:$B),FoodItems!$A:$A,FoodItems!$D:$D))</f>
        <v/>
      </c>
      <c r="I192">
        <f>IF(E192="","",E192/100*XLOOKUP(XLOOKUP(C192,Portions!$A:$A,Portions!$B:$B),FoodItems!$A:$A,FoodItems!$E:$E))</f>
        <v/>
      </c>
    </row>
    <row r="193">
      <c r="E193">
        <f>IF(C193="","",D193*XLOOKUP(C193,Portions!$A:$A,Portions!$D:$D))</f>
        <v/>
      </c>
      <c r="F193">
        <f>IF(E193="","",E193/100*XLOOKUP(XLOOKUP(C193,Portions!$A:$A,Portions!$B:$B),FoodItems!$A:$A,FoodItems!$B:$B))</f>
        <v/>
      </c>
      <c r="G193">
        <f>IF(E193="","",E193/100*XLOOKUP(XLOOKUP(C193,Portions!$A:$A,Portions!$B:$B),FoodItems!$A:$A,FoodItems!$C:$C))</f>
        <v/>
      </c>
      <c r="H193">
        <f>IF(E193="","",E193/100*XLOOKUP(XLOOKUP(C193,Portions!$A:$A,Portions!$B:$B),FoodItems!$A:$A,FoodItems!$D:$D))</f>
        <v/>
      </c>
      <c r="I193">
        <f>IF(E193="","",E193/100*XLOOKUP(XLOOKUP(C193,Portions!$A:$A,Portions!$B:$B),FoodItems!$A:$A,FoodItems!$E:$E))</f>
        <v/>
      </c>
    </row>
    <row r="194">
      <c r="E194">
        <f>IF(C194="","",D194*XLOOKUP(C194,Portions!$A:$A,Portions!$D:$D))</f>
        <v/>
      </c>
      <c r="F194">
        <f>IF(E194="","",E194/100*XLOOKUP(XLOOKUP(C194,Portions!$A:$A,Portions!$B:$B),FoodItems!$A:$A,FoodItems!$B:$B))</f>
        <v/>
      </c>
      <c r="G194">
        <f>IF(E194="","",E194/100*XLOOKUP(XLOOKUP(C194,Portions!$A:$A,Portions!$B:$B),FoodItems!$A:$A,FoodItems!$C:$C))</f>
        <v/>
      </c>
      <c r="H194">
        <f>IF(E194="","",E194/100*XLOOKUP(XLOOKUP(C194,Portions!$A:$A,Portions!$B:$B),FoodItems!$A:$A,FoodItems!$D:$D))</f>
        <v/>
      </c>
      <c r="I194">
        <f>IF(E194="","",E194/100*XLOOKUP(XLOOKUP(C194,Portions!$A:$A,Portions!$B:$B),FoodItems!$A:$A,FoodItems!$E:$E))</f>
        <v/>
      </c>
    </row>
    <row r="195">
      <c r="E195">
        <f>IF(C195="","",D195*XLOOKUP(C195,Portions!$A:$A,Portions!$D:$D))</f>
        <v/>
      </c>
      <c r="F195">
        <f>IF(E195="","",E195/100*XLOOKUP(XLOOKUP(C195,Portions!$A:$A,Portions!$B:$B),FoodItems!$A:$A,FoodItems!$B:$B))</f>
        <v/>
      </c>
      <c r="G195">
        <f>IF(E195="","",E195/100*XLOOKUP(XLOOKUP(C195,Portions!$A:$A,Portions!$B:$B),FoodItems!$A:$A,FoodItems!$C:$C))</f>
        <v/>
      </c>
      <c r="H195">
        <f>IF(E195="","",E195/100*XLOOKUP(XLOOKUP(C195,Portions!$A:$A,Portions!$B:$B),FoodItems!$A:$A,FoodItems!$D:$D))</f>
        <v/>
      </c>
      <c r="I195">
        <f>IF(E195="","",E195/100*XLOOKUP(XLOOKUP(C195,Portions!$A:$A,Portions!$B:$B),FoodItems!$A:$A,FoodItems!$E:$E))</f>
        <v/>
      </c>
    </row>
    <row r="196">
      <c r="E196">
        <f>IF(C196="","",D196*XLOOKUP(C196,Portions!$A:$A,Portions!$D:$D))</f>
        <v/>
      </c>
      <c r="F196">
        <f>IF(E196="","",E196/100*XLOOKUP(XLOOKUP(C196,Portions!$A:$A,Portions!$B:$B),FoodItems!$A:$A,FoodItems!$B:$B))</f>
        <v/>
      </c>
      <c r="G196">
        <f>IF(E196="","",E196/100*XLOOKUP(XLOOKUP(C196,Portions!$A:$A,Portions!$B:$B),FoodItems!$A:$A,FoodItems!$C:$C))</f>
        <v/>
      </c>
      <c r="H196">
        <f>IF(E196="","",E196/100*XLOOKUP(XLOOKUP(C196,Portions!$A:$A,Portions!$B:$B),FoodItems!$A:$A,FoodItems!$D:$D))</f>
        <v/>
      </c>
      <c r="I196">
        <f>IF(E196="","",E196/100*XLOOKUP(XLOOKUP(C196,Portions!$A:$A,Portions!$B:$B),FoodItems!$A:$A,FoodItems!$E:$E))</f>
        <v/>
      </c>
    </row>
    <row r="197">
      <c r="E197">
        <f>IF(C197="","",D197*XLOOKUP(C197,Portions!$A:$A,Portions!$D:$D))</f>
        <v/>
      </c>
      <c r="F197">
        <f>IF(E197="","",E197/100*XLOOKUP(XLOOKUP(C197,Portions!$A:$A,Portions!$B:$B),FoodItems!$A:$A,FoodItems!$B:$B))</f>
        <v/>
      </c>
      <c r="G197">
        <f>IF(E197="","",E197/100*XLOOKUP(XLOOKUP(C197,Portions!$A:$A,Portions!$B:$B),FoodItems!$A:$A,FoodItems!$C:$C))</f>
        <v/>
      </c>
      <c r="H197">
        <f>IF(E197="","",E197/100*XLOOKUP(XLOOKUP(C197,Portions!$A:$A,Portions!$B:$B),FoodItems!$A:$A,FoodItems!$D:$D))</f>
        <v/>
      </c>
      <c r="I197">
        <f>IF(E197="","",E197/100*XLOOKUP(XLOOKUP(C197,Portions!$A:$A,Portions!$B:$B),FoodItems!$A:$A,FoodItems!$E:$E))</f>
        <v/>
      </c>
    </row>
    <row r="198">
      <c r="E198">
        <f>IF(C198="","",D198*XLOOKUP(C198,Portions!$A:$A,Portions!$D:$D))</f>
        <v/>
      </c>
      <c r="F198">
        <f>IF(E198="","",E198/100*XLOOKUP(XLOOKUP(C198,Portions!$A:$A,Portions!$B:$B),FoodItems!$A:$A,FoodItems!$B:$B))</f>
        <v/>
      </c>
      <c r="G198">
        <f>IF(E198="","",E198/100*XLOOKUP(XLOOKUP(C198,Portions!$A:$A,Portions!$B:$B),FoodItems!$A:$A,FoodItems!$C:$C))</f>
        <v/>
      </c>
      <c r="H198">
        <f>IF(E198="","",E198/100*XLOOKUP(XLOOKUP(C198,Portions!$A:$A,Portions!$B:$B),FoodItems!$A:$A,FoodItems!$D:$D))</f>
        <v/>
      </c>
      <c r="I198">
        <f>IF(E198="","",E198/100*XLOOKUP(XLOOKUP(C198,Portions!$A:$A,Portions!$B:$B),FoodItems!$A:$A,FoodItems!$E:$E))</f>
        <v/>
      </c>
    </row>
    <row r="199">
      <c r="E199">
        <f>IF(C199="","",D199*XLOOKUP(C199,Portions!$A:$A,Portions!$D:$D))</f>
        <v/>
      </c>
      <c r="F199">
        <f>IF(E199="","",E199/100*XLOOKUP(XLOOKUP(C199,Portions!$A:$A,Portions!$B:$B),FoodItems!$A:$A,FoodItems!$B:$B))</f>
        <v/>
      </c>
      <c r="G199">
        <f>IF(E199="","",E199/100*XLOOKUP(XLOOKUP(C199,Portions!$A:$A,Portions!$B:$B),FoodItems!$A:$A,FoodItems!$C:$C))</f>
        <v/>
      </c>
      <c r="H199">
        <f>IF(E199="","",E199/100*XLOOKUP(XLOOKUP(C199,Portions!$A:$A,Portions!$B:$B),FoodItems!$A:$A,FoodItems!$D:$D))</f>
        <v/>
      </c>
      <c r="I199">
        <f>IF(E199="","",E199/100*XLOOKUP(XLOOKUP(C199,Portions!$A:$A,Portions!$B:$B),FoodItems!$A:$A,FoodItems!$E:$E))</f>
        <v/>
      </c>
    </row>
    <row r="200">
      <c r="E200">
        <f>IF(C200="","",D200*XLOOKUP(C200,Portions!$A:$A,Portions!$D:$D))</f>
        <v/>
      </c>
      <c r="F200">
        <f>IF(E200="","",E200/100*XLOOKUP(XLOOKUP(C200,Portions!$A:$A,Portions!$B:$B),FoodItems!$A:$A,FoodItems!$B:$B))</f>
        <v/>
      </c>
      <c r="G200">
        <f>IF(E200="","",E200/100*XLOOKUP(XLOOKUP(C200,Portions!$A:$A,Portions!$B:$B),FoodItems!$A:$A,FoodItems!$C:$C))</f>
        <v/>
      </c>
      <c r="H200">
        <f>IF(E200="","",E200/100*XLOOKUP(XLOOKUP(C200,Portions!$A:$A,Portions!$B:$B),FoodItems!$A:$A,FoodItems!$D:$D))</f>
        <v/>
      </c>
      <c r="I200">
        <f>IF(E200="","",E200/100*XLOOKUP(XLOOKUP(C200,Portions!$A:$A,Portions!$B:$B),FoodItems!$A:$A,FoodItems!$E:$E))</f>
        <v/>
      </c>
    </row>
    <row r="201">
      <c r="E201">
        <f>IF(C201="","",D201*XLOOKUP(C201,Portions!$A:$A,Portions!$D:$D))</f>
        <v/>
      </c>
      <c r="F201">
        <f>IF(E201="","",E201/100*XLOOKUP(XLOOKUP(C201,Portions!$A:$A,Portions!$B:$B),FoodItems!$A:$A,FoodItems!$B:$B))</f>
        <v/>
      </c>
      <c r="G201">
        <f>IF(E201="","",E201/100*XLOOKUP(XLOOKUP(C201,Portions!$A:$A,Portions!$B:$B),FoodItems!$A:$A,FoodItems!$C:$C))</f>
        <v/>
      </c>
      <c r="H201">
        <f>IF(E201="","",E201/100*XLOOKUP(XLOOKUP(C201,Portions!$A:$A,Portions!$B:$B),FoodItems!$A:$A,FoodItems!$D:$D))</f>
        <v/>
      </c>
      <c r="I201">
        <f>IF(E201="","",E201/100*XLOOKUP(XLOOKUP(C201,Portions!$A:$A,Portions!$B:$B),FoodItems!$A:$A,FoodItems!$E:$E))</f>
        <v/>
      </c>
    </row>
    <row r="202">
      <c r="E202">
        <f>IF(C202="","",D202*XLOOKUP(C202,Portions!$A:$A,Portions!$D:$D))</f>
        <v/>
      </c>
      <c r="F202">
        <f>IF(E202="","",E202/100*XLOOKUP(XLOOKUP(C202,Portions!$A:$A,Portions!$B:$B),FoodItems!$A:$A,FoodItems!$B:$B))</f>
        <v/>
      </c>
      <c r="G202">
        <f>IF(E202="","",E202/100*XLOOKUP(XLOOKUP(C202,Portions!$A:$A,Portions!$B:$B),FoodItems!$A:$A,FoodItems!$C:$C))</f>
        <v/>
      </c>
      <c r="H202">
        <f>IF(E202="","",E202/100*XLOOKUP(XLOOKUP(C202,Portions!$A:$A,Portions!$B:$B),FoodItems!$A:$A,FoodItems!$D:$D))</f>
        <v/>
      </c>
      <c r="I202">
        <f>IF(E202="","",E202/100*XLOOKUP(XLOOKUP(C202,Portions!$A:$A,Portions!$B:$B),FoodItems!$A:$A,FoodItems!$E:$E))</f>
        <v/>
      </c>
    </row>
    <row r="203">
      <c r="E203">
        <f>IF(C203="","",D203*XLOOKUP(C203,Portions!$A:$A,Portions!$D:$D))</f>
        <v/>
      </c>
      <c r="F203">
        <f>IF(E203="","",E203/100*XLOOKUP(XLOOKUP(C203,Portions!$A:$A,Portions!$B:$B),FoodItems!$A:$A,FoodItems!$B:$B))</f>
        <v/>
      </c>
      <c r="G203">
        <f>IF(E203="","",E203/100*XLOOKUP(XLOOKUP(C203,Portions!$A:$A,Portions!$B:$B),FoodItems!$A:$A,FoodItems!$C:$C))</f>
        <v/>
      </c>
      <c r="H203">
        <f>IF(E203="","",E203/100*XLOOKUP(XLOOKUP(C203,Portions!$A:$A,Portions!$B:$B),FoodItems!$A:$A,FoodItems!$D:$D))</f>
        <v/>
      </c>
      <c r="I203">
        <f>IF(E203="","",E203/100*XLOOKUP(XLOOKUP(C203,Portions!$A:$A,Portions!$B:$B),FoodItems!$A:$A,FoodItems!$E:$E))</f>
        <v/>
      </c>
    </row>
    <row r="204">
      <c r="E204">
        <f>IF(C204="","",D204*XLOOKUP(C204,Portions!$A:$A,Portions!$D:$D))</f>
        <v/>
      </c>
      <c r="F204">
        <f>IF(E204="","",E204/100*XLOOKUP(XLOOKUP(C204,Portions!$A:$A,Portions!$B:$B),FoodItems!$A:$A,FoodItems!$B:$B))</f>
        <v/>
      </c>
      <c r="G204">
        <f>IF(E204="","",E204/100*XLOOKUP(XLOOKUP(C204,Portions!$A:$A,Portions!$B:$B),FoodItems!$A:$A,FoodItems!$C:$C))</f>
        <v/>
      </c>
      <c r="H204">
        <f>IF(E204="","",E204/100*XLOOKUP(XLOOKUP(C204,Portions!$A:$A,Portions!$B:$B),FoodItems!$A:$A,FoodItems!$D:$D))</f>
        <v/>
      </c>
      <c r="I204">
        <f>IF(E204="","",E204/100*XLOOKUP(XLOOKUP(C204,Portions!$A:$A,Portions!$B:$B),FoodItems!$A:$A,FoodItems!$E:$E))</f>
        <v/>
      </c>
    </row>
    <row r="205">
      <c r="E205">
        <f>IF(C205="","",D205*XLOOKUP(C205,Portions!$A:$A,Portions!$D:$D))</f>
        <v/>
      </c>
      <c r="F205">
        <f>IF(E205="","",E205/100*XLOOKUP(XLOOKUP(C205,Portions!$A:$A,Portions!$B:$B),FoodItems!$A:$A,FoodItems!$B:$B))</f>
        <v/>
      </c>
      <c r="G205">
        <f>IF(E205="","",E205/100*XLOOKUP(XLOOKUP(C205,Portions!$A:$A,Portions!$B:$B),FoodItems!$A:$A,FoodItems!$C:$C))</f>
        <v/>
      </c>
      <c r="H205">
        <f>IF(E205="","",E205/100*XLOOKUP(XLOOKUP(C205,Portions!$A:$A,Portions!$B:$B),FoodItems!$A:$A,FoodItems!$D:$D))</f>
        <v/>
      </c>
      <c r="I205">
        <f>IF(E205="","",E205/100*XLOOKUP(XLOOKUP(C205,Portions!$A:$A,Portions!$B:$B),FoodItems!$A:$A,FoodItems!$E:$E))</f>
        <v/>
      </c>
    </row>
    <row r="206">
      <c r="E206">
        <f>IF(C206="","",D206*XLOOKUP(C206,Portions!$A:$A,Portions!$D:$D))</f>
        <v/>
      </c>
      <c r="F206">
        <f>IF(E206="","",E206/100*XLOOKUP(XLOOKUP(C206,Portions!$A:$A,Portions!$B:$B),FoodItems!$A:$A,FoodItems!$B:$B))</f>
        <v/>
      </c>
      <c r="G206">
        <f>IF(E206="","",E206/100*XLOOKUP(XLOOKUP(C206,Portions!$A:$A,Portions!$B:$B),FoodItems!$A:$A,FoodItems!$C:$C))</f>
        <v/>
      </c>
      <c r="H206">
        <f>IF(E206="","",E206/100*XLOOKUP(XLOOKUP(C206,Portions!$A:$A,Portions!$B:$B),FoodItems!$A:$A,FoodItems!$D:$D))</f>
        <v/>
      </c>
      <c r="I206">
        <f>IF(E206="","",E206/100*XLOOKUP(XLOOKUP(C206,Portions!$A:$A,Portions!$B:$B),FoodItems!$A:$A,FoodItems!$E:$E))</f>
        <v/>
      </c>
    </row>
    <row r="207">
      <c r="E207">
        <f>IF(C207="","",D207*XLOOKUP(C207,Portions!$A:$A,Portions!$D:$D))</f>
        <v/>
      </c>
      <c r="F207">
        <f>IF(E207="","",E207/100*XLOOKUP(XLOOKUP(C207,Portions!$A:$A,Portions!$B:$B),FoodItems!$A:$A,FoodItems!$B:$B))</f>
        <v/>
      </c>
      <c r="G207">
        <f>IF(E207="","",E207/100*XLOOKUP(XLOOKUP(C207,Portions!$A:$A,Portions!$B:$B),FoodItems!$A:$A,FoodItems!$C:$C))</f>
        <v/>
      </c>
      <c r="H207">
        <f>IF(E207="","",E207/100*XLOOKUP(XLOOKUP(C207,Portions!$A:$A,Portions!$B:$B),FoodItems!$A:$A,FoodItems!$D:$D))</f>
        <v/>
      </c>
      <c r="I207">
        <f>IF(E207="","",E207/100*XLOOKUP(XLOOKUP(C207,Portions!$A:$A,Portions!$B:$B),FoodItems!$A:$A,FoodItems!$E:$E))</f>
        <v/>
      </c>
    </row>
    <row r="208">
      <c r="E208">
        <f>IF(C208="","",D208*XLOOKUP(C208,Portions!$A:$A,Portions!$D:$D))</f>
        <v/>
      </c>
      <c r="F208">
        <f>IF(E208="","",E208/100*XLOOKUP(XLOOKUP(C208,Portions!$A:$A,Portions!$B:$B),FoodItems!$A:$A,FoodItems!$B:$B))</f>
        <v/>
      </c>
      <c r="G208">
        <f>IF(E208="","",E208/100*XLOOKUP(XLOOKUP(C208,Portions!$A:$A,Portions!$B:$B),FoodItems!$A:$A,FoodItems!$C:$C))</f>
        <v/>
      </c>
      <c r="H208">
        <f>IF(E208="","",E208/100*XLOOKUP(XLOOKUP(C208,Portions!$A:$A,Portions!$B:$B),FoodItems!$A:$A,FoodItems!$D:$D))</f>
        <v/>
      </c>
      <c r="I208">
        <f>IF(E208="","",E208/100*XLOOKUP(XLOOKUP(C208,Portions!$A:$A,Portions!$B:$B),FoodItems!$A:$A,FoodItems!$E:$E))</f>
        <v/>
      </c>
    </row>
    <row r="209">
      <c r="E209">
        <f>IF(C209="","",D209*XLOOKUP(C209,Portions!$A:$A,Portions!$D:$D))</f>
        <v/>
      </c>
      <c r="F209">
        <f>IF(E209="","",E209/100*XLOOKUP(XLOOKUP(C209,Portions!$A:$A,Portions!$B:$B),FoodItems!$A:$A,FoodItems!$B:$B))</f>
        <v/>
      </c>
      <c r="G209">
        <f>IF(E209="","",E209/100*XLOOKUP(XLOOKUP(C209,Portions!$A:$A,Portions!$B:$B),FoodItems!$A:$A,FoodItems!$C:$C))</f>
        <v/>
      </c>
      <c r="H209">
        <f>IF(E209="","",E209/100*XLOOKUP(XLOOKUP(C209,Portions!$A:$A,Portions!$B:$B),FoodItems!$A:$A,FoodItems!$D:$D))</f>
        <v/>
      </c>
      <c r="I209">
        <f>IF(E209="","",E209/100*XLOOKUP(XLOOKUP(C209,Portions!$A:$A,Portions!$B:$B),FoodItems!$A:$A,FoodItems!$E:$E))</f>
        <v/>
      </c>
    </row>
    <row r="210">
      <c r="E210">
        <f>IF(C210="","",D210*XLOOKUP(C210,Portions!$A:$A,Portions!$D:$D))</f>
        <v/>
      </c>
      <c r="F210">
        <f>IF(E210="","",E210/100*XLOOKUP(XLOOKUP(C210,Portions!$A:$A,Portions!$B:$B),FoodItems!$A:$A,FoodItems!$B:$B))</f>
        <v/>
      </c>
      <c r="G210">
        <f>IF(E210="","",E210/100*XLOOKUP(XLOOKUP(C210,Portions!$A:$A,Portions!$B:$B),FoodItems!$A:$A,FoodItems!$C:$C))</f>
        <v/>
      </c>
      <c r="H210">
        <f>IF(E210="","",E210/100*XLOOKUP(XLOOKUP(C210,Portions!$A:$A,Portions!$B:$B),FoodItems!$A:$A,FoodItems!$D:$D))</f>
        <v/>
      </c>
      <c r="I210">
        <f>IF(E210="","",E210/100*XLOOKUP(XLOOKUP(C210,Portions!$A:$A,Portions!$B:$B),FoodItems!$A:$A,FoodItems!$E:$E))</f>
        <v/>
      </c>
    </row>
    <row r="211">
      <c r="E211">
        <f>IF(C211="","",D211*XLOOKUP(C211,Portions!$A:$A,Portions!$D:$D))</f>
        <v/>
      </c>
      <c r="F211">
        <f>IF(E211="","",E211/100*XLOOKUP(XLOOKUP(C211,Portions!$A:$A,Portions!$B:$B),FoodItems!$A:$A,FoodItems!$B:$B))</f>
        <v/>
      </c>
      <c r="G211">
        <f>IF(E211="","",E211/100*XLOOKUP(XLOOKUP(C211,Portions!$A:$A,Portions!$B:$B),FoodItems!$A:$A,FoodItems!$C:$C))</f>
        <v/>
      </c>
      <c r="H211">
        <f>IF(E211="","",E211/100*XLOOKUP(XLOOKUP(C211,Portions!$A:$A,Portions!$B:$B),FoodItems!$A:$A,FoodItems!$D:$D))</f>
        <v/>
      </c>
      <c r="I211">
        <f>IF(E211="","",E211/100*XLOOKUP(XLOOKUP(C211,Portions!$A:$A,Portions!$B:$B),FoodItems!$A:$A,FoodItems!$E:$E))</f>
        <v/>
      </c>
    </row>
    <row r="212">
      <c r="E212">
        <f>IF(C212="","",D212*XLOOKUP(C212,Portions!$A:$A,Portions!$D:$D))</f>
        <v/>
      </c>
      <c r="F212">
        <f>IF(E212="","",E212/100*XLOOKUP(XLOOKUP(C212,Portions!$A:$A,Portions!$B:$B),FoodItems!$A:$A,FoodItems!$B:$B))</f>
        <v/>
      </c>
      <c r="G212">
        <f>IF(E212="","",E212/100*XLOOKUP(XLOOKUP(C212,Portions!$A:$A,Portions!$B:$B),FoodItems!$A:$A,FoodItems!$C:$C))</f>
        <v/>
      </c>
      <c r="H212">
        <f>IF(E212="","",E212/100*XLOOKUP(XLOOKUP(C212,Portions!$A:$A,Portions!$B:$B),FoodItems!$A:$A,FoodItems!$D:$D))</f>
        <v/>
      </c>
      <c r="I212">
        <f>IF(E212="","",E212/100*XLOOKUP(XLOOKUP(C212,Portions!$A:$A,Portions!$B:$B),FoodItems!$A:$A,FoodItems!$E:$E))</f>
        <v/>
      </c>
    </row>
    <row r="213">
      <c r="E213">
        <f>IF(C213="","",D213*XLOOKUP(C213,Portions!$A:$A,Portions!$D:$D))</f>
        <v/>
      </c>
      <c r="F213">
        <f>IF(E213="","",E213/100*XLOOKUP(XLOOKUP(C213,Portions!$A:$A,Portions!$B:$B),FoodItems!$A:$A,FoodItems!$B:$B))</f>
        <v/>
      </c>
      <c r="G213">
        <f>IF(E213="","",E213/100*XLOOKUP(XLOOKUP(C213,Portions!$A:$A,Portions!$B:$B),FoodItems!$A:$A,FoodItems!$C:$C))</f>
        <v/>
      </c>
      <c r="H213">
        <f>IF(E213="","",E213/100*XLOOKUP(XLOOKUP(C213,Portions!$A:$A,Portions!$B:$B),FoodItems!$A:$A,FoodItems!$D:$D))</f>
        <v/>
      </c>
      <c r="I213">
        <f>IF(E213="","",E213/100*XLOOKUP(XLOOKUP(C213,Portions!$A:$A,Portions!$B:$B),FoodItems!$A:$A,FoodItems!$E:$E))</f>
        <v/>
      </c>
    </row>
    <row r="214">
      <c r="E214">
        <f>IF(C214="","",D214*XLOOKUP(C214,Portions!$A:$A,Portions!$D:$D))</f>
        <v/>
      </c>
      <c r="F214">
        <f>IF(E214="","",E214/100*XLOOKUP(XLOOKUP(C214,Portions!$A:$A,Portions!$B:$B),FoodItems!$A:$A,FoodItems!$B:$B))</f>
        <v/>
      </c>
      <c r="G214">
        <f>IF(E214="","",E214/100*XLOOKUP(XLOOKUP(C214,Portions!$A:$A,Portions!$B:$B),FoodItems!$A:$A,FoodItems!$C:$C))</f>
        <v/>
      </c>
      <c r="H214">
        <f>IF(E214="","",E214/100*XLOOKUP(XLOOKUP(C214,Portions!$A:$A,Portions!$B:$B),FoodItems!$A:$A,FoodItems!$D:$D))</f>
        <v/>
      </c>
      <c r="I214">
        <f>IF(E214="","",E214/100*XLOOKUP(XLOOKUP(C214,Portions!$A:$A,Portions!$B:$B),FoodItems!$A:$A,FoodItems!$E:$E))</f>
        <v/>
      </c>
    </row>
    <row r="215">
      <c r="E215">
        <f>IF(C215="","",D215*XLOOKUP(C215,Portions!$A:$A,Portions!$D:$D))</f>
        <v/>
      </c>
      <c r="F215">
        <f>IF(E215="","",E215/100*XLOOKUP(XLOOKUP(C215,Portions!$A:$A,Portions!$B:$B),FoodItems!$A:$A,FoodItems!$B:$B))</f>
        <v/>
      </c>
      <c r="G215">
        <f>IF(E215="","",E215/100*XLOOKUP(XLOOKUP(C215,Portions!$A:$A,Portions!$B:$B),FoodItems!$A:$A,FoodItems!$C:$C))</f>
        <v/>
      </c>
      <c r="H215">
        <f>IF(E215="","",E215/100*XLOOKUP(XLOOKUP(C215,Portions!$A:$A,Portions!$B:$B),FoodItems!$A:$A,FoodItems!$D:$D))</f>
        <v/>
      </c>
      <c r="I215">
        <f>IF(E215="","",E215/100*XLOOKUP(XLOOKUP(C215,Portions!$A:$A,Portions!$B:$B),FoodItems!$A:$A,FoodItems!$E:$E))</f>
        <v/>
      </c>
    </row>
    <row r="216">
      <c r="E216">
        <f>IF(C216="","",D216*XLOOKUP(C216,Portions!$A:$A,Portions!$D:$D))</f>
        <v/>
      </c>
      <c r="F216">
        <f>IF(E216="","",E216/100*XLOOKUP(XLOOKUP(C216,Portions!$A:$A,Portions!$B:$B),FoodItems!$A:$A,FoodItems!$B:$B))</f>
        <v/>
      </c>
      <c r="G216">
        <f>IF(E216="","",E216/100*XLOOKUP(XLOOKUP(C216,Portions!$A:$A,Portions!$B:$B),FoodItems!$A:$A,FoodItems!$C:$C))</f>
        <v/>
      </c>
      <c r="H216">
        <f>IF(E216="","",E216/100*XLOOKUP(XLOOKUP(C216,Portions!$A:$A,Portions!$B:$B),FoodItems!$A:$A,FoodItems!$D:$D))</f>
        <v/>
      </c>
      <c r="I216">
        <f>IF(E216="","",E216/100*XLOOKUP(XLOOKUP(C216,Portions!$A:$A,Portions!$B:$B),FoodItems!$A:$A,FoodItems!$E:$E))</f>
        <v/>
      </c>
    </row>
    <row r="217">
      <c r="E217">
        <f>IF(C217="","",D217*XLOOKUP(C217,Portions!$A:$A,Portions!$D:$D))</f>
        <v/>
      </c>
      <c r="F217">
        <f>IF(E217="","",E217/100*XLOOKUP(XLOOKUP(C217,Portions!$A:$A,Portions!$B:$B),FoodItems!$A:$A,FoodItems!$B:$B))</f>
        <v/>
      </c>
      <c r="G217">
        <f>IF(E217="","",E217/100*XLOOKUP(XLOOKUP(C217,Portions!$A:$A,Portions!$B:$B),FoodItems!$A:$A,FoodItems!$C:$C))</f>
        <v/>
      </c>
      <c r="H217">
        <f>IF(E217="","",E217/100*XLOOKUP(XLOOKUP(C217,Portions!$A:$A,Portions!$B:$B),FoodItems!$A:$A,FoodItems!$D:$D))</f>
        <v/>
      </c>
      <c r="I217">
        <f>IF(E217="","",E217/100*XLOOKUP(XLOOKUP(C217,Portions!$A:$A,Portions!$B:$B),FoodItems!$A:$A,FoodItems!$E:$E))</f>
        <v/>
      </c>
    </row>
    <row r="218">
      <c r="E218">
        <f>IF(C218="","",D218*XLOOKUP(C218,Portions!$A:$A,Portions!$D:$D))</f>
        <v/>
      </c>
      <c r="F218">
        <f>IF(E218="","",E218/100*XLOOKUP(XLOOKUP(C218,Portions!$A:$A,Portions!$B:$B),FoodItems!$A:$A,FoodItems!$B:$B))</f>
        <v/>
      </c>
      <c r="G218">
        <f>IF(E218="","",E218/100*XLOOKUP(XLOOKUP(C218,Portions!$A:$A,Portions!$B:$B),FoodItems!$A:$A,FoodItems!$C:$C))</f>
        <v/>
      </c>
      <c r="H218">
        <f>IF(E218="","",E218/100*XLOOKUP(XLOOKUP(C218,Portions!$A:$A,Portions!$B:$B),FoodItems!$A:$A,FoodItems!$D:$D))</f>
        <v/>
      </c>
      <c r="I218">
        <f>IF(E218="","",E218/100*XLOOKUP(XLOOKUP(C218,Portions!$A:$A,Portions!$B:$B),FoodItems!$A:$A,FoodItems!$E:$E))</f>
        <v/>
      </c>
    </row>
    <row r="219">
      <c r="E219">
        <f>IF(C219="","",D219*XLOOKUP(C219,Portions!$A:$A,Portions!$D:$D))</f>
        <v/>
      </c>
      <c r="F219">
        <f>IF(E219="","",E219/100*XLOOKUP(XLOOKUP(C219,Portions!$A:$A,Portions!$B:$B),FoodItems!$A:$A,FoodItems!$B:$B))</f>
        <v/>
      </c>
      <c r="G219">
        <f>IF(E219="","",E219/100*XLOOKUP(XLOOKUP(C219,Portions!$A:$A,Portions!$B:$B),FoodItems!$A:$A,FoodItems!$C:$C))</f>
        <v/>
      </c>
      <c r="H219">
        <f>IF(E219="","",E219/100*XLOOKUP(XLOOKUP(C219,Portions!$A:$A,Portions!$B:$B),FoodItems!$A:$A,FoodItems!$D:$D))</f>
        <v/>
      </c>
      <c r="I219">
        <f>IF(E219="","",E219/100*XLOOKUP(XLOOKUP(C219,Portions!$A:$A,Portions!$B:$B),FoodItems!$A:$A,FoodItems!$E:$E))</f>
        <v/>
      </c>
    </row>
    <row r="220">
      <c r="E220">
        <f>IF(C220="","",D220*XLOOKUP(C220,Portions!$A:$A,Portions!$D:$D))</f>
        <v/>
      </c>
      <c r="F220">
        <f>IF(E220="","",E220/100*XLOOKUP(XLOOKUP(C220,Portions!$A:$A,Portions!$B:$B),FoodItems!$A:$A,FoodItems!$B:$B))</f>
        <v/>
      </c>
      <c r="G220">
        <f>IF(E220="","",E220/100*XLOOKUP(XLOOKUP(C220,Portions!$A:$A,Portions!$B:$B),FoodItems!$A:$A,FoodItems!$C:$C))</f>
        <v/>
      </c>
      <c r="H220">
        <f>IF(E220="","",E220/100*XLOOKUP(XLOOKUP(C220,Portions!$A:$A,Portions!$B:$B),FoodItems!$A:$A,FoodItems!$D:$D))</f>
        <v/>
      </c>
      <c r="I220">
        <f>IF(E220="","",E220/100*XLOOKUP(XLOOKUP(C220,Portions!$A:$A,Portions!$B:$B),FoodItems!$A:$A,FoodItems!$E:$E))</f>
        <v/>
      </c>
    </row>
    <row r="221">
      <c r="E221">
        <f>IF(C221="","",D221*XLOOKUP(C221,Portions!$A:$A,Portions!$D:$D))</f>
        <v/>
      </c>
      <c r="F221">
        <f>IF(E221="","",E221/100*XLOOKUP(XLOOKUP(C221,Portions!$A:$A,Portions!$B:$B),FoodItems!$A:$A,FoodItems!$B:$B))</f>
        <v/>
      </c>
      <c r="G221">
        <f>IF(E221="","",E221/100*XLOOKUP(XLOOKUP(C221,Portions!$A:$A,Portions!$B:$B),FoodItems!$A:$A,FoodItems!$C:$C))</f>
        <v/>
      </c>
      <c r="H221">
        <f>IF(E221="","",E221/100*XLOOKUP(XLOOKUP(C221,Portions!$A:$A,Portions!$B:$B),FoodItems!$A:$A,FoodItems!$D:$D))</f>
        <v/>
      </c>
      <c r="I221">
        <f>IF(E221="","",E221/100*XLOOKUP(XLOOKUP(C221,Portions!$A:$A,Portions!$B:$B),FoodItems!$A:$A,FoodItems!$E:$E))</f>
        <v/>
      </c>
    </row>
    <row r="222">
      <c r="E222">
        <f>IF(C222="","",D222*XLOOKUP(C222,Portions!$A:$A,Portions!$D:$D))</f>
        <v/>
      </c>
      <c r="F222">
        <f>IF(E222="","",E222/100*XLOOKUP(XLOOKUP(C222,Portions!$A:$A,Portions!$B:$B),FoodItems!$A:$A,FoodItems!$B:$B))</f>
        <v/>
      </c>
      <c r="G222">
        <f>IF(E222="","",E222/100*XLOOKUP(XLOOKUP(C222,Portions!$A:$A,Portions!$B:$B),FoodItems!$A:$A,FoodItems!$C:$C))</f>
        <v/>
      </c>
      <c r="H222">
        <f>IF(E222="","",E222/100*XLOOKUP(XLOOKUP(C222,Portions!$A:$A,Portions!$B:$B),FoodItems!$A:$A,FoodItems!$D:$D))</f>
        <v/>
      </c>
      <c r="I222">
        <f>IF(E222="","",E222/100*XLOOKUP(XLOOKUP(C222,Portions!$A:$A,Portions!$B:$B),FoodItems!$A:$A,FoodItems!$E:$E))</f>
        <v/>
      </c>
    </row>
    <row r="223">
      <c r="E223">
        <f>IF(C223="","",D223*XLOOKUP(C223,Portions!$A:$A,Portions!$D:$D))</f>
        <v/>
      </c>
      <c r="F223">
        <f>IF(E223="","",E223/100*XLOOKUP(XLOOKUP(C223,Portions!$A:$A,Portions!$B:$B),FoodItems!$A:$A,FoodItems!$B:$B))</f>
        <v/>
      </c>
      <c r="G223">
        <f>IF(E223="","",E223/100*XLOOKUP(XLOOKUP(C223,Portions!$A:$A,Portions!$B:$B),FoodItems!$A:$A,FoodItems!$C:$C))</f>
        <v/>
      </c>
      <c r="H223">
        <f>IF(E223="","",E223/100*XLOOKUP(XLOOKUP(C223,Portions!$A:$A,Portions!$B:$B),FoodItems!$A:$A,FoodItems!$D:$D))</f>
        <v/>
      </c>
      <c r="I223">
        <f>IF(E223="","",E223/100*XLOOKUP(XLOOKUP(C223,Portions!$A:$A,Portions!$B:$B),FoodItems!$A:$A,FoodItems!$E:$E))</f>
        <v/>
      </c>
    </row>
    <row r="224">
      <c r="E224">
        <f>IF(C224="","",D224*XLOOKUP(C224,Portions!$A:$A,Portions!$D:$D))</f>
        <v/>
      </c>
      <c r="F224">
        <f>IF(E224="","",E224/100*XLOOKUP(XLOOKUP(C224,Portions!$A:$A,Portions!$B:$B),FoodItems!$A:$A,FoodItems!$B:$B))</f>
        <v/>
      </c>
      <c r="G224">
        <f>IF(E224="","",E224/100*XLOOKUP(XLOOKUP(C224,Portions!$A:$A,Portions!$B:$B),FoodItems!$A:$A,FoodItems!$C:$C))</f>
        <v/>
      </c>
      <c r="H224">
        <f>IF(E224="","",E224/100*XLOOKUP(XLOOKUP(C224,Portions!$A:$A,Portions!$B:$B),FoodItems!$A:$A,FoodItems!$D:$D))</f>
        <v/>
      </c>
      <c r="I224">
        <f>IF(E224="","",E224/100*XLOOKUP(XLOOKUP(C224,Portions!$A:$A,Portions!$B:$B),FoodItems!$A:$A,FoodItems!$E:$E))</f>
        <v/>
      </c>
    </row>
    <row r="225">
      <c r="E225">
        <f>IF(C225="","",D225*XLOOKUP(C225,Portions!$A:$A,Portions!$D:$D))</f>
        <v/>
      </c>
      <c r="F225">
        <f>IF(E225="","",E225/100*XLOOKUP(XLOOKUP(C225,Portions!$A:$A,Portions!$B:$B),FoodItems!$A:$A,FoodItems!$B:$B))</f>
        <v/>
      </c>
      <c r="G225">
        <f>IF(E225="","",E225/100*XLOOKUP(XLOOKUP(C225,Portions!$A:$A,Portions!$B:$B),FoodItems!$A:$A,FoodItems!$C:$C))</f>
        <v/>
      </c>
      <c r="H225">
        <f>IF(E225="","",E225/100*XLOOKUP(XLOOKUP(C225,Portions!$A:$A,Portions!$B:$B),FoodItems!$A:$A,FoodItems!$D:$D))</f>
        <v/>
      </c>
      <c r="I225">
        <f>IF(E225="","",E225/100*XLOOKUP(XLOOKUP(C225,Portions!$A:$A,Portions!$B:$B),FoodItems!$A:$A,FoodItems!$E:$E))</f>
        <v/>
      </c>
    </row>
    <row r="226">
      <c r="E226">
        <f>IF(C226="","",D226*XLOOKUP(C226,Portions!$A:$A,Portions!$D:$D))</f>
        <v/>
      </c>
      <c r="F226">
        <f>IF(E226="","",E226/100*XLOOKUP(XLOOKUP(C226,Portions!$A:$A,Portions!$B:$B),FoodItems!$A:$A,FoodItems!$B:$B))</f>
        <v/>
      </c>
      <c r="G226">
        <f>IF(E226="","",E226/100*XLOOKUP(XLOOKUP(C226,Portions!$A:$A,Portions!$B:$B),FoodItems!$A:$A,FoodItems!$C:$C))</f>
        <v/>
      </c>
      <c r="H226">
        <f>IF(E226="","",E226/100*XLOOKUP(XLOOKUP(C226,Portions!$A:$A,Portions!$B:$B),FoodItems!$A:$A,FoodItems!$D:$D))</f>
        <v/>
      </c>
      <c r="I226">
        <f>IF(E226="","",E226/100*XLOOKUP(XLOOKUP(C226,Portions!$A:$A,Portions!$B:$B),FoodItems!$A:$A,FoodItems!$E:$E))</f>
        <v/>
      </c>
    </row>
    <row r="227">
      <c r="E227">
        <f>IF(C227="","",D227*XLOOKUP(C227,Portions!$A:$A,Portions!$D:$D))</f>
        <v/>
      </c>
      <c r="F227">
        <f>IF(E227="","",E227/100*XLOOKUP(XLOOKUP(C227,Portions!$A:$A,Portions!$B:$B),FoodItems!$A:$A,FoodItems!$B:$B))</f>
        <v/>
      </c>
      <c r="G227">
        <f>IF(E227="","",E227/100*XLOOKUP(XLOOKUP(C227,Portions!$A:$A,Portions!$B:$B),FoodItems!$A:$A,FoodItems!$C:$C))</f>
        <v/>
      </c>
      <c r="H227">
        <f>IF(E227="","",E227/100*XLOOKUP(XLOOKUP(C227,Portions!$A:$A,Portions!$B:$B),FoodItems!$A:$A,FoodItems!$D:$D))</f>
        <v/>
      </c>
      <c r="I227">
        <f>IF(E227="","",E227/100*XLOOKUP(XLOOKUP(C227,Portions!$A:$A,Portions!$B:$B),FoodItems!$A:$A,FoodItems!$E:$E))</f>
        <v/>
      </c>
    </row>
    <row r="228">
      <c r="E228">
        <f>IF(C228="","",D228*XLOOKUP(C228,Portions!$A:$A,Portions!$D:$D))</f>
        <v/>
      </c>
      <c r="F228">
        <f>IF(E228="","",E228/100*XLOOKUP(XLOOKUP(C228,Portions!$A:$A,Portions!$B:$B),FoodItems!$A:$A,FoodItems!$B:$B))</f>
        <v/>
      </c>
      <c r="G228">
        <f>IF(E228="","",E228/100*XLOOKUP(XLOOKUP(C228,Portions!$A:$A,Portions!$B:$B),FoodItems!$A:$A,FoodItems!$C:$C))</f>
        <v/>
      </c>
      <c r="H228">
        <f>IF(E228="","",E228/100*XLOOKUP(XLOOKUP(C228,Portions!$A:$A,Portions!$B:$B),FoodItems!$A:$A,FoodItems!$D:$D))</f>
        <v/>
      </c>
      <c r="I228">
        <f>IF(E228="","",E228/100*XLOOKUP(XLOOKUP(C228,Portions!$A:$A,Portions!$B:$B),FoodItems!$A:$A,FoodItems!$E:$E))</f>
        <v/>
      </c>
    </row>
    <row r="229">
      <c r="E229">
        <f>IF(C229="","",D229*XLOOKUP(C229,Portions!$A:$A,Portions!$D:$D))</f>
        <v/>
      </c>
      <c r="F229">
        <f>IF(E229="","",E229/100*XLOOKUP(XLOOKUP(C229,Portions!$A:$A,Portions!$B:$B),FoodItems!$A:$A,FoodItems!$B:$B))</f>
        <v/>
      </c>
      <c r="G229">
        <f>IF(E229="","",E229/100*XLOOKUP(XLOOKUP(C229,Portions!$A:$A,Portions!$B:$B),FoodItems!$A:$A,FoodItems!$C:$C))</f>
        <v/>
      </c>
      <c r="H229">
        <f>IF(E229="","",E229/100*XLOOKUP(XLOOKUP(C229,Portions!$A:$A,Portions!$B:$B),FoodItems!$A:$A,FoodItems!$D:$D))</f>
        <v/>
      </c>
      <c r="I229">
        <f>IF(E229="","",E229/100*XLOOKUP(XLOOKUP(C229,Portions!$A:$A,Portions!$B:$B),FoodItems!$A:$A,FoodItems!$E:$E))</f>
        <v/>
      </c>
    </row>
    <row r="230">
      <c r="E230">
        <f>IF(C230="","",D230*XLOOKUP(C230,Portions!$A:$A,Portions!$D:$D))</f>
        <v/>
      </c>
      <c r="F230">
        <f>IF(E230="","",E230/100*XLOOKUP(XLOOKUP(C230,Portions!$A:$A,Portions!$B:$B),FoodItems!$A:$A,FoodItems!$B:$B))</f>
        <v/>
      </c>
      <c r="G230">
        <f>IF(E230="","",E230/100*XLOOKUP(XLOOKUP(C230,Portions!$A:$A,Portions!$B:$B),FoodItems!$A:$A,FoodItems!$C:$C))</f>
        <v/>
      </c>
      <c r="H230">
        <f>IF(E230="","",E230/100*XLOOKUP(XLOOKUP(C230,Portions!$A:$A,Portions!$B:$B),FoodItems!$A:$A,FoodItems!$D:$D))</f>
        <v/>
      </c>
      <c r="I230">
        <f>IF(E230="","",E230/100*XLOOKUP(XLOOKUP(C230,Portions!$A:$A,Portions!$B:$B),FoodItems!$A:$A,FoodItems!$E:$E))</f>
        <v/>
      </c>
    </row>
    <row r="231">
      <c r="E231">
        <f>IF(C231="","",D231*XLOOKUP(C231,Portions!$A:$A,Portions!$D:$D))</f>
        <v/>
      </c>
      <c r="F231">
        <f>IF(E231="","",E231/100*XLOOKUP(XLOOKUP(C231,Portions!$A:$A,Portions!$B:$B),FoodItems!$A:$A,FoodItems!$B:$B))</f>
        <v/>
      </c>
      <c r="G231">
        <f>IF(E231="","",E231/100*XLOOKUP(XLOOKUP(C231,Portions!$A:$A,Portions!$B:$B),FoodItems!$A:$A,FoodItems!$C:$C))</f>
        <v/>
      </c>
      <c r="H231">
        <f>IF(E231="","",E231/100*XLOOKUP(XLOOKUP(C231,Portions!$A:$A,Portions!$B:$B),FoodItems!$A:$A,FoodItems!$D:$D))</f>
        <v/>
      </c>
      <c r="I231">
        <f>IF(E231="","",E231/100*XLOOKUP(XLOOKUP(C231,Portions!$A:$A,Portions!$B:$B),FoodItems!$A:$A,FoodItems!$E:$E))</f>
        <v/>
      </c>
    </row>
    <row r="232">
      <c r="E232">
        <f>IF(C232="","",D232*XLOOKUP(C232,Portions!$A:$A,Portions!$D:$D))</f>
        <v/>
      </c>
      <c r="F232">
        <f>IF(E232="","",E232/100*XLOOKUP(XLOOKUP(C232,Portions!$A:$A,Portions!$B:$B),FoodItems!$A:$A,FoodItems!$B:$B))</f>
        <v/>
      </c>
      <c r="G232">
        <f>IF(E232="","",E232/100*XLOOKUP(XLOOKUP(C232,Portions!$A:$A,Portions!$B:$B),FoodItems!$A:$A,FoodItems!$C:$C))</f>
        <v/>
      </c>
      <c r="H232">
        <f>IF(E232="","",E232/100*XLOOKUP(XLOOKUP(C232,Portions!$A:$A,Portions!$B:$B),FoodItems!$A:$A,FoodItems!$D:$D))</f>
        <v/>
      </c>
      <c r="I232">
        <f>IF(E232="","",E232/100*XLOOKUP(XLOOKUP(C232,Portions!$A:$A,Portions!$B:$B),FoodItems!$A:$A,FoodItems!$E:$E))</f>
        <v/>
      </c>
    </row>
    <row r="233">
      <c r="E233">
        <f>IF(C233="","",D233*XLOOKUP(C233,Portions!$A:$A,Portions!$D:$D))</f>
        <v/>
      </c>
      <c r="F233">
        <f>IF(E233="","",E233/100*XLOOKUP(XLOOKUP(C233,Portions!$A:$A,Portions!$B:$B),FoodItems!$A:$A,FoodItems!$B:$B))</f>
        <v/>
      </c>
      <c r="G233">
        <f>IF(E233="","",E233/100*XLOOKUP(XLOOKUP(C233,Portions!$A:$A,Portions!$B:$B),FoodItems!$A:$A,FoodItems!$C:$C))</f>
        <v/>
      </c>
      <c r="H233">
        <f>IF(E233="","",E233/100*XLOOKUP(XLOOKUP(C233,Portions!$A:$A,Portions!$B:$B),FoodItems!$A:$A,FoodItems!$D:$D))</f>
        <v/>
      </c>
      <c r="I233">
        <f>IF(E233="","",E233/100*XLOOKUP(XLOOKUP(C233,Portions!$A:$A,Portions!$B:$B),FoodItems!$A:$A,FoodItems!$E:$E))</f>
        <v/>
      </c>
    </row>
    <row r="234">
      <c r="E234">
        <f>IF(C234="","",D234*XLOOKUP(C234,Portions!$A:$A,Portions!$D:$D))</f>
        <v/>
      </c>
      <c r="F234">
        <f>IF(E234="","",E234/100*XLOOKUP(XLOOKUP(C234,Portions!$A:$A,Portions!$B:$B),FoodItems!$A:$A,FoodItems!$B:$B))</f>
        <v/>
      </c>
      <c r="G234">
        <f>IF(E234="","",E234/100*XLOOKUP(XLOOKUP(C234,Portions!$A:$A,Portions!$B:$B),FoodItems!$A:$A,FoodItems!$C:$C))</f>
        <v/>
      </c>
      <c r="H234">
        <f>IF(E234="","",E234/100*XLOOKUP(XLOOKUP(C234,Portions!$A:$A,Portions!$B:$B),FoodItems!$A:$A,FoodItems!$D:$D))</f>
        <v/>
      </c>
      <c r="I234">
        <f>IF(E234="","",E234/100*XLOOKUP(XLOOKUP(C234,Portions!$A:$A,Portions!$B:$B),FoodItems!$A:$A,FoodItems!$E:$E))</f>
        <v/>
      </c>
    </row>
    <row r="235">
      <c r="E235">
        <f>IF(C235="","",D235*XLOOKUP(C235,Portions!$A:$A,Portions!$D:$D))</f>
        <v/>
      </c>
      <c r="F235">
        <f>IF(E235="","",E235/100*XLOOKUP(XLOOKUP(C235,Portions!$A:$A,Portions!$B:$B),FoodItems!$A:$A,FoodItems!$B:$B))</f>
        <v/>
      </c>
      <c r="G235">
        <f>IF(E235="","",E235/100*XLOOKUP(XLOOKUP(C235,Portions!$A:$A,Portions!$B:$B),FoodItems!$A:$A,FoodItems!$C:$C))</f>
        <v/>
      </c>
      <c r="H235">
        <f>IF(E235="","",E235/100*XLOOKUP(XLOOKUP(C235,Portions!$A:$A,Portions!$B:$B),FoodItems!$A:$A,FoodItems!$D:$D))</f>
        <v/>
      </c>
      <c r="I235">
        <f>IF(E235="","",E235/100*XLOOKUP(XLOOKUP(C235,Portions!$A:$A,Portions!$B:$B),FoodItems!$A:$A,FoodItems!$E:$E))</f>
        <v/>
      </c>
    </row>
    <row r="236">
      <c r="E236">
        <f>IF(C236="","",D236*XLOOKUP(C236,Portions!$A:$A,Portions!$D:$D))</f>
        <v/>
      </c>
      <c r="F236">
        <f>IF(E236="","",E236/100*XLOOKUP(XLOOKUP(C236,Portions!$A:$A,Portions!$B:$B),FoodItems!$A:$A,FoodItems!$B:$B))</f>
        <v/>
      </c>
      <c r="G236">
        <f>IF(E236="","",E236/100*XLOOKUP(XLOOKUP(C236,Portions!$A:$A,Portions!$B:$B),FoodItems!$A:$A,FoodItems!$C:$C))</f>
        <v/>
      </c>
      <c r="H236">
        <f>IF(E236="","",E236/100*XLOOKUP(XLOOKUP(C236,Portions!$A:$A,Portions!$B:$B),FoodItems!$A:$A,FoodItems!$D:$D))</f>
        <v/>
      </c>
      <c r="I236">
        <f>IF(E236="","",E236/100*XLOOKUP(XLOOKUP(C236,Portions!$A:$A,Portions!$B:$B),FoodItems!$A:$A,FoodItems!$E:$E))</f>
        <v/>
      </c>
    </row>
    <row r="237">
      <c r="E237">
        <f>IF(C237="","",D237*XLOOKUP(C237,Portions!$A:$A,Portions!$D:$D))</f>
        <v/>
      </c>
      <c r="F237">
        <f>IF(E237="","",E237/100*XLOOKUP(XLOOKUP(C237,Portions!$A:$A,Portions!$B:$B),FoodItems!$A:$A,FoodItems!$B:$B))</f>
        <v/>
      </c>
      <c r="G237">
        <f>IF(E237="","",E237/100*XLOOKUP(XLOOKUP(C237,Portions!$A:$A,Portions!$B:$B),FoodItems!$A:$A,FoodItems!$C:$C))</f>
        <v/>
      </c>
      <c r="H237">
        <f>IF(E237="","",E237/100*XLOOKUP(XLOOKUP(C237,Portions!$A:$A,Portions!$B:$B),FoodItems!$A:$A,FoodItems!$D:$D))</f>
        <v/>
      </c>
      <c r="I237">
        <f>IF(E237="","",E237/100*XLOOKUP(XLOOKUP(C237,Portions!$A:$A,Portions!$B:$B),FoodItems!$A:$A,FoodItems!$E:$E))</f>
        <v/>
      </c>
    </row>
    <row r="238">
      <c r="E238">
        <f>IF(C238="","",D238*XLOOKUP(C238,Portions!$A:$A,Portions!$D:$D))</f>
        <v/>
      </c>
      <c r="F238">
        <f>IF(E238="","",E238/100*XLOOKUP(XLOOKUP(C238,Portions!$A:$A,Portions!$B:$B),FoodItems!$A:$A,FoodItems!$B:$B))</f>
        <v/>
      </c>
      <c r="G238">
        <f>IF(E238="","",E238/100*XLOOKUP(XLOOKUP(C238,Portions!$A:$A,Portions!$B:$B),FoodItems!$A:$A,FoodItems!$C:$C))</f>
        <v/>
      </c>
      <c r="H238">
        <f>IF(E238="","",E238/100*XLOOKUP(XLOOKUP(C238,Portions!$A:$A,Portions!$B:$B),FoodItems!$A:$A,FoodItems!$D:$D))</f>
        <v/>
      </c>
      <c r="I238">
        <f>IF(E238="","",E238/100*XLOOKUP(XLOOKUP(C238,Portions!$A:$A,Portions!$B:$B),FoodItems!$A:$A,FoodItems!$E:$E))</f>
        <v/>
      </c>
    </row>
    <row r="239">
      <c r="E239">
        <f>IF(C239="","",D239*XLOOKUP(C239,Portions!$A:$A,Portions!$D:$D))</f>
        <v/>
      </c>
      <c r="F239">
        <f>IF(E239="","",E239/100*XLOOKUP(XLOOKUP(C239,Portions!$A:$A,Portions!$B:$B),FoodItems!$A:$A,FoodItems!$B:$B))</f>
        <v/>
      </c>
      <c r="G239">
        <f>IF(E239="","",E239/100*XLOOKUP(XLOOKUP(C239,Portions!$A:$A,Portions!$B:$B),FoodItems!$A:$A,FoodItems!$C:$C))</f>
        <v/>
      </c>
      <c r="H239">
        <f>IF(E239="","",E239/100*XLOOKUP(XLOOKUP(C239,Portions!$A:$A,Portions!$B:$B),FoodItems!$A:$A,FoodItems!$D:$D))</f>
        <v/>
      </c>
      <c r="I239">
        <f>IF(E239="","",E239/100*XLOOKUP(XLOOKUP(C239,Portions!$A:$A,Portions!$B:$B),FoodItems!$A:$A,FoodItems!$E:$E))</f>
        <v/>
      </c>
    </row>
    <row r="240">
      <c r="E240">
        <f>IF(C240="","",D240*XLOOKUP(C240,Portions!$A:$A,Portions!$D:$D))</f>
        <v/>
      </c>
      <c r="F240">
        <f>IF(E240="","",E240/100*XLOOKUP(XLOOKUP(C240,Portions!$A:$A,Portions!$B:$B),FoodItems!$A:$A,FoodItems!$B:$B))</f>
        <v/>
      </c>
      <c r="G240">
        <f>IF(E240="","",E240/100*XLOOKUP(XLOOKUP(C240,Portions!$A:$A,Portions!$B:$B),FoodItems!$A:$A,FoodItems!$C:$C))</f>
        <v/>
      </c>
      <c r="H240">
        <f>IF(E240="","",E240/100*XLOOKUP(XLOOKUP(C240,Portions!$A:$A,Portions!$B:$B),FoodItems!$A:$A,FoodItems!$D:$D))</f>
        <v/>
      </c>
      <c r="I240">
        <f>IF(E240="","",E240/100*XLOOKUP(XLOOKUP(C240,Portions!$A:$A,Portions!$B:$B),FoodItems!$A:$A,FoodItems!$E:$E))</f>
        <v/>
      </c>
    </row>
    <row r="241">
      <c r="E241">
        <f>IF(C241="","",D241*XLOOKUP(C241,Portions!$A:$A,Portions!$D:$D))</f>
        <v/>
      </c>
      <c r="F241">
        <f>IF(E241="","",E241/100*XLOOKUP(XLOOKUP(C241,Portions!$A:$A,Portions!$B:$B),FoodItems!$A:$A,FoodItems!$B:$B))</f>
        <v/>
      </c>
      <c r="G241">
        <f>IF(E241="","",E241/100*XLOOKUP(XLOOKUP(C241,Portions!$A:$A,Portions!$B:$B),FoodItems!$A:$A,FoodItems!$C:$C))</f>
        <v/>
      </c>
      <c r="H241">
        <f>IF(E241="","",E241/100*XLOOKUP(XLOOKUP(C241,Portions!$A:$A,Portions!$B:$B),FoodItems!$A:$A,FoodItems!$D:$D))</f>
        <v/>
      </c>
      <c r="I241">
        <f>IF(E241="","",E241/100*XLOOKUP(XLOOKUP(C241,Portions!$A:$A,Portions!$B:$B),FoodItems!$A:$A,FoodItems!$E:$E))</f>
        <v/>
      </c>
    </row>
    <row r="242">
      <c r="E242">
        <f>IF(C242="","",D242*XLOOKUP(C242,Portions!$A:$A,Portions!$D:$D))</f>
        <v/>
      </c>
      <c r="F242">
        <f>IF(E242="","",E242/100*XLOOKUP(XLOOKUP(C242,Portions!$A:$A,Portions!$B:$B),FoodItems!$A:$A,FoodItems!$B:$B))</f>
        <v/>
      </c>
      <c r="G242">
        <f>IF(E242="","",E242/100*XLOOKUP(XLOOKUP(C242,Portions!$A:$A,Portions!$B:$B),FoodItems!$A:$A,FoodItems!$C:$C))</f>
        <v/>
      </c>
      <c r="H242">
        <f>IF(E242="","",E242/100*XLOOKUP(XLOOKUP(C242,Portions!$A:$A,Portions!$B:$B),FoodItems!$A:$A,FoodItems!$D:$D))</f>
        <v/>
      </c>
      <c r="I242">
        <f>IF(E242="","",E242/100*XLOOKUP(XLOOKUP(C242,Portions!$A:$A,Portions!$B:$B),FoodItems!$A:$A,FoodItems!$E:$E))</f>
        <v/>
      </c>
    </row>
    <row r="243">
      <c r="E243">
        <f>IF(C243="","",D243*XLOOKUP(C243,Portions!$A:$A,Portions!$D:$D))</f>
        <v/>
      </c>
      <c r="F243">
        <f>IF(E243="","",E243/100*XLOOKUP(XLOOKUP(C243,Portions!$A:$A,Portions!$B:$B),FoodItems!$A:$A,FoodItems!$B:$B))</f>
        <v/>
      </c>
      <c r="G243">
        <f>IF(E243="","",E243/100*XLOOKUP(XLOOKUP(C243,Portions!$A:$A,Portions!$B:$B),FoodItems!$A:$A,FoodItems!$C:$C))</f>
        <v/>
      </c>
      <c r="H243">
        <f>IF(E243="","",E243/100*XLOOKUP(XLOOKUP(C243,Portions!$A:$A,Portions!$B:$B),FoodItems!$A:$A,FoodItems!$D:$D))</f>
        <v/>
      </c>
      <c r="I243">
        <f>IF(E243="","",E243/100*XLOOKUP(XLOOKUP(C243,Portions!$A:$A,Portions!$B:$B),FoodItems!$A:$A,FoodItems!$E:$E))</f>
        <v/>
      </c>
    </row>
    <row r="244">
      <c r="E244">
        <f>IF(C244="","",D244*XLOOKUP(C244,Portions!$A:$A,Portions!$D:$D))</f>
        <v/>
      </c>
      <c r="F244">
        <f>IF(E244="","",E244/100*XLOOKUP(XLOOKUP(C244,Portions!$A:$A,Portions!$B:$B),FoodItems!$A:$A,FoodItems!$B:$B))</f>
        <v/>
      </c>
      <c r="G244">
        <f>IF(E244="","",E244/100*XLOOKUP(XLOOKUP(C244,Portions!$A:$A,Portions!$B:$B),FoodItems!$A:$A,FoodItems!$C:$C))</f>
        <v/>
      </c>
      <c r="H244">
        <f>IF(E244="","",E244/100*XLOOKUP(XLOOKUP(C244,Portions!$A:$A,Portions!$B:$B),FoodItems!$A:$A,FoodItems!$D:$D))</f>
        <v/>
      </c>
      <c r="I244">
        <f>IF(E244="","",E244/100*XLOOKUP(XLOOKUP(C244,Portions!$A:$A,Portions!$B:$B),FoodItems!$A:$A,FoodItems!$E:$E))</f>
        <v/>
      </c>
    </row>
    <row r="245">
      <c r="E245">
        <f>IF(C245="","",D245*XLOOKUP(C245,Portions!$A:$A,Portions!$D:$D))</f>
        <v/>
      </c>
      <c r="F245">
        <f>IF(E245="","",E245/100*XLOOKUP(XLOOKUP(C245,Portions!$A:$A,Portions!$B:$B),FoodItems!$A:$A,FoodItems!$B:$B))</f>
        <v/>
      </c>
      <c r="G245">
        <f>IF(E245="","",E245/100*XLOOKUP(XLOOKUP(C245,Portions!$A:$A,Portions!$B:$B),FoodItems!$A:$A,FoodItems!$C:$C))</f>
        <v/>
      </c>
      <c r="H245">
        <f>IF(E245="","",E245/100*XLOOKUP(XLOOKUP(C245,Portions!$A:$A,Portions!$B:$B),FoodItems!$A:$A,FoodItems!$D:$D))</f>
        <v/>
      </c>
      <c r="I245">
        <f>IF(E245="","",E245/100*XLOOKUP(XLOOKUP(C245,Portions!$A:$A,Portions!$B:$B),FoodItems!$A:$A,FoodItems!$E:$E))</f>
        <v/>
      </c>
    </row>
    <row r="246">
      <c r="E246">
        <f>IF(C246="","",D246*XLOOKUP(C246,Portions!$A:$A,Portions!$D:$D))</f>
        <v/>
      </c>
      <c r="F246">
        <f>IF(E246="","",E246/100*XLOOKUP(XLOOKUP(C246,Portions!$A:$A,Portions!$B:$B),FoodItems!$A:$A,FoodItems!$B:$B))</f>
        <v/>
      </c>
      <c r="G246">
        <f>IF(E246="","",E246/100*XLOOKUP(XLOOKUP(C246,Portions!$A:$A,Portions!$B:$B),FoodItems!$A:$A,FoodItems!$C:$C))</f>
        <v/>
      </c>
      <c r="H246">
        <f>IF(E246="","",E246/100*XLOOKUP(XLOOKUP(C246,Portions!$A:$A,Portions!$B:$B),FoodItems!$A:$A,FoodItems!$D:$D))</f>
        <v/>
      </c>
      <c r="I246">
        <f>IF(E246="","",E246/100*XLOOKUP(XLOOKUP(C246,Portions!$A:$A,Portions!$B:$B),FoodItems!$A:$A,FoodItems!$E:$E))</f>
        <v/>
      </c>
    </row>
    <row r="247">
      <c r="E247">
        <f>IF(C247="","",D247*XLOOKUP(C247,Portions!$A:$A,Portions!$D:$D))</f>
        <v/>
      </c>
      <c r="F247">
        <f>IF(E247="","",E247/100*XLOOKUP(XLOOKUP(C247,Portions!$A:$A,Portions!$B:$B),FoodItems!$A:$A,FoodItems!$B:$B))</f>
        <v/>
      </c>
      <c r="G247">
        <f>IF(E247="","",E247/100*XLOOKUP(XLOOKUP(C247,Portions!$A:$A,Portions!$B:$B),FoodItems!$A:$A,FoodItems!$C:$C))</f>
        <v/>
      </c>
      <c r="H247">
        <f>IF(E247="","",E247/100*XLOOKUP(XLOOKUP(C247,Portions!$A:$A,Portions!$B:$B),FoodItems!$A:$A,FoodItems!$D:$D))</f>
        <v/>
      </c>
      <c r="I247">
        <f>IF(E247="","",E247/100*XLOOKUP(XLOOKUP(C247,Portions!$A:$A,Portions!$B:$B),FoodItems!$A:$A,FoodItems!$E:$E))</f>
        <v/>
      </c>
    </row>
    <row r="248">
      <c r="E248">
        <f>IF(C248="","",D248*XLOOKUP(C248,Portions!$A:$A,Portions!$D:$D))</f>
        <v/>
      </c>
      <c r="F248">
        <f>IF(E248="","",E248/100*XLOOKUP(XLOOKUP(C248,Portions!$A:$A,Portions!$B:$B),FoodItems!$A:$A,FoodItems!$B:$B))</f>
        <v/>
      </c>
      <c r="G248">
        <f>IF(E248="","",E248/100*XLOOKUP(XLOOKUP(C248,Portions!$A:$A,Portions!$B:$B),FoodItems!$A:$A,FoodItems!$C:$C))</f>
        <v/>
      </c>
      <c r="H248">
        <f>IF(E248="","",E248/100*XLOOKUP(XLOOKUP(C248,Portions!$A:$A,Portions!$B:$B),FoodItems!$A:$A,FoodItems!$D:$D))</f>
        <v/>
      </c>
      <c r="I248">
        <f>IF(E248="","",E248/100*XLOOKUP(XLOOKUP(C248,Portions!$A:$A,Portions!$B:$B),FoodItems!$A:$A,FoodItems!$E:$E))</f>
        <v/>
      </c>
    </row>
    <row r="249">
      <c r="E249">
        <f>IF(C249="","",D249*XLOOKUP(C249,Portions!$A:$A,Portions!$D:$D))</f>
        <v/>
      </c>
      <c r="F249">
        <f>IF(E249="","",E249/100*XLOOKUP(XLOOKUP(C249,Portions!$A:$A,Portions!$B:$B),FoodItems!$A:$A,FoodItems!$B:$B))</f>
        <v/>
      </c>
      <c r="G249">
        <f>IF(E249="","",E249/100*XLOOKUP(XLOOKUP(C249,Portions!$A:$A,Portions!$B:$B),FoodItems!$A:$A,FoodItems!$C:$C))</f>
        <v/>
      </c>
      <c r="H249">
        <f>IF(E249="","",E249/100*XLOOKUP(XLOOKUP(C249,Portions!$A:$A,Portions!$B:$B),FoodItems!$A:$A,FoodItems!$D:$D))</f>
        <v/>
      </c>
      <c r="I249">
        <f>IF(E249="","",E249/100*XLOOKUP(XLOOKUP(C249,Portions!$A:$A,Portions!$B:$B),FoodItems!$A:$A,FoodItems!$E:$E))</f>
        <v/>
      </c>
    </row>
    <row r="250">
      <c r="E250">
        <f>IF(C250="","",D250*XLOOKUP(C250,Portions!$A:$A,Portions!$D:$D))</f>
        <v/>
      </c>
      <c r="F250">
        <f>IF(E250="","",E250/100*XLOOKUP(XLOOKUP(C250,Portions!$A:$A,Portions!$B:$B),FoodItems!$A:$A,FoodItems!$B:$B))</f>
        <v/>
      </c>
      <c r="G250">
        <f>IF(E250="","",E250/100*XLOOKUP(XLOOKUP(C250,Portions!$A:$A,Portions!$B:$B),FoodItems!$A:$A,FoodItems!$C:$C))</f>
        <v/>
      </c>
      <c r="H250">
        <f>IF(E250="","",E250/100*XLOOKUP(XLOOKUP(C250,Portions!$A:$A,Portions!$B:$B),FoodItems!$A:$A,FoodItems!$D:$D))</f>
        <v/>
      </c>
      <c r="I250">
        <f>IF(E250="","",E250/100*XLOOKUP(XLOOKUP(C250,Portions!$A:$A,Portions!$B:$B),FoodItems!$A:$A,FoodItems!$E:$E))</f>
        <v/>
      </c>
    </row>
    <row r="251">
      <c r="E251">
        <f>IF(C251="","",D251*XLOOKUP(C251,Portions!$A:$A,Portions!$D:$D))</f>
        <v/>
      </c>
      <c r="F251">
        <f>IF(E251="","",E251/100*XLOOKUP(XLOOKUP(C251,Portions!$A:$A,Portions!$B:$B),FoodItems!$A:$A,FoodItems!$B:$B))</f>
        <v/>
      </c>
      <c r="G251">
        <f>IF(E251="","",E251/100*XLOOKUP(XLOOKUP(C251,Portions!$A:$A,Portions!$B:$B),FoodItems!$A:$A,FoodItems!$C:$C))</f>
        <v/>
      </c>
      <c r="H251">
        <f>IF(E251="","",E251/100*XLOOKUP(XLOOKUP(C251,Portions!$A:$A,Portions!$B:$B),FoodItems!$A:$A,FoodItems!$D:$D))</f>
        <v/>
      </c>
      <c r="I251">
        <f>IF(E251="","",E251/100*XLOOKUP(XLOOKUP(C251,Portions!$A:$A,Portions!$B:$B),FoodItems!$A:$A,FoodItems!$E:$E))</f>
        <v/>
      </c>
    </row>
    <row r="252">
      <c r="E252">
        <f>IF(C252="","",D252*XLOOKUP(C252,Portions!$A:$A,Portions!$D:$D))</f>
        <v/>
      </c>
      <c r="F252">
        <f>IF(E252="","",E252/100*XLOOKUP(XLOOKUP(C252,Portions!$A:$A,Portions!$B:$B),FoodItems!$A:$A,FoodItems!$B:$B))</f>
        <v/>
      </c>
      <c r="G252">
        <f>IF(E252="","",E252/100*XLOOKUP(XLOOKUP(C252,Portions!$A:$A,Portions!$B:$B),FoodItems!$A:$A,FoodItems!$C:$C))</f>
        <v/>
      </c>
      <c r="H252">
        <f>IF(E252="","",E252/100*XLOOKUP(XLOOKUP(C252,Portions!$A:$A,Portions!$B:$B),FoodItems!$A:$A,FoodItems!$D:$D))</f>
        <v/>
      </c>
      <c r="I252">
        <f>IF(E252="","",E252/100*XLOOKUP(XLOOKUP(C252,Portions!$A:$A,Portions!$B:$B),FoodItems!$A:$A,FoodItems!$E:$E))</f>
        <v/>
      </c>
    </row>
    <row r="253">
      <c r="E253">
        <f>IF(C253="","",D253*XLOOKUP(C253,Portions!$A:$A,Portions!$D:$D))</f>
        <v/>
      </c>
      <c r="F253">
        <f>IF(E253="","",E253/100*XLOOKUP(XLOOKUP(C253,Portions!$A:$A,Portions!$B:$B),FoodItems!$A:$A,FoodItems!$B:$B))</f>
        <v/>
      </c>
      <c r="G253">
        <f>IF(E253="","",E253/100*XLOOKUP(XLOOKUP(C253,Portions!$A:$A,Portions!$B:$B),FoodItems!$A:$A,FoodItems!$C:$C))</f>
        <v/>
      </c>
      <c r="H253">
        <f>IF(E253="","",E253/100*XLOOKUP(XLOOKUP(C253,Portions!$A:$A,Portions!$B:$B),FoodItems!$A:$A,FoodItems!$D:$D))</f>
        <v/>
      </c>
      <c r="I253">
        <f>IF(E253="","",E253/100*XLOOKUP(XLOOKUP(C253,Portions!$A:$A,Portions!$B:$B),FoodItems!$A:$A,FoodItems!$E:$E))</f>
        <v/>
      </c>
    </row>
    <row r="254">
      <c r="E254">
        <f>IF(C254="","",D254*XLOOKUP(C254,Portions!$A:$A,Portions!$D:$D))</f>
        <v/>
      </c>
      <c r="F254">
        <f>IF(E254="","",E254/100*XLOOKUP(XLOOKUP(C254,Portions!$A:$A,Portions!$B:$B),FoodItems!$A:$A,FoodItems!$B:$B))</f>
        <v/>
      </c>
      <c r="G254">
        <f>IF(E254="","",E254/100*XLOOKUP(XLOOKUP(C254,Portions!$A:$A,Portions!$B:$B),FoodItems!$A:$A,FoodItems!$C:$C))</f>
        <v/>
      </c>
      <c r="H254">
        <f>IF(E254="","",E254/100*XLOOKUP(XLOOKUP(C254,Portions!$A:$A,Portions!$B:$B),FoodItems!$A:$A,FoodItems!$D:$D))</f>
        <v/>
      </c>
      <c r="I254">
        <f>IF(E254="","",E254/100*XLOOKUP(XLOOKUP(C254,Portions!$A:$A,Portions!$B:$B),FoodItems!$A:$A,FoodItems!$E:$E))</f>
        <v/>
      </c>
    </row>
    <row r="255">
      <c r="E255">
        <f>IF(C255="","",D255*XLOOKUP(C255,Portions!$A:$A,Portions!$D:$D))</f>
        <v/>
      </c>
      <c r="F255">
        <f>IF(E255="","",E255/100*XLOOKUP(XLOOKUP(C255,Portions!$A:$A,Portions!$B:$B),FoodItems!$A:$A,FoodItems!$B:$B))</f>
        <v/>
      </c>
      <c r="G255">
        <f>IF(E255="","",E255/100*XLOOKUP(XLOOKUP(C255,Portions!$A:$A,Portions!$B:$B),FoodItems!$A:$A,FoodItems!$C:$C))</f>
        <v/>
      </c>
      <c r="H255">
        <f>IF(E255="","",E255/100*XLOOKUP(XLOOKUP(C255,Portions!$A:$A,Portions!$B:$B),FoodItems!$A:$A,FoodItems!$D:$D))</f>
        <v/>
      </c>
      <c r="I255">
        <f>IF(E255="","",E255/100*XLOOKUP(XLOOKUP(C255,Portions!$A:$A,Portions!$B:$B),FoodItems!$A:$A,FoodItems!$E:$E))</f>
        <v/>
      </c>
    </row>
    <row r="256">
      <c r="E256">
        <f>IF(C256="","",D256*XLOOKUP(C256,Portions!$A:$A,Portions!$D:$D))</f>
        <v/>
      </c>
      <c r="F256">
        <f>IF(E256="","",E256/100*XLOOKUP(XLOOKUP(C256,Portions!$A:$A,Portions!$B:$B),FoodItems!$A:$A,FoodItems!$B:$B))</f>
        <v/>
      </c>
      <c r="G256">
        <f>IF(E256="","",E256/100*XLOOKUP(XLOOKUP(C256,Portions!$A:$A,Portions!$B:$B),FoodItems!$A:$A,FoodItems!$C:$C))</f>
        <v/>
      </c>
      <c r="H256">
        <f>IF(E256="","",E256/100*XLOOKUP(XLOOKUP(C256,Portions!$A:$A,Portions!$B:$B),FoodItems!$A:$A,FoodItems!$D:$D))</f>
        <v/>
      </c>
      <c r="I256">
        <f>IF(E256="","",E256/100*XLOOKUP(XLOOKUP(C256,Portions!$A:$A,Portions!$B:$B),FoodItems!$A:$A,FoodItems!$E:$E))</f>
        <v/>
      </c>
    </row>
    <row r="257">
      <c r="E257">
        <f>IF(C257="","",D257*XLOOKUP(C257,Portions!$A:$A,Portions!$D:$D))</f>
        <v/>
      </c>
      <c r="F257">
        <f>IF(E257="","",E257/100*XLOOKUP(XLOOKUP(C257,Portions!$A:$A,Portions!$B:$B),FoodItems!$A:$A,FoodItems!$B:$B))</f>
        <v/>
      </c>
      <c r="G257">
        <f>IF(E257="","",E257/100*XLOOKUP(XLOOKUP(C257,Portions!$A:$A,Portions!$B:$B),FoodItems!$A:$A,FoodItems!$C:$C))</f>
        <v/>
      </c>
      <c r="H257">
        <f>IF(E257="","",E257/100*XLOOKUP(XLOOKUP(C257,Portions!$A:$A,Portions!$B:$B),FoodItems!$A:$A,FoodItems!$D:$D))</f>
        <v/>
      </c>
      <c r="I257">
        <f>IF(E257="","",E257/100*XLOOKUP(XLOOKUP(C257,Portions!$A:$A,Portions!$B:$B),FoodItems!$A:$A,FoodItems!$E:$E))</f>
        <v/>
      </c>
    </row>
    <row r="258">
      <c r="E258">
        <f>IF(C258="","",D258*XLOOKUP(C258,Portions!$A:$A,Portions!$D:$D))</f>
        <v/>
      </c>
      <c r="F258">
        <f>IF(E258="","",E258/100*XLOOKUP(XLOOKUP(C258,Portions!$A:$A,Portions!$B:$B),FoodItems!$A:$A,FoodItems!$B:$B))</f>
        <v/>
      </c>
      <c r="G258">
        <f>IF(E258="","",E258/100*XLOOKUP(XLOOKUP(C258,Portions!$A:$A,Portions!$B:$B),FoodItems!$A:$A,FoodItems!$C:$C))</f>
        <v/>
      </c>
      <c r="H258">
        <f>IF(E258="","",E258/100*XLOOKUP(XLOOKUP(C258,Portions!$A:$A,Portions!$B:$B),FoodItems!$A:$A,FoodItems!$D:$D))</f>
        <v/>
      </c>
      <c r="I258">
        <f>IF(E258="","",E258/100*XLOOKUP(XLOOKUP(C258,Portions!$A:$A,Portions!$B:$B),FoodItems!$A:$A,FoodItems!$E:$E))</f>
        <v/>
      </c>
    </row>
    <row r="259">
      <c r="E259">
        <f>IF(C259="","",D259*XLOOKUP(C259,Portions!$A:$A,Portions!$D:$D))</f>
        <v/>
      </c>
      <c r="F259">
        <f>IF(E259="","",E259/100*XLOOKUP(XLOOKUP(C259,Portions!$A:$A,Portions!$B:$B),FoodItems!$A:$A,FoodItems!$B:$B))</f>
        <v/>
      </c>
      <c r="G259">
        <f>IF(E259="","",E259/100*XLOOKUP(XLOOKUP(C259,Portions!$A:$A,Portions!$B:$B),FoodItems!$A:$A,FoodItems!$C:$C))</f>
        <v/>
      </c>
      <c r="H259">
        <f>IF(E259="","",E259/100*XLOOKUP(XLOOKUP(C259,Portions!$A:$A,Portions!$B:$B),FoodItems!$A:$A,FoodItems!$D:$D))</f>
        <v/>
      </c>
      <c r="I259">
        <f>IF(E259="","",E259/100*XLOOKUP(XLOOKUP(C259,Portions!$A:$A,Portions!$B:$B),FoodItems!$A:$A,FoodItems!$E:$E))</f>
        <v/>
      </c>
    </row>
    <row r="260">
      <c r="E260">
        <f>IF(C260="","",D260*XLOOKUP(C260,Portions!$A:$A,Portions!$D:$D))</f>
        <v/>
      </c>
      <c r="F260">
        <f>IF(E260="","",E260/100*XLOOKUP(XLOOKUP(C260,Portions!$A:$A,Portions!$B:$B),FoodItems!$A:$A,FoodItems!$B:$B))</f>
        <v/>
      </c>
      <c r="G260">
        <f>IF(E260="","",E260/100*XLOOKUP(XLOOKUP(C260,Portions!$A:$A,Portions!$B:$B),FoodItems!$A:$A,FoodItems!$C:$C))</f>
        <v/>
      </c>
      <c r="H260">
        <f>IF(E260="","",E260/100*XLOOKUP(XLOOKUP(C260,Portions!$A:$A,Portions!$B:$B),FoodItems!$A:$A,FoodItems!$D:$D))</f>
        <v/>
      </c>
      <c r="I260">
        <f>IF(E260="","",E260/100*XLOOKUP(XLOOKUP(C260,Portions!$A:$A,Portions!$B:$B),FoodItems!$A:$A,FoodItems!$E:$E))</f>
        <v/>
      </c>
    </row>
    <row r="261">
      <c r="E261">
        <f>IF(C261="","",D261*XLOOKUP(C261,Portions!$A:$A,Portions!$D:$D))</f>
        <v/>
      </c>
      <c r="F261">
        <f>IF(E261="","",E261/100*XLOOKUP(XLOOKUP(C261,Portions!$A:$A,Portions!$B:$B),FoodItems!$A:$A,FoodItems!$B:$B))</f>
        <v/>
      </c>
      <c r="G261">
        <f>IF(E261="","",E261/100*XLOOKUP(XLOOKUP(C261,Portions!$A:$A,Portions!$B:$B),FoodItems!$A:$A,FoodItems!$C:$C))</f>
        <v/>
      </c>
      <c r="H261">
        <f>IF(E261="","",E261/100*XLOOKUP(XLOOKUP(C261,Portions!$A:$A,Portions!$B:$B),FoodItems!$A:$A,FoodItems!$D:$D))</f>
        <v/>
      </c>
      <c r="I261">
        <f>IF(E261="","",E261/100*XLOOKUP(XLOOKUP(C261,Portions!$A:$A,Portions!$B:$B),FoodItems!$A:$A,FoodItems!$E:$E))</f>
        <v/>
      </c>
    </row>
    <row r="262">
      <c r="E262">
        <f>IF(C262="","",D262*XLOOKUP(C262,Portions!$A:$A,Portions!$D:$D))</f>
        <v/>
      </c>
      <c r="F262">
        <f>IF(E262="","",E262/100*XLOOKUP(XLOOKUP(C262,Portions!$A:$A,Portions!$B:$B),FoodItems!$A:$A,FoodItems!$B:$B))</f>
        <v/>
      </c>
      <c r="G262">
        <f>IF(E262="","",E262/100*XLOOKUP(XLOOKUP(C262,Portions!$A:$A,Portions!$B:$B),FoodItems!$A:$A,FoodItems!$C:$C))</f>
        <v/>
      </c>
      <c r="H262">
        <f>IF(E262="","",E262/100*XLOOKUP(XLOOKUP(C262,Portions!$A:$A,Portions!$B:$B),FoodItems!$A:$A,FoodItems!$D:$D))</f>
        <v/>
      </c>
      <c r="I262">
        <f>IF(E262="","",E262/100*XLOOKUP(XLOOKUP(C262,Portions!$A:$A,Portions!$B:$B),FoodItems!$A:$A,FoodItems!$E:$E))</f>
        <v/>
      </c>
    </row>
    <row r="263">
      <c r="E263">
        <f>IF(C263="","",D263*XLOOKUP(C263,Portions!$A:$A,Portions!$D:$D))</f>
        <v/>
      </c>
      <c r="F263">
        <f>IF(E263="","",E263/100*XLOOKUP(XLOOKUP(C263,Portions!$A:$A,Portions!$B:$B),FoodItems!$A:$A,FoodItems!$B:$B))</f>
        <v/>
      </c>
      <c r="G263">
        <f>IF(E263="","",E263/100*XLOOKUP(XLOOKUP(C263,Portions!$A:$A,Portions!$B:$B),FoodItems!$A:$A,FoodItems!$C:$C))</f>
        <v/>
      </c>
      <c r="H263">
        <f>IF(E263="","",E263/100*XLOOKUP(XLOOKUP(C263,Portions!$A:$A,Portions!$B:$B),FoodItems!$A:$A,FoodItems!$D:$D))</f>
        <v/>
      </c>
      <c r="I263">
        <f>IF(E263="","",E263/100*XLOOKUP(XLOOKUP(C263,Portions!$A:$A,Portions!$B:$B),FoodItems!$A:$A,FoodItems!$E:$E))</f>
        <v/>
      </c>
    </row>
    <row r="264">
      <c r="E264">
        <f>IF(C264="","",D264*XLOOKUP(C264,Portions!$A:$A,Portions!$D:$D))</f>
        <v/>
      </c>
      <c r="F264">
        <f>IF(E264="","",E264/100*XLOOKUP(XLOOKUP(C264,Portions!$A:$A,Portions!$B:$B),FoodItems!$A:$A,FoodItems!$B:$B))</f>
        <v/>
      </c>
      <c r="G264">
        <f>IF(E264="","",E264/100*XLOOKUP(XLOOKUP(C264,Portions!$A:$A,Portions!$B:$B),FoodItems!$A:$A,FoodItems!$C:$C))</f>
        <v/>
      </c>
      <c r="H264">
        <f>IF(E264="","",E264/100*XLOOKUP(XLOOKUP(C264,Portions!$A:$A,Portions!$B:$B),FoodItems!$A:$A,FoodItems!$D:$D))</f>
        <v/>
      </c>
      <c r="I264">
        <f>IF(E264="","",E264/100*XLOOKUP(XLOOKUP(C264,Portions!$A:$A,Portions!$B:$B),FoodItems!$A:$A,FoodItems!$E:$E))</f>
        <v/>
      </c>
    </row>
    <row r="265">
      <c r="E265">
        <f>IF(C265="","",D265*XLOOKUP(C265,Portions!$A:$A,Portions!$D:$D))</f>
        <v/>
      </c>
      <c r="F265">
        <f>IF(E265="","",E265/100*XLOOKUP(XLOOKUP(C265,Portions!$A:$A,Portions!$B:$B),FoodItems!$A:$A,FoodItems!$B:$B))</f>
        <v/>
      </c>
      <c r="G265">
        <f>IF(E265="","",E265/100*XLOOKUP(XLOOKUP(C265,Portions!$A:$A,Portions!$B:$B),FoodItems!$A:$A,FoodItems!$C:$C))</f>
        <v/>
      </c>
      <c r="H265">
        <f>IF(E265="","",E265/100*XLOOKUP(XLOOKUP(C265,Portions!$A:$A,Portions!$B:$B),FoodItems!$A:$A,FoodItems!$D:$D))</f>
        <v/>
      </c>
      <c r="I265">
        <f>IF(E265="","",E265/100*XLOOKUP(XLOOKUP(C265,Portions!$A:$A,Portions!$B:$B),FoodItems!$A:$A,FoodItems!$E:$E))</f>
        <v/>
      </c>
    </row>
    <row r="266">
      <c r="E266">
        <f>IF(C266="","",D266*XLOOKUP(C266,Portions!$A:$A,Portions!$D:$D))</f>
        <v/>
      </c>
      <c r="F266">
        <f>IF(E266="","",E266/100*XLOOKUP(XLOOKUP(C266,Portions!$A:$A,Portions!$B:$B),FoodItems!$A:$A,FoodItems!$B:$B))</f>
        <v/>
      </c>
      <c r="G266">
        <f>IF(E266="","",E266/100*XLOOKUP(XLOOKUP(C266,Portions!$A:$A,Portions!$B:$B),FoodItems!$A:$A,FoodItems!$C:$C))</f>
        <v/>
      </c>
      <c r="H266">
        <f>IF(E266="","",E266/100*XLOOKUP(XLOOKUP(C266,Portions!$A:$A,Portions!$B:$B),FoodItems!$A:$A,FoodItems!$D:$D))</f>
        <v/>
      </c>
      <c r="I266">
        <f>IF(E266="","",E266/100*XLOOKUP(XLOOKUP(C266,Portions!$A:$A,Portions!$B:$B),FoodItems!$A:$A,FoodItems!$E:$E))</f>
        <v/>
      </c>
    </row>
    <row r="267">
      <c r="E267">
        <f>IF(C267="","",D267*XLOOKUP(C267,Portions!$A:$A,Portions!$D:$D))</f>
        <v/>
      </c>
      <c r="F267">
        <f>IF(E267="","",E267/100*XLOOKUP(XLOOKUP(C267,Portions!$A:$A,Portions!$B:$B),FoodItems!$A:$A,FoodItems!$B:$B))</f>
        <v/>
      </c>
      <c r="G267">
        <f>IF(E267="","",E267/100*XLOOKUP(XLOOKUP(C267,Portions!$A:$A,Portions!$B:$B),FoodItems!$A:$A,FoodItems!$C:$C))</f>
        <v/>
      </c>
      <c r="H267">
        <f>IF(E267="","",E267/100*XLOOKUP(XLOOKUP(C267,Portions!$A:$A,Portions!$B:$B),FoodItems!$A:$A,FoodItems!$D:$D))</f>
        <v/>
      </c>
      <c r="I267">
        <f>IF(E267="","",E267/100*XLOOKUP(XLOOKUP(C267,Portions!$A:$A,Portions!$B:$B),FoodItems!$A:$A,FoodItems!$E:$E))</f>
        <v/>
      </c>
    </row>
    <row r="268">
      <c r="E268">
        <f>IF(C268="","",D268*XLOOKUP(C268,Portions!$A:$A,Portions!$D:$D))</f>
        <v/>
      </c>
      <c r="F268">
        <f>IF(E268="","",E268/100*XLOOKUP(XLOOKUP(C268,Portions!$A:$A,Portions!$B:$B),FoodItems!$A:$A,FoodItems!$B:$B))</f>
        <v/>
      </c>
      <c r="G268">
        <f>IF(E268="","",E268/100*XLOOKUP(XLOOKUP(C268,Portions!$A:$A,Portions!$B:$B),FoodItems!$A:$A,FoodItems!$C:$C))</f>
        <v/>
      </c>
      <c r="H268">
        <f>IF(E268="","",E268/100*XLOOKUP(XLOOKUP(C268,Portions!$A:$A,Portions!$B:$B),FoodItems!$A:$A,FoodItems!$D:$D))</f>
        <v/>
      </c>
      <c r="I268">
        <f>IF(E268="","",E268/100*XLOOKUP(XLOOKUP(C268,Portions!$A:$A,Portions!$B:$B),FoodItems!$A:$A,FoodItems!$E:$E))</f>
        <v/>
      </c>
    </row>
    <row r="269">
      <c r="E269">
        <f>IF(C269="","",D269*XLOOKUP(C269,Portions!$A:$A,Portions!$D:$D))</f>
        <v/>
      </c>
      <c r="F269">
        <f>IF(E269="","",E269/100*XLOOKUP(XLOOKUP(C269,Portions!$A:$A,Portions!$B:$B),FoodItems!$A:$A,FoodItems!$B:$B))</f>
        <v/>
      </c>
      <c r="G269">
        <f>IF(E269="","",E269/100*XLOOKUP(XLOOKUP(C269,Portions!$A:$A,Portions!$B:$B),FoodItems!$A:$A,FoodItems!$C:$C))</f>
        <v/>
      </c>
      <c r="H269">
        <f>IF(E269="","",E269/100*XLOOKUP(XLOOKUP(C269,Portions!$A:$A,Portions!$B:$B),FoodItems!$A:$A,FoodItems!$D:$D))</f>
        <v/>
      </c>
      <c r="I269">
        <f>IF(E269="","",E269/100*XLOOKUP(XLOOKUP(C269,Portions!$A:$A,Portions!$B:$B),FoodItems!$A:$A,FoodItems!$E:$E))</f>
        <v/>
      </c>
    </row>
    <row r="270">
      <c r="E270">
        <f>IF(C270="","",D270*XLOOKUP(C270,Portions!$A:$A,Portions!$D:$D))</f>
        <v/>
      </c>
      <c r="F270">
        <f>IF(E270="","",E270/100*XLOOKUP(XLOOKUP(C270,Portions!$A:$A,Portions!$B:$B),FoodItems!$A:$A,FoodItems!$B:$B))</f>
        <v/>
      </c>
      <c r="G270">
        <f>IF(E270="","",E270/100*XLOOKUP(XLOOKUP(C270,Portions!$A:$A,Portions!$B:$B),FoodItems!$A:$A,FoodItems!$C:$C))</f>
        <v/>
      </c>
      <c r="H270">
        <f>IF(E270="","",E270/100*XLOOKUP(XLOOKUP(C270,Portions!$A:$A,Portions!$B:$B),FoodItems!$A:$A,FoodItems!$D:$D))</f>
        <v/>
      </c>
      <c r="I270">
        <f>IF(E270="","",E270/100*XLOOKUP(XLOOKUP(C270,Portions!$A:$A,Portions!$B:$B),FoodItems!$A:$A,FoodItems!$E:$E))</f>
        <v/>
      </c>
    </row>
    <row r="271">
      <c r="E271">
        <f>IF(C271="","",D271*XLOOKUP(C271,Portions!$A:$A,Portions!$D:$D))</f>
        <v/>
      </c>
      <c r="F271">
        <f>IF(E271="","",E271/100*XLOOKUP(XLOOKUP(C271,Portions!$A:$A,Portions!$B:$B),FoodItems!$A:$A,FoodItems!$B:$B))</f>
        <v/>
      </c>
      <c r="G271">
        <f>IF(E271="","",E271/100*XLOOKUP(XLOOKUP(C271,Portions!$A:$A,Portions!$B:$B),FoodItems!$A:$A,FoodItems!$C:$C))</f>
        <v/>
      </c>
      <c r="H271">
        <f>IF(E271="","",E271/100*XLOOKUP(XLOOKUP(C271,Portions!$A:$A,Portions!$B:$B),FoodItems!$A:$A,FoodItems!$D:$D))</f>
        <v/>
      </c>
      <c r="I271">
        <f>IF(E271="","",E271/100*XLOOKUP(XLOOKUP(C271,Portions!$A:$A,Portions!$B:$B),FoodItems!$A:$A,FoodItems!$E:$E))</f>
        <v/>
      </c>
    </row>
    <row r="272">
      <c r="E272">
        <f>IF(C272="","",D272*XLOOKUP(C272,Portions!$A:$A,Portions!$D:$D))</f>
        <v/>
      </c>
      <c r="F272">
        <f>IF(E272="","",E272/100*XLOOKUP(XLOOKUP(C272,Portions!$A:$A,Portions!$B:$B),FoodItems!$A:$A,FoodItems!$B:$B))</f>
        <v/>
      </c>
      <c r="G272">
        <f>IF(E272="","",E272/100*XLOOKUP(XLOOKUP(C272,Portions!$A:$A,Portions!$B:$B),FoodItems!$A:$A,FoodItems!$C:$C))</f>
        <v/>
      </c>
      <c r="H272">
        <f>IF(E272="","",E272/100*XLOOKUP(XLOOKUP(C272,Portions!$A:$A,Portions!$B:$B),FoodItems!$A:$A,FoodItems!$D:$D))</f>
        <v/>
      </c>
      <c r="I272">
        <f>IF(E272="","",E272/100*XLOOKUP(XLOOKUP(C272,Portions!$A:$A,Portions!$B:$B),FoodItems!$A:$A,FoodItems!$E:$E))</f>
        <v/>
      </c>
    </row>
    <row r="273">
      <c r="E273">
        <f>IF(C273="","",D273*XLOOKUP(C273,Portions!$A:$A,Portions!$D:$D))</f>
        <v/>
      </c>
      <c r="F273">
        <f>IF(E273="","",E273/100*XLOOKUP(XLOOKUP(C273,Portions!$A:$A,Portions!$B:$B),FoodItems!$A:$A,FoodItems!$B:$B))</f>
        <v/>
      </c>
      <c r="G273">
        <f>IF(E273="","",E273/100*XLOOKUP(XLOOKUP(C273,Portions!$A:$A,Portions!$B:$B),FoodItems!$A:$A,FoodItems!$C:$C))</f>
        <v/>
      </c>
      <c r="H273">
        <f>IF(E273="","",E273/100*XLOOKUP(XLOOKUP(C273,Portions!$A:$A,Portions!$B:$B),FoodItems!$A:$A,FoodItems!$D:$D))</f>
        <v/>
      </c>
      <c r="I273">
        <f>IF(E273="","",E273/100*XLOOKUP(XLOOKUP(C273,Portions!$A:$A,Portions!$B:$B),FoodItems!$A:$A,FoodItems!$E:$E))</f>
        <v/>
      </c>
    </row>
    <row r="274">
      <c r="E274">
        <f>IF(C274="","",D274*XLOOKUP(C274,Portions!$A:$A,Portions!$D:$D))</f>
        <v/>
      </c>
      <c r="F274">
        <f>IF(E274="","",E274/100*XLOOKUP(XLOOKUP(C274,Portions!$A:$A,Portions!$B:$B),FoodItems!$A:$A,FoodItems!$B:$B))</f>
        <v/>
      </c>
      <c r="G274">
        <f>IF(E274="","",E274/100*XLOOKUP(XLOOKUP(C274,Portions!$A:$A,Portions!$B:$B),FoodItems!$A:$A,FoodItems!$C:$C))</f>
        <v/>
      </c>
      <c r="H274">
        <f>IF(E274="","",E274/100*XLOOKUP(XLOOKUP(C274,Portions!$A:$A,Portions!$B:$B),FoodItems!$A:$A,FoodItems!$D:$D))</f>
        <v/>
      </c>
      <c r="I274">
        <f>IF(E274="","",E274/100*XLOOKUP(XLOOKUP(C274,Portions!$A:$A,Portions!$B:$B),FoodItems!$A:$A,FoodItems!$E:$E))</f>
        <v/>
      </c>
    </row>
    <row r="275">
      <c r="E275">
        <f>IF(C275="","",D275*XLOOKUP(C275,Portions!$A:$A,Portions!$D:$D))</f>
        <v/>
      </c>
      <c r="F275">
        <f>IF(E275="","",E275/100*XLOOKUP(XLOOKUP(C275,Portions!$A:$A,Portions!$B:$B),FoodItems!$A:$A,FoodItems!$B:$B))</f>
        <v/>
      </c>
      <c r="G275">
        <f>IF(E275="","",E275/100*XLOOKUP(XLOOKUP(C275,Portions!$A:$A,Portions!$B:$B),FoodItems!$A:$A,FoodItems!$C:$C))</f>
        <v/>
      </c>
      <c r="H275">
        <f>IF(E275="","",E275/100*XLOOKUP(XLOOKUP(C275,Portions!$A:$A,Portions!$B:$B),FoodItems!$A:$A,FoodItems!$D:$D))</f>
        <v/>
      </c>
      <c r="I275">
        <f>IF(E275="","",E275/100*XLOOKUP(XLOOKUP(C275,Portions!$A:$A,Portions!$B:$B),FoodItems!$A:$A,FoodItems!$E:$E))</f>
        <v/>
      </c>
    </row>
    <row r="276">
      <c r="E276">
        <f>IF(C276="","",D276*XLOOKUP(C276,Portions!$A:$A,Portions!$D:$D))</f>
        <v/>
      </c>
      <c r="F276">
        <f>IF(E276="","",E276/100*XLOOKUP(XLOOKUP(C276,Portions!$A:$A,Portions!$B:$B),FoodItems!$A:$A,FoodItems!$B:$B))</f>
        <v/>
      </c>
      <c r="G276">
        <f>IF(E276="","",E276/100*XLOOKUP(XLOOKUP(C276,Portions!$A:$A,Portions!$B:$B),FoodItems!$A:$A,FoodItems!$C:$C))</f>
        <v/>
      </c>
      <c r="H276">
        <f>IF(E276="","",E276/100*XLOOKUP(XLOOKUP(C276,Portions!$A:$A,Portions!$B:$B),FoodItems!$A:$A,FoodItems!$D:$D))</f>
        <v/>
      </c>
      <c r="I276">
        <f>IF(E276="","",E276/100*XLOOKUP(XLOOKUP(C276,Portions!$A:$A,Portions!$B:$B),FoodItems!$A:$A,FoodItems!$E:$E))</f>
        <v/>
      </c>
    </row>
    <row r="277">
      <c r="E277">
        <f>IF(C277="","",D277*XLOOKUP(C277,Portions!$A:$A,Portions!$D:$D))</f>
        <v/>
      </c>
      <c r="F277">
        <f>IF(E277="","",E277/100*XLOOKUP(XLOOKUP(C277,Portions!$A:$A,Portions!$B:$B),FoodItems!$A:$A,FoodItems!$B:$B))</f>
        <v/>
      </c>
      <c r="G277">
        <f>IF(E277="","",E277/100*XLOOKUP(XLOOKUP(C277,Portions!$A:$A,Portions!$B:$B),FoodItems!$A:$A,FoodItems!$C:$C))</f>
        <v/>
      </c>
      <c r="H277">
        <f>IF(E277="","",E277/100*XLOOKUP(XLOOKUP(C277,Portions!$A:$A,Portions!$B:$B),FoodItems!$A:$A,FoodItems!$D:$D))</f>
        <v/>
      </c>
      <c r="I277">
        <f>IF(E277="","",E277/100*XLOOKUP(XLOOKUP(C277,Portions!$A:$A,Portions!$B:$B),FoodItems!$A:$A,FoodItems!$E:$E))</f>
        <v/>
      </c>
    </row>
    <row r="278">
      <c r="E278">
        <f>IF(C278="","",D278*XLOOKUP(C278,Portions!$A:$A,Portions!$D:$D))</f>
        <v/>
      </c>
      <c r="F278">
        <f>IF(E278="","",E278/100*XLOOKUP(XLOOKUP(C278,Portions!$A:$A,Portions!$B:$B),FoodItems!$A:$A,FoodItems!$B:$B))</f>
        <v/>
      </c>
      <c r="G278">
        <f>IF(E278="","",E278/100*XLOOKUP(XLOOKUP(C278,Portions!$A:$A,Portions!$B:$B),FoodItems!$A:$A,FoodItems!$C:$C))</f>
        <v/>
      </c>
      <c r="H278">
        <f>IF(E278="","",E278/100*XLOOKUP(XLOOKUP(C278,Portions!$A:$A,Portions!$B:$B),FoodItems!$A:$A,FoodItems!$D:$D))</f>
        <v/>
      </c>
      <c r="I278">
        <f>IF(E278="","",E278/100*XLOOKUP(XLOOKUP(C278,Portions!$A:$A,Portions!$B:$B),FoodItems!$A:$A,FoodItems!$E:$E))</f>
        <v/>
      </c>
    </row>
    <row r="279">
      <c r="E279">
        <f>IF(C279="","",D279*XLOOKUP(C279,Portions!$A:$A,Portions!$D:$D))</f>
        <v/>
      </c>
      <c r="F279">
        <f>IF(E279="","",E279/100*XLOOKUP(XLOOKUP(C279,Portions!$A:$A,Portions!$B:$B),FoodItems!$A:$A,FoodItems!$B:$B))</f>
        <v/>
      </c>
      <c r="G279">
        <f>IF(E279="","",E279/100*XLOOKUP(XLOOKUP(C279,Portions!$A:$A,Portions!$B:$B),FoodItems!$A:$A,FoodItems!$C:$C))</f>
        <v/>
      </c>
      <c r="H279">
        <f>IF(E279="","",E279/100*XLOOKUP(XLOOKUP(C279,Portions!$A:$A,Portions!$B:$B),FoodItems!$A:$A,FoodItems!$D:$D))</f>
        <v/>
      </c>
      <c r="I279">
        <f>IF(E279="","",E279/100*XLOOKUP(XLOOKUP(C279,Portions!$A:$A,Portions!$B:$B),FoodItems!$A:$A,FoodItems!$E:$E))</f>
        <v/>
      </c>
    </row>
    <row r="280">
      <c r="E280">
        <f>IF(C280="","",D280*XLOOKUP(C280,Portions!$A:$A,Portions!$D:$D))</f>
        <v/>
      </c>
      <c r="F280">
        <f>IF(E280="","",E280/100*XLOOKUP(XLOOKUP(C280,Portions!$A:$A,Portions!$B:$B),FoodItems!$A:$A,FoodItems!$B:$B))</f>
        <v/>
      </c>
      <c r="G280">
        <f>IF(E280="","",E280/100*XLOOKUP(XLOOKUP(C280,Portions!$A:$A,Portions!$B:$B),FoodItems!$A:$A,FoodItems!$C:$C))</f>
        <v/>
      </c>
      <c r="H280">
        <f>IF(E280="","",E280/100*XLOOKUP(XLOOKUP(C280,Portions!$A:$A,Portions!$B:$B),FoodItems!$A:$A,FoodItems!$D:$D))</f>
        <v/>
      </c>
      <c r="I280">
        <f>IF(E280="","",E280/100*XLOOKUP(XLOOKUP(C280,Portions!$A:$A,Portions!$B:$B),FoodItems!$A:$A,FoodItems!$E:$E))</f>
        <v/>
      </c>
    </row>
    <row r="281">
      <c r="E281">
        <f>IF(C281="","",D281*XLOOKUP(C281,Portions!$A:$A,Portions!$D:$D))</f>
        <v/>
      </c>
      <c r="F281">
        <f>IF(E281="","",E281/100*XLOOKUP(XLOOKUP(C281,Portions!$A:$A,Portions!$B:$B),FoodItems!$A:$A,FoodItems!$B:$B))</f>
        <v/>
      </c>
      <c r="G281">
        <f>IF(E281="","",E281/100*XLOOKUP(XLOOKUP(C281,Portions!$A:$A,Portions!$B:$B),FoodItems!$A:$A,FoodItems!$C:$C))</f>
        <v/>
      </c>
      <c r="H281">
        <f>IF(E281="","",E281/100*XLOOKUP(XLOOKUP(C281,Portions!$A:$A,Portions!$B:$B),FoodItems!$A:$A,FoodItems!$D:$D))</f>
        <v/>
      </c>
      <c r="I281">
        <f>IF(E281="","",E281/100*XLOOKUP(XLOOKUP(C281,Portions!$A:$A,Portions!$B:$B),FoodItems!$A:$A,FoodItems!$E:$E))</f>
        <v/>
      </c>
    </row>
    <row r="282">
      <c r="E282">
        <f>IF(C282="","",D282*XLOOKUP(C282,Portions!$A:$A,Portions!$D:$D))</f>
        <v/>
      </c>
      <c r="F282">
        <f>IF(E282="","",E282/100*XLOOKUP(XLOOKUP(C282,Portions!$A:$A,Portions!$B:$B),FoodItems!$A:$A,FoodItems!$B:$B))</f>
        <v/>
      </c>
      <c r="G282">
        <f>IF(E282="","",E282/100*XLOOKUP(XLOOKUP(C282,Portions!$A:$A,Portions!$B:$B),FoodItems!$A:$A,FoodItems!$C:$C))</f>
        <v/>
      </c>
      <c r="H282">
        <f>IF(E282="","",E282/100*XLOOKUP(XLOOKUP(C282,Portions!$A:$A,Portions!$B:$B),FoodItems!$A:$A,FoodItems!$D:$D))</f>
        <v/>
      </c>
      <c r="I282">
        <f>IF(E282="","",E282/100*XLOOKUP(XLOOKUP(C282,Portions!$A:$A,Portions!$B:$B),FoodItems!$A:$A,FoodItems!$E:$E))</f>
        <v/>
      </c>
    </row>
    <row r="283">
      <c r="E283">
        <f>IF(C283="","",D283*XLOOKUP(C283,Portions!$A:$A,Portions!$D:$D))</f>
        <v/>
      </c>
      <c r="F283">
        <f>IF(E283="","",E283/100*XLOOKUP(XLOOKUP(C283,Portions!$A:$A,Portions!$B:$B),FoodItems!$A:$A,FoodItems!$B:$B))</f>
        <v/>
      </c>
      <c r="G283">
        <f>IF(E283="","",E283/100*XLOOKUP(XLOOKUP(C283,Portions!$A:$A,Portions!$B:$B),FoodItems!$A:$A,FoodItems!$C:$C))</f>
        <v/>
      </c>
      <c r="H283">
        <f>IF(E283="","",E283/100*XLOOKUP(XLOOKUP(C283,Portions!$A:$A,Portions!$B:$B),FoodItems!$A:$A,FoodItems!$D:$D))</f>
        <v/>
      </c>
      <c r="I283">
        <f>IF(E283="","",E283/100*XLOOKUP(XLOOKUP(C283,Portions!$A:$A,Portions!$B:$B),FoodItems!$A:$A,FoodItems!$E:$E))</f>
        <v/>
      </c>
    </row>
    <row r="284">
      <c r="E284">
        <f>IF(C284="","",D284*XLOOKUP(C284,Portions!$A:$A,Portions!$D:$D))</f>
        <v/>
      </c>
      <c r="F284">
        <f>IF(E284="","",E284/100*XLOOKUP(XLOOKUP(C284,Portions!$A:$A,Portions!$B:$B),FoodItems!$A:$A,FoodItems!$B:$B))</f>
        <v/>
      </c>
      <c r="G284">
        <f>IF(E284="","",E284/100*XLOOKUP(XLOOKUP(C284,Portions!$A:$A,Portions!$B:$B),FoodItems!$A:$A,FoodItems!$C:$C))</f>
        <v/>
      </c>
      <c r="H284">
        <f>IF(E284="","",E284/100*XLOOKUP(XLOOKUP(C284,Portions!$A:$A,Portions!$B:$B),FoodItems!$A:$A,FoodItems!$D:$D))</f>
        <v/>
      </c>
      <c r="I284">
        <f>IF(E284="","",E284/100*XLOOKUP(XLOOKUP(C284,Portions!$A:$A,Portions!$B:$B),FoodItems!$A:$A,FoodItems!$E:$E))</f>
        <v/>
      </c>
    </row>
    <row r="285">
      <c r="E285">
        <f>IF(C285="","",D285*XLOOKUP(C285,Portions!$A:$A,Portions!$D:$D))</f>
        <v/>
      </c>
      <c r="F285">
        <f>IF(E285="","",E285/100*XLOOKUP(XLOOKUP(C285,Portions!$A:$A,Portions!$B:$B),FoodItems!$A:$A,FoodItems!$B:$B))</f>
        <v/>
      </c>
      <c r="G285">
        <f>IF(E285="","",E285/100*XLOOKUP(XLOOKUP(C285,Portions!$A:$A,Portions!$B:$B),FoodItems!$A:$A,FoodItems!$C:$C))</f>
        <v/>
      </c>
      <c r="H285">
        <f>IF(E285="","",E285/100*XLOOKUP(XLOOKUP(C285,Portions!$A:$A,Portions!$B:$B),FoodItems!$A:$A,FoodItems!$D:$D))</f>
        <v/>
      </c>
      <c r="I285">
        <f>IF(E285="","",E285/100*XLOOKUP(XLOOKUP(C285,Portions!$A:$A,Portions!$B:$B),FoodItems!$A:$A,FoodItems!$E:$E))</f>
        <v/>
      </c>
    </row>
    <row r="286">
      <c r="E286">
        <f>IF(C286="","",D286*XLOOKUP(C286,Portions!$A:$A,Portions!$D:$D))</f>
        <v/>
      </c>
      <c r="F286">
        <f>IF(E286="","",E286/100*XLOOKUP(XLOOKUP(C286,Portions!$A:$A,Portions!$B:$B),FoodItems!$A:$A,FoodItems!$B:$B))</f>
        <v/>
      </c>
      <c r="G286">
        <f>IF(E286="","",E286/100*XLOOKUP(XLOOKUP(C286,Portions!$A:$A,Portions!$B:$B),FoodItems!$A:$A,FoodItems!$C:$C))</f>
        <v/>
      </c>
      <c r="H286">
        <f>IF(E286="","",E286/100*XLOOKUP(XLOOKUP(C286,Portions!$A:$A,Portions!$B:$B),FoodItems!$A:$A,FoodItems!$D:$D))</f>
        <v/>
      </c>
      <c r="I286">
        <f>IF(E286="","",E286/100*XLOOKUP(XLOOKUP(C286,Portions!$A:$A,Portions!$B:$B),FoodItems!$A:$A,FoodItems!$E:$E))</f>
        <v/>
      </c>
    </row>
    <row r="287">
      <c r="E287">
        <f>IF(C287="","",D287*XLOOKUP(C287,Portions!$A:$A,Portions!$D:$D))</f>
        <v/>
      </c>
      <c r="F287">
        <f>IF(E287="","",E287/100*XLOOKUP(XLOOKUP(C287,Portions!$A:$A,Portions!$B:$B),FoodItems!$A:$A,FoodItems!$B:$B))</f>
        <v/>
      </c>
      <c r="G287">
        <f>IF(E287="","",E287/100*XLOOKUP(XLOOKUP(C287,Portions!$A:$A,Portions!$B:$B),FoodItems!$A:$A,FoodItems!$C:$C))</f>
        <v/>
      </c>
      <c r="H287">
        <f>IF(E287="","",E287/100*XLOOKUP(XLOOKUP(C287,Portions!$A:$A,Portions!$B:$B),FoodItems!$A:$A,FoodItems!$D:$D))</f>
        <v/>
      </c>
      <c r="I287">
        <f>IF(E287="","",E287/100*XLOOKUP(XLOOKUP(C287,Portions!$A:$A,Portions!$B:$B),FoodItems!$A:$A,FoodItems!$E:$E))</f>
        <v/>
      </c>
    </row>
    <row r="288">
      <c r="E288">
        <f>IF(C288="","",D288*XLOOKUP(C288,Portions!$A:$A,Portions!$D:$D))</f>
        <v/>
      </c>
      <c r="F288">
        <f>IF(E288="","",E288/100*XLOOKUP(XLOOKUP(C288,Portions!$A:$A,Portions!$B:$B),FoodItems!$A:$A,FoodItems!$B:$B))</f>
        <v/>
      </c>
      <c r="G288">
        <f>IF(E288="","",E288/100*XLOOKUP(XLOOKUP(C288,Portions!$A:$A,Portions!$B:$B),FoodItems!$A:$A,FoodItems!$C:$C))</f>
        <v/>
      </c>
      <c r="H288">
        <f>IF(E288="","",E288/100*XLOOKUP(XLOOKUP(C288,Portions!$A:$A,Portions!$B:$B),FoodItems!$A:$A,FoodItems!$D:$D))</f>
        <v/>
      </c>
      <c r="I288">
        <f>IF(E288="","",E288/100*XLOOKUP(XLOOKUP(C288,Portions!$A:$A,Portions!$B:$B),FoodItems!$A:$A,FoodItems!$E:$E))</f>
        <v/>
      </c>
    </row>
    <row r="289">
      <c r="E289">
        <f>IF(C289="","",D289*XLOOKUP(C289,Portions!$A:$A,Portions!$D:$D))</f>
        <v/>
      </c>
      <c r="F289">
        <f>IF(E289="","",E289/100*XLOOKUP(XLOOKUP(C289,Portions!$A:$A,Portions!$B:$B),FoodItems!$A:$A,FoodItems!$B:$B))</f>
        <v/>
      </c>
      <c r="G289">
        <f>IF(E289="","",E289/100*XLOOKUP(XLOOKUP(C289,Portions!$A:$A,Portions!$B:$B),FoodItems!$A:$A,FoodItems!$C:$C))</f>
        <v/>
      </c>
      <c r="H289">
        <f>IF(E289="","",E289/100*XLOOKUP(XLOOKUP(C289,Portions!$A:$A,Portions!$B:$B),FoodItems!$A:$A,FoodItems!$D:$D))</f>
        <v/>
      </c>
      <c r="I289">
        <f>IF(E289="","",E289/100*XLOOKUP(XLOOKUP(C289,Portions!$A:$A,Portions!$B:$B),FoodItems!$A:$A,FoodItems!$E:$E))</f>
        <v/>
      </c>
    </row>
    <row r="290">
      <c r="E290">
        <f>IF(C290="","",D290*XLOOKUP(C290,Portions!$A:$A,Portions!$D:$D))</f>
        <v/>
      </c>
      <c r="F290">
        <f>IF(E290="","",E290/100*XLOOKUP(XLOOKUP(C290,Portions!$A:$A,Portions!$B:$B),FoodItems!$A:$A,FoodItems!$B:$B))</f>
        <v/>
      </c>
      <c r="G290">
        <f>IF(E290="","",E290/100*XLOOKUP(XLOOKUP(C290,Portions!$A:$A,Portions!$B:$B),FoodItems!$A:$A,FoodItems!$C:$C))</f>
        <v/>
      </c>
      <c r="H290">
        <f>IF(E290="","",E290/100*XLOOKUP(XLOOKUP(C290,Portions!$A:$A,Portions!$B:$B),FoodItems!$A:$A,FoodItems!$D:$D))</f>
        <v/>
      </c>
      <c r="I290">
        <f>IF(E290="","",E290/100*XLOOKUP(XLOOKUP(C290,Portions!$A:$A,Portions!$B:$B),FoodItems!$A:$A,FoodItems!$E:$E))</f>
        <v/>
      </c>
    </row>
    <row r="291">
      <c r="E291">
        <f>IF(C291="","",D291*XLOOKUP(C291,Portions!$A:$A,Portions!$D:$D))</f>
        <v/>
      </c>
      <c r="F291">
        <f>IF(E291="","",E291/100*XLOOKUP(XLOOKUP(C291,Portions!$A:$A,Portions!$B:$B),FoodItems!$A:$A,FoodItems!$B:$B))</f>
        <v/>
      </c>
      <c r="G291">
        <f>IF(E291="","",E291/100*XLOOKUP(XLOOKUP(C291,Portions!$A:$A,Portions!$B:$B),FoodItems!$A:$A,FoodItems!$C:$C))</f>
        <v/>
      </c>
      <c r="H291">
        <f>IF(E291="","",E291/100*XLOOKUP(XLOOKUP(C291,Portions!$A:$A,Portions!$B:$B),FoodItems!$A:$A,FoodItems!$D:$D))</f>
        <v/>
      </c>
      <c r="I291">
        <f>IF(E291="","",E291/100*XLOOKUP(XLOOKUP(C291,Portions!$A:$A,Portions!$B:$B),FoodItems!$A:$A,FoodItems!$E:$E))</f>
        <v/>
      </c>
    </row>
    <row r="292">
      <c r="E292">
        <f>IF(C292="","",D292*XLOOKUP(C292,Portions!$A:$A,Portions!$D:$D))</f>
        <v/>
      </c>
      <c r="F292">
        <f>IF(E292="","",E292/100*XLOOKUP(XLOOKUP(C292,Portions!$A:$A,Portions!$B:$B),FoodItems!$A:$A,FoodItems!$B:$B))</f>
        <v/>
      </c>
      <c r="G292">
        <f>IF(E292="","",E292/100*XLOOKUP(XLOOKUP(C292,Portions!$A:$A,Portions!$B:$B),FoodItems!$A:$A,FoodItems!$C:$C))</f>
        <v/>
      </c>
      <c r="H292">
        <f>IF(E292="","",E292/100*XLOOKUP(XLOOKUP(C292,Portions!$A:$A,Portions!$B:$B),FoodItems!$A:$A,FoodItems!$D:$D))</f>
        <v/>
      </c>
      <c r="I292">
        <f>IF(E292="","",E292/100*XLOOKUP(XLOOKUP(C292,Portions!$A:$A,Portions!$B:$B),FoodItems!$A:$A,FoodItems!$E:$E))</f>
        <v/>
      </c>
    </row>
    <row r="293">
      <c r="E293">
        <f>IF(C293="","",D293*XLOOKUP(C293,Portions!$A:$A,Portions!$D:$D))</f>
        <v/>
      </c>
      <c r="F293">
        <f>IF(E293="","",E293/100*XLOOKUP(XLOOKUP(C293,Portions!$A:$A,Portions!$B:$B),FoodItems!$A:$A,FoodItems!$B:$B))</f>
        <v/>
      </c>
      <c r="G293">
        <f>IF(E293="","",E293/100*XLOOKUP(XLOOKUP(C293,Portions!$A:$A,Portions!$B:$B),FoodItems!$A:$A,FoodItems!$C:$C))</f>
        <v/>
      </c>
      <c r="H293">
        <f>IF(E293="","",E293/100*XLOOKUP(XLOOKUP(C293,Portions!$A:$A,Portions!$B:$B),FoodItems!$A:$A,FoodItems!$D:$D))</f>
        <v/>
      </c>
      <c r="I293">
        <f>IF(E293="","",E293/100*XLOOKUP(XLOOKUP(C293,Portions!$A:$A,Portions!$B:$B),FoodItems!$A:$A,FoodItems!$E:$E))</f>
        <v/>
      </c>
    </row>
    <row r="294">
      <c r="E294">
        <f>IF(C294="","",D294*XLOOKUP(C294,Portions!$A:$A,Portions!$D:$D))</f>
        <v/>
      </c>
      <c r="F294">
        <f>IF(E294="","",E294/100*XLOOKUP(XLOOKUP(C294,Portions!$A:$A,Portions!$B:$B),FoodItems!$A:$A,FoodItems!$B:$B))</f>
        <v/>
      </c>
      <c r="G294">
        <f>IF(E294="","",E294/100*XLOOKUP(XLOOKUP(C294,Portions!$A:$A,Portions!$B:$B),FoodItems!$A:$A,FoodItems!$C:$C))</f>
        <v/>
      </c>
      <c r="H294">
        <f>IF(E294="","",E294/100*XLOOKUP(XLOOKUP(C294,Portions!$A:$A,Portions!$B:$B),FoodItems!$A:$A,FoodItems!$D:$D))</f>
        <v/>
      </c>
      <c r="I294">
        <f>IF(E294="","",E294/100*XLOOKUP(XLOOKUP(C294,Portions!$A:$A,Portions!$B:$B),FoodItems!$A:$A,FoodItems!$E:$E))</f>
        <v/>
      </c>
    </row>
    <row r="295">
      <c r="E295">
        <f>IF(C295="","",D295*XLOOKUP(C295,Portions!$A:$A,Portions!$D:$D))</f>
        <v/>
      </c>
      <c r="F295">
        <f>IF(E295="","",E295/100*XLOOKUP(XLOOKUP(C295,Portions!$A:$A,Portions!$B:$B),FoodItems!$A:$A,FoodItems!$B:$B))</f>
        <v/>
      </c>
      <c r="G295">
        <f>IF(E295="","",E295/100*XLOOKUP(XLOOKUP(C295,Portions!$A:$A,Portions!$B:$B),FoodItems!$A:$A,FoodItems!$C:$C))</f>
        <v/>
      </c>
      <c r="H295">
        <f>IF(E295="","",E295/100*XLOOKUP(XLOOKUP(C295,Portions!$A:$A,Portions!$B:$B),FoodItems!$A:$A,FoodItems!$D:$D))</f>
        <v/>
      </c>
      <c r="I295">
        <f>IF(E295="","",E295/100*XLOOKUP(XLOOKUP(C295,Portions!$A:$A,Portions!$B:$B),FoodItems!$A:$A,FoodItems!$E:$E))</f>
        <v/>
      </c>
    </row>
    <row r="296">
      <c r="E296">
        <f>IF(C296="","",D296*XLOOKUP(C296,Portions!$A:$A,Portions!$D:$D))</f>
        <v/>
      </c>
      <c r="F296">
        <f>IF(E296="","",E296/100*XLOOKUP(XLOOKUP(C296,Portions!$A:$A,Portions!$B:$B),FoodItems!$A:$A,FoodItems!$B:$B))</f>
        <v/>
      </c>
      <c r="G296">
        <f>IF(E296="","",E296/100*XLOOKUP(XLOOKUP(C296,Portions!$A:$A,Portions!$B:$B),FoodItems!$A:$A,FoodItems!$C:$C))</f>
        <v/>
      </c>
      <c r="H296">
        <f>IF(E296="","",E296/100*XLOOKUP(XLOOKUP(C296,Portions!$A:$A,Portions!$B:$B),FoodItems!$A:$A,FoodItems!$D:$D))</f>
        <v/>
      </c>
      <c r="I296">
        <f>IF(E296="","",E296/100*XLOOKUP(XLOOKUP(C296,Portions!$A:$A,Portions!$B:$B),FoodItems!$A:$A,FoodItems!$E:$E))</f>
        <v/>
      </c>
    </row>
    <row r="297">
      <c r="E297">
        <f>IF(C297="","",D297*XLOOKUP(C297,Portions!$A:$A,Portions!$D:$D))</f>
        <v/>
      </c>
      <c r="F297">
        <f>IF(E297="","",E297/100*XLOOKUP(XLOOKUP(C297,Portions!$A:$A,Portions!$B:$B),FoodItems!$A:$A,FoodItems!$B:$B))</f>
        <v/>
      </c>
      <c r="G297">
        <f>IF(E297="","",E297/100*XLOOKUP(XLOOKUP(C297,Portions!$A:$A,Portions!$B:$B),FoodItems!$A:$A,FoodItems!$C:$C))</f>
        <v/>
      </c>
      <c r="H297">
        <f>IF(E297="","",E297/100*XLOOKUP(XLOOKUP(C297,Portions!$A:$A,Portions!$B:$B),FoodItems!$A:$A,FoodItems!$D:$D))</f>
        <v/>
      </c>
      <c r="I297">
        <f>IF(E297="","",E297/100*XLOOKUP(XLOOKUP(C297,Portions!$A:$A,Portions!$B:$B),FoodItems!$A:$A,FoodItems!$E:$E))</f>
        <v/>
      </c>
    </row>
    <row r="298">
      <c r="E298">
        <f>IF(C298="","",D298*XLOOKUP(C298,Portions!$A:$A,Portions!$D:$D))</f>
        <v/>
      </c>
      <c r="F298">
        <f>IF(E298="","",E298/100*XLOOKUP(XLOOKUP(C298,Portions!$A:$A,Portions!$B:$B),FoodItems!$A:$A,FoodItems!$B:$B))</f>
        <v/>
      </c>
      <c r="G298">
        <f>IF(E298="","",E298/100*XLOOKUP(XLOOKUP(C298,Portions!$A:$A,Portions!$B:$B),FoodItems!$A:$A,FoodItems!$C:$C))</f>
        <v/>
      </c>
      <c r="H298">
        <f>IF(E298="","",E298/100*XLOOKUP(XLOOKUP(C298,Portions!$A:$A,Portions!$B:$B),FoodItems!$A:$A,FoodItems!$D:$D))</f>
        <v/>
      </c>
      <c r="I298">
        <f>IF(E298="","",E298/100*XLOOKUP(XLOOKUP(C298,Portions!$A:$A,Portions!$B:$B),FoodItems!$A:$A,FoodItems!$E:$E))</f>
        <v/>
      </c>
    </row>
    <row r="299">
      <c r="E299">
        <f>IF(C299="","",D299*XLOOKUP(C299,Portions!$A:$A,Portions!$D:$D))</f>
        <v/>
      </c>
      <c r="F299">
        <f>IF(E299="","",E299/100*XLOOKUP(XLOOKUP(C299,Portions!$A:$A,Portions!$B:$B),FoodItems!$A:$A,FoodItems!$B:$B))</f>
        <v/>
      </c>
      <c r="G299">
        <f>IF(E299="","",E299/100*XLOOKUP(XLOOKUP(C299,Portions!$A:$A,Portions!$B:$B),FoodItems!$A:$A,FoodItems!$C:$C))</f>
        <v/>
      </c>
      <c r="H299">
        <f>IF(E299="","",E299/100*XLOOKUP(XLOOKUP(C299,Portions!$A:$A,Portions!$B:$B),FoodItems!$A:$A,FoodItems!$D:$D))</f>
        <v/>
      </c>
      <c r="I299">
        <f>IF(E299="","",E299/100*XLOOKUP(XLOOKUP(C299,Portions!$A:$A,Portions!$B:$B),FoodItems!$A:$A,FoodItems!$E:$E))</f>
        <v/>
      </c>
    </row>
    <row r="300">
      <c r="E300">
        <f>IF(C300="","",D300*XLOOKUP(C300,Portions!$A:$A,Portions!$D:$D))</f>
        <v/>
      </c>
      <c r="F300">
        <f>IF(E300="","",E300/100*XLOOKUP(XLOOKUP(C300,Portions!$A:$A,Portions!$B:$B),FoodItems!$A:$A,FoodItems!$B:$B))</f>
        <v/>
      </c>
      <c r="G300">
        <f>IF(E300="","",E300/100*XLOOKUP(XLOOKUP(C300,Portions!$A:$A,Portions!$B:$B),FoodItems!$A:$A,FoodItems!$C:$C))</f>
        <v/>
      </c>
      <c r="H300">
        <f>IF(E300="","",E300/100*XLOOKUP(XLOOKUP(C300,Portions!$A:$A,Portions!$B:$B),FoodItems!$A:$A,FoodItems!$D:$D))</f>
        <v/>
      </c>
      <c r="I300">
        <f>IF(E300="","",E300/100*XLOOKUP(XLOOKUP(C300,Portions!$A:$A,Portions!$B:$B),FoodItems!$A:$A,FoodItems!$E:$E))</f>
        <v/>
      </c>
    </row>
    <row r="301">
      <c r="E301">
        <f>IF(C301="","",D301*XLOOKUP(C301,Portions!$A:$A,Portions!$D:$D))</f>
        <v/>
      </c>
      <c r="F301">
        <f>IF(E301="","",E301/100*XLOOKUP(XLOOKUP(C301,Portions!$A:$A,Portions!$B:$B),FoodItems!$A:$A,FoodItems!$B:$B))</f>
        <v/>
      </c>
      <c r="G301">
        <f>IF(E301="","",E301/100*XLOOKUP(XLOOKUP(C301,Portions!$A:$A,Portions!$B:$B),FoodItems!$A:$A,FoodItems!$C:$C))</f>
        <v/>
      </c>
      <c r="H301">
        <f>IF(E301="","",E301/100*XLOOKUP(XLOOKUP(C301,Portions!$A:$A,Portions!$B:$B),FoodItems!$A:$A,FoodItems!$D:$D))</f>
        <v/>
      </c>
      <c r="I301">
        <f>IF(E301="","",E301/100*XLOOKUP(XLOOKUP(C301,Portions!$A:$A,Portions!$B:$B),FoodItems!$A:$A,FoodItems!$E:$E))</f>
        <v/>
      </c>
    </row>
    <row r="302">
      <c r="E302">
        <f>IF(C302="","",D302*XLOOKUP(C302,Portions!$A:$A,Portions!$D:$D))</f>
        <v/>
      </c>
      <c r="F302">
        <f>IF(E302="","",E302/100*XLOOKUP(XLOOKUP(C302,Portions!$A:$A,Portions!$B:$B),FoodItems!$A:$A,FoodItems!$B:$B))</f>
        <v/>
      </c>
      <c r="G302">
        <f>IF(E302="","",E302/100*XLOOKUP(XLOOKUP(C302,Portions!$A:$A,Portions!$B:$B),FoodItems!$A:$A,FoodItems!$C:$C))</f>
        <v/>
      </c>
      <c r="H302">
        <f>IF(E302="","",E302/100*XLOOKUP(XLOOKUP(C302,Portions!$A:$A,Portions!$B:$B),FoodItems!$A:$A,FoodItems!$D:$D))</f>
        <v/>
      </c>
      <c r="I302">
        <f>IF(E302="","",E302/100*XLOOKUP(XLOOKUP(C302,Portions!$A:$A,Portions!$B:$B),FoodItems!$A:$A,FoodItems!$E:$E))</f>
        <v/>
      </c>
    </row>
    <row r="303">
      <c r="E303">
        <f>IF(C303="","",D303*XLOOKUP(C303,Portions!$A:$A,Portions!$D:$D))</f>
        <v/>
      </c>
      <c r="F303">
        <f>IF(E303="","",E303/100*XLOOKUP(XLOOKUP(C303,Portions!$A:$A,Portions!$B:$B),FoodItems!$A:$A,FoodItems!$B:$B))</f>
        <v/>
      </c>
      <c r="G303">
        <f>IF(E303="","",E303/100*XLOOKUP(XLOOKUP(C303,Portions!$A:$A,Portions!$B:$B),FoodItems!$A:$A,FoodItems!$C:$C))</f>
        <v/>
      </c>
      <c r="H303">
        <f>IF(E303="","",E303/100*XLOOKUP(XLOOKUP(C303,Portions!$A:$A,Portions!$B:$B),FoodItems!$A:$A,FoodItems!$D:$D))</f>
        <v/>
      </c>
      <c r="I303">
        <f>IF(E303="","",E303/100*XLOOKUP(XLOOKUP(C303,Portions!$A:$A,Portions!$B:$B),FoodItems!$A:$A,FoodItems!$E:$E))</f>
        <v/>
      </c>
    </row>
    <row r="304">
      <c r="E304">
        <f>IF(C304="","",D304*XLOOKUP(C304,Portions!$A:$A,Portions!$D:$D))</f>
        <v/>
      </c>
      <c r="F304">
        <f>IF(E304="","",E304/100*XLOOKUP(XLOOKUP(C304,Portions!$A:$A,Portions!$B:$B),FoodItems!$A:$A,FoodItems!$B:$B))</f>
        <v/>
      </c>
      <c r="G304">
        <f>IF(E304="","",E304/100*XLOOKUP(XLOOKUP(C304,Portions!$A:$A,Portions!$B:$B),FoodItems!$A:$A,FoodItems!$C:$C))</f>
        <v/>
      </c>
      <c r="H304">
        <f>IF(E304="","",E304/100*XLOOKUP(XLOOKUP(C304,Portions!$A:$A,Portions!$B:$B),FoodItems!$A:$A,FoodItems!$D:$D))</f>
        <v/>
      </c>
      <c r="I304">
        <f>IF(E304="","",E304/100*XLOOKUP(XLOOKUP(C304,Portions!$A:$A,Portions!$B:$B),FoodItems!$A:$A,FoodItems!$E:$E))</f>
        <v/>
      </c>
    </row>
    <row r="305">
      <c r="E305">
        <f>IF(C305="","",D305*XLOOKUP(C305,Portions!$A:$A,Portions!$D:$D))</f>
        <v/>
      </c>
      <c r="F305">
        <f>IF(E305="","",E305/100*XLOOKUP(XLOOKUP(C305,Portions!$A:$A,Portions!$B:$B),FoodItems!$A:$A,FoodItems!$B:$B))</f>
        <v/>
      </c>
      <c r="G305">
        <f>IF(E305="","",E305/100*XLOOKUP(XLOOKUP(C305,Portions!$A:$A,Portions!$B:$B),FoodItems!$A:$A,FoodItems!$C:$C))</f>
        <v/>
      </c>
      <c r="H305">
        <f>IF(E305="","",E305/100*XLOOKUP(XLOOKUP(C305,Portions!$A:$A,Portions!$B:$B),FoodItems!$A:$A,FoodItems!$D:$D))</f>
        <v/>
      </c>
      <c r="I305">
        <f>IF(E305="","",E305/100*XLOOKUP(XLOOKUP(C305,Portions!$A:$A,Portions!$B:$B),FoodItems!$A:$A,FoodItems!$E:$E))</f>
        <v/>
      </c>
    </row>
    <row r="306">
      <c r="E306">
        <f>IF(C306="","",D306*XLOOKUP(C306,Portions!$A:$A,Portions!$D:$D))</f>
        <v/>
      </c>
      <c r="F306">
        <f>IF(E306="","",E306/100*XLOOKUP(XLOOKUP(C306,Portions!$A:$A,Portions!$B:$B),FoodItems!$A:$A,FoodItems!$B:$B))</f>
        <v/>
      </c>
      <c r="G306">
        <f>IF(E306="","",E306/100*XLOOKUP(XLOOKUP(C306,Portions!$A:$A,Portions!$B:$B),FoodItems!$A:$A,FoodItems!$C:$C))</f>
        <v/>
      </c>
      <c r="H306">
        <f>IF(E306="","",E306/100*XLOOKUP(XLOOKUP(C306,Portions!$A:$A,Portions!$B:$B),FoodItems!$A:$A,FoodItems!$D:$D))</f>
        <v/>
      </c>
      <c r="I306">
        <f>IF(E306="","",E306/100*XLOOKUP(XLOOKUP(C306,Portions!$A:$A,Portions!$B:$B),FoodItems!$A:$A,FoodItems!$E:$E))</f>
        <v/>
      </c>
    </row>
    <row r="307">
      <c r="E307">
        <f>IF(C307="","",D307*XLOOKUP(C307,Portions!$A:$A,Portions!$D:$D))</f>
        <v/>
      </c>
      <c r="F307">
        <f>IF(E307="","",E307/100*XLOOKUP(XLOOKUP(C307,Portions!$A:$A,Portions!$B:$B),FoodItems!$A:$A,FoodItems!$B:$B))</f>
        <v/>
      </c>
      <c r="G307">
        <f>IF(E307="","",E307/100*XLOOKUP(XLOOKUP(C307,Portions!$A:$A,Portions!$B:$B),FoodItems!$A:$A,FoodItems!$C:$C))</f>
        <v/>
      </c>
      <c r="H307">
        <f>IF(E307="","",E307/100*XLOOKUP(XLOOKUP(C307,Portions!$A:$A,Portions!$B:$B),FoodItems!$A:$A,FoodItems!$D:$D))</f>
        <v/>
      </c>
      <c r="I307">
        <f>IF(E307="","",E307/100*XLOOKUP(XLOOKUP(C307,Portions!$A:$A,Portions!$B:$B),FoodItems!$A:$A,FoodItems!$E:$E))</f>
        <v/>
      </c>
    </row>
    <row r="308">
      <c r="E308">
        <f>IF(C308="","",D308*XLOOKUP(C308,Portions!$A:$A,Portions!$D:$D))</f>
        <v/>
      </c>
      <c r="F308">
        <f>IF(E308="","",E308/100*XLOOKUP(XLOOKUP(C308,Portions!$A:$A,Portions!$B:$B),FoodItems!$A:$A,FoodItems!$B:$B))</f>
        <v/>
      </c>
      <c r="G308">
        <f>IF(E308="","",E308/100*XLOOKUP(XLOOKUP(C308,Portions!$A:$A,Portions!$B:$B),FoodItems!$A:$A,FoodItems!$C:$C))</f>
        <v/>
      </c>
      <c r="H308">
        <f>IF(E308="","",E308/100*XLOOKUP(XLOOKUP(C308,Portions!$A:$A,Portions!$B:$B),FoodItems!$A:$A,FoodItems!$D:$D))</f>
        <v/>
      </c>
      <c r="I308">
        <f>IF(E308="","",E308/100*XLOOKUP(XLOOKUP(C308,Portions!$A:$A,Portions!$B:$B),FoodItems!$A:$A,FoodItems!$E:$E))</f>
        <v/>
      </c>
    </row>
    <row r="309">
      <c r="E309">
        <f>IF(C309="","",D309*XLOOKUP(C309,Portions!$A:$A,Portions!$D:$D))</f>
        <v/>
      </c>
      <c r="F309">
        <f>IF(E309="","",E309/100*XLOOKUP(XLOOKUP(C309,Portions!$A:$A,Portions!$B:$B),FoodItems!$A:$A,FoodItems!$B:$B))</f>
        <v/>
      </c>
      <c r="G309">
        <f>IF(E309="","",E309/100*XLOOKUP(XLOOKUP(C309,Portions!$A:$A,Portions!$B:$B),FoodItems!$A:$A,FoodItems!$C:$C))</f>
        <v/>
      </c>
      <c r="H309">
        <f>IF(E309="","",E309/100*XLOOKUP(XLOOKUP(C309,Portions!$A:$A,Portions!$B:$B),FoodItems!$A:$A,FoodItems!$D:$D))</f>
        <v/>
      </c>
      <c r="I309">
        <f>IF(E309="","",E309/100*XLOOKUP(XLOOKUP(C309,Portions!$A:$A,Portions!$B:$B),FoodItems!$A:$A,FoodItems!$E:$E))</f>
        <v/>
      </c>
    </row>
    <row r="310">
      <c r="E310">
        <f>IF(C310="","",D310*XLOOKUP(C310,Portions!$A:$A,Portions!$D:$D))</f>
        <v/>
      </c>
      <c r="F310">
        <f>IF(E310="","",E310/100*XLOOKUP(XLOOKUP(C310,Portions!$A:$A,Portions!$B:$B),FoodItems!$A:$A,FoodItems!$B:$B))</f>
        <v/>
      </c>
      <c r="G310">
        <f>IF(E310="","",E310/100*XLOOKUP(XLOOKUP(C310,Portions!$A:$A,Portions!$B:$B),FoodItems!$A:$A,FoodItems!$C:$C))</f>
        <v/>
      </c>
      <c r="H310">
        <f>IF(E310="","",E310/100*XLOOKUP(XLOOKUP(C310,Portions!$A:$A,Portions!$B:$B),FoodItems!$A:$A,FoodItems!$D:$D))</f>
        <v/>
      </c>
      <c r="I310">
        <f>IF(E310="","",E310/100*XLOOKUP(XLOOKUP(C310,Portions!$A:$A,Portions!$B:$B),FoodItems!$A:$A,FoodItems!$E:$E))</f>
        <v/>
      </c>
    </row>
    <row r="311">
      <c r="E311">
        <f>IF(C311="","",D311*XLOOKUP(C311,Portions!$A:$A,Portions!$D:$D))</f>
        <v/>
      </c>
      <c r="F311">
        <f>IF(E311="","",E311/100*XLOOKUP(XLOOKUP(C311,Portions!$A:$A,Portions!$B:$B),FoodItems!$A:$A,FoodItems!$B:$B))</f>
        <v/>
      </c>
      <c r="G311">
        <f>IF(E311="","",E311/100*XLOOKUP(XLOOKUP(C311,Portions!$A:$A,Portions!$B:$B),FoodItems!$A:$A,FoodItems!$C:$C))</f>
        <v/>
      </c>
      <c r="H311">
        <f>IF(E311="","",E311/100*XLOOKUP(XLOOKUP(C311,Portions!$A:$A,Portions!$B:$B),FoodItems!$A:$A,FoodItems!$D:$D))</f>
        <v/>
      </c>
      <c r="I311">
        <f>IF(E311="","",E311/100*XLOOKUP(XLOOKUP(C311,Portions!$A:$A,Portions!$B:$B),FoodItems!$A:$A,FoodItems!$E:$E))</f>
        <v/>
      </c>
    </row>
    <row r="312">
      <c r="E312">
        <f>IF(C312="","",D312*XLOOKUP(C312,Portions!$A:$A,Portions!$D:$D))</f>
        <v/>
      </c>
      <c r="F312">
        <f>IF(E312="","",E312/100*XLOOKUP(XLOOKUP(C312,Portions!$A:$A,Portions!$B:$B),FoodItems!$A:$A,FoodItems!$B:$B))</f>
        <v/>
      </c>
      <c r="G312">
        <f>IF(E312="","",E312/100*XLOOKUP(XLOOKUP(C312,Portions!$A:$A,Portions!$B:$B),FoodItems!$A:$A,FoodItems!$C:$C))</f>
        <v/>
      </c>
      <c r="H312">
        <f>IF(E312="","",E312/100*XLOOKUP(XLOOKUP(C312,Portions!$A:$A,Portions!$B:$B),FoodItems!$A:$A,FoodItems!$D:$D))</f>
        <v/>
      </c>
      <c r="I312">
        <f>IF(E312="","",E312/100*XLOOKUP(XLOOKUP(C312,Portions!$A:$A,Portions!$B:$B),FoodItems!$A:$A,FoodItems!$E:$E))</f>
        <v/>
      </c>
    </row>
    <row r="313">
      <c r="E313">
        <f>IF(C313="","",D313*XLOOKUP(C313,Portions!$A:$A,Portions!$D:$D))</f>
        <v/>
      </c>
      <c r="F313">
        <f>IF(E313="","",E313/100*XLOOKUP(XLOOKUP(C313,Portions!$A:$A,Portions!$B:$B),FoodItems!$A:$A,FoodItems!$B:$B))</f>
        <v/>
      </c>
      <c r="G313">
        <f>IF(E313="","",E313/100*XLOOKUP(XLOOKUP(C313,Portions!$A:$A,Portions!$B:$B),FoodItems!$A:$A,FoodItems!$C:$C))</f>
        <v/>
      </c>
      <c r="H313">
        <f>IF(E313="","",E313/100*XLOOKUP(XLOOKUP(C313,Portions!$A:$A,Portions!$B:$B),FoodItems!$A:$A,FoodItems!$D:$D))</f>
        <v/>
      </c>
      <c r="I313">
        <f>IF(E313="","",E313/100*XLOOKUP(XLOOKUP(C313,Portions!$A:$A,Portions!$B:$B),FoodItems!$A:$A,FoodItems!$E:$E))</f>
        <v/>
      </c>
    </row>
    <row r="314">
      <c r="E314">
        <f>IF(C314="","",D314*XLOOKUP(C314,Portions!$A:$A,Portions!$D:$D))</f>
        <v/>
      </c>
      <c r="F314">
        <f>IF(E314="","",E314/100*XLOOKUP(XLOOKUP(C314,Portions!$A:$A,Portions!$B:$B),FoodItems!$A:$A,FoodItems!$B:$B))</f>
        <v/>
      </c>
      <c r="G314">
        <f>IF(E314="","",E314/100*XLOOKUP(XLOOKUP(C314,Portions!$A:$A,Portions!$B:$B),FoodItems!$A:$A,FoodItems!$C:$C))</f>
        <v/>
      </c>
      <c r="H314">
        <f>IF(E314="","",E314/100*XLOOKUP(XLOOKUP(C314,Portions!$A:$A,Portions!$B:$B),FoodItems!$A:$A,FoodItems!$D:$D))</f>
        <v/>
      </c>
      <c r="I314">
        <f>IF(E314="","",E314/100*XLOOKUP(XLOOKUP(C314,Portions!$A:$A,Portions!$B:$B),FoodItems!$A:$A,FoodItems!$E:$E))</f>
        <v/>
      </c>
    </row>
    <row r="315">
      <c r="E315">
        <f>IF(C315="","",D315*XLOOKUP(C315,Portions!$A:$A,Portions!$D:$D))</f>
        <v/>
      </c>
      <c r="F315">
        <f>IF(E315="","",E315/100*XLOOKUP(XLOOKUP(C315,Portions!$A:$A,Portions!$B:$B),FoodItems!$A:$A,FoodItems!$B:$B))</f>
        <v/>
      </c>
      <c r="G315">
        <f>IF(E315="","",E315/100*XLOOKUP(XLOOKUP(C315,Portions!$A:$A,Portions!$B:$B),FoodItems!$A:$A,FoodItems!$C:$C))</f>
        <v/>
      </c>
      <c r="H315">
        <f>IF(E315="","",E315/100*XLOOKUP(XLOOKUP(C315,Portions!$A:$A,Portions!$B:$B),FoodItems!$A:$A,FoodItems!$D:$D))</f>
        <v/>
      </c>
      <c r="I315">
        <f>IF(E315="","",E315/100*XLOOKUP(XLOOKUP(C315,Portions!$A:$A,Portions!$B:$B),FoodItems!$A:$A,FoodItems!$E:$E))</f>
        <v/>
      </c>
    </row>
    <row r="316">
      <c r="E316">
        <f>IF(C316="","",D316*XLOOKUP(C316,Portions!$A:$A,Portions!$D:$D))</f>
        <v/>
      </c>
      <c r="F316">
        <f>IF(E316="","",E316/100*XLOOKUP(XLOOKUP(C316,Portions!$A:$A,Portions!$B:$B),FoodItems!$A:$A,FoodItems!$B:$B))</f>
        <v/>
      </c>
      <c r="G316">
        <f>IF(E316="","",E316/100*XLOOKUP(XLOOKUP(C316,Portions!$A:$A,Portions!$B:$B),FoodItems!$A:$A,FoodItems!$C:$C))</f>
        <v/>
      </c>
      <c r="H316">
        <f>IF(E316="","",E316/100*XLOOKUP(XLOOKUP(C316,Portions!$A:$A,Portions!$B:$B),FoodItems!$A:$A,FoodItems!$D:$D))</f>
        <v/>
      </c>
      <c r="I316">
        <f>IF(E316="","",E316/100*XLOOKUP(XLOOKUP(C316,Portions!$A:$A,Portions!$B:$B),FoodItems!$A:$A,FoodItems!$E:$E))</f>
        <v/>
      </c>
    </row>
    <row r="317">
      <c r="E317">
        <f>IF(C317="","",D317*XLOOKUP(C317,Portions!$A:$A,Portions!$D:$D))</f>
        <v/>
      </c>
      <c r="F317">
        <f>IF(E317="","",E317/100*XLOOKUP(XLOOKUP(C317,Portions!$A:$A,Portions!$B:$B),FoodItems!$A:$A,FoodItems!$B:$B))</f>
        <v/>
      </c>
      <c r="G317">
        <f>IF(E317="","",E317/100*XLOOKUP(XLOOKUP(C317,Portions!$A:$A,Portions!$B:$B),FoodItems!$A:$A,FoodItems!$C:$C))</f>
        <v/>
      </c>
      <c r="H317">
        <f>IF(E317="","",E317/100*XLOOKUP(XLOOKUP(C317,Portions!$A:$A,Portions!$B:$B),FoodItems!$A:$A,FoodItems!$D:$D))</f>
        <v/>
      </c>
      <c r="I317">
        <f>IF(E317="","",E317/100*XLOOKUP(XLOOKUP(C317,Portions!$A:$A,Portions!$B:$B),FoodItems!$A:$A,FoodItems!$E:$E))</f>
        <v/>
      </c>
    </row>
    <row r="318">
      <c r="E318">
        <f>IF(C318="","",D318*XLOOKUP(C318,Portions!$A:$A,Portions!$D:$D))</f>
        <v/>
      </c>
      <c r="F318">
        <f>IF(E318="","",E318/100*XLOOKUP(XLOOKUP(C318,Portions!$A:$A,Portions!$B:$B),FoodItems!$A:$A,FoodItems!$B:$B))</f>
        <v/>
      </c>
      <c r="G318">
        <f>IF(E318="","",E318/100*XLOOKUP(XLOOKUP(C318,Portions!$A:$A,Portions!$B:$B),FoodItems!$A:$A,FoodItems!$C:$C))</f>
        <v/>
      </c>
      <c r="H318">
        <f>IF(E318="","",E318/100*XLOOKUP(XLOOKUP(C318,Portions!$A:$A,Portions!$B:$B),FoodItems!$A:$A,FoodItems!$D:$D))</f>
        <v/>
      </c>
      <c r="I318">
        <f>IF(E318="","",E318/100*XLOOKUP(XLOOKUP(C318,Portions!$A:$A,Portions!$B:$B),FoodItems!$A:$A,FoodItems!$E:$E))</f>
        <v/>
      </c>
    </row>
    <row r="319">
      <c r="E319">
        <f>IF(C319="","",D319*XLOOKUP(C319,Portions!$A:$A,Portions!$D:$D))</f>
        <v/>
      </c>
      <c r="F319">
        <f>IF(E319="","",E319/100*XLOOKUP(XLOOKUP(C319,Portions!$A:$A,Portions!$B:$B),FoodItems!$A:$A,FoodItems!$B:$B))</f>
        <v/>
      </c>
      <c r="G319">
        <f>IF(E319="","",E319/100*XLOOKUP(XLOOKUP(C319,Portions!$A:$A,Portions!$B:$B),FoodItems!$A:$A,FoodItems!$C:$C))</f>
        <v/>
      </c>
      <c r="H319">
        <f>IF(E319="","",E319/100*XLOOKUP(XLOOKUP(C319,Portions!$A:$A,Portions!$B:$B),FoodItems!$A:$A,FoodItems!$D:$D))</f>
        <v/>
      </c>
      <c r="I319">
        <f>IF(E319="","",E319/100*XLOOKUP(XLOOKUP(C319,Portions!$A:$A,Portions!$B:$B),FoodItems!$A:$A,FoodItems!$E:$E))</f>
        <v/>
      </c>
    </row>
    <row r="320">
      <c r="E320">
        <f>IF(C320="","",D320*XLOOKUP(C320,Portions!$A:$A,Portions!$D:$D))</f>
        <v/>
      </c>
      <c r="F320">
        <f>IF(E320="","",E320/100*XLOOKUP(XLOOKUP(C320,Portions!$A:$A,Portions!$B:$B),FoodItems!$A:$A,FoodItems!$B:$B))</f>
        <v/>
      </c>
      <c r="G320">
        <f>IF(E320="","",E320/100*XLOOKUP(XLOOKUP(C320,Portions!$A:$A,Portions!$B:$B),FoodItems!$A:$A,FoodItems!$C:$C))</f>
        <v/>
      </c>
      <c r="H320">
        <f>IF(E320="","",E320/100*XLOOKUP(XLOOKUP(C320,Portions!$A:$A,Portions!$B:$B),FoodItems!$A:$A,FoodItems!$D:$D))</f>
        <v/>
      </c>
      <c r="I320">
        <f>IF(E320="","",E320/100*XLOOKUP(XLOOKUP(C320,Portions!$A:$A,Portions!$B:$B),FoodItems!$A:$A,FoodItems!$E:$E))</f>
        <v/>
      </c>
    </row>
    <row r="321">
      <c r="E321">
        <f>IF(C321="","",D321*XLOOKUP(C321,Portions!$A:$A,Portions!$D:$D))</f>
        <v/>
      </c>
      <c r="F321">
        <f>IF(E321="","",E321/100*XLOOKUP(XLOOKUP(C321,Portions!$A:$A,Portions!$B:$B),FoodItems!$A:$A,FoodItems!$B:$B))</f>
        <v/>
      </c>
      <c r="G321">
        <f>IF(E321="","",E321/100*XLOOKUP(XLOOKUP(C321,Portions!$A:$A,Portions!$B:$B),FoodItems!$A:$A,FoodItems!$C:$C))</f>
        <v/>
      </c>
      <c r="H321">
        <f>IF(E321="","",E321/100*XLOOKUP(XLOOKUP(C321,Portions!$A:$A,Portions!$B:$B),FoodItems!$A:$A,FoodItems!$D:$D))</f>
        <v/>
      </c>
      <c r="I321">
        <f>IF(E321="","",E321/100*XLOOKUP(XLOOKUP(C321,Portions!$A:$A,Portions!$B:$B),FoodItems!$A:$A,FoodItems!$E:$E))</f>
        <v/>
      </c>
    </row>
    <row r="322">
      <c r="E322">
        <f>IF(C322="","",D322*XLOOKUP(C322,Portions!$A:$A,Portions!$D:$D))</f>
        <v/>
      </c>
      <c r="F322">
        <f>IF(E322="","",E322/100*XLOOKUP(XLOOKUP(C322,Portions!$A:$A,Portions!$B:$B),FoodItems!$A:$A,FoodItems!$B:$B))</f>
        <v/>
      </c>
      <c r="G322">
        <f>IF(E322="","",E322/100*XLOOKUP(XLOOKUP(C322,Portions!$A:$A,Portions!$B:$B),FoodItems!$A:$A,FoodItems!$C:$C))</f>
        <v/>
      </c>
      <c r="H322">
        <f>IF(E322="","",E322/100*XLOOKUP(XLOOKUP(C322,Portions!$A:$A,Portions!$B:$B),FoodItems!$A:$A,FoodItems!$D:$D))</f>
        <v/>
      </c>
      <c r="I322">
        <f>IF(E322="","",E322/100*XLOOKUP(XLOOKUP(C322,Portions!$A:$A,Portions!$B:$B),FoodItems!$A:$A,FoodItems!$E:$E))</f>
        <v/>
      </c>
    </row>
    <row r="323">
      <c r="E323">
        <f>IF(C323="","",D323*XLOOKUP(C323,Portions!$A:$A,Portions!$D:$D))</f>
        <v/>
      </c>
      <c r="F323">
        <f>IF(E323="","",E323/100*XLOOKUP(XLOOKUP(C323,Portions!$A:$A,Portions!$B:$B),FoodItems!$A:$A,FoodItems!$B:$B))</f>
        <v/>
      </c>
      <c r="G323">
        <f>IF(E323="","",E323/100*XLOOKUP(XLOOKUP(C323,Portions!$A:$A,Portions!$B:$B),FoodItems!$A:$A,FoodItems!$C:$C))</f>
        <v/>
      </c>
      <c r="H323">
        <f>IF(E323="","",E323/100*XLOOKUP(XLOOKUP(C323,Portions!$A:$A,Portions!$B:$B),FoodItems!$A:$A,FoodItems!$D:$D))</f>
        <v/>
      </c>
      <c r="I323">
        <f>IF(E323="","",E323/100*XLOOKUP(XLOOKUP(C323,Portions!$A:$A,Portions!$B:$B),FoodItems!$A:$A,FoodItems!$E:$E))</f>
        <v/>
      </c>
    </row>
    <row r="324">
      <c r="E324">
        <f>IF(C324="","",D324*XLOOKUP(C324,Portions!$A:$A,Portions!$D:$D))</f>
        <v/>
      </c>
      <c r="F324">
        <f>IF(E324="","",E324/100*XLOOKUP(XLOOKUP(C324,Portions!$A:$A,Portions!$B:$B),FoodItems!$A:$A,FoodItems!$B:$B))</f>
        <v/>
      </c>
      <c r="G324">
        <f>IF(E324="","",E324/100*XLOOKUP(XLOOKUP(C324,Portions!$A:$A,Portions!$B:$B),FoodItems!$A:$A,FoodItems!$C:$C))</f>
        <v/>
      </c>
      <c r="H324">
        <f>IF(E324="","",E324/100*XLOOKUP(XLOOKUP(C324,Portions!$A:$A,Portions!$B:$B),FoodItems!$A:$A,FoodItems!$D:$D))</f>
        <v/>
      </c>
      <c r="I324">
        <f>IF(E324="","",E324/100*XLOOKUP(XLOOKUP(C324,Portions!$A:$A,Portions!$B:$B),FoodItems!$A:$A,FoodItems!$E:$E))</f>
        <v/>
      </c>
    </row>
    <row r="325">
      <c r="E325">
        <f>IF(C325="","",D325*XLOOKUP(C325,Portions!$A:$A,Portions!$D:$D))</f>
        <v/>
      </c>
      <c r="F325">
        <f>IF(E325="","",E325/100*XLOOKUP(XLOOKUP(C325,Portions!$A:$A,Portions!$B:$B),FoodItems!$A:$A,FoodItems!$B:$B))</f>
        <v/>
      </c>
      <c r="G325">
        <f>IF(E325="","",E325/100*XLOOKUP(XLOOKUP(C325,Portions!$A:$A,Portions!$B:$B),FoodItems!$A:$A,FoodItems!$C:$C))</f>
        <v/>
      </c>
      <c r="H325">
        <f>IF(E325="","",E325/100*XLOOKUP(XLOOKUP(C325,Portions!$A:$A,Portions!$B:$B),FoodItems!$A:$A,FoodItems!$D:$D))</f>
        <v/>
      </c>
      <c r="I325">
        <f>IF(E325="","",E325/100*XLOOKUP(XLOOKUP(C325,Portions!$A:$A,Portions!$B:$B),FoodItems!$A:$A,FoodItems!$E:$E))</f>
        <v/>
      </c>
    </row>
    <row r="326">
      <c r="E326">
        <f>IF(C326="","",D326*XLOOKUP(C326,Portions!$A:$A,Portions!$D:$D))</f>
        <v/>
      </c>
      <c r="F326">
        <f>IF(E326="","",E326/100*XLOOKUP(XLOOKUP(C326,Portions!$A:$A,Portions!$B:$B),FoodItems!$A:$A,FoodItems!$B:$B))</f>
        <v/>
      </c>
      <c r="G326">
        <f>IF(E326="","",E326/100*XLOOKUP(XLOOKUP(C326,Portions!$A:$A,Portions!$B:$B),FoodItems!$A:$A,FoodItems!$C:$C))</f>
        <v/>
      </c>
      <c r="H326">
        <f>IF(E326="","",E326/100*XLOOKUP(XLOOKUP(C326,Portions!$A:$A,Portions!$B:$B),FoodItems!$A:$A,FoodItems!$D:$D))</f>
        <v/>
      </c>
      <c r="I326">
        <f>IF(E326="","",E326/100*XLOOKUP(XLOOKUP(C326,Portions!$A:$A,Portions!$B:$B),FoodItems!$A:$A,FoodItems!$E:$E))</f>
        <v/>
      </c>
    </row>
    <row r="327">
      <c r="E327">
        <f>IF(C327="","",D327*XLOOKUP(C327,Portions!$A:$A,Portions!$D:$D))</f>
        <v/>
      </c>
      <c r="F327">
        <f>IF(E327="","",E327/100*XLOOKUP(XLOOKUP(C327,Portions!$A:$A,Portions!$B:$B),FoodItems!$A:$A,FoodItems!$B:$B))</f>
        <v/>
      </c>
      <c r="G327">
        <f>IF(E327="","",E327/100*XLOOKUP(XLOOKUP(C327,Portions!$A:$A,Portions!$B:$B),FoodItems!$A:$A,FoodItems!$C:$C))</f>
        <v/>
      </c>
      <c r="H327">
        <f>IF(E327="","",E327/100*XLOOKUP(XLOOKUP(C327,Portions!$A:$A,Portions!$B:$B),FoodItems!$A:$A,FoodItems!$D:$D))</f>
        <v/>
      </c>
      <c r="I327">
        <f>IF(E327="","",E327/100*XLOOKUP(XLOOKUP(C327,Portions!$A:$A,Portions!$B:$B),FoodItems!$A:$A,FoodItems!$E:$E))</f>
        <v/>
      </c>
    </row>
    <row r="328">
      <c r="E328">
        <f>IF(C328="","",D328*XLOOKUP(C328,Portions!$A:$A,Portions!$D:$D))</f>
        <v/>
      </c>
      <c r="F328">
        <f>IF(E328="","",E328/100*XLOOKUP(XLOOKUP(C328,Portions!$A:$A,Portions!$B:$B),FoodItems!$A:$A,FoodItems!$B:$B))</f>
        <v/>
      </c>
      <c r="G328">
        <f>IF(E328="","",E328/100*XLOOKUP(XLOOKUP(C328,Portions!$A:$A,Portions!$B:$B),FoodItems!$A:$A,FoodItems!$C:$C))</f>
        <v/>
      </c>
      <c r="H328">
        <f>IF(E328="","",E328/100*XLOOKUP(XLOOKUP(C328,Portions!$A:$A,Portions!$B:$B),FoodItems!$A:$A,FoodItems!$D:$D))</f>
        <v/>
      </c>
      <c r="I328">
        <f>IF(E328="","",E328/100*XLOOKUP(XLOOKUP(C328,Portions!$A:$A,Portions!$B:$B),FoodItems!$A:$A,FoodItems!$E:$E))</f>
        <v/>
      </c>
    </row>
    <row r="329">
      <c r="E329">
        <f>IF(C329="","",D329*XLOOKUP(C329,Portions!$A:$A,Portions!$D:$D))</f>
        <v/>
      </c>
      <c r="F329">
        <f>IF(E329="","",E329/100*XLOOKUP(XLOOKUP(C329,Portions!$A:$A,Portions!$B:$B),FoodItems!$A:$A,FoodItems!$B:$B))</f>
        <v/>
      </c>
      <c r="G329">
        <f>IF(E329="","",E329/100*XLOOKUP(XLOOKUP(C329,Portions!$A:$A,Portions!$B:$B),FoodItems!$A:$A,FoodItems!$C:$C))</f>
        <v/>
      </c>
      <c r="H329">
        <f>IF(E329="","",E329/100*XLOOKUP(XLOOKUP(C329,Portions!$A:$A,Portions!$B:$B),FoodItems!$A:$A,FoodItems!$D:$D))</f>
        <v/>
      </c>
      <c r="I329">
        <f>IF(E329="","",E329/100*XLOOKUP(XLOOKUP(C329,Portions!$A:$A,Portions!$B:$B),FoodItems!$A:$A,FoodItems!$E:$E))</f>
        <v/>
      </c>
    </row>
    <row r="330">
      <c r="E330">
        <f>IF(C330="","",D330*XLOOKUP(C330,Portions!$A:$A,Portions!$D:$D))</f>
        <v/>
      </c>
      <c r="F330">
        <f>IF(E330="","",E330/100*XLOOKUP(XLOOKUP(C330,Portions!$A:$A,Portions!$B:$B),FoodItems!$A:$A,FoodItems!$B:$B))</f>
        <v/>
      </c>
      <c r="G330">
        <f>IF(E330="","",E330/100*XLOOKUP(XLOOKUP(C330,Portions!$A:$A,Portions!$B:$B),FoodItems!$A:$A,FoodItems!$C:$C))</f>
        <v/>
      </c>
      <c r="H330">
        <f>IF(E330="","",E330/100*XLOOKUP(XLOOKUP(C330,Portions!$A:$A,Portions!$B:$B),FoodItems!$A:$A,FoodItems!$D:$D))</f>
        <v/>
      </c>
      <c r="I330">
        <f>IF(E330="","",E330/100*XLOOKUP(XLOOKUP(C330,Portions!$A:$A,Portions!$B:$B),FoodItems!$A:$A,FoodItems!$E:$E))</f>
        <v/>
      </c>
    </row>
    <row r="331">
      <c r="E331">
        <f>IF(C331="","",D331*XLOOKUP(C331,Portions!$A:$A,Portions!$D:$D))</f>
        <v/>
      </c>
      <c r="F331">
        <f>IF(E331="","",E331/100*XLOOKUP(XLOOKUP(C331,Portions!$A:$A,Portions!$B:$B),FoodItems!$A:$A,FoodItems!$B:$B))</f>
        <v/>
      </c>
      <c r="G331">
        <f>IF(E331="","",E331/100*XLOOKUP(XLOOKUP(C331,Portions!$A:$A,Portions!$B:$B),FoodItems!$A:$A,FoodItems!$C:$C))</f>
        <v/>
      </c>
      <c r="H331">
        <f>IF(E331="","",E331/100*XLOOKUP(XLOOKUP(C331,Portions!$A:$A,Portions!$B:$B),FoodItems!$A:$A,FoodItems!$D:$D))</f>
        <v/>
      </c>
      <c r="I331">
        <f>IF(E331="","",E331/100*XLOOKUP(XLOOKUP(C331,Portions!$A:$A,Portions!$B:$B),FoodItems!$A:$A,FoodItems!$E:$E))</f>
        <v/>
      </c>
    </row>
    <row r="332">
      <c r="E332">
        <f>IF(C332="","",D332*XLOOKUP(C332,Portions!$A:$A,Portions!$D:$D))</f>
        <v/>
      </c>
      <c r="F332">
        <f>IF(E332="","",E332/100*XLOOKUP(XLOOKUP(C332,Portions!$A:$A,Portions!$B:$B),FoodItems!$A:$A,FoodItems!$B:$B))</f>
        <v/>
      </c>
      <c r="G332">
        <f>IF(E332="","",E332/100*XLOOKUP(XLOOKUP(C332,Portions!$A:$A,Portions!$B:$B),FoodItems!$A:$A,FoodItems!$C:$C))</f>
        <v/>
      </c>
      <c r="H332">
        <f>IF(E332="","",E332/100*XLOOKUP(XLOOKUP(C332,Portions!$A:$A,Portions!$B:$B),FoodItems!$A:$A,FoodItems!$D:$D))</f>
        <v/>
      </c>
      <c r="I332">
        <f>IF(E332="","",E332/100*XLOOKUP(XLOOKUP(C332,Portions!$A:$A,Portions!$B:$B),FoodItems!$A:$A,FoodItems!$E:$E))</f>
        <v/>
      </c>
    </row>
    <row r="333">
      <c r="E333">
        <f>IF(C333="","",D333*XLOOKUP(C333,Portions!$A:$A,Portions!$D:$D))</f>
        <v/>
      </c>
      <c r="F333">
        <f>IF(E333="","",E333/100*XLOOKUP(XLOOKUP(C333,Portions!$A:$A,Portions!$B:$B),FoodItems!$A:$A,FoodItems!$B:$B))</f>
        <v/>
      </c>
      <c r="G333">
        <f>IF(E333="","",E333/100*XLOOKUP(XLOOKUP(C333,Portions!$A:$A,Portions!$B:$B),FoodItems!$A:$A,FoodItems!$C:$C))</f>
        <v/>
      </c>
      <c r="H333">
        <f>IF(E333="","",E333/100*XLOOKUP(XLOOKUP(C333,Portions!$A:$A,Portions!$B:$B),FoodItems!$A:$A,FoodItems!$D:$D))</f>
        <v/>
      </c>
      <c r="I333">
        <f>IF(E333="","",E333/100*XLOOKUP(XLOOKUP(C333,Portions!$A:$A,Portions!$B:$B),FoodItems!$A:$A,FoodItems!$E:$E))</f>
        <v/>
      </c>
    </row>
    <row r="334">
      <c r="E334">
        <f>IF(C334="","",D334*XLOOKUP(C334,Portions!$A:$A,Portions!$D:$D))</f>
        <v/>
      </c>
      <c r="F334">
        <f>IF(E334="","",E334/100*XLOOKUP(XLOOKUP(C334,Portions!$A:$A,Portions!$B:$B),FoodItems!$A:$A,FoodItems!$B:$B))</f>
        <v/>
      </c>
      <c r="G334">
        <f>IF(E334="","",E334/100*XLOOKUP(XLOOKUP(C334,Portions!$A:$A,Portions!$B:$B),FoodItems!$A:$A,FoodItems!$C:$C))</f>
        <v/>
      </c>
      <c r="H334">
        <f>IF(E334="","",E334/100*XLOOKUP(XLOOKUP(C334,Portions!$A:$A,Portions!$B:$B),FoodItems!$A:$A,FoodItems!$D:$D))</f>
        <v/>
      </c>
      <c r="I334">
        <f>IF(E334="","",E334/100*XLOOKUP(XLOOKUP(C334,Portions!$A:$A,Portions!$B:$B),FoodItems!$A:$A,FoodItems!$E:$E))</f>
        <v/>
      </c>
    </row>
    <row r="335">
      <c r="E335">
        <f>IF(C335="","",D335*XLOOKUP(C335,Portions!$A:$A,Portions!$D:$D))</f>
        <v/>
      </c>
      <c r="F335">
        <f>IF(E335="","",E335/100*XLOOKUP(XLOOKUP(C335,Portions!$A:$A,Portions!$B:$B),FoodItems!$A:$A,FoodItems!$B:$B))</f>
        <v/>
      </c>
      <c r="G335">
        <f>IF(E335="","",E335/100*XLOOKUP(XLOOKUP(C335,Portions!$A:$A,Portions!$B:$B),FoodItems!$A:$A,FoodItems!$C:$C))</f>
        <v/>
      </c>
      <c r="H335">
        <f>IF(E335="","",E335/100*XLOOKUP(XLOOKUP(C335,Portions!$A:$A,Portions!$B:$B),FoodItems!$A:$A,FoodItems!$D:$D))</f>
        <v/>
      </c>
      <c r="I335">
        <f>IF(E335="","",E335/100*XLOOKUP(XLOOKUP(C335,Portions!$A:$A,Portions!$B:$B),FoodItems!$A:$A,FoodItems!$E:$E))</f>
        <v/>
      </c>
    </row>
    <row r="336">
      <c r="E336">
        <f>IF(C336="","",D336*XLOOKUP(C336,Portions!$A:$A,Portions!$D:$D))</f>
        <v/>
      </c>
      <c r="F336">
        <f>IF(E336="","",E336/100*XLOOKUP(XLOOKUP(C336,Portions!$A:$A,Portions!$B:$B),FoodItems!$A:$A,FoodItems!$B:$B))</f>
        <v/>
      </c>
      <c r="G336">
        <f>IF(E336="","",E336/100*XLOOKUP(XLOOKUP(C336,Portions!$A:$A,Portions!$B:$B),FoodItems!$A:$A,FoodItems!$C:$C))</f>
        <v/>
      </c>
      <c r="H336">
        <f>IF(E336="","",E336/100*XLOOKUP(XLOOKUP(C336,Portions!$A:$A,Portions!$B:$B),FoodItems!$A:$A,FoodItems!$D:$D))</f>
        <v/>
      </c>
      <c r="I336">
        <f>IF(E336="","",E336/100*XLOOKUP(XLOOKUP(C336,Portions!$A:$A,Portions!$B:$B),FoodItems!$A:$A,FoodItems!$E:$E))</f>
        <v/>
      </c>
    </row>
    <row r="337">
      <c r="E337">
        <f>IF(C337="","",D337*XLOOKUP(C337,Portions!$A:$A,Portions!$D:$D))</f>
        <v/>
      </c>
      <c r="F337">
        <f>IF(E337="","",E337/100*XLOOKUP(XLOOKUP(C337,Portions!$A:$A,Portions!$B:$B),FoodItems!$A:$A,FoodItems!$B:$B))</f>
        <v/>
      </c>
      <c r="G337">
        <f>IF(E337="","",E337/100*XLOOKUP(XLOOKUP(C337,Portions!$A:$A,Portions!$B:$B),FoodItems!$A:$A,FoodItems!$C:$C))</f>
        <v/>
      </c>
      <c r="H337">
        <f>IF(E337="","",E337/100*XLOOKUP(XLOOKUP(C337,Portions!$A:$A,Portions!$B:$B),FoodItems!$A:$A,FoodItems!$D:$D))</f>
        <v/>
      </c>
      <c r="I337">
        <f>IF(E337="","",E337/100*XLOOKUP(XLOOKUP(C337,Portions!$A:$A,Portions!$B:$B),FoodItems!$A:$A,FoodItems!$E:$E))</f>
        <v/>
      </c>
    </row>
    <row r="338">
      <c r="E338">
        <f>IF(C338="","",D338*XLOOKUP(C338,Portions!$A:$A,Portions!$D:$D))</f>
        <v/>
      </c>
      <c r="F338">
        <f>IF(E338="","",E338/100*XLOOKUP(XLOOKUP(C338,Portions!$A:$A,Portions!$B:$B),FoodItems!$A:$A,FoodItems!$B:$B))</f>
        <v/>
      </c>
      <c r="G338">
        <f>IF(E338="","",E338/100*XLOOKUP(XLOOKUP(C338,Portions!$A:$A,Portions!$B:$B),FoodItems!$A:$A,FoodItems!$C:$C))</f>
        <v/>
      </c>
      <c r="H338">
        <f>IF(E338="","",E338/100*XLOOKUP(XLOOKUP(C338,Portions!$A:$A,Portions!$B:$B),FoodItems!$A:$A,FoodItems!$D:$D))</f>
        <v/>
      </c>
      <c r="I338">
        <f>IF(E338="","",E338/100*XLOOKUP(XLOOKUP(C338,Portions!$A:$A,Portions!$B:$B),FoodItems!$A:$A,FoodItems!$E:$E))</f>
        <v/>
      </c>
    </row>
    <row r="339">
      <c r="E339">
        <f>IF(C339="","",D339*XLOOKUP(C339,Portions!$A:$A,Portions!$D:$D))</f>
        <v/>
      </c>
      <c r="F339">
        <f>IF(E339="","",E339/100*XLOOKUP(XLOOKUP(C339,Portions!$A:$A,Portions!$B:$B),FoodItems!$A:$A,FoodItems!$B:$B))</f>
        <v/>
      </c>
      <c r="G339">
        <f>IF(E339="","",E339/100*XLOOKUP(XLOOKUP(C339,Portions!$A:$A,Portions!$B:$B),FoodItems!$A:$A,FoodItems!$C:$C))</f>
        <v/>
      </c>
      <c r="H339">
        <f>IF(E339="","",E339/100*XLOOKUP(XLOOKUP(C339,Portions!$A:$A,Portions!$B:$B),FoodItems!$A:$A,FoodItems!$D:$D))</f>
        <v/>
      </c>
      <c r="I339">
        <f>IF(E339="","",E339/100*XLOOKUP(XLOOKUP(C339,Portions!$A:$A,Portions!$B:$B),FoodItems!$A:$A,FoodItems!$E:$E))</f>
        <v/>
      </c>
    </row>
    <row r="340">
      <c r="E340">
        <f>IF(C340="","",D340*XLOOKUP(C340,Portions!$A:$A,Portions!$D:$D))</f>
        <v/>
      </c>
      <c r="F340">
        <f>IF(E340="","",E340/100*XLOOKUP(XLOOKUP(C340,Portions!$A:$A,Portions!$B:$B),FoodItems!$A:$A,FoodItems!$B:$B))</f>
        <v/>
      </c>
      <c r="G340">
        <f>IF(E340="","",E340/100*XLOOKUP(XLOOKUP(C340,Portions!$A:$A,Portions!$B:$B),FoodItems!$A:$A,FoodItems!$C:$C))</f>
        <v/>
      </c>
      <c r="H340">
        <f>IF(E340="","",E340/100*XLOOKUP(XLOOKUP(C340,Portions!$A:$A,Portions!$B:$B),FoodItems!$A:$A,FoodItems!$D:$D))</f>
        <v/>
      </c>
      <c r="I340">
        <f>IF(E340="","",E340/100*XLOOKUP(XLOOKUP(C340,Portions!$A:$A,Portions!$B:$B),FoodItems!$A:$A,FoodItems!$E:$E))</f>
        <v/>
      </c>
    </row>
    <row r="341">
      <c r="E341">
        <f>IF(C341="","",D341*XLOOKUP(C341,Portions!$A:$A,Portions!$D:$D))</f>
        <v/>
      </c>
      <c r="F341">
        <f>IF(E341="","",E341/100*XLOOKUP(XLOOKUP(C341,Portions!$A:$A,Portions!$B:$B),FoodItems!$A:$A,FoodItems!$B:$B))</f>
        <v/>
      </c>
      <c r="G341">
        <f>IF(E341="","",E341/100*XLOOKUP(XLOOKUP(C341,Portions!$A:$A,Portions!$B:$B),FoodItems!$A:$A,FoodItems!$C:$C))</f>
        <v/>
      </c>
      <c r="H341">
        <f>IF(E341="","",E341/100*XLOOKUP(XLOOKUP(C341,Portions!$A:$A,Portions!$B:$B),FoodItems!$A:$A,FoodItems!$D:$D))</f>
        <v/>
      </c>
      <c r="I341">
        <f>IF(E341="","",E341/100*XLOOKUP(XLOOKUP(C341,Portions!$A:$A,Portions!$B:$B),FoodItems!$A:$A,FoodItems!$E:$E))</f>
        <v/>
      </c>
    </row>
    <row r="342">
      <c r="E342">
        <f>IF(C342="","",D342*XLOOKUP(C342,Portions!$A:$A,Portions!$D:$D))</f>
        <v/>
      </c>
      <c r="F342">
        <f>IF(E342="","",E342/100*XLOOKUP(XLOOKUP(C342,Portions!$A:$A,Portions!$B:$B),FoodItems!$A:$A,FoodItems!$B:$B))</f>
        <v/>
      </c>
      <c r="G342">
        <f>IF(E342="","",E342/100*XLOOKUP(XLOOKUP(C342,Portions!$A:$A,Portions!$B:$B),FoodItems!$A:$A,FoodItems!$C:$C))</f>
        <v/>
      </c>
      <c r="H342">
        <f>IF(E342="","",E342/100*XLOOKUP(XLOOKUP(C342,Portions!$A:$A,Portions!$B:$B),FoodItems!$A:$A,FoodItems!$D:$D))</f>
        <v/>
      </c>
      <c r="I342">
        <f>IF(E342="","",E342/100*XLOOKUP(XLOOKUP(C342,Portions!$A:$A,Portions!$B:$B),FoodItems!$A:$A,FoodItems!$E:$E))</f>
        <v/>
      </c>
    </row>
    <row r="343">
      <c r="E343">
        <f>IF(C343="","",D343*XLOOKUP(C343,Portions!$A:$A,Portions!$D:$D))</f>
        <v/>
      </c>
      <c r="F343">
        <f>IF(E343="","",E343/100*XLOOKUP(XLOOKUP(C343,Portions!$A:$A,Portions!$B:$B),FoodItems!$A:$A,FoodItems!$B:$B))</f>
        <v/>
      </c>
      <c r="G343">
        <f>IF(E343="","",E343/100*XLOOKUP(XLOOKUP(C343,Portions!$A:$A,Portions!$B:$B),FoodItems!$A:$A,FoodItems!$C:$C))</f>
        <v/>
      </c>
      <c r="H343">
        <f>IF(E343="","",E343/100*XLOOKUP(XLOOKUP(C343,Portions!$A:$A,Portions!$B:$B),FoodItems!$A:$A,FoodItems!$D:$D))</f>
        <v/>
      </c>
      <c r="I343">
        <f>IF(E343="","",E343/100*XLOOKUP(XLOOKUP(C343,Portions!$A:$A,Portions!$B:$B),FoodItems!$A:$A,FoodItems!$E:$E))</f>
        <v/>
      </c>
    </row>
    <row r="344">
      <c r="E344">
        <f>IF(C344="","",D344*XLOOKUP(C344,Portions!$A:$A,Portions!$D:$D))</f>
        <v/>
      </c>
      <c r="F344">
        <f>IF(E344="","",E344/100*XLOOKUP(XLOOKUP(C344,Portions!$A:$A,Portions!$B:$B),FoodItems!$A:$A,FoodItems!$B:$B))</f>
        <v/>
      </c>
      <c r="G344">
        <f>IF(E344="","",E344/100*XLOOKUP(XLOOKUP(C344,Portions!$A:$A,Portions!$B:$B),FoodItems!$A:$A,FoodItems!$C:$C))</f>
        <v/>
      </c>
      <c r="H344">
        <f>IF(E344="","",E344/100*XLOOKUP(XLOOKUP(C344,Portions!$A:$A,Portions!$B:$B),FoodItems!$A:$A,FoodItems!$D:$D))</f>
        <v/>
      </c>
      <c r="I344">
        <f>IF(E344="","",E344/100*XLOOKUP(XLOOKUP(C344,Portions!$A:$A,Portions!$B:$B),FoodItems!$A:$A,FoodItems!$E:$E))</f>
        <v/>
      </c>
    </row>
    <row r="345">
      <c r="E345">
        <f>IF(C345="","",D345*XLOOKUP(C345,Portions!$A:$A,Portions!$D:$D))</f>
        <v/>
      </c>
      <c r="F345">
        <f>IF(E345="","",E345/100*XLOOKUP(XLOOKUP(C345,Portions!$A:$A,Portions!$B:$B),FoodItems!$A:$A,FoodItems!$B:$B))</f>
        <v/>
      </c>
      <c r="G345">
        <f>IF(E345="","",E345/100*XLOOKUP(XLOOKUP(C345,Portions!$A:$A,Portions!$B:$B),FoodItems!$A:$A,FoodItems!$C:$C))</f>
        <v/>
      </c>
      <c r="H345">
        <f>IF(E345="","",E345/100*XLOOKUP(XLOOKUP(C345,Portions!$A:$A,Portions!$B:$B),FoodItems!$A:$A,FoodItems!$D:$D))</f>
        <v/>
      </c>
      <c r="I345">
        <f>IF(E345="","",E345/100*XLOOKUP(XLOOKUP(C345,Portions!$A:$A,Portions!$B:$B),FoodItems!$A:$A,FoodItems!$E:$E))</f>
        <v/>
      </c>
    </row>
    <row r="346">
      <c r="E346">
        <f>IF(C346="","",D346*XLOOKUP(C346,Portions!$A:$A,Portions!$D:$D))</f>
        <v/>
      </c>
      <c r="F346">
        <f>IF(E346="","",E346/100*XLOOKUP(XLOOKUP(C346,Portions!$A:$A,Portions!$B:$B),FoodItems!$A:$A,FoodItems!$B:$B))</f>
        <v/>
      </c>
      <c r="G346">
        <f>IF(E346="","",E346/100*XLOOKUP(XLOOKUP(C346,Portions!$A:$A,Portions!$B:$B),FoodItems!$A:$A,FoodItems!$C:$C))</f>
        <v/>
      </c>
      <c r="H346">
        <f>IF(E346="","",E346/100*XLOOKUP(XLOOKUP(C346,Portions!$A:$A,Portions!$B:$B),FoodItems!$A:$A,FoodItems!$D:$D))</f>
        <v/>
      </c>
      <c r="I346">
        <f>IF(E346="","",E346/100*XLOOKUP(XLOOKUP(C346,Portions!$A:$A,Portions!$B:$B),FoodItems!$A:$A,FoodItems!$E:$E))</f>
        <v/>
      </c>
    </row>
    <row r="347">
      <c r="E347">
        <f>IF(C347="","",D347*XLOOKUP(C347,Portions!$A:$A,Portions!$D:$D))</f>
        <v/>
      </c>
      <c r="F347">
        <f>IF(E347="","",E347/100*XLOOKUP(XLOOKUP(C347,Portions!$A:$A,Portions!$B:$B),FoodItems!$A:$A,FoodItems!$B:$B))</f>
        <v/>
      </c>
      <c r="G347">
        <f>IF(E347="","",E347/100*XLOOKUP(XLOOKUP(C347,Portions!$A:$A,Portions!$B:$B),FoodItems!$A:$A,FoodItems!$C:$C))</f>
        <v/>
      </c>
      <c r="H347">
        <f>IF(E347="","",E347/100*XLOOKUP(XLOOKUP(C347,Portions!$A:$A,Portions!$B:$B),FoodItems!$A:$A,FoodItems!$D:$D))</f>
        <v/>
      </c>
      <c r="I347">
        <f>IF(E347="","",E347/100*XLOOKUP(XLOOKUP(C347,Portions!$A:$A,Portions!$B:$B),FoodItems!$A:$A,FoodItems!$E:$E))</f>
        <v/>
      </c>
    </row>
    <row r="348">
      <c r="E348">
        <f>IF(C348="","",D348*XLOOKUP(C348,Portions!$A:$A,Portions!$D:$D))</f>
        <v/>
      </c>
      <c r="F348">
        <f>IF(E348="","",E348/100*XLOOKUP(XLOOKUP(C348,Portions!$A:$A,Portions!$B:$B),FoodItems!$A:$A,FoodItems!$B:$B))</f>
        <v/>
      </c>
      <c r="G348">
        <f>IF(E348="","",E348/100*XLOOKUP(XLOOKUP(C348,Portions!$A:$A,Portions!$B:$B),FoodItems!$A:$A,FoodItems!$C:$C))</f>
        <v/>
      </c>
      <c r="H348">
        <f>IF(E348="","",E348/100*XLOOKUP(XLOOKUP(C348,Portions!$A:$A,Portions!$B:$B),FoodItems!$A:$A,FoodItems!$D:$D))</f>
        <v/>
      </c>
      <c r="I348">
        <f>IF(E348="","",E348/100*XLOOKUP(XLOOKUP(C348,Portions!$A:$A,Portions!$B:$B),FoodItems!$A:$A,FoodItems!$E:$E))</f>
        <v/>
      </c>
    </row>
    <row r="349">
      <c r="E349">
        <f>IF(C349="","",D349*XLOOKUP(C349,Portions!$A:$A,Portions!$D:$D))</f>
        <v/>
      </c>
      <c r="F349">
        <f>IF(E349="","",E349/100*XLOOKUP(XLOOKUP(C349,Portions!$A:$A,Portions!$B:$B),FoodItems!$A:$A,FoodItems!$B:$B))</f>
        <v/>
      </c>
      <c r="G349">
        <f>IF(E349="","",E349/100*XLOOKUP(XLOOKUP(C349,Portions!$A:$A,Portions!$B:$B),FoodItems!$A:$A,FoodItems!$C:$C))</f>
        <v/>
      </c>
      <c r="H349">
        <f>IF(E349="","",E349/100*XLOOKUP(XLOOKUP(C349,Portions!$A:$A,Portions!$B:$B),FoodItems!$A:$A,FoodItems!$D:$D))</f>
        <v/>
      </c>
      <c r="I349">
        <f>IF(E349="","",E349/100*XLOOKUP(XLOOKUP(C349,Portions!$A:$A,Portions!$B:$B),FoodItems!$A:$A,FoodItems!$E:$E))</f>
        <v/>
      </c>
    </row>
    <row r="350">
      <c r="E350">
        <f>IF(C350="","",D350*XLOOKUP(C350,Portions!$A:$A,Portions!$D:$D))</f>
        <v/>
      </c>
      <c r="F350">
        <f>IF(E350="","",E350/100*XLOOKUP(XLOOKUP(C350,Portions!$A:$A,Portions!$B:$B),FoodItems!$A:$A,FoodItems!$B:$B))</f>
        <v/>
      </c>
      <c r="G350">
        <f>IF(E350="","",E350/100*XLOOKUP(XLOOKUP(C350,Portions!$A:$A,Portions!$B:$B),FoodItems!$A:$A,FoodItems!$C:$C))</f>
        <v/>
      </c>
      <c r="H350">
        <f>IF(E350="","",E350/100*XLOOKUP(XLOOKUP(C350,Portions!$A:$A,Portions!$B:$B),FoodItems!$A:$A,FoodItems!$D:$D))</f>
        <v/>
      </c>
      <c r="I350">
        <f>IF(E350="","",E350/100*XLOOKUP(XLOOKUP(C350,Portions!$A:$A,Portions!$B:$B),FoodItems!$A:$A,FoodItems!$E:$E))</f>
        <v/>
      </c>
    </row>
    <row r="351">
      <c r="E351">
        <f>IF(C351="","",D351*XLOOKUP(C351,Portions!$A:$A,Portions!$D:$D))</f>
        <v/>
      </c>
      <c r="F351">
        <f>IF(E351="","",E351/100*XLOOKUP(XLOOKUP(C351,Portions!$A:$A,Portions!$B:$B),FoodItems!$A:$A,FoodItems!$B:$B))</f>
        <v/>
      </c>
      <c r="G351">
        <f>IF(E351="","",E351/100*XLOOKUP(XLOOKUP(C351,Portions!$A:$A,Portions!$B:$B),FoodItems!$A:$A,FoodItems!$C:$C))</f>
        <v/>
      </c>
      <c r="H351">
        <f>IF(E351="","",E351/100*XLOOKUP(XLOOKUP(C351,Portions!$A:$A,Portions!$B:$B),FoodItems!$A:$A,FoodItems!$D:$D))</f>
        <v/>
      </c>
      <c r="I351">
        <f>IF(E351="","",E351/100*XLOOKUP(XLOOKUP(C351,Portions!$A:$A,Portions!$B:$B),FoodItems!$A:$A,FoodItems!$E:$E))</f>
        <v/>
      </c>
    </row>
    <row r="352">
      <c r="E352">
        <f>IF(C352="","",D352*XLOOKUP(C352,Portions!$A:$A,Portions!$D:$D))</f>
        <v/>
      </c>
      <c r="F352">
        <f>IF(E352="","",E352/100*XLOOKUP(XLOOKUP(C352,Portions!$A:$A,Portions!$B:$B),FoodItems!$A:$A,FoodItems!$B:$B))</f>
        <v/>
      </c>
      <c r="G352">
        <f>IF(E352="","",E352/100*XLOOKUP(XLOOKUP(C352,Portions!$A:$A,Portions!$B:$B),FoodItems!$A:$A,FoodItems!$C:$C))</f>
        <v/>
      </c>
      <c r="H352">
        <f>IF(E352="","",E352/100*XLOOKUP(XLOOKUP(C352,Portions!$A:$A,Portions!$B:$B),FoodItems!$A:$A,FoodItems!$D:$D))</f>
        <v/>
      </c>
      <c r="I352">
        <f>IF(E352="","",E352/100*XLOOKUP(XLOOKUP(C352,Portions!$A:$A,Portions!$B:$B),FoodItems!$A:$A,FoodItems!$E:$E))</f>
        <v/>
      </c>
    </row>
    <row r="353">
      <c r="E353">
        <f>IF(C353="","",D353*XLOOKUP(C353,Portions!$A:$A,Portions!$D:$D))</f>
        <v/>
      </c>
      <c r="F353">
        <f>IF(E353="","",E353/100*XLOOKUP(XLOOKUP(C353,Portions!$A:$A,Portions!$B:$B),FoodItems!$A:$A,FoodItems!$B:$B))</f>
        <v/>
      </c>
      <c r="G353">
        <f>IF(E353="","",E353/100*XLOOKUP(XLOOKUP(C353,Portions!$A:$A,Portions!$B:$B),FoodItems!$A:$A,FoodItems!$C:$C))</f>
        <v/>
      </c>
      <c r="H353">
        <f>IF(E353="","",E353/100*XLOOKUP(XLOOKUP(C353,Portions!$A:$A,Portions!$B:$B),FoodItems!$A:$A,FoodItems!$D:$D))</f>
        <v/>
      </c>
      <c r="I353">
        <f>IF(E353="","",E353/100*XLOOKUP(XLOOKUP(C353,Portions!$A:$A,Portions!$B:$B),FoodItems!$A:$A,FoodItems!$E:$E))</f>
        <v/>
      </c>
    </row>
    <row r="354">
      <c r="E354">
        <f>IF(C354="","",D354*XLOOKUP(C354,Portions!$A:$A,Portions!$D:$D))</f>
        <v/>
      </c>
      <c r="F354">
        <f>IF(E354="","",E354/100*XLOOKUP(XLOOKUP(C354,Portions!$A:$A,Portions!$B:$B),FoodItems!$A:$A,FoodItems!$B:$B))</f>
        <v/>
      </c>
      <c r="G354">
        <f>IF(E354="","",E354/100*XLOOKUP(XLOOKUP(C354,Portions!$A:$A,Portions!$B:$B),FoodItems!$A:$A,FoodItems!$C:$C))</f>
        <v/>
      </c>
      <c r="H354">
        <f>IF(E354="","",E354/100*XLOOKUP(XLOOKUP(C354,Portions!$A:$A,Portions!$B:$B),FoodItems!$A:$A,FoodItems!$D:$D))</f>
        <v/>
      </c>
      <c r="I354">
        <f>IF(E354="","",E354/100*XLOOKUP(XLOOKUP(C354,Portions!$A:$A,Portions!$B:$B),FoodItems!$A:$A,FoodItems!$E:$E))</f>
        <v/>
      </c>
    </row>
    <row r="355">
      <c r="E355">
        <f>IF(C355="","",D355*XLOOKUP(C355,Portions!$A:$A,Portions!$D:$D))</f>
        <v/>
      </c>
      <c r="F355">
        <f>IF(E355="","",E355/100*XLOOKUP(XLOOKUP(C355,Portions!$A:$A,Portions!$B:$B),FoodItems!$A:$A,FoodItems!$B:$B))</f>
        <v/>
      </c>
      <c r="G355">
        <f>IF(E355="","",E355/100*XLOOKUP(XLOOKUP(C355,Portions!$A:$A,Portions!$B:$B),FoodItems!$A:$A,FoodItems!$C:$C))</f>
        <v/>
      </c>
      <c r="H355">
        <f>IF(E355="","",E355/100*XLOOKUP(XLOOKUP(C355,Portions!$A:$A,Portions!$B:$B),FoodItems!$A:$A,FoodItems!$D:$D))</f>
        <v/>
      </c>
      <c r="I355">
        <f>IF(E355="","",E355/100*XLOOKUP(XLOOKUP(C355,Portions!$A:$A,Portions!$B:$B),FoodItems!$A:$A,FoodItems!$E:$E))</f>
        <v/>
      </c>
    </row>
    <row r="356">
      <c r="E356">
        <f>IF(C356="","",D356*XLOOKUP(C356,Portions!$A:$A,Portions!$D:$D))</f>
        <v/>
      </c>
      <c r="F356">
        <f>IF(E356="","",E356/100*XLOOKUP(XLOOKUP(C356,Portions!$A:$A,Portions!$B:$B),FoodItems!$A:$A,FoodItems!$B:$B))</f>
        <v/>
      </c>
      <c r="G356">
        <f>IF(E356="","",E356/100*XLOOKUP(XLOOKUP(C356,Portions!$A:$A,Portions!$B:$B),FoodItems!$A:$A,FoodItems!$C:$C))</f>
        <v/>
      </c>
      <c r="H356">
        <f>IF(E356="","",E356/100*XLOOKUP(XLOOKUP(C356,Portions!$A:$A,Portions!$B:$B),FoodItems!$A:$A,FoodItems!$D:$D))</f>
        <v/>
      </c>
      <c r="I356">
        <f>IF(E356="","",E356/100*XLOOKUP(XLOOKUP(C356,Portions!$A:$A,Portions!$B:$B),FoodItems!$A:$A,FoodItems!$E:$E))</f>
        <v/>
      </c>
    </row>
    <row r="357">
      <c r="E357">
        <f>IF(C357="","",D357*XLOOKUP(C357,Portions!$A:$A,Portions!$D:$D))</f>
        <v/>
      </c>
      <c r="F357">
        <f>IF(E357="","",E357/100*XLOOKUP(XLOOKUP(C357,Portions!$A:$A,Portions!$B:$B),FoodItems!$A:$A,FoodItems!$B:$B))</f>
        <v/>
      </c>
      <c r="G357">
        <f>IF(E357="","",E357/100*XLOOKUP(XLOOKUP(C357,Portions!$A:$A,Portions!$B:$B),FoodItems!$A:$A,FoodItems!$C:$C))</f>
        <v/>
      </c>
      <c r="H357">
        <f>IF(E357="","",E357/100*XLOOKUP(XLOOKUP(C357,Portions!$A:$A,Portions!$B:$B),FoodItems!$A:$A,FoodItems!$D:$D))</f>
        <v/>
      </c>
      <c r="I357">
        <f>IF(E357="","",E357/100*XLOOKUP(XLOOKUP(C357,Portions!$A:$A,Portions!$B:$B),FoodItems!$A:$A,FoodItems!$E:$E))</f>
        <v/>
      </c>
    </row>
    <row r="358">
      <c r="E358">
        <f>IF(C358="","",D358*XLOOKUP(C358,Portions!$A:$A,Portions!$D:$D))</f>
        <v/>
      </c>
      <c r="F358">
        <f>IF(E358="","",E358/100*XLOOKUP(XLOOKUP(C358,Portions!$A:$A,Portions!$B:$B),FoodItems!$A:$A,FoodItems!$B:$B))</f>
        <v/>
      </c>
      <c r="G358">
        <f>IF(E358="","",E358/100*XLOOKUP(XLOOKUP(C358,Portions!$A:$A,Portions!$B:$B),FoodItems!$A:$A,FoodItems!$C:$C))</f>
        <v/>
      </c>
      <c r="H358">
        <f>IF(E358="","",E358/100*XLOOKUP(XLOOKUP(C358,Portions!$A:$A,Portions!$B:$B),FoodItems!$A:$A,FoodItems!$D:$D))</f>
        <v/>
      </c>
      <c r="I358">
        <f>IF(E358="","",E358/100*XLOOKUP(XLOOKUP(C358,Portions!$A:$A,Portions!$B:$B),FoodItems!$A:$A,FoodItems!$E:$E))</f>
        <v/>
      </c>
    </row>
    <row r="359">
      <c r="E359">
        <f>IF(C359="","",D359*XLOOKUP(C359,Portions!$A:$A,Portions!$D:$D))</f>
        <v/>
      </c>
      <c r="F359">
        <f>IF(E359="","",E359/100*XLOOKUP(XLOOKUP(C359,Portions!$A:$A,Portions!$B:$B),FoodItems!$A:$A,FoodItems!$B:$B))</f>
        <v/>
      </c>
      <c r="G359">
        <f>IF(E359="","",E359/100*XLOOKUP(XLOOKUP(C359,Portions!$A:$A,Portions!$B:$B),FoodItems!$A:$A,FoodItems!$C:$C))</f>
        <v/>
      </c>
      <c r="H359">
        <f>IF(E359="","",E359/100*XLOOKUP(XLOOKUP(C359,Portions!$A:$A,Portions!$B:$B),FoodItems!$A:$A,FoodItems!$D:$D))</f>
        <v/>
      </c>
      <c r="I359">
        <f>IF(E359="","",E359/100*XLOOKUP(XLOOKUP(C359,Portions!$A:$A,Portions!$B:$B),FoodItems!$A:$A,FoodItems!$E:$E))</f>
        <v/>
      </c>
    </row>
    <row r="360">
      <c r="E360">
        <f>IF(C360="","",D360*XLOOKUP(C360,Portions!$A:$A,Portions!$D:$D))</f>
        <v/>
      </c>
      <c r="F360">
        <f>IF(E360="","",E360/100*XLOOKUP(XLOOKUP(C360,Portions!$A:$A,Portions!$B:$B),FoodItems!$A:$A,FoodItems!$B:$B))</f>
        <v/>
      </c>
      <c r="G360">
        <f>IF(E360="","",E360/100*XLOOKUP(XLOOKUP(C360,Portions!$A:$A,Portions!$B:$B),FoodItems!$A:$A,FoodItems!$C:$C))</f>
        <v/>
      </c>
      <c r="H360">
        <f>IF(E360="","",E360/100*XLOOKUP(XLOOKUP(C360,Portions!$A:$A,Portions!$B:$B),FoodItems!$A:$A,FoodItems!$D:$D))</f>
        <v/>
      </c>
      <c r="I360">
        <f>IF(E360="","",E360/100*XLOOKUP(XLOOKUP(C360,Portions!$A:$A,Portions!$B:$B),FoodItems!$A:$A,FoodItems!$E:$E))</f>
        <v/>
      </c>
    </row>
    <row r="361">
      <c r="E361">
        <f>IF(C361="","",D361*XLOOKUP(C361,Portions!$A:$A,Portions!$D:$D))</f>
        <v/>
      </c>
      <c r="F361">
        <f>IF(E361="","",E361/100*XLOOKUP(XLOOKUP(C361,Portions!$A:$A,Portions!$B:$B),FoodItems!$A:$A,FoodItems!$B:$B))</f>
        <v/>
      </c>
      <c r="G361">
        <f>IF(E361="","",E361/100*XLOOKUP(XLOOKUP(C361,Portions!$A:$A,Portions!$B:$B),FoodItems!$A:$A,FoodItems!$C:$C))</f>
        <v/>
      </c>
      <c r="H361">
        <f>IF(E361="","",E361/100*XLOOKUP(XLOOKUP(C361,Portions!$A:$A,Portions!$B:$B),FoodItems!$A:$A,FoodItems!$D:$D))</f>
        <v/>
      </c>
      <c r="I361">
        <f>IF(E361="","",E361/100*XLOOKUP(XLOOKUP(C361,Portions!$A:$A,Portions!$B:$B),FoodItems!$A:$A,FoodItems!$E:$E))</f>
        <v/>
      </c>
    </row>
    <row r="362">
      <c r="E362">
        <f>IF(C362="","",D362*XLOOKUP(C362,Portions!$A:$A,Portions!$D:$D))</f>
        <v/>
      </c>
      <c r="F362">
        <f>IF(E362="","",E362/100*XLOOKUP(XLOOKUP(C362,Portions!$A:$A,Portions!$B:$B),FoodItems!$A:$A,FoodItems!$B:$B))</f>
        <v/>
      </c>
      <c r="G362">
        <f>IF(E362="","",E362/100*XLOOKUP(XLOOKUP(C362,Portions!$A:$A,Portions!$B:$B),FoodItems!$A:$A,FoodItems!$C:$C))</f>
        <v/>
      </c>
      <c r="H362">
        <f>IF(E362="","",E362/100*XLOOKUP(XLOOKUP(C362,Portions!$A:$A,Portions!$B:$B),FoodItems!$A:$A,FoodItems!$D:$D))</f>
        <v/>
      </c>
      <c r="I362">
        <f>IF(E362="","",E362/100*XLOOKUP(XLOOKUP(C362,Portions!$A:$A,Portions!$B:$B),FoodItems!$A:$A,FoodItems!$E:$E))</f>
        <v/>
      </c>
    </row>
    <row r="363">
      <c r="E363">
        <f>IF(C363="","",D363*XLOOKUP(C363,Portions!$A:$A,Portions!$D:$D))</f>
        <v/>
      </c>
      <c r="F363">
        <f>IF(E363="","",E363/100*XLOOKUP(XLOOKUP(C363,Portions!$A:$A,Portions!$B:$B),FoodItems!$A:$A,FoodItems!$B:$B))</f>
        <v/>
      </c>
      <c r="G363">
        <f>IF(E363="","",E363/100*XLOOKUP(XLOOKUP(C363,Portions!$A:$A,Portions!$B:$B),FoodItems!$A:$A,FoodItems!$C:$C))</f>
        <v/>
      </c>
      <c r="H363">
        <f>IF(E363="","",E363/100*XLOOKUP(XLOOKUP(C363,Portions!$A:$A,Portions!$B:$B),FoodItems!$A:$A,FoodItems!$D:$D))</f>
        <v/>
      </c>
      <c r="I363">
        <f>IF(E363="","",E363/100*XLOOKUP(XLOOKUP(C363,Portions!$A:$A,Portions!$B:$B),FoodItems!$A:$A,FoodItems!$E:$E))</f>
        <v/>
      </c>
    </row>
    <row r="364">
      <c r="E364">
        <f>IF(C364="","",D364*XLOOKUP(C364,Portions!$A:$A,Portions!$D:$D))</f>
        <v/>
      </c>
      <c r="F364">
        <f>IF(E364="","",E364/100*XLOOKUP(XLOOKUP(C364,Portions!$A:$A,Portions!$B:$B),FoodItems!$A:$A,FoodItems!$B:$B))</f>
        <v/>
      </c>
      <c r="G364">
        <f>IF(E364="","",E364/100*XLOOKUP(XLOOKUP(C364,Portions!$A:$A,Portions!$B:$B),FoodItems!$A:$A,FoodItems!$C:$C))</f>
        <v/>
      </c>
      <c r="H364">
        <f>IF(E364="","",E364/100*XLOOKUP(XLOOKUP(C364,Portions!$A:$A,Portions!$B:$B),FoodItems!$A:$A,FoodItems!$D:$D))</f>
        <v/>
      </c>
      <c r="I364">
        <f>IF(E364="","",E364/100*XLOOKUP(XLOOKUP(C364,Portions!$A:$A,Portions!$B:$B),FoodItems!$A:$A,FoodItems!$E:$E))</f>
        <v/>
      </c>
    </row>
    <row r="365">
      <c r="E365">
        <f>IF(C365="","",D365*XLOOKUP(C365,Portions!$A:$A,Portions!$D:$D))</f>
        <v/>
      </c>
      <c r="F365">
        <f>IF(E365="","",E365/100*XLOOKUP(XLOOKUP(C365,Portions!$A:$A,Portions!$B:$B),FoodItems!$A:$A,FoodItems!$B:$B))</f>
        <v/>
      </c>
      <c r="G365">
        <f>IF(E365="","",E365/100*XLOOKUP(XLOOKUP(C365,Portions!$A:$A,Portions!$B:$B),FoodItems!$A:$A,FoodItems!$C:$C))</f>
        <v/>
      </c>
      <c r="H365">
        <f>IF(E365="","",E365/100*XLOOKUP(XLOOKUP(C365,Portions!$A:$A,Portions!$B:$B),FoodItems!$A:$A,FoodItems!$D:$D))</f>
        <v/>
      </c>
      <c r="I365">
        <f>IF(E365="","",E365/100*XLOOKUP(XLOOKUP(C365,Portions!$A:$A,Portions!$B:$B),FoodItems!$A:$A,FoodItems!$E:$E))</f>
        <v/>
      </c>
    </row>
    <row r="366">
      <c r="E366">
        <f>IF(C366="","",D366*XLOOKUP(C366,Portions!$A:$A,Portions!$D:$D))</f>
        <v/>
      </c>
      <c r="F366">
        <f>IF(E366="","",E366/100*XLOOKUP(XLOOKUP(C366,Portions!$A:$A,Portions!$B:$B),FoodItems!$A:$A,FoodItems!$B:$B))</f>
        <v/>
      </c>
      <c r="G366">
        <f>IF(E366="","",E366/100*XLOOKUP(XLOOKUP(C366,Portions!$A:$A,Portions!$B:$B),FoodItems!$A:$A,FoodItems!$C:$C))</f>
        <v/>
      </c>
      <c r="H366">
        <f>IF(E366="","",E366/100*XLOOKUP(XLOOKUP(C366,Portions!$A:$A,Portions!$B:$B),FoodItems!$A:$A,FoodItems!$D:$D))</f>
        <v/>
      </c>
      <c r="I366">
        <f>IF(E366="","",E366/100*XLOOKUP(XLOOKUP(C366,Portions!$A:$A,Portions!$B:$B),FoodItems!$A:$A,FoodItems!$E:$E))</f>
        <v/>
      </c>
    </row>
    <row r="367">
      <c r="E367">
        <f>IF(C367="","",D367*XLOOKUP(C367,Portions!$A:$A,Portions!$D:$D))</f>
        <v/>
      </c>
      <c r="F367">
        <f>IF(E367="","",E367/100*XLOOKUP(XLOOKUP(C367,Portions!$A:$A,Portions!$B:$B),FoodItems!$A:$A,FoodItems!$B:$B))</f>
        <v/>
      </c>
      <c r="G367">
        <f>IF(E367="","",E367/100*XLOOKUP(XLOOKUP(C367,Portions!$A:$A,Portions!$B:$B),FoodItems!$A:$A,FoodItems!$C:$C))</f>
        <v/>
      </c>
      <c r="H367">
        <f>IF(E367="","",E367/100*XLOOKUP(XLOOKUP(C367,Portions!$A:$A,Portions!$B:$B),FoodItems!$A:$A,FoodItems!$D:$D))</f>
        <v/>
      </c>
      <c r="I367">
        <f>IF(E367="","",E367/100*XLOOKUP(XLOOKUP(C367,Portions!$A:$A,Portions!$B:$B),FoodItems!$A:$A,FoodItems!$E:$E))</f>
        <v/>
      </c>
    </row>
    <row r="368">
      <c r="E368">
        <f>IF(C368="","",D368*XLOOKUP(C368,Portions!$A:$A,Portions!$D:$D))</f>
        <v/>
      </c>
      <c r="F368">
        <f>IF(E368="","",E368/100*XLOOKUP(XLOOKUP(C368,Portions!$A:$A,Portions!$B:$B),FoodItems!$A:$A,FoodItems!$B:$B))</f>
        <v/>
      </c>
      <c r="G368">
        <f>IF(E368="","",E368/100*XLOOKUP(XLOOKUP(C368,Portions!$A:$A,Portions!$B:$B),FoodItems!$A:$A,FoodItems!$C:$C))</f>
        <v/>
      </c>
      <c r="H368">
        <f>IF(E368="","",E368/100*XLOOKUP(XLOOKUP(C368,Portions!$A:$A,Portions!$B:$B),FoodItems!$A:$A,FoodItems!$D:$D))</f>
        <v/>
      </c>
      <c r="I368">
        <f>IF(E368="","",E368/100*XLOOKUP(XLOOKUP(C368,Portions!$A:$A,Portions!$B:$B),FoodItems!$A:$A,FoodItems!$E:$E))</f>
        <v/>
      </c>
    </row>
    <row r="369">
      <c r="E369">
        <f>IF(C369="","",D369*XLOOKUP(C369,Portions!$A:$A,Portions!$D:$D))</f>
        <v/>
      </c>
      <c r="F369">
        <f>IF(E369="","",E369/100*XLOOKUP(XLOOKUP(C369,Portions!$A:$A,Portions!$B:$B),FoodItems!$A:$A,FoodItems!$B:$B))</f>
        <v/>
      </c>
      <c r="G369">
        <f>IF(E369="","",E369/100*XLOOKUP(XLOOKUP(C369,Portions!$A:$A,Portions!$B:$B),FoodItems!$A:$A,FoodItems!$C:$C))</f>
        <v/>
      </c>
      <c r="H369">
        <f>IF(E369="","",E369/100*XLOOKUP(XLOOKUP(C369,Portions!$A:$A,Portions!$B:$B),FoodItems!$A:$A,FoodItems!$D:$D))</f>
        <v/>
      </c>
      <c r="I369">
        <f>IF(E369="","",E369/100*XLOOKUP(XLOOKUP(C369,Portions!$A:$A,Portions!$B:$B),FoodItems!$A:$A,FoodItems!$E:$E))</f>
        <v/>
      </c>
    </row>
    <row r="370">
      <c r="E370">
        <f>IF(C370="","",D370*XLOOKUP(C370,Portions!$A:$A,Portions!$D:$D))</f>
        <v/>
      </c>
      <c r="F370">
        <f>IF(E370="","",E370/100*XLOOKUP(XLOOKUP(C370,Portions!$A:$A,Portions!$B:$B),FoodItems!$A:$A,FoodItems!$B:$B))</f>
        <v/>
      </c>
      <c r="G370">
        <f>IF(E370="","",E370/100*XLOOKUP(XLOOKUP(C370,Portions!$A:$A,Portions!$B:$B),FoodItems!$A:$A,FoodItems!$C:$C))</f>
        <v/>
      </c>
      <c r="H370">
        <f>IF(E370="","",E370/100*XLOOKUP(XLOOKUP(C370,Portions!$A:$A,Portions!$B:$B),FoodItems!$A:$A,FoodItems!$D:$D))</f>
        <v/>
      </c>
      <c r="I370">
        <f>IF(E370="","",E370/100*XLOOKUP(XLOOKUP(C370,Portions!$A:$A,Portions!$B:$B),FoodItems!$A:$A,FoodItems!$E:$E))</f>
        <v/>
      </c>
    </row>
    <row r="371">
      <c r="E371">
        <f>IF(C371="","",D371*XLOOKUP(C371,Portions!$A:$A,Portions!$D:$D))</f>
        <v/>
      </c>
      <c r="F371">
        <f>IF(E371="","",E371/100*XLOOKUP(XLOOKUP(C371,Portions!$A:$A,Portions!$B:$B),FoodItems!$A:$A,FoodItems!$B:$B))</f>
        <v/>
      </c>
      <c r="G371">
        <f>IF(E371="","",E371/100*XLOOKUP(XLOOKUP(C371,Portions!$A:$A,Portions!$B:$B),FoodItems!$A:$A,FoodItems!$C:$C))</f>
        <v/>
      </c>
      <c r="H371">
        <f>IF(E371="","",E371/100*XLOOKUP(XLOOKUP(C371,Portions!$A:$A,Portions!$B:$B),FoodItems!$A:$A,FoodItems!$D:$D))</f>
        <v/>
      </c>
      <c r="I371">
        <f>IF(E371="","",E371/100*XLOOKUP(XLOOKUP(C371,Portions!$A:$A,Portions!$B:$B),FoodItems!$A:$A,FoodItems!$E:$E))</f>
        <v/>
      </c>
    </row>
    <row r="372">
      <c r="E372">
        <f>IF(C372="","",D372*XLOOKUP(C372,Portions!$A:$A,Portions!$D:$D))</f>
        <v/>
      </c>
      <c r="F372">
        <f>IF(E372="","",E372/100*XLOOKUP(XLOOKUP(C372,Portions!$A:$A,Portions!$B:$B),FoodItems!$A:$A,FoodItems!$B:$B))</f>
        <v/>
      </c>
      <c r="G372">
        <f>IF(E372="","",E372/100*XLOOKUP(XLOOKUP(C372,Portions!$A:$A,Portions!$B:$B),FoodItems!$A:$A,FoodItems!$C:$C))</f>
        <v/>
      </c>
      <c r="H372">
        <f>IF(E372="","",E372/100*XLOOKUP(XLOOKUP(C372,Portions!$A:$A,Portions!$B:$B),FoodItems!$A:$A,FoodItems!$D:$D))</f>
        <v/>
      </c>
      <c r="I372">
        <f>IF(E372="","",E372/100*XLOOKUP(XLOOKUP(C372,Portions!$A:$A,Portions!$B:$B),FoodItems!$A:$A,FoodItems!$E:$E))</f>
        <v/>
      </c>
    </row>
    <row r="373">
      <c r="E373">
        <f>IF(C373="","",D373*XLOOKUP(C373,Portions!$A:$A,Portions!$D:$D))</f>
        <v/>
      </c>
      <c r="F373">
        <f>IF(E373="","",E373/100*XLOOKUP(XLOOKUP(C373,Portions!$A:$A,Portions!$B:$B),FoodItems!$A:$A,FoodItems!$B:$B))</f>
        <v/>
      </c>
      <c r="G373">
        <f>IF(E373="","",E373/100*XLOOKUP(XLOOKUP(C373,Portions!$A:$A,Portions!$B:$B),FoodItems!$A:$A,FoodItems!$C:$C))</f>
        <v/>
      </c>
      <c r="H373">
        <f>IF(E373="","",E373/100*XLOOKUP(XLOOKUP(C373,Portions!$A:$A,Portions!$B:$B),FoodItems!$A:$A,FoodItems!$D:$D))</f>
        <v/>
      </c>
      <c r="I373">
        <f>IF(E373="","",E373/100*XLOOKUP(XLOOKUP(C373,Portions!$A:$A,Portions!$B:$B),FoodItems!$A:$A,FoodItems!$E:$E))</f>
        <v/>
      </c>
    </row>
    <row r="374">
      <c r="E374">
        <f>IF(C374="","",D374*XLOOKUP(C374,Portions!$A:$A,Portions!$D:$D))</f>
        <v/>
      </c>
      <c r="F374">
        <f>IF(E374="","",E374/100*XLOOKUP(XLOOKUP(C374,Portions!$A:$A,Portions!$B:$B),FoodItems!$A:$A,FoodItems!$B:$B))</f>
        <v/>
      </c>
      <c r="G374">
        <f>IF(E374="","",E374/100*XLOOKUP(XLOOKUP(C374,Portions!$A:$A,Portions!$B:$B),FoodItems!$A:$A,FoodItems!$C:$C))</f>
        <v/>
      </c>
      <c r="H374">
        <f>IF(E374="","",E374/100*XLOOKUP(XLOOKUP(C374,Portions!$A:$A,Portions!$B:$B),FoodItems!$A:$A,FoodItems!$D:$D))</f>
        <v/>
      </c>
      <c r="I374">
        <f>IF(E374="","",E374/100*XLOOKUP(XLOOKUP(C374,Portions!$A:$A,Portions!$B:$B),FoodItems!$A:$A,FoodItems!$E:$E))</f>
        <v/>
      </c>
    </row>
    <row r="375">
      <c r="E375">
        <f>IF(C375="","",D375*XLOOKUP(C375,Portions!$A:$A,Portions!$D:$D))</f>
        <v/>
      </c>
      <c r="F375">
        <f>IF(E375="","",E375/100*XLOOKUP(XLOOKUP(C375,Portions!$A:$A,Portions!$B:$B),FoodItems!$A:$A,FoodItems!$B:$B))</f>
        <v/>
      </c>
      <c r="G375">
        <f>IF(E375="","",E375/100*XLOOKUP(XLOOKUP(C375,Portions!$A:$A,Portions!$B:$B),FoodItems!$A:$A,FoodItems!$C:$C))</f>
        <v/>
      </c>
      <c r="H375">
        <f>IF(E375="","",E375/100*XLOOKUP(XLOOKUP(C375,Portions!$A:$A,Portions!$B:$B),FoodItems!$A:$A,FoodItems!$D:$D))</f>
        <v/>
      </c>
      <c r="I375">
        <f>IF(E375="","",E375/100*XLOOKUP(XLOOKUP(C375,Portions!$A:$A,Portions!$B:$B),FoodItems!$A:$A,FoodItems!$E:$E))</f>
        <v/>
      </c>
    </row>
    <row r="376">
      <c r="E376">
        <f>IF(C376="","",D376*XLOOKUP(C376,Portions!$A:$A,Portions!$D:$D))</f>
        <v/>
      </c>
      <c r="F376">
        <f>IF(E376="","",E376/100*XLOOKUP(XLOOKUP(C376,Portions!$A:$A,Portions!$B:$B),FoodItems!$A:$A,FoodItems!$B:$B))</f>
        <v/>
      </c>
      <c r="G376">
        <f>IF(E376="","",E376/100*XLOOKUP(XLOOKUP(C376,Portions!$A:$A,Portions!$B:$B),FoodItems!$A:$A,FoodItems!$C:$C))</f>
        <v/>
      </c>
      <c r="H376">
        <f>IF(E376="","",E376/100*XLOOKUP(XLOOKUP(C376,Portions!$A:$A,Portions!$B:$B),FoodItems!$A:$A,FoodItems!$D:$D))</f>
        <v/>
      </c>
      <c r="I376">
        <f>IF(E376="","",E376/100*XLOOKUP(XLOOKUP(C376,Portions!$A:$A,Portions!$B:$B),FoodItems!$A:$A,FoodItems!$E:$E))</f>
        <v/>
      </c>
    </row>
    <row r="377">
      <c r="E377">
        <f>IF(C377="","",D377*XLOOKUP(C377,Portions!$A:$A,Portions!$D:$D))</f>
        <v/>
      </c>
      <c r="F377">
        <f>IF(E377="","",E377/100*XLOOKUP(XLOOKUP(C377,Portions!$A:$A,Portions!$B:$B),FoodItems!$A:$A,FoodItems!$B:$B))</f>
        <v/>
      </c>
      <c r="G377">
        <f>IF(E377="","",E377/100*XLOOKUP(XLOOKUP(C377,Portions!$A:$A,Portions!$B:$B),FoodItems!$A:$A,FoodItems!$C:$C))</f>
        <v/>
      </c>
      <c r="H377">
        <f>IF(E377="","",E377/100*XLOOKUP(XLOOKUP(C377,Portions!$A:$A,Portions!$B:$B),FoodItems!$A:$A,FoodItems!$D:$D))</f>
        <v/>
      </c>
      <c r="I377">
        <f>IF(E377="","",E377/100*XLOOKUP(XLOOKUP(C377,Portions!$A:$A,Portions!$B:$B),FoodItems!$A:$A,FoodItems!$E:$E))</f>
        <v/>
      </c>
    </row>
    <row r="378">
      <c r="E378">
        <f>IF(C378="","",D378*XLOOKUP(C378,Portions!$A:$A,Portions!$D:$D))</f>
        <v/>
      </c>
      <c r="F378">
        <f>IF(E378="","",E378/100*XLOOKUP(XLOOKUP(C378,Portions!$A:$A,Portions!$B:$B),FoodItems!$A:$A,FoodItems!$B:$B))</f>
        <v/>
      </c>
      <c r="G378">
        <f>IF(E378="","",E378/100*XLOOKUP(XLOOKUP(C378,Portions!$A:$A,Portions!$B:$B),FoodItems!$A:$A,FoodItems!$C:$C))</f>
        <v/>
      </c>
      <c r="H378">
        <f>IF(E378="","",E378/100*XLOOKUP(XLOOKUP(C378,Portions!$A:$A,Portions!$B:$B),FoodItems!$A:$A,FoodItems!$D:$D))</f>
        <v/>
      </c>
      <c r="I378">
        <f>IF(E378="","",E378/100*XLOOKUP(XLOOKUP(C378,Portions!$A:$A,Portions!$B:$B),FoodItems!$A:$A,FoodItems!$E:$E))</f>
        <v/>
      </c>
    </row>
    <row r="379">
      <c r="E379">
        <f>IF(C379="","",D379*XLOOKUP(C379,Portions!$A:$A,Portions!$D:$D))</f>
        <v/>
      </c>
      <c r="F379">
        <f>IF(E379="","",E379/100*XLOOKUP(XLOOKUP(C379,Portions!$A:$A,Portions!$B:$B),FoodItems!$A:$A,FoodItems!$B:$B))</f>
        <v/>
      </c>
      <c r="G379">
        <f>IF(E379="","",E379/100*XLOOKUP(XLOOKUP(C379,Portions!$A:$A,Portions!$B:$B),FoodItems!$A:$A,FoodItems!$C:$C))</f>
        <v/>
      </c>
      <c r="H379">
        <f>IF(E379="","",E379/100*XLOOKUP(XLOOKUP(C379,Portions!$A:$A,Portions!$B:$B),FoodItems!$A:$A,FoodItems!$D:$D))</f>
        <v/>
      </c>
      <c r="I379">
        <f>IF(E379="","",E379/100*XLOOKUP(XLOOKUP(C379,Portions!$A:$A,Portions!$B:$B),FoodItems!$A:$A,FoodItems!$E:$E))</f>
        <v/>
      </c>
    </row>
    <row r="380">
      <c r="E380">
        <f>IF(C380="","",D380*XLOOKUP(C380,Portions!$A:$A,Portions!$D:$D))</f>
        <v/>
      </c>
      <c r="F380">
        <f>IF(E380="","",E380/100*XLOOKUP(XLOOKUP(C380,Portions!$A:$A,Portions!$B:$B),FoodItems!$A:$A,FoodItems!$B:$B))</f>
        <v/>
      </c>
      <c r="G380">
        <f>IF(E380="","",E380/100*XLOOKUP(XLOOKUP(C380,Portions!$A:$A,Portions!$B:$B),FoodItems!$A:$A,FoodItems!$C:$C))</f>
        <v/>
      </c>
      <c r="H380">
        <f>IF(E380="","",E380/100*XLOOKUP(XLOOKUP(C380,Portions!$A:$A,Portions!$B:$B),FoodItems!$A:$A,FoodItems!$D:$D))</f>
        <v/>
      </c>
      <c r="I380">
        <f>IF(E380="","",E380/100*XLOOKUP(XLOOKUP(C380,Portions!$A:$A,Portions!$B:$B),FoodItems!$A:$A,FoodItems!$E:$E))</f>
        <v/>
      </c>
    </row>
    <row r="381">
      <c r="E381">
        <f>IF(C381="","",D381*XLOOKUP(C381,Portions!$A:$A,Portions!$D:$D))</f>
        <v/>
      </c>
      <c r="F381">
        <f>IF(E381="","",E381/100*XLOOKUP(XLOOKUP(C381,Portions!$A:$A,Portions!$B:$B),FoodItems!$A:$A,FoodItems!$B:$B))</f>
        <v/>
      </c>
      <c r="G381">
        <f>IF(E381="","",E381/100*XLOOKUP(XLOOKUP(C381,Portions!$A:$A,Portions!$B:$B),FoodItems!$A:$A,FoodItems!$C:$C))</f>
        <v/>
      </c>
      <c r="H381">
        <f>IF(E381="","",E381/100*XLOOKUP(XLOOKUP(C381,Portions!$A:$A,Portions!$B:$B),FoodItems!$A:$A,FoodItems!$D:$D))</f>
        <v/>
      </c>
      <c r="I381">
        <f>IF(E381="","",E381/100*XLOOKUP(XLOOKUP(C381,Portions!$A:$A,Portions!$B:$B),FoodItems!$A:$A,FoodItems!$E:$E))</f>
        <v/>
      </c>
    </row>
    <row r="382">
      <c r="E382">
        <f>IF(C382="","",D382*XLOOKUP(C382,Portions!$A:$A,Portions!$D:$D))</f>
        <v/>
      </c>
      <c r="F382">
        <f>IF(E382="","",E382/100*XLOOKUP(XLOOKUP(C382,Portions!$A:$A,Portions!$B:$B),FoodItems!$A:$A,FoodItems!$B:$B))</f>
        <v/>
      </c>
      <c r="G382">
        <f>IF(E382="","",E382/100*XLOOKUP(XLOOKUP(C382,Portions!$A:$A,Portions!$B:$B),FoodItems!$A:$A,FoodItems!$C:$C))</f>
        <v/>
      </c>
      <c r="H382">
        <f>IF(E382="","",E382/100*XLOOKUP(XLOOKUP(C382,Portions!$A:$A,Portions!$B:$B),FoodItems!$A:$A,FoodItems!$D:$D))</f>
        <v/>
      </c>
      <c r="I382">
        <f>IF(E382="","",E382/100*XLOOKUP(XLOOKUP(C382,Portions!$A:$A,Portions!$B:$B),FoodItems!$A:$A,FoodItems!$E:$E))</f>
        <v/>
      </c>
    </row>
    <row r="383">
      <c r="E383">
        <f>IF(C383="","",D383*XLOOKUP(C383,Portions!$A:$A,Portions!$D:$D))</f>
        <v/>
      </c>
      <c r="F383">
        <f>IF(E383="","",E383/100*XLOOKUP(XLOOKUP(C383,Portions!$A:$A,Portions!$B:$B),FoodItems!$A:$A,FoodItems!$B:$B))</f>
        <v/>
      </c>
      <c r="G383">
        <f>IF(E383="","",E383/100*XLOOKUP(XLOOKUP(C383,Portions!$A:$A,Portions!$B:$B),FoodItems!$A:$A,FoodItems!$C:$C))</f>
        <v/>
      </c>
      <c r="H383">
        <f>IF(E383="","",E383/100*XLOOKUP(XLOOKUP(C383,Portions!$A:$A,Portions!$B:$B),FoodItems!$A:$A,FoodItems!$D:$D))</f>
        <v/>
      </c>
      <c r="I383">
        <f>IF(E383="","",E383/100*XLOOKUP(XLOOKUP(C383,Portions!$A:$A,Portions!$B:$B),FoodItems!$A:$A,FoodItems!$E:$E))</f>
        <v/>
      </c>
    </row>
    <row r="384">
      <c r="E384">
        <f>IF(C384="","",D384*XLOOKUP(C384,Portions!$A:$A,Portions!$D:$D))</f>
        <v/>
      </c>
      <c r="F384">
        <f>IF(E384="","",E384/100*XLOOKUP(XLOOKUP(C384,Portions!$A:$A,Portions!$B:$B),FoodItems!$A:$A,FoodItems!$B:$B))</f>
        <v/>
      </c>
      <c r="G384">
        <f>IF(E384="","",E384/100*XLOOKUP(XLOOKUP(C384,Portions!$A:$A,Portions!$B:$B),FoodItems!$A:$A,FoodItems!$C:$C))</f>
        <v/>
      </c>
      <c r="H384">
        <f>IF(E384="","",E384/100*XLOOKUP(XLOOKUP(C384,Portions!$A:$A,Portions!$B:$B),FoodItems!$A:$A,FoodItems!$D:$D))</f>
        <v/>
      </c>
      <c r="I384">
        <f>IF(E384="","",E384/100*XLOOKUP(XLOOKUP(C384,Portions!$A:$A,Portions!$B:$B),FoodItems!$A:$A,FoodItems!$E:$E))</f>
        <v/>
      </c>
    </row>
    <row r="385">
      <c r="E385">
        <f>IF(C385="","",D385*XLOOKUP(C385,Portions!$A:$A,Portions!$D:$D))</f>
        <v/>
      </c>
      <c r="F385">
        <f>IF(E385="","",E385/100*XLOOKUP(XLOOKUP(C385,Portions!$A:$A,Portions!$B:$B),FoodItems!$A:$A,FoodItems!$B:$B))</f>
        <v/>
      </c>
      <c r="G385">
        <f>IF(E385="","",E385/100*XLOOKUP(XLOOKUP(C385,Portions!$A:$A,Portions!$B:$B),FoodItems!$A:$A,FoodItems!$C:$C))</f>
        <v/>
      </c>
      <c r="H385">
        <f>IF(E385="","",E385/100*XLOOKUP(XLOOKUP(C385,Portions!$A:$A,Portions!$B:$B),FoodItems!$A:$A,FoodItems!$D:$D))</f>
        <v/>
      </c>
      <c r="I385">
        <f>IF(E385="","",E385/100*XLOOKUP(XLOOKUP(C385,Portions!$A:$A,Portions!$B:$B),FoodItems!$A:$A,FoodItems!$E:$E))</f>
        <v/>
      </c>
    </row>
    <row r="386">
      <c r="E386">
        <f>IF(C386="","",D386*XLOOKUP(C386,Portions!$A:$A,Portions!$D:$D))</f>
        <v/>
      </c>
      <c r="F386">
        <f>IF(E386="","",E386/100*XLOOKUP(XLOOKUP(C386,Portions!$A:$A,Portions!$B:$B),FoodItems!$A:$A,FoodItems!$B:$B))</f>
        <v/>
      </c>
      <c r="G386">
        <f>IF(E386="","",E386/100*XLOOKUP(XLOOKUP(C386,Portions!$A:$A,Portions!$B:$B),FoodItems!$A:$A,FoodItems!$C:$C))</f>
        <v/>
      </c>
      <c r="H386">
        <f>IF(E386="","",E386/100*XLOOKUP(XLOOKUP(C386,Portions!$A:$A,Portions!$B:$B),FoodItems!$A:$A,FoodItems!$D:$D))</f>
        <v/>
      </c>
      <c r="I386">
        <f>IF(E386="","",E386/100*XLOOKUP(XLOOKUP(C386,Portions!$A:$A,Portions!$B:$B),FoodItems!$A:$A,FoodItems!$E:$E))</f>
        <v/>
      </c>
    </row>
    <row r="387">
      <c r="E387">
        <f>IF(C387="","",D387*XLOOKUP(C387,Portions!$A:$A,Portions!$D:$D))</f>
        <v/>
      </c>
      <c r="F387">
        <f>IF(E387="","",E387/100*XLOOKUP(XLOOKUP(C387,Portions!$A:$A,Portions!$B:$B),FoodItems!$A:$A,FoodItems!$B:$B))</f>
        <v/>
      </c>
      <c r="G387">
        <f>IF(E387="","",E387/100*XLOOKUP(XLOOKUP(C387,Portions!$A:$A,Portions!$B:$B),FoodItems!$A:$A,FoodItems!$C:$C))</f>
        <v/>
      </c>
      <c r="H387">
        <f>IF(E387="","",E387/100*XLOOKUP(XLOOKUP(C387,Portions!$A:$A,Portions!$B:$B),FoodItems!$A:$A,FoodItems!$D:$D))</f>
        <v/>
      </c>
      <c r="I387">
        <f>IF(E387="","",E387/100*XLOOKUP(XLOOKUP(C387,Portions!$A:$A,Portions!$B:$B),FoodItems!$A:$A,FoodItems!$E:$E))</f>
        <v/>
      </c>
    </row>
    <row r="388">
      <c r="E388">
        <f>IF(C388="","",D388*XLOOKUP(C388,Portions!$A:$A,Portions!$D:$D))</f>
        <v/>
      </c>
      <c r="F388">
        <f>IF(E388="","",E388/100*XLOOKUP(XLOOKUP(C388,Portions!$A:$A,Portions!$B:$B),FoodItems!$A:$A,FoodItems!$B:$B))</f>
        <v/>
      </c>
      <c r="G388">
        <f>IF(E388="","",E388/100*XLOOKUP(XLOOKUP(C388,Portions!$A:$A,Portions!$B:$B),FoodItems!$A:$A,FoodItems!$C:$C))</f>
        <v/>
      </c>
      <c r="H388">
        <f>IF(E388="","",E388/100*XLOOKUP(XLOOKUP(C388,Portions!$A:$A,Portions!$B:$B),FoodItems!$A:$A,FoodItems!$D:$D))</f>
        <v/>
      </c>
      <c r="I388">
        <f>IF(E388="","",E388/100*XLOOKUP(XLOOKUP(C388,Portions!$A:$A,Portions!$B:$B),FoodItems!$A:$A,FoodItems!$E:$E))</f>
        <v/>
      </c>
    </row>
    <row r="389">
      <c r="E389">
        <f>IF(C389="","",D389*XLOOKUP(C389,Portions!$A:$A,Portions!$D:$D))</f>
        <v/>
      </c>
      <c r="F389">
        <f>IF(E389="","",E389/100*XLOOKUP(XLOOKUP(C389,Portions!$A:$A,Portions!$B:$B),FoodItems!$A:$A,FoodItems!$B:$B))</f>
        <v/>
      </c>
      <c r="G389">
        <f>IF(E389="","",E389/100*XLOOKUP(XLOOKUP(C389,Portions!$A:$A,Portions!$B:$B),FoodItems!$A:$A,FoodItems!$C:$C))</f>
        <v/>
      </c>
      <c r="H389">
        <f>IF(E389="","",E389/100*XLOOKUP(XLOOKUP(C389,Portions!$A:$A,Portions!$B:$B),FoodItems!$A:$A,FoodItems!$D:$D))</f>
        <v/>
      </c>
      <c r="I389">
        <f>IF(E389="","",E389/100*XLOOKUP(XLOOKUP(C389,Portions!$A:$A,Portions!$B:$B),FoodItems!$A:$A,FoodItems!$E:$E))</f>
        <v/>
      </c>
    </row>
    <row r="390">
      <c r="E390">
        <f>IF(C390="","",D390*XLOOKUP(C390,Portions!$A:$A,Portions!$D:$D))</f>
        <v/>
      </c>
      <c r="F390">
        <f>IF(E390="","",E390/100*XLOOKUP(XLOOKUP(C390,Portions!$A:$A,Portions!$B:$B),FoodItems!$A:$A,FoodItems!$B:$B))</f>
        <v/>
      </c>
      <c r="G390">
        <f>IF(E390="","",E390/100*XLOOKUP(XLOOKUP(C390,Portions!$A:$A,Portions!$B:$B),FoodItems!$A:$A,FoodItems!$C:$C))</f>
        <v/>
      </c>
      <c r="H390">
        <f>IF(E390="","",E390/100*XLOOKUP(XLOOKUP(C390,Portions!$A:$A,Portions!$B:$B),FoodItems!$A:$A,FoodItems!$D:$D))</f>
        <v/>
      </c>
      <c r="I390">
        <f>IF(E390="","",E390/100*XLOOKUP(XLOOKUP(C390,Portions!$A:$A,Portions!$B:$B),FoodItems!$A:$A,FoodItems!$E:$E))</f>
        <v/>
      </c>
    </row>
    <row r="391">
      <c r="E391">
        <f>IF(C391="","",D391*XLOOKUP(C391,Portions!$A:$A,Portions!$D:$D))</f>
        <v/>
      </c>
      <c r="F391">
        <f>IF(E391="","",E391/100*XLOOKUP(XLOOKUP(C391,Portions!$A:$A,Portions!$B:$B),FoodItems!$A:$A,FoodItems!$B:$B))</f>
        <v/>
      </c>
      <c r="G391">
        <f>IF(E391="","",E391/100*XLOOKUP(XLOOKUP(C391,Portions!$A:$A,Portions!$B:$B),FoodItems!$A:$A,FoodItems!$C:$C))</f>
        <v/>
      </c>
      <c r="H391">
        <f>IF(E391="","",E391/100*XLOOKUP(XLOOKUP(C391,Portions!$A:$A,Portions!$B:$B),FoodItems!$A:$A,FoodItems!$D:$D))</f>
        <v/>
      </c>
      <c r="I391">
        <f>IF(E391="","",E391/100*XLOOKUP(XLOOKUP(C391,Portions!$A:$A,Portions!$B:$B),FoodItems!$A:$A,FoodItems!$E:$E))</f>
        <v/>
      </c>
    </row>
    <row r="392">
      <c r="E392">
        <f>IF(C392="","",D392*XLOOKUP(C392,Portions!$A:$A,Portions!$D:$D))</f>
        <v/>
      </c>
      <c r="F392">
        <f>IF(E392="","",E392/100*XLOOKUP(XLOOKUP(C392,Portions!$A:$A,Portions!$B:$B),FoodItems!$A:$A,FoodItems!$B:$B))</f>
        <v/>
      </c>
      <c r="G392">
        <f>IF(E392="","",E392/100*XLOOKUP(XLOOKUP(C392,Portions!$A:$A,Portions!$B:$B),FoodItems!$A:$A,FoodItems!$C:$C))</f>
        <v/>
      </c>
      <c r="H392">
        <f>IF(E392="","",E392/100*XLOOKUP(XLOOKUP(C392,Portions!$A:$A,Portions!$B:$B),FoodItems!$A:$A,FoodItems!$D:$D))</f>
        <v/>
      </c>
      <c r="I392">
        <f>IF(E392="","",E392/100*XLOOKUP(XLOOKUP(C392,Portions!$A:$A,Portions!$B:$B),FoodItems!$A:$A,FoodItems!$E:$E))</f>
        <v/>
      </c>
    </row>
    <row r="393">
      <c r="E393">
        <f>IF(C393="","",D393*XLOOKUP(C393,Portions!$A:$A,Portions!$D:$D))</f>
        <v/>
      </c>
      <c r="F393">
        <f>IF(E393="","",E393/100*XLOOKUP(XLOOKUP(C393,Portions!$A:$A,Portions!$B:$B),FoodItems!$A:$A,FoodItems!$B:$B))</f>
        <v/>
      </c>
      <c r="G393">
        <f>IF(E393="","",E393/100*XLOOKUP(XLOOKUP(C393,Portions!$A:$A,Portions!$B:$B),FoodItems!$A:$A,FoodItems!$C:$C))</f>
        <v/>
      </c>
      <c r="H393">
        <f>IF(E393="","",E393/100*XLOOKUP(XLOOKUP(C393,Portions!$A:$A,Portions!$B:$B),FoodItems!$A:$A,FoodItems!$D:$D))</f>
        <v/>
      </c>
      <c r="I393">
        <f>IF(E393="","",E393/100*XLOOKUP(XLOOKUP(C393,Portions!$A:$A,Portions!$B:$B),FoodItems!$A:$A,FoodItems!$E:$E))</f>
        <v/>
      </c>
    </row>
    <row r="394">
      <c r="E394">
        <f>IF(C394="","",D394*XLOOKUP(C394,Portions!$A:$A,Portions!$D:$D))</f>
        <v/>
      </c>
      <c r="F394">
        <f>IF(E394="","",E394/100*XLOOKUP(XLOOKUP(C394,Portions!$A:$A,Portions!$B:$B),FoodItems!$A:$A,FoodItems!$B:$B))</f>
        <v/>
      </c>
      <c r="G394">
        <f>IF(E394="","",E394/100*XLOOKUP(XLOOKUP(C394,Portions!$A:$A,Portions!$B:$B),FoodItems!$A:$A,FoodItems!$C:$C))</f>
        <v/>
      </c>
      <c r="H394">
        <f>IF(E394="","",E394/100*XLOOKUP(XLOOKUP(C394,Portions!$A:$A,Portions!$B:$B),FoodItems!$A:$A,FoodItems!$D:$D))</f>
        <v/>
      </c>
      <c r="I394">
        <f>IF(E394="","",E394/100*XLOOKUP(XLOOKUP(C394,Portions!$A:$A,Portions!$B:$B),FoodItems!$A:$A,FoodItems!$E:$E))</f>
        <v/>
      </c>
    </row>
    <row r="395">
      <c r="E395">
        <f>IF(C395="","",D395*XLOOKUP(C395,Portions!$A:$A,Portions!$D:$D))</f>
        <v/>
      </c>
      <c r="F395">
        <f>IF(E395="","",E395/100*XLOOKUP(XLOOKUP(C395,Portions!$A:$A,Portions!$B:$B),FoodItems!$A:$A,FoodItems!$B:$B))</f>
        <v/>
      </c>
      <c r="G395">
        <f>IF(E395="","",E395/100*XLOOKUP(XLOOKUP(C395,Portions!$A:$A,Portions!$B:$B),FoodItems!$A:$A,FoodItems!$C:$C))</f>
        <v/>
      </c>
      <c r="H395">
        <f>IF(E395="","",E395/100*XLOOKUP(XLOOKUP(C395,Portions!$A:$A,Portions!$B:$B),FoodItems!$A:$A,FoodItems!$D:$D))</f>
        <v/>
      </c>
      <c r="I395">
        <f>IF(E395="","",E395/100*XLOOKUP(XLOOKUP(C395,Portions!$A:$A,Portions!$B:$B),FoodItems!$A:$A,FoodItems!$E:$E))</f>
        <v/>
      </c>
    </row>
    <row r="396">
      <c r="E396">
        <f>IF(C396="","",D396*XLOOKUP(C396,Portions!$A:$A,Portions!$D:$D))</f>
        <v/>
      </c>
      <c r="F396">
        <f>IF(E396="","",E396/100*XLOOKUP(XLOOKUP(C396,Portions!$A:$A,Portions!$B:$B),FoodItems!$A:$A,FoodItems!$B:$B))</f>
        <v/>
      </c>
      <c r="G396">
        <f>IF(E396="","",E396/100*XLOOKUP(XLOOKUP(C396,Portions!$A:$A,Portions!$B:$B),FoodItems!$A:$A,FoodItems!$C:$C))</f>
        <v/>
      </c>
      <c r="H396">
        <f>IF(E396="","",E396/100*XLOOKUP(XLOOKUP(C396,Portions!$A:$A,Portions!$B:$B),FoodItems!$A:$A,FoodItems!$D:$D))</f>
        <v/>
      </c>
      <c r="I396">
        <f>IF(E396="","",E396/100*XLOOKUP(XLOOKUP(C396,Portions!$A:$A,Portions!$B:$B),FoodItems!$A:$A,FoodItems!$E:$E))</f>
        <v/>
      </c>
    </row>
    <row r="397">
      <c r="E397">
        <f>IF(C397="","",D397*XLOOKUP(C397,Portions!$A:$A,Portions!$D:$D))</f>
        <v/>
      </c>
      <c r="F397">
        <f>IF(E397="","",E397/100*XLOOKUP(XLOOKUP(C397,Portions!$A:$A,Portions!$B:$B),FoodItems!$A:$A,FoodItems!$B:$B))</f>
        <v/>
      </c>
      <c r="G397">
        <f>IF(E397="","",E397/100*XLOOKUP(XLOOKUP(C397,Portions!$A:$A,Portions!$B:$B),FoodItems!$A:$A,FoodItems!$C:$C))</f>
        <v/>
      </c>
      <c r="H397">
        <f>IF(E397="","",E397/100*XLOOKUP(XLOOKUP(C397,Portions!$A:$A,Portions!$B:$B),FoodItems!$A:$A,FoodItems!$D:$D))</f>
        <v/>
      </c>
      <c r="I397">
        <f>IF(E397="","",E397/100*XLOOKUP(XLOOKUP(C397,Portions!$A:$A,Portions!$B:$B),FoodItems!$A:$A,FoodItems!$E:$E))</f>
        <v/>
      </c>
    </row>
    <row r="398">
      <c r="E398">
        <f>IF(C398="","",D398*XLOOKUP(C398,Portions!$A:$A,Portions!$D:$D))</f>
        <v/>
      </c>
      <c r="F398">
        <f>IF(E398="","",E398/100*XLOOKUP(XLOOKUP(C398,Portions!$A:$A,Portions!$B:$B),FoodItems!$A:$A,FoodItems!$B:$B))</f>
        <v/>
      </c>
      <c r="G398">
        <f>IF(E398="","",E398/100*XLOOKUP(XLOOKUP(C398,Portions!$A:$A,Portions!$B:$B),FoodItems!$A:$A,FoodItems!$C:$C))</f>
        <v/>
      </c>
      <c r="H398">
        <f>IF(E398="","",E398/100*XLOOKUP(XLOOKUP(C398,Portions!$A:$A,Portions!$B:$B),FoodItems!$A:$A,FoodItems!$D:$D))</f>
        <v/>
      </c>
      <c r="I398">
        <f>IF(E398="","",E398/100*XLOOKUP(XLOOKUP(C398,Portions!$A:$A,Portions!$B:$B),FoodItems!$A:$A,FoodItems!$E:$E))</f>
        <v/>
      </c>
    </row>
    <row r="399">
      <c r="E399">
        <f>IF(C399="","",D399*XLOOKUP(C399,Portions!$A:$A,Portions!$D:$D))</f>
        <v/>
      </c>
      <c r="F399">
        <f>IF(E399="","",E399/100*XLOOKUP(XLOOKUP(C399,Portions!$A:$A,Portions!$B:$B),FoodItems!$A:$A,FoodItems!$B:$B))</f>
        <v/>
      </c>
      <c r="G399">
        <f>IF(E399="","",E399/100*XLOOKUP(XLOOKUP(C399,Portions!$A:$A,Portions!$B:$B),FoodItems!$A:$A,FoodItems!$C:$C))</f>
        <v/>
      </c>
      <c r="H399">
        <f>IF(E399="","",E399/100*XLOOKUP(XLOOKUP(C399,Portions!$A:$A,Portions!$B:$B),FoodItems!$A:$A,FoodItems!$D:$D))</f>
        <v/>
      </c>
      <c r="I399">
        <f>IF(E399="","",E399/100*XLOOKUP(XLOOKUP(C399,Portions!$A:$A,Portions!$B:$B),FoodItems!$A:$A,FoodItems!$E:$E))</f>
        <v/>
      </c>
    </row>
    <row r="400">
      <c r="E400">
        <f>IF(C400="","",D400*XLOOKUP(C400,Portions!$A:$A,Portions!$D:$D))</f>
        <v/>
      </c>
      <c r="F400">
        <f>IF(E400="","",E400/100*XLOOKUP(XLOOKUP(C400,Portions!$A:$A,Portions!$B:$B),FoodItems!$A:$A,FoodItems!$B:$B))</f>
        <v/>
      </c>
      <c r="G400">
        <f>IF(E400="","",E400/100*XLOOKUP(XLOOKUP(C400,Portions!$A:$A,Portions!$B:$B),FoodItems!$A:$A,FoodItems!$C:$C))</f>
        <v/>
      </c>
      <c r="H400">
        <f>IF(E400="","",E400/100*XLOOKUP(XLOOKUP(C400,Portions!$A:$A,Portions!$B:$B),FoodItems!$A:$A,FoodItems!$D:$D))</f>
        <v/>
      </c>
      <c r="I400">
        <f>IF(E400="","",E400/100*XLOOKUP(XLOOKUP(C400,Portions!$A:$A,Portions!$B:$B),FoodItems!$A:$A,FoodItems!$E:$E))</f>
        <v/>
      </c>
    </row>
    <row r="401">
      <c r="E401">
        <f>IF(C401="","",D401*XLOOKUP(C401,Portions!$A:$A,Portions!$D:$D))</f>
        <v/>
      </c>
      <c r="F401">
        <f>IF(E401="","",E401/100*XLOOKUP(XLOOKUP(C401,Portions!$A:$A,Portions!$B:$B),FoodItems!$A:$A,FoodItems!$B:$B))</f>
        <v/>
      </c>
      <c r="G401">
        <f>IF(E401="","",E401/100*XLOOKUP(XLOOKUP(C401,Portions!$A:$A,Portions!$B:$B),FoodItems!$A:$A,FoodItems!$C:$C))</f>
        <v/>
      </c>
      <c r="H401">
        <f>IF(E401="","",E401/100*XLOOKUP(XLOOKUP(C401,Portions!$A:$A,Portions!$B:$B),FoodItems!$A:$A,FoodItems!$D:$D))</f>
        <v/>
      </c>
      <c r="I401">
        <f>IF(E401="","",E401/100*XLOOKUP(XLOOKUP(C401,Portions!$A:$A,Portions!$B:$B),FoodItems!$A:$A,FoodItems!$E:$E))</f>
        <v/>
      </c>
    </row>
    <row r="402">
      <c r="E402">
        <f>IF(C402="","",D402*XLOOKUP(C402,Portions!$A:$A,Portions!$D:$D))</f>
        <v/>
      </c>
      <c r="F402">
        <f>IF(E402="","",E402/100*XLOOKUP(XLOOKUP(C402,Portions!$A:$A,Portions!$B:$B),FoodItems!$A:$A,FoodItems!$B:$B))</f>
        <v/>
      </c>
      <c r="G402">
        <f>IF(E402="","",E402/100*XLOOKUP(XLOOKUP(C402,Portions!$A:$A,Portions!$B:$B),FoodItems!$A:$A,FoodItems!$C:$C))</f>
        <v/>
      </c>
      <c r="H402">
        <f>IF(E402="","",E402/100*XLOOKUP(XLOOKUP(C402,Portions!$A:$A,Portions!$B:$B),FoodItems!$A:$A,FoodItems!$D:$D))</f>
        <v/>
      </c>
      <c r="I402">
        <f>IF(E402="","",E402/100*XLOOKUP(XLOOKUP(C402,Portions!$A:$A,Portions!$B:$B),FoodItems!$A:$A,FoodItems!$E:$E))</f>
        <v/>
      </c>
    </row>
    <row r="403">
      <c r="E403">
        <f>IF(C403="","",D403*XLOOKUP(C403,Portions!$A:$A,Portions!$D:$D))</f>
        <v/>
      </c>
      <c r="F403">
        <f>IF(E403="","",E403/100*XLOOKUP(XLOOKUP(C403,Portions!$A:$A,Portions!$B:$B),FoodItems!$A:$A,FoodItems!$B:$B))</f>
        <v/>
      </c>
      <c r="G403">
        <f>IF(E403="","",E403/100*XLOOKUP(XLOOKUP(C403,Portions!$A:$A,Portions!$B:$B),FoodItems!$A:$A,FoodItems!$C:$C))</f>
        <v/>
      </c>
      <c r="H403">
        <f>IF(E403="","",E403/100*XLOOKUP(XLOOKUP(C403,Portions!$A:$A,Portions!$B:$B),FoodItems!$A:$A,FoodItems!$D:$D))</f>
        <v/>
      </c>
      <c r="I403">
        <f>IF(E403="","",E403/100*XLOOKUP(XLOOKUP(C403,Portions!$A:$A,Portions!$B:$B),FoodItems!$A:$A,FoodItems!$E:$E))</f>
        <v/>
      </c>
    </row>
    <row r="404">
      <c r="E404">
        <f>IF(C404="","",D404*XLOOKUP(C404,Portions!$A:$A,Portions!$D:$D))</f>
        <v/>
      </c>
      <c r="F404">
        <f>IF(E404="","",E404/100*XLOOKUP(XLOOKUP(C404,Portions!$A:$A,Portions!$B:$B),FoodItems!$A:$A,FoodItems!$B:$B))</f>
        <v/>
      </c>
      <c r="G404">
        <f>IF(E404="","",E404/100*XLOOKUP(XLOOKUP(C404,Portions!$A:$A,Portions!$B:$B),FoodItems!$A:$A,FoodItems!$C:$C))</f>
        <v/>
      </c>
      <c r="H404">
        <f>IF(E404="","",E404/100*XLOOKUP(XLOOKUP(C404,Portions!$A:$A,Portions!$B:$B),FoodItems!$A:$A,FoodItems!$D:$D))</f>
        <v/>
      </c>
      <c r="I404">
        <f>IF(E404="","",E404/100*XLOOKUP(XLOOKUP(C404,Portions!$A:$A,Portions!$B:$B),FoodItems!$A:$A,FoodItems!$E:$E))</f>
        <v/>
      </c>
    </row>
    <row r="405">
      <c r="E405">
        <f>IF(C405="","",D405*XLOOKUP(C405,Portions!$A:$A,Portions!$D:$D))</f>
        <v/>
      </c>
      <c r="F405">
        <f>IF(E405="","",E405/100*XLOOKUP(XLOOKUP(C405,Portions!$A:$A,Portions!$B:$B),FoodItems!$A:$A,FoodItems!$B:$B))</f>
        <v/>
      </c>
      <c r="G405">
        <f>IF(E405="","",E405/100*XLOOKUP(XLOOKUP(C405,Portions!$A:$A,Portions!$B:$B),FoodItems!$A:$A,FoodItems!$C:$C))</f>
        <v/>
      </c>
      <c r="H405">
        <f>IF(E405="","",E405/100*XLOOKUP(XLOOKUP(C405,Portions!$A:$A,Portions!$B:$B),FoodItems!$A:$A,FoodItems!$D:$D))</f>
        <v/>
      </c>
      <c r="I405">
        <f>IF(E405="","",E405/100*XLOOKUP(XLOOKUP(C405,Portions!$A:$A,Portions!$B:$B),FoodItems!$A:$A,FoodItems!$E:$E))</f>
        <v/>
      </c>
    </row>
    <row r="406">
      <c r="E406">
        <f>IF(C406="","",D406*XLOOKUP(C406,Portions!$A:$A,Portions!$D:$D))</f>
        <v/>
      </c>
      <c r="F406">
        <f>IF(E406="","",E406/100*XLOOKUP(XLOOKUP(C406,Portions!$A:$A,Portions!$B:$B),FoodItems!$A:$A,FoodItems!$B:$B))</f>
        <v/>
      </c>
      <c r="G406">
        <f>IF(E406="","",E406/100*XLOOKUP(XLOOKUP(C406,Portions!$A:$A,Portions!$B:$B),FoodItems!$A:$A,FoodItems!$C:$C))</f>
        <v/>
      </c>
      <c r="H406">
        <f>IF(E406="","",E406/100*XLOOKUP(XLOOKUP(C406,Portions!$A:$A,Portions!$B:$B),FoodItems!$A:$A,FoodItems!$D:$D))</f>
        <v/>
      </c>
      <c r="I406">
        <f>IF(E406="","",E406/100*XLOOKUP(XLOOKUP(C406,Portions!$A:$A,Portions!$B:$B),FoodItems!$A:$A,FoodItems!$E:$E))</f>
        <v/>
      </c>
    </row>
    <row r="407">
      <c r="E407">
        <f>IF(C407="","",D407*XLOOKUP(C407,Portions!$A:$A,Portions!$D:$D))</f>
        <v/>
      </c>
      <c r="F407">
        <f>IF(E407="","",E407/100*XLOOKUP(XLOOKUP(C407,Portions!$A:$A,Portions!$B:$B),FoodItems!$A:$A,FoodItems!$B:$B))</f>
        <v/>
      </c>
      <c r="G407">
        <f>IF(E407="","",E407/100*XLOOKUP(XLOOKUP(C407,Portions!$A:$A,Portions!$B:$B),FoodItems!$A:$A,FoodItems!$C:$C))</f>
        <v/>
      </c>
      <c r="H407">
        <f>IF(E407="","",E407/100*XLOOKUP(XLOOKUP(C407,Portions!$A:$A,Portions!$B:$B),FoodItems!$A:$A,FoodItems!$D:$D))</f>
        <v/>
      </c>
      <c r="I407">
        <f>IF(E407="","",E407/100*XLOOKUP(XLOOKUP(C407,Portions!$A:$A,Portions!$B:$B),FoodItems!$A:$A,FoodItems!$E:$E))</f>
        <v/>
      </c>
    </row>
    <row r="408">
      <c r="E408">
        <f>IF(C408="","",D408*XLOOKUP(C408,Portions!$A:$A,Portions!$D:$D))</f>
        <v/>
      </c>
      <c r="F408">
        <f>IF(E408="","",E408/100*XLOOKUP(XLOOKUP(C408,Portions!$A:$A,Portions!$B:$B),FoodItems!$A:$A,FoodItems!$B:$B))</f>
        <v/>
      </c>
      <c r="G408">
        <f>IF(E408="","",E408/100*XLOOKUP(XLOOKUP(C408,Portions!$A:$A,Portions!$B:$B),FoodItems!$A:$A,FoodItems!$C:$C))</f>
        <v/>
      </c>
      <c r="H408">
        <f>IF(E408="","",E408/100*XLOOKUP(XLOOKUP(C408,Portions!$A:$A,Portions!$B:$B),FoodItems!$A:$A,FoodItems!$D:$D))</f>
        <v/>
      </c>
      <c r="I408">
        <f>IF(E408="","",E408/100*XLOOKUP(XLOOKUP(C408,Portions!$A:$A,Portions!$B:$B),FoodItems!$A:$A,FoodItems!$E:$E))</f>
        <v/>
      </c>
    </row>
    <row r="409">
      <c r="E409">
        <f>IF(C409="","",D409*XLOOKUP(C409,Portions!$A:$A,Portions!$D:$D))</f>
        <v/>
      </c>
      <c r="F409">
        <f>IF(E409="","",E409/100*XLOOKUP(XLOOKUP(C409,Portions!$A:$A,Portions!$B:$B),FoodItems!$A:$A,FoodItems!$B:$B))</f>
        <v/>
      </c>
      <c r="G409">
        <f>IF(E409="","",E409/100*XLOOKUP(XLOOKUP(C409,Portions!$A:$A,Portions!$B:$B),FoodItems!$A:$A,FoodItems!$C:$C))</f>
        <v/>
      </c>
      <c r="H409">
        <f>IF(E409="","",E409/100*XLOOKUP(XLOOKUP(C409,Portions!$A:$A,Portions!$B:$B),FoodItems!$A:$A,FoodItems!$D:$D))</f>
        <v/>
      </c>
      <c r="I409">
        <f>IF(E409="","",E409/100*XLOOKUP(XLOOKUP(C409,Portions!$A:$A,Portions!$B:$B),FoodItems!$A:$A,FoodItems!$E:$E))</f>
        <v/>
      </c>
    </row>
    <row r="410">
      <c r="E410">
        <f>IF(C410="","",D410*XLOOKUP(C410,Portions!$A:$A,Portions!$D:$D))</f>
        <v/>
      </c>
      <c r="F410">
        <f>IF(E410="","",E410/100*XLOOKUP(XLOOKUP(C410,Portions!$A:$A,Portions!$B:$B),FoodItems!$A:$A,FoodItems!$B:$B))</f>
        <v/>
      </c>
      <c r="G410">
        <f>IF(E410="","",E410/100*XLOOKUP(XLOOKUP(C410,Portions!$A:$A,Portions!$B:$B),FoodItems!$A:$A,FoodItems!$C:$C))</f>
        <v/>
      </c>
      <c r="H410">
        <f>IF(E410="","",E410/100*XLOOKUP(XLOOKUP(C410,Portions!$A:$A,Portions!$B:$B),FoodItems!$A:$A,FoodItems!$D:$D))</f>
        <v/>
      </c>
      <c r="I410">
        <f>IF(E410="","",E410/100*XLOOKUP(XLOOKUP(C410,Portions!$A:$A,Portions!$B:$B),FoodItems!$A:$A,FoodItems!$E:$E))</f>
        <v/>
      </c>
    </row>
    <row r="411">
      <c r="E411">
        <f>IF(C411="","",D411*XLOOKUP(C411,Portions!$A:$A,Portions!$D:$D))</f>
        <v/>
      </c>
      <c r="F411">
        <f>IF(E411="","",E411/100*XLOOKUP(XLOOKUP(C411,Portions!$A:$A,Portions!$B:$B),FoodItems!$A:$A,FoodItems!$B:$B))</f>
        <v/>
      </c>
      <c r="G411">
        <f>IF(E411="","",E411/100*XLOOKUP(XLOOKUP(C411,Portions!$A:$A,Portions!$B:$B),FoodItems!$A:$A,FoodItems!$C:$C))</f>
        <v/>
      </c>
      <c r="H411">
        <f>IF(E411="","",E411/100*XLOOKUP(XLOOKUP(C411,Portions!$A:$A,Portions!$B:$B),FoodItems!$A:$A,FoodItems!$D:$D))</f>
        <v/>
      </c>
      <c r="I411">
        <f>IF(E411="","",E411/100*XLOOKUP(XLOOKUP(C411,Portions!$A:$A,Portions!$B:$B),FoodItems!$A:$A,FoodItems!$E:$E))</f>
        <v/>
      </c>
    </row>
    <row r="412">
      <c r="E412">
        <f>IF(C412="","",D412*XLOOKUP(C412,Portions!$A:$A,Portions!$D:$D))</f>
        <v/>
      </c>
      <c r="F412">
        <f>IF(E412="","",E412/100*XLOOKUP(XLOOKUP(C412,Portions!$A:$A,Portions!$B:$B),FoodItems!$A:$A,FoodItems!$B:$B))</f>
        <v/>
      </c>
      <c r="G412">
        <f>IF(E412="","",E412/100*XLOOKUP(XLOOKUP(C412,Portions!$A:$A,Portions!$B:$B),FoodItems!$A:$A,FoodItems!$C:$C))</f>
        <v/>
      </c>
      <c r="H412">
        <f>IF(E412="","",E412/100*XLOOKUP(XLOOKUP(C412,Portions!$A:$A,Portions!$B:$B),FoodItems!$A:$A,FoodItems!$D:$D))</f>
        <v/>
      </c>
      <c r="I412">
        <f>IF(E412="","",E412/100*XLOOKUP(XLOOKUP(C412,Portions!$A:$A,Portions!$B:$B),FoodItems!$A:$A,FoodItems!$E:$E))</f>
        <v/>
      </c>
    </row>
    <row r="413">
      <c r="E413">
        <f>IF(C413="","",D413*XLOOKUP(C413,Portions!$A:$A,Portions!$D:$D))</f>
        <v/>
      </c>
      <c r="F413">
        <f>IF(E413="","",E413/100*XLOOKUP(XLOOKUP(C413,Portions!$A:$A,Portions!$B:$B),FoodItems!$A:$A,FoodItems!$B:$B))</f>
        <v/>
      </c>
      <c r="G413">
        <f>IF(E413="","",E413/100*XLOOKUP(XLOOKUP(C413,Portions!$A:$A,Portions!$B:$B),FoodItems!$A:$A,FoodItems!$C:$C))</f>
        <v/>
      </c>
      <c r="H413">
        <f>IF(E413="","",E413/100*XLOOKUP(XLOOKUP(C413,Portions!$A:$A,Portions!$B:$B),FoodItems!$A:$A,FoodItems!$D:$D))</f>
        <v/>
      </c>
      <c r="I413">
        <f>IF(E413="","",E413/100*XLOOKUP(XLOOKUP(C413,Portions!$A:$A,Portions!$B:$B),FoodItems!$A:$A,FoodItems!$E:$E))</f>
        <v/>
      </c>
    </row>
    <row r="414">
      <c r="E414">
        <f>IF(C414="","",D414*XLOOKUP(C414,Portions!$A:$A,Portions!$D:$D))</f>
        <v/>
      </c>
      <c r="F414">
        <f>IF(E414="","",E414/100*XLOOKUP(XLOOKUP(C414,Portions!$A:$A,Portions!$B:$B),FoodItems!$A:$A,FoodItems!$B:$B))</f>
        <v/>
      </c>
      <c r="G414">
        <f>IF(E414="","",E414/100*XLOOKUP(XLOOKUP(C414,Portions!$A:$A,Portions!$B:$B),FoodItems!$A:$A,FoodItems!$C:$C))</f>
        <v/>
      </c>
      <c r="H414">
        <f>IF(E414="","",E414/100*XLOOKUP(XLOOKUP(C414,Portions!$A:$A,Portions!$B:$B),FoodItems!$A:$A,FoodItems!$D:$D))</f>
        <v/>
      </c>
      <c r="I414">
        <f>IF(E414="","",E414/100*XLOOKUP(XLOOKUP(C414,Portions!$A:$A,Portions!$B:$B),FoodItems!$A:$A,FoodItems!$E:$E))</f>
        <v/>
      </c>
    </row>
    <row r="415">
      <c r="E415">
        <f>IF(C415="","",D415*XLOOKUP(C415,Portions!$A:$A,Portions!$D:$D))</f>
        <v/>
      </c>
      <c r="F415">
        <f>IF(E415="","",E415/100*XLOOKUP(XLOOKUP(C415,Portions!$A:$A,Portions!$B:$B),FoodItems!$A:$A,FoodItems!$B:$B))</f>
        <v/>
      </c>
      <c r="G415">
        <f>IF(E415="","",E415/100*XLOOKUP(XLOOKUP(C415,Portions!$A:$A,Portions!$B:$B),FoodItems!$A:$A,FoodItems!$C:$C))</f>
        <v/>
      </c>
      <c r="H415">
        <f>IF(E415="","",E415/100*XLOOKUP(XLOOKUP(C415,Portions!$A:$A,Portions!$B:$B),FoodItems!$A:$A,FoodItems!$D:$D))</f>
        <v/>
      </c>
      <c r="I415">
        <f>IF(E415="","",E415/100*XLOOKUP(XLOOKUP(C415,Portions!$A:$A,Portions!$B:$B),FoodItems!$A:$A,FoodItems!$E:$E))</f>
        <v/>
      </c>
    </row>
    <row r="416">
      <c r="E416">
        <f>IF(C416="","",D416*XLOOKUP(C416,Portions!$A:$A,Portions!$D:$D))</f>
        <v/>
      </c>
      <c r="F416">
        <f>IF(E416="","",E416/100*XLOOKUP(XLOOKUP(C416,Portions!$A:$A,Portions!$B:$B),FoodItems!$A:$A,FoodItems!$B:$B))</f>
        <v/>
      </c>
      <c r="G416">
        <f>IF(E416="","",E416/100*XLOOKUP(XLOOKUP(C416,Portions!$A:$A,Portions!$B:$B),FoodItems!$A:$A,FoodItems!$C:$C))</f>
        <v/>
      </c>
      <c r="H416">
        <f>IF(E416="","",E416/100*XLOOKUP(XLOOKUP(C416,Portions!$A:$A,Portions!$B:$B),FoodItems!$A:$A,FoodItems!$D:$D))</f>
        <v/>
      </c>
      <c r="I416">
        <f>IF(E416="","",E416/100*XLOOKUP(XLOOKUP(C416,Portions!$A:$A,Portions!$B:$B),FoodItems!$A:$A,FoodItems!$E:$E))</f>
        <v/>
      </c>
    </row>
    <row r="417">
      <c r="E417">
        <f>IF(C417="","",D417*XLOOKUP(C417,Portions!$A:$A,Portions!$D:$D))</f>
        <v/>
      </c>
      <c r="F417">
        <f>IF(E417="","",E417/100*XLOOKUP(XLOOKUP(C417,Portions!$A:$A,Portions!$B:$B),FoodItems!$A:$A,FoodItems!$B:$B))</f>
        <v/>
      </c>
      <c r="G417">
        <f>IF(E417="","",E417/100*XLOOKUP(XLOOKUP(C417,Portions!$A:$A,Portions!$B:$B),FoodItems!$A:$A,FoodItems!$C:$C))</f>
        <v/>
      </c>
      <c r="H417">
        <f>IF(E417="","",E417/100*XLOOKUP(XLOOKUP(C417,Portions!$A:$A,Portions!$B:$B),FoodItems!$A:$A,FoodItems!$D:$D))</f>
        <v/>
      </c>
      <c r="I417">
        <f>IF(E417="","",E417/100*XLOOKUP(XLOOKUP(C417,Portions!$A:$A,Portions!$B:$B),FoodItems!$A:$A,FoodItems!$E:$E))</f>
        <v/>
      </c>
    </row>
    <row r="418">
      <c r="E418">
        <f>IF(C418="","",D418*XLOOKUP(C418,Portions!$A:$A,Portions!$D:$D))</f>
        <v/>
      </c>
      <c r="F418">
        <f>IF(E418="","",E418/100*XLOOKUP(XLOOKUP(C418,Portions!$A:$A,Portions!$B:$B),FoodItems!$A:$A,FoodItems!$B:$B))</f>
        <v/>
      </c>
      <c r="G418">
        <f>IF(E418="","",E418/100*XLOOKUP(XLOOKUP(C418,Portions!$A:$A,Portions!$B:$B),FoodItems!$A:$A,FoodItems!$C:$C))</f>
        <v/>
      </c>
      <c r="H418">
        <f>IF(E418="","",E418/100*XLOOKUP(XLOOKUP(C418,Portions!$A:$A,Portions!$B:$B),FoodItems!$A:$A,FoodItems!$D:$D))</f>
        <v/>
      </c>
      <c r="I418">
        <f>IF(E418="","",E418/100*XLOOKUP(XLOOKUP(C418,Portions!$A:$A,Portions!$B:$B),FoodItems!$A:$A,FoodItems!$E:$E))</f>
        <v/>
      </c>
    </row>
    <row r="419">
      <c r="E419">
        <f>IF(C419="","",D419*XLOOKUP(C419,Portions!$A:$A,Portions!$D:$D))</f>
        <v/>
      </c>
      <c r="F419">
        <f>IF(E419="","",E419/100*XLOOKUP(XLOOKUP(C419,Portions!$A:$A,Portions!$B:$B),FoodItems!$A:$A,FoodItems!$B:$B))</f>
        <v/>
      </c>
      <c r="G419">
        <f>IF(E419="","",E419/100*XLOOKUP(XLOOKUP(C419,Portions!$A:$A,Portions!$B:$B),FoodItems!$A:$A,FoodItems!$C:$C))</f>
        <v/>
      </c>
      <c r="H419">
        <f>IF(E419="","",E419/100*XLOOKUP(XLOOKUP(C419,Portions!$A:$A,Portions!$B:$B),FoodItems!$A:$A,FoodItems!$D:$D))</f>
        <v/>
      </c>
      <c r="I419">
        <f>IF(E419="","",E419/100*XLOOKUP(XLOOKUP(C419,Portions!$A:$A,Portions!$B:$B),FoodItems!$A:$A,FoodItems!$E:$E))</f>
        <v/>
      </c>
    </row>
    <row r="420">
      <c r="E420">
        <f>IF(C420="","",D420*XLOOKUP(C420,Portions!$A:$A,Portions!$D:$D))</f>
        <v/>
      </c>
      <c r="F420">
        <f>IF(E420="","",E420/100*XLOOKUP(XLOOKUP(C420,Portions!$A:$A,Portions!$B:$B),FoodItems!$A:$A,FoodItems!$B:$B))</f>
        <v/>
      </c>
      <c r="G420">
        <f>IF(E420="","",E420/100*XLOOKUP(XLOOKUP(C420,Portions!$A:$A,Portions!$B:$B),FoodItems!$A:$A,FoodItems!$C:$C))</f>
        <v/>
      </c>
      <c r="H420">
        <f>IF(E420="","",E420/100*XLOOKUP(XLOOKUP(C420,Portions!$A:$A,Portions!$B:$B),FoodItems!$A:$A,FoodItems!$D:$D))</f>
        <v/>
      </c>
      <c r="I420">
        <f>IF(E420="","",E420/100*XLOOKUP(XLOOKUP(C420,Portions!$A:$A,Portions!$B:$B),FoodItems!$A:$A,FoodItems!$E:$E))</f>
        <v/>
      </c>
    </row>
    <row r="421">
      <c r="E421">
        <f>IF(C421="","",D421*XLOOKUP(C421,Portions!$A:$A,Portions!$D:$D))</f>
        <v/>
      </c>
      <c r="F421">
        <f>IF(E421="","",E421/100*XLOOKUP(XLOOKUP(C421,Portions!$A:$A,Portions!$B:$B),FoodItems!$A:$A,FoodItems!$B:$B))</f>
        <v/>
      </c>
      <c r="G421">
        <f>IF(E421="","",E421/100*XLOOKUP(XLOOKUP(C421,Portions!$A:$A,Portions!$B:$B),FoodItems!$A:$A,FoodItems!$C:$C))</f>
        <v/>
      </c>
      <c r="H421">
        <f>IF(E421="","",E421/100*XLOOKUP(XLOOKUP(C421,Portions!$A:$A,Portions!$B:$B),FoodItems!$A:$A,FoodItems!$D:$D))</f>
        <v/>
      </c>
      <c r="I421">
        <f>IF(E421="","",E421/100*XLOOKUP(XLOOKUP(C421,Portions!$A:$A,Portions!$B:$B),FoodItems!$A:$A,FoodItems!$E:$E))</f>
        <v/>
      </c>
    </row>
    <row r="422">
      <c r="E422">
        <f>IF(C422="","",D422*XLOOKUP(C422,Portions!$A:$A,Portions!$D:$D))</f>
        <v/>
      </c>
      <c r="F422">
        <f>IF(E422="","",E422/100*XLOOKUP(XLOOKUP(C422,Portions!$A:$A,Portions!$B:$B),FoodItems!$A:$A,FoodItems!$B:$B))</f>
        <v/>
      </c>
      <c r="G422">
        <f>IF(E422="","",E422/100*XLOOKUP(XLOOKUP(C422,Portions!$A:$A,Portions!$B:$B),FoodItems!$A:$A,FoodItems!$C:$C))</f>
        <v/>
      </c>
      <c r="H422">
        <f>IF(E422="","",E422/100*XLOOKUP(XLOOKUP(C422,Portions!$A:$A,Portions!$B:$B),FoodItems!$A:$A,FoodItems!$D:$D))</f>
        <v/>
      </c>
      <c r="I422">
        <f>IF(E422="","",E422/100*XLOOKUP(XLOOKUP(C422,Portions!$A:$A,Portions!$B:$B),FoodItems!$A:$A,FoodItems!$E:$E))</f>
        <v/>
      </c>
    </row>
    <row r="423">
      <c r="E423">
        <f>IF(C423="","",D423*XLOOKUP(C423,Portions!$A:$A,Portions!$D:$D))</f>
        <v/>
      </c>
      <c r="F423">
        <f>IF(E423="","",E423/100*XLOOKUP(XLOOKUP(C423,Portions!$A:$A,Portions!$B:$B),FoodItems!$A:$A,FoodItems!$B:$B))</f>
        <v/>
      </c>
      <c r="G423">
        <f>IF(E423="","",E423/100*XLOOKUP(XLOOKUP(C423,Portions!$A:$A,Portions!$B:$B),FoodItems!$A:$A,FoodItems!$C:$C))</f>
        <v/>
      </c>
      <c r="H423">
        <f>IF(E423="","",E423/100*XLOOKUP(XLOOKUP(C423,Portions!$A:$A,Portions!$B:$B),FoodItems!$A:$A,FoodItems!$D:$D))</f>
        <v/>
      </c>
      <c r="I423">
        <f>IF(E423="","",E423/100*XLOOKUP(XLOOKUP(C423,Portions!$A:$A,Portions!$B:$B),FoodItems!$A:$A,FoodItems!$E:$E))</f>
        <v/>
      </c>
    </row>
    <row r="424">
      <c r="E424">
        <f>IF(C424="","",D424*XLOOKUP(C424,Portions!$A:$A,Portions!$D:$D))</f>
        <v/>
      </c>
      <c r="F424">
        <f>IF(E424="","",E424/100*XLOOKUP(XLOOKUP(C424,Portions!$A:$A,Portions!$B:$B),FoodItems!$A:$A,FoodItems!$B:$B))</f>
        <v/>
      </c>
      <c r="G424">
        <f>IF(E424="","",E424/100*XLOOKUP(XLOOKUP(C424,Portions!$A:$A,Portions!$B:$B),FoodItems!$A:$A,FoodItems!$C:$C))</f>
        <v/>
      </c>
      <c r="H424">
        <f>IF(E424="","",E424/100*XLOOKUP(XLOOKUP(C424,Portions!$A:$A,Portions!$B:$B),FoodItems!$A:$A,FoodItems!$D:$D))</f>
        <v/>
      </c>
      <c r="I424">
        <f>IF(E424="","",E424/100*XLOOKUP(XLOOKUP(C424,Portions!$A:$A,Portions!$B:$B),FoodItems!$A:$A,FoodItems!$E:$E))</f>
        <v/>
      </c>
    </row>
    <row r="425">
      <c r="E425">
        <f>IF(C425="","",D425*XLOOKUP(C425,Portions!$A:$A,Portions!$D:$D))</f>
        <v/>
      </c>
      <c r="F425">
        <f>IF(E425="","",E425/100*XLOOKUP(XLOOKUP(C425,Portions!$A:$A,Portions!$B:$B),FoodItems!$A:$A,FoodItems!$B:$B))</f>
        <v/>
      </c>
      <c r="G425">
        <f>IF(E425="","",E425/100*XLOOKUP(XLOOKUP(C425,Portions!$A:$A,Portions!$B:$B),FoodItems!$A:$A,FoodItems!$C:$C))</f>
        <v/>
      </c>
      <c r="H425">
        <f>IF(E425="","",E425/100*XLOOKUP(XLOOKUP(C425,Portions!$A:$A,Portions!$B:$B),FoodItems!$A:$A,FoodItems!$D:$D))</f>
        <v/>
      </c>
      <c r="I425">
        <f>IF(E425="","",E425/100*XLOOKUP(XLOOKUP(C425,Portions!$A:$A,Portions!$B:$B),FoodItems!$A:$A,FoodItems!$E:$E))</f>
        <v/>
      </c>
    </row>
    <row r="426">
      <c r="E426">
        <f>IF(C426="","",D426*XLOOKUP(C426,Portions!$A:$A,Portions!$D:$D))</f>
        <v/>
      </c>
      <c r="F426">
        <f>IF(E426="","",E426/100*XLOOKUP(XLOOKUP(C426,Portions!$A:$A,Portions!$B:$B),FoodItems!$A:$A,FoodItems!$B:$B))</f>
        <v/>
      </c>
      <c r="G426">
        <f>IF(E426="","",E426/100*XLOOKUP(XLOOKUP(C426,Portions!$A:$A,Portions!$B:$B),FoodItems!$A:$A,FoodItems!$C:$C))</f>
        <v/>
      </c>
      <c r="H426">
        <f>IF(E426="","",E426/100*XLOOKUP(XLOOKUP(C426,Portions!$A:$A,Portions!$B:$B),FoodItems!$A:$A,FoodItems!$D:$D))</f>
        <v/>
      </c>
      <c r="I426">
        <f>IF(E426="","",E426/100*XLOOKUP(XLOOKUP(C426,Portions!$A:$A,Portions!$B:$B),FoodItems!$A:$A,FoodItems!$E:$E))</f>
        <v/>
      </c>
    </row>
    <row r="427">
      <c r="E427">
        <f>IF(C427="","",D427*XLOOKUP(C427,Portions!$A:$A,Portions!$D:$D))</f>
        <v/>
      </c>
      <c r="F427">
        <f>IF(E427="","",E427/100*XLOOKUP(XLOOKUP(C427,Portions!$A:$A,Portions!$B:$B),FoodItems!$A:$A,FoodItems!$B:$B))</f>
        <v/>
      </c>
      <c r="G427">
        <f>IF(E427="","",E427/100*XLOOKUP(XLOOKUP(C427,Portions!$A:$A,Portions!$B:$B),FoodItems!$A:$A,FoodItems!$C:$C))</f>
        <v/>
      </c>
      <c r="H427">
        <f>IF(E427="","",E427/100*XLOOKUP(XLOOKUP(C427,Portions!$A:$A,Portions!$B:$B),FoodItems!$A:$A,FoodItems!$D:$D))</f>
        <v/>
      </c>
      <c r="I427">
        <f>IF(E427="","",E427/100*XLOOKUP(XLOOKUP(C427,Portions!$A:$A,Portions!$B:$B),FoodItems!$A:$A,FoodItems!$E:$E))</f>
        <v/>
      </c>
    </row>
    <row r="428">
      <c r="E428">
        <f>IF(C428="","",D428*XLOOKUP(C428,Portions!$A:$A,Portions!$D:$D))</f>
        <v/>
      </c>
      <c r="F428">
        <f>IF(E428="","",E428/100*XLOOKUP(XLOOKUP(C428,Portions!$A:$A,Portions!$B:$B),FoodItems!$A:$A,FoodItems!$B:$B))</f>
        <v/>
      </c>
      <c r="G428">
        <f>IF(E428="","",E428/100*XLOOKUP(XLOOKUP(C428,Portions!$A:$A,Portions!$B:$B),FoodItems!$A:$A,FoodItems!$C:$C))</f>
        <v/>
      </c>
      <c r="H428">
        <f>IF(E428="","",E428/100*XLOOKUP(XLOOKUP(C428,Portions!$A:$A,Portions!$B:$B),FoodItems!$A:$A,FoodItems!$D:$D))</f>
        <v/>
      </c>
      <c r="I428">
        <f>IF(E428="","",E428/100*XLOOKUP(XLOOKUP(C428,Portions!$A:$A,Portions!$B:$B),FoodItems!$A:$A,FoodItems!$E:$E))</f>
        <v/>
      </c>
    </row>
    <row r="429">
      <c r="E429">
        <f>IF(C429="","",D429*XLOOKUP(C429,Portions!$A:$A,Portions!$D:$D))</f>
        <v/>
      </c>
      <c r="F429">
        <f>IF(E429="","",E429/100*XLOOKUP(XLOOKUP(C429,Portions!$A:$A,Portions!$B:$B),FoodItems!$A:$A,FoodItems!$B:$B))</f>
        <v/>
      </c>
      <c r="G429">
        <f>IF(E429="","",E429/100*XLOOKUP(XLOOKUP(C429,Portions!$A:$A,Portions!$B:$B),FoodItems!$A:$A,FoodItems!$C:$C))</f>
        <v/>
      </c>
      <c r="H429">
        <f>IF(E429="","",E429/100*XLOOKUP(XLOOKUP(C429,Portions!$A:$A,Portions!$B:$B),FoodItems!$A:$A,FoodItems!$D:$D))</f>
        <v/>
      </c>
      <c r="I429">
        <f>IF(E429="","",E429/100*XLOOKUP(XLOOKUP(C429,Portions!$A:$A,Portions!$B:$B),FoodItems!$A:$A,FoodItems!$E:$E))</f>
        <v/>
      </c>
    </row>
    <row r="430">
      <c r="E430">
        <f>IF(C430="","",D430*XLOOKUP(C430,Portions!$A:$A,Portions!$D:$D))</f>
        <v/>
      </c>
      <c r="F430">
        <f>IF(E430="","",E430/100*XLOOKUP(XLOOKUP(C430,Portions!$A:$A,Portions!$B:$B),FoodItems!$A:$A,FoodItems!$B:$B))</f>
        <v/>
      </c>
      <c r="G430">
        <f>IF(E430="","",E430/100*XLOOKUP(XLOOKUP(C430,Portions!$A:$A,Portions!$B:$B),FoodItems!$A:$A,FoodItems!$C:$C))</f>
        <v/>
      </c>
      <c r="H430">
        <f>IF(E430="","",E430/100*XLOOKUP(XLOOKUP(C430,Portions!$A:$A,Portions!$B:$B),FoodItems!$A:$A,FoodItems!$D:$D))</f>
        <v/>
      </c>
      <c r="I430">
        <f>IF(E430="","",E430/100*XLOOKUP(XLOOKUP(C430,Portions!$A:$A,Portions!$B:$B),FoodItems!$A:$A,FoodItems!$E:$E))</f>
        <v/>
      </c>
    </row>
    <row r="431">
      <c r="E431">
        <f>IF(C431="","",D431*XLOOKUP(C431,Portions!$A:$A,Portions!$D:$D))</f>
        <v/>
      </c>
      <c r="F431">
        <f>IF(E431="","",E431/100*XLOOKUP(XLOOKUP(C431,Portions!$A:$A,Portions!$B:$B),FoodItems!$A:$A,FoodItems!$B:$B))</f>
        <v/>
      </c>
      <c r="G431">
        <f>IF(E431="","",E431/100*XLOOKUP(XLOOKUP(C431,Portions!$A:$A,Portions!$B:$B),FoodItems!$A:$A,FoodItems!$C:$C))</f>
        <v/>
      </c>
      <c r="H431">
        <f>IF(E431="","",E431/100*XLOOKUP(XLOOKUP(C431,Portions!$A:$A,Portions!$B:$B),FoodItems!$A:$A,FoodItems!$D:$D))</f>
        <v/>
      </c>
      <c r="I431">
        <f>IF(E431="","",E431/100*XLOOKUP(XLOOKUP(C431,Portions!$A:$A,Portions!$B:$B),FoodItems!$A:$A,FoodItems!$E:$E))</f>
        <v/>
      </c>
    </row>
    <row r="432">
      <c r="E432">
        <f>IF(C432="","",D432*XLOOKUP(C432,Portions!$A:$A,Portions!$D:$D))</f>
        <v/>
      </c>
      <c r="F432">
        <f>IF(E432="","",E432/100*XLOOKUP(XLOOKUP(C432,Portions!$A:$A,Portions!$B:$B),FoodItems!$A:$A,FoodItems!$B:$B))</f>
        <v/>
      </c>
      <c r="G432">
        <f>IF(E432="","",E432/100*XLOOKUP(XLOOKUP(C432,Portions!$A:$A,Portions!$B:$B),FoodItems!$A:$A,FoodItems!$C:$C))</f>
        <v/>
      </c>
      <c r="H432">
        <f>IF(E432="","",E432/100*XLOOKUP(XLOOKUP(C432,Portions!$A:$A,Portions!$B:$B),FoodItems!$A:$A,FoodItems!$D:$D))</f>
        <v/>
      </c>
      <c r="I432">
        <f>IF(E432="","",E432/100*XLOOKUP(XLOOKUP(C432,Portions!$A:$A,Portions!$B:$B),FoodItems!$A:$A,FoodItems!$E:$E))</f>
        <v/>
      </c>
    </row>
    <row r="433">
      <c r="E433">
        <f>IF(C433="","",D433*XLOOKUP(C433,Portions!$A:$A,Portions!$D:$D))</f>
        <v/>
      </c>
      <c r="F433">
        <f>IF(E433="","",E433/100*XLOOKUP(XLOOKUP(C433,Portions!$A:$A,Portions!$B:$B),FoodItems!$A:$A,FoodItems!$B:$B))</f>
        <v/>
      </c>
      <c r="G433">
        <f>IF(E433="","",E433/100*XLOOKUP(XLOOKUP(C433,Portions!$A:$A,Portions!$B:$B),FoodItems!$A:$A,FoodItems!$C:$C))</f>
        <v/>
      </c>
      <c r="H433">
        <f>IF(E433="","",E433/100*XLOOKUP(XLOOKUP(C433,Portions!$A:$A,Portions!$B:$B),FoodItems!$A:$A,FoodItems!$D:$D))</f>
        <v/>
      </c>
      <c r="I433">
        <f>IF(E433="","",E433/100*XLOOKUP(XLOOKUP(C433,Portions!$A:$A,Portions!$B:$B),FoodItems!$A:$A,FoodItems!$E:$E))</f>
        <v/>
      </c>
    </row>
    <row r="434">
      <c r="E434">
        <f>IF(C434="","",D434*XLOOKUP(C434,Portions!$A:$A,Portions!$D:$D))</f>
        <v/>
      </c>
      <c r="F434">
        <f>IF(E434="","",E434/100*XLOOKUP(XLOOKUP(C434,Portions!$A:$A,Portions!$B:$B),FoodItems!$A:$A,FoodItems!$B:$B))</f>
        <v/>
      </c>
      <c r="G434">
        <f>IF(E434="","",E434/100*XLOOKUP(XLOOKUP(C434,Portions!$A:$A,Portions!$B:$B),FoodItems!$A:$A,FoodItems!$C:$C))</f>
        <v/>
      </c>
      <c r="H434">
        <f>IF(E434="","",E434/100*XLOOKUP(XLOOKUP(C434,Portions!$A:$A,Portions!$B:$B),FoodItems!$A:$A,FoodItems!$D:$D))</f>
        <v/>
      </c>
      <c r="I434">
        <f>IF(E434="","",E434/100*XLOOKUP(XLOOKUP(C434,Portions!$A:$A,Portions!$B:$B),FoodItems!$A:$A,FoodItems!$E:$E))</f>
        <v/>
      </c>
    </row>
    <row r="435">
      <c r="E435">
        <f>IF(C435="","",D435*XLOOKUP(C435,Portions!$A:$A,Portions!$D:$D))</f>
        <v/>
      </c>
      <c r="F435">
        <f>IF(E435="","",E435/100*XLOOKUP(XLOOKUP(C435,Portions!$A:$A,Portions!$B:$B),FoodItems!$A:$A,FoodItems!$B:$B))</f>
        <v/>
      </c>
      <c r="G435">
        <f>IF(E435="","",E435/100*XLOOKUP(XLOOKUP(C435,Portions!$A:$A,Portions!$B:$B),FoodItems!$A:$A,FoodItems!$C:$C))</f>
        <v/>
      </c>
      <c r="H435">
        <f>IF(E435="","",E435/100*XLOOKUP(XLOOKUP(C435,Portions!$A:$A,Portions!$B:$B),FoodItems!$A:$A,FoodItems!$D:$D))</f>
        <v/>
      </c>
      <c r="I435">
        <f>IF(E435="","",E435/100*XLOOKUP(XLOOKUP(C435,Portions!$A:$A,Portions!$B:$B),FoodItems!$A:$A,FoodItems!$E:$E))</f>
        <v/>
      </c>
    </row>
    <row r="436">
      <c r="E436">
        <f>IF(C436="","",D436*XLOOKUP(C436,Portions!$A:$A,Portions!$D:$D))</f>
        <v/>
      </c>
      <c r="F436">
        <f>IF(E436="","",E436/100*XLOOKUP(XLOOKUP(C436,Portions!$A:$A,Portions!$B:$B),FoodItems!$A:$A,FoodItems!$B:$B))</f>
        <v/>
      </c>
      <c r="G436">
        <f>IF(E436="","",E436/100*XLOOKUP(XLOOKUP(C436,Portions!$A:$A,Portions!$B:$B),FoodItems!$A:$A,FoodItems!$C:$C))</f>
        <v/>
      </c>
      <c r="H436">
        <f>IF(E436="","",E436/100*XLOOKUP(XLOOKUP(C436,Portions!$A:$A,Portions!$B:$B),FoodItems!$A:$A,FoodItems!$D:$D))</f>
        <v/>
      </c>
      <c r="I436">
        <f>IF(E436="","",E436/100*XLOOKUP(XLOOKUP(C436,Portions!$A:$A,Portions!$B:$B),FoodItems!$A:$A,FoodItems!$E:$E))</f>
        <v/>
      </c>
    </row>
    <row r="437">
      <c r="E437">
        <f>IF(C437="","",D437*XLOOKUP(C437,Portions!$A:$A,Portions!$D:$D))</f>
        <v/>
      </c>
      <c r="F437">
        <f>IF(E437="","",E437/100*XLOOKUP(XLOOKUP(C437,Portions!$A:$A,Portions!$B:$B),FoodItems!$A:$A,FoodItems!$B:$B))</f>
        <v/>
      </c>
      <c r="G437">
        <f>IF(E437="","",E437/100*XLOOKUP(XLOOKUP(C437,Portions!$A:$A,Portions!$B:$B),FoodItems!$A:$A,FoodItems!$C:$C))</f>
        <v/>
      </c>
      <c r="H437">
        <f>IF(E437="","",E437/100*XLOOKUP(XLOOKUP(C437,Portions!$A:$A,Portions!$B:$B),FoodItems!$A:$A,FoodItems!$D:$D))</f>
        <v/>
      </c>
      <c r="I437">
        <f>IF(E437="","",E437/100*XLOOKUP(XLOOKUP(C437,Portions!$A:$A,Portions!$B:$B),FoodItems!$A:$A,FoodItems!$E:$E))</f>
        <v/>
      </c>
    </row>
    <row r="438">
      <c r="E438">
        <f>IF(C438="","",D438*XLOOKUP(C438,Portions!$A:$A,Portions!$D:$D))</f>
        <v/>
      </c>
      <c r="F438">
        <f>IF(E438="","",E438/100*XLOOKUP(XLOOKUP(C438,Portions!$A:$A,Portions!$B:$B),FoodItems!$A:$A,FoodItems!$B:$B))</f>
        <v/>
      </c>
      <c r="G438">
        <f>IF(E438="","",E438/100*XLOOKUP(XLOOKUP(C438,Portions!$A:$A,Portions!$B:$B),FoodItems!$A:$A,FoodItems!$C:$C))</f>
        <v/>
      </c>
      <c r="H438">
        <f>IF(E438="","",E438/100*XLOOKUP(XLOOKUP(C438,Portions!$A:$A,Portions!$B:$B),FoodItems!$A:$A,FoodItems!$D:$D))</f>
        <v/>
      </c>
      <c r="I438">
        <f>IF(E438="","",E438/100*XLOOKUP(XLOOKUP(C438,Portions!$A:$A,Portions!$B:$B),FoodItems!$A:$A,FoodItems!$E:$E))</f>
        <v/>
      </c>
    </row>
    <row r="439">
      <c r="E439">
        <f>IF(C439="","",D439*XLOOKUP(C439,Portions!$A:$A,Portions!$D:$D))</f>
        <v/>
      </c>
      <c r="F439">
        <f>IF(E439="","",E439/100*XLOOKUP(XLOOKUP(C439,Portions!$A:$A,Portions!$B:$B),FoodItems!$A:$A,FoodItems!$B:$B))</f>
        <v/>
      </c>
      <c r="G439">
        <f>IF(E439="","",E439/100*XLOOKUP(XLOOKUP(C439,Portions!$A:$A,Portions!$B:$B),FoodItems!$A:$A,FoodItems!$C:$C))</f>
        <v/>
      </c>
      <c r="H439">
        <f>IF(E439="","",E439/100*XLOOKUP(XLOOKUP(C439,Portions!$A:$A,Portions!$B:$B),FoodItems!$A:$A,FoodItems!$D:$D))</f>
        <v/>
      </c>
      <c r="I439">
        <f>IF(E439="","",E439/100*XLOOKUP(XLOOKUP(C439,Portions!$A:$A,Portions!$B:$B),FoodItems!$A:$A,FoodItems!$E:$E))</f>
        <v/>
      </c>
    </row>
    <row r="440">
      <c r="E440">
        <f>IF(C440="","",D440*XLOOKUP(C440,Portions!$A:$A,Portions!$D:$D))</f>
        <v/>
      </c>
      <c r="F440">
        <f>IF(E440="","",E440/100*XLOOKUP(XLOOKUP(C440,Portions!$A:$A,Portions!$B:$B),FoodItems!$A:$A,FoodItems!$B:$B))</f>
        <v/>
      </c>
      <c r="G440">
        <f>IF(E440="","",E440/100*XLOOKUP(XLOOKUP(C440,Portions!$A:$A,Portions!$B:$B),FoodItems!$A:$A,FoodItems!$C:$C))</f>
        <v/>
      </c>
      <c r="H440">
        <f>IF(E440="","",E440/100*XLOOKUP(XLOOKUP(C440,Portions!$A:$A,Portions!$B:$B),FoodItems!$A:$A,FoodItems!$D:$D))</f>
        <v/>
      </c>
      <c r="I440">
        <f>IF(E440="","",E440/100*XLOOKUP(XLOOKUP(C440,Portions!$A:$A,Portions!$B:$B),FoodItems!$A:$A,FoodItems!$E:$E))</f>
        <v/>
      </c>
    </row>
    <row r="441">
      <c r="E441">
        <f>IF(C441="","",D441*XLOOKUP(C441,Portions!$A:$A,Portions!$D:$D))</f>
        <v/>
      </c>
      <c r="F441">
        <f>IF(E441="","",E441/100*XLOOKUP(XLOOKUP(C441,Portions!$A:$A,Portions!$B:$B),FoodItems!$A:$A,FoodItems!$B:$B))</f>
        <v/>
      </c>
      <c r="G441">
        <f>IF(E441="","",E441/100*XLOOKUP(XLOOKUP(C441,Portions!$A:$A,Portions!$B:$B),FoodItems!$A:$A,FoodItems!$C:$C))</f>
        <v/>
      </c>
      <c r="H441">
        <f>IF(E441="","",E441/100*XLOOKUP(XLOOKUP(C441,Portions!$A:$A,Portions!$B:$B),FoodItems!$A:$A,FoodItems!$D:$D))</f>
        <v/>
      </c>
      <c r="I441">
        <f>IF(E441="","",E441/100*XLOOKUP(XLOOKUP(C441,Portions!$A:$A,Portions!$B:$B),FoodItems!$A:$A,FoodItems!$E:$E))</f>
        <v/>
      </c>
    </row>
    <row r="442">
      <c r="E442">
        <f>IF(C442="","",D442*XLOOKUP(C442,Portions!$A:$A,Portions!$D:$D))</f>
        <v/>
      </c>
      <c r="F442">
        <f>IF(E442="","",E442/100*XLOOKUP(XLOOKUP(C442,Portions!$A:$A,Portions!$B:$B),FoodItems!$A:$A,FoodItems!$B:$B))</f>
        <v/>
      </c>
      <c r="G442">
        <f>IF(E442="","",E442/100*XLOOKUP(XLOOKUP(C442,Portions!$A:$A,Portions!$B:$B),FoodItems!$A:$A,FoodItems!$C:$C))</f>
        <v/>
      </c>
      <c r="H442">
        <f>IF(E442="","",E442/100*XLOOKUP(XLOOKUP(C442,Portions!$A:$A,Portions!$B:$B),FoodItems!$A:$A,FoodItems!$D:$D))</f>
        <v/>
      </c>
      <c r="I442">
        <f>IF(E442="","",E442/100*XLOOKUP(XLOOKUP(C442,Portions!$A:$A,Portions!$B:$B),FoodItems!$A:$A,FoodItems!$E:$E))</f>
        <v/>
      </c>
    </row>
    <row r="443">
      <c r="E443">
        <f>IF(C443="","",D443*XLOOKUP(C443,Portions!$A:$A,Portions!$D:$D))</f>
        <v/>
      </c>
      <c r="F443">
        <f>IF(E443="","",E443/100*XLOOKUP(XLOOKUP(C443,Portions!$A:$A,Portions!$B:$B),FoodItems!$A:$A,FoodItems!$B:$B))</f>
        <v/>
      </c>
      <c r="G443">
        <f>IF(E443="","",E443/100*XLOOKUP(XLOOKUP(C443,Portions!$A:$A,Portions!$B:$B),FoodItems!$A:$A,FoodItems!$C:$C))</f>
        <v/>
      </c>
      <c r="H443">
        <f>IF(E443="","",E443/100*XLOOKUP(XLOOKUP(C443,Portions!$A:$A,Portions!$B:$B),FoodItems!$A:$A,FoodItems!$D:$D))</f>
        <v/>
      </c>
      <c r="I443">
        <f>IF(E443="","",E443/100*XLOOKUP(XLOOKUP(C443,Portions!$A:$A,Portions!$B:$B),FoodItems!$A:$A,FoodItems!$E:$E))</f>
        <v/>
      </c>
    </row>
    <row r="444">
      <c r="E444">
        <f>IF(C444="","",D444*XLOOKUP(C444,Portions!$A:$A,Portions!$D:$D))</f>
        <v/>
      </c>
      <c r="F444">
        <f>IF(E444="","",E444/100*XLOOKUP(XLOOKUP(C444,Portions!$A:$A,Portions!$B:$B),FoodItems!$A:$A,FoodItems!$B:$B))</f>
        <v/>
      </c>
      <c r="G444">
        <f>IF(E444="","",E444/100*XLOOKUP(XLOOKUP(C444,Portions!$A:$A,Portions!$B:$B),FoodItems!$A:$A,FoodItems!$C:$C))</f>
        <v/>
      </c>
      <c r="H444">
        <f>IF(E444="","",E444/100*XLOOKUP(XLOOKUP(C444,Portions!$A:$A,Portions!$B:$B),FoodItems!$A:$A,FoodItems!$D:$D))</f>
        <v/>
      </c>
      <c r="I444">
        <f>IF(E444="","",E444/100*XLOOKUP(XLOOKUP(C444,Portions!$A:$A,Portions!$B:$B),FoodItems!$A:$A,FoodItems!$E:$E))</f>
        <v/>
      </c>
    </row>
    <row r="445">
      <c r="E445">
        <f>IF(C445="","",D445*XLOOKUP(C445,Portions!$A:$A,Portions!$D:$D))</f>
        <v/>
      </c>
      <c r="F445">
        <f>IF(E445="","",E445/100*XLOOKUP(XLOOKUP(C445,Portions!$A:$A,Portions!$B:$B),FoodItems!$A:$A,FoodItems!$B:$B))</f>
        <v/>
      </c>
      <c r="G445">
        <f>IF(E445="","",E445/100*XLOOKUP(XLOOKUP(C445,Portions!$A:$A,Portions!$B:$B),FoodItems!$A:$A,FoodItems!$C:$C))</f>
        <v/>
      </c>
      <c r="H445">
        <f>IF(E445="","",E445/100*XLOOKUP(XLOOKUP(C445,Portions!$A:$A,Portions!$B:$B),FoodItems!$A:$A,FoodItems!$D:$D))</f>
        <v/>
      </c>
      <c r="I445">
        <f>IF(E445="","",E445/100*XLOOKUP(XLOOKUP(C445,Portions!$A:$A,Portions!$B:$B),FoodItems!$A:$A,FoodItems!$E:$E))</f>
        <v/>
      </c>
    </row>
    <row r="446">
      <c r="E446">
        <f>IF(C446="","",D446*XLOOKUP(C446,Portions!$A:$A,Portions!$D:$D))</f>
        <v/>
      </c>
      <c r="F446">
        <f>IF(E446="","",E446/100*XLOOKUP(XLOOKUP(C446,Portions!$A:$A,Portions!$B:$B),FoodItems!$A:$A,FoodItems!$B:$B))</f>
        <v/>
      </c>
      <c r="G446">
        <f>IF(E446="","",E446/100*XLOOKUP(XLOOKUP(C446,Portions!$A:$A,Portions!$B:$B),FoodItems!$A:$A,FoodItems!$C:$C))</f>
        <v/>
      </c>
      <c r="H446">
        <f>IF(E446="","",E446/100*XLOOKUP(XLOOKUP(C446,Portions!$A:$A,Portions!$B:$B),FoodItems!$A:$A,FoodItems!$D:$D))</f>
        <v/>
      </c>
      <c r="I446">
        <f>IF(E446="","",E446/100*XLOOKUP(XLOOKUP(C446,Portions!$A:$A,Portions!$B:$B),FoodItems!$A:$A,FoodItems!$E:$E))</f>
        <v/>
      </c>
    </row>
    <row r="447">
      <c r="E447">
        <f>IF(C447="","",D447*XLOOKUP(C447,Portions!$A:$A,Portions!$D:$D))</f>
        <v/>
      </c>
      <c r="F447">
        <f>IF(E447="","",E447/100*XLOOKUP(XLOOKUP(C447,Portions!$A:$A,Portions!$B:$B),FoodItems!$A:$A,FoodItems!$B:$B))</f>
        <v/>
      </c>
      <c r="G447">
        <f>IF(E447="","",E447/100*XLOOKUP(XLOOKUP(C447,Portions!$A:$A,Portions!$B:$B),FoodItems!$A:$A,FoodItems!$C:$C))</f>
        <v/>
      </c>
      <c r="H447">
        <f>IF(E447="","",E447/100*XLOOKUP(XLOOKUP(C447,Portions!$A:$A,Portions!$B:$B),FoodItems!$A:$A,FoodItems!$D:$D))</f>
        <v/>
      </c>
      <c r="I447">
        <f>IF(E447="","",E447/100*XLOOKUP(XLOOKUP(C447,Portions!$A:$A,Portions!$B:$B),FoodItems!$A:$A,FoodItems!$E:$E))</f>
        <v/>
      </c>
    </row>
    <row r="448">
      <c r="E448">
        <f>IF(C448="","",D448*XLOOKUP(C448,Portions!$A:$A,Portions!$D:$D))</f>
        <v/>
      </c>
      <c r="F448">
        <f>IF(E448="","",E448/100*XLOOKUP(XLOOKUP(C448,Portions!$A:$A,Portions!$B:$B),FoodItems!$A:$A,FoodItems!$B:$B))</f>
        <v/>
      </c>
      <c r="G448">
        <f>IF(E448="","",E448/100*XLOOKUP(XLOOKUP(C448,Portions!$A:$A,Portions!$B:$B),FoodItems!$A:$A,FoodItems!$C:$C))</f>
        <v/>
      </c>
      <c r="H448">
        <f>IF(E448="","",E448/100*XLOOKUP(XLOOKUP(C448,Portions!$A:$A,Portions!$B:$B),FoodItems!$A:$A,FoodItems!$D:$D))</f>
        <v/>
      </c>
      <c r="I448">
        <f>IF(E448="","",E448/100*XLOOKUP(XLOOKUP(C448,Portions!$A:$A,Portions!$B:$B),FoodItems!$A:$A,FoodItems!$E:$E))</f>
        <v/>
      </c>
    </row>
    <row r="449">
      <c r="E449">
        <f>IF(C449="","",D449*XLOOKUP(C449,Portions!$A:$A,Portions!$D:$D))</f>
        <v/>
      </c>
      <c r="F449">
        <f>IF(E449="","",E449/100*XLOOKUP(XLOOKUP(C449,Portions!$A:$A,Portions!$B:$B),FoodItems!$A:$A,FoodItems!$B:$B))</f>
        <v/>
      </c>
      <c r="G449">
        <f>IF(E449="","",E449/100*XLOOKUP(XLOOKUP(C449,Portions!$A:$A,Portions!$B:$B),FoodItems!$A:$A,FoodItems!$C:$C))</f>
        <v/>
      </c>
      <c r="H449">
        <f>IF(E449="","",E449/100*XLOOKUP(XLOOKUP(C449,Portions!$A:$A,Portions!$B:$B),FoodItems!$A:$A,FoodItems!$D:$D))</f>
        <v/>
      </c>
      <c r="I449">
        <f>IF(E449="","",E449/100*XLOOKUP(XLOOKUP(C449,Portions!$A:$A,Portions!$B:$B),FoodItems!$A:$A,FoodItems!$E:$E))</f>
        <v/>
      </c>
    </row>
    <row r="450">
      <c r="E450">
        <f>IF(C450="","",D450*XLOOKUP(C450,Portions!$A:$A,Portions!$D:$D))</f>
        <v/>
      </c>
      <c r="F450">
        <f>IF(E450="","",E450/100*XLOOKUP(XLOOKUP(C450,Portions!$A:$A,Portions!$B:$B),FoodItems!$A:$A,FoodItems!$B:$B))</f>
        <v/>
      </c>
      <c r="G450">
        <f>IF(E450="","",E450/100*XLOOKUP(XLOOKUP(C450,Portions!$A:$A,Portions!$B:$B),FoodItems!$A:$A,FoodItems!$C:$C))</f>
        <v/>
      </c>
      <c r="H450">
        <f>IF(E450="","",E450/100*XLOOKUP(XLOOKUP(C450,Portions!$A:$A,Portions!$B:$B),FoodItems!$A:$A,FoodItems!$D:$D))</f>
        <v/>
      </c>
      <c r="I450">
        <f>IF(E450="","",E450/100*XLOOKUP(XLOOKUP(C450,Portions!$A:$A,Portions!$B:$B),FoodItems!$A:$A,FoodItems!$E:$E))</f>
        <v/>
      </c>
    </row>
    <row r="451">
      <c r="E451">
        <f>IF(C451="","",D451*XLOOKUP(C451,Portions!$A:$A,Portions!$D:$D))</f>
        <v/>
      </c>
      <c r="F451">
        <f>IF(E451="","",E451/100*XLOOKUP(XLOOKUP(C451,Portions!$A:$A,Portions!$B:$B),FoodItems!$A:$A,FoodItems!$B:$B))</f>
        <v/>
      </c>
      <c r="G451">
        <f>IF(E451="","",E451/100*XLOOKUP(XLOOKUP(C451,Portions!$A:$A,Portions!$B:$B),FoodItems!$A:$A,FoodItems!$C:$C))</f>
        <v/>
      </c>
      <c r="H451">
        <f>IF(E451="","",E451/100*XLOOKUP(XLOOKUP(C451,Portions!$A:$A,Portions!$B:$B),FoodItems!$A:$A,FoodItems!$D:$D))</f>
        <v/>
      </c>
      <c r="I451">
        <f>IF(E451="","",E451/100*XLOOKUP(XLOOKUP(C451,Portions!$A:$A,Portions!$B:$B),FoodItems!$A:$A,FoodItems!$E:$E))</f>
        <v/>
      </c>
    </row>
    <row r="452">
      <c r="E452">
        <f>IF(C452="","",D452*XLOOKUP(C452,Portions!$A:$A,Portions!$D:$D))</f>
        <v/>
      </c>
      <c r="F452">
        <f>IF(E452="","",E452/100*XLOOKUP(XLOOKUP(C452,Portions!$A:$A,Portions!$B:$B),FoodItems!$A:$A,FoodItems!$B:$B))</f>
        <v/>
      </c>
      <c r="G452">
        <f>IF(E452="","",E452/100*XLOOKUP(XLOOKUP(C452,Portions!$A:$A,Portions!$B:$B),FoodItems!$A:$A,FoodItems!$C:$C))</f>
        <v/>
      </c>
      <c r="H452">
        <f>IF(E452="","",E452/100*XLOOKUP(XLOOKUP(C452,Portions!$A:$A,Portions!$B:$B),FoodItems!$A:$A,FoodItems!$D:$D))</f>
        <v/>
      </c>
      <c r="I452">
        <f>IF(E452="","",E452/100*XLOOKUP(XLOOKUP(C452,Portions!$A:$A,Portions!$B:$B),FoodItems!$A:$A,FoodItems!$E:$E))</f>
        <v/>
      </c>
    </row>
    <row r="453">
      <c r="E453">
        <f>IF(C453="","",D453*XLOOKUP(C453,Portions!$A:$A,Portions!$D:$D))</f>
        <v/>
      </c>
      <c r="F453">
        <f>IF(E453="","",E453/100*XLOOKUP(XLOOKUP(C453,Portions!$A:$A,Portions!$B:$B),FoodItems!$A:$A,FoodItems!$B:$B))</f>
        <v/>
      </c>
      <c r="G453">
        <f>IF(E453="","",E453/100*XLOOKUP(XLOOKUP(C453,Portions!$A:$A,Portions!$B:$B),FoodItems!$A:$A,FoodItems!$C:$C))</f>
        <v/>
      </c>
      <c r="H453">
        <f>IF(E453="","",E453/100*XLOOKUP(XLOOKUP(C453,Portions!$A:$A,Portions!$B:$B),FoodItems!$A:$A,FoodItems!$D:$D))</f>
        <v/>
      </c>
      <c r="I453">
        <f>IF(E453="","",E453/100*XLOOKUP(XLOOKUP(C453,Portions!$A:$A,Portions!$B:$B),FoodItems!$A:$A,FoodItems!$E:$E))</f>
        <v/>
      </c>
    </row>
    <row r="454">
      <c r="E454">
        <f>IF(C454="","",D454*XLOOKUP(C454,Portions!$A:$A,Portions!$D:$D))</f>
        <v/>
      </c>
      <c r="F454">
        <f>IF(E454="","",E454/100*XLOOKUP(XLOOKUP(C454,Portions!$A:$A,Portions!$B:$B),FoodItems!$A:$A,FoodItems!$B:$B))</f>
        <v/>
      </c>
      <c r="G454">
        <f>IF(E454="","",E454/100*XLOOKUP(XLOOKUP(C454,Portions!$A:$A,Portions!$B:$B),FoodItems!$A:$A,FoodItems!$C:$C))</f>
        <v/>
      </c>
      <c r="H454">
        <f>IF(E454="","",E454/100*XLOOKUP(XLOOKUP(C454,Portions!$A:$A,Portions!$B:$B),FoodItems!$A:$A,FoodItems!$D:$D))</f>
        <v/>
      </c>
      <c r="I454">
        <f>IF(E454="","",E454/100*XLOOKUP(XLOOKUP(C454,Portions!$A:$A,Portions!$B:$B),FoodItems!$A:$A,FoodItems!$E:$E))</f>
        <v/>
      </c>
    </row>
    <row r="455">
      <c r="E455">
        <f>IF(C455="","",D455*XLOOKUP(C455,Portions!$A:$A,Portions!$D:$D))</f>
        <v/>
      </c>
      <c r="F455">
        <f>IF(E455="","",E455/100*XLOOKUP(XLOOKUP(C455,Portions!$A:$A,Portions!$B:$B),FoodItems!$A:$A,FoodItems!$B:$B))</f>
        <v/>
      </c>
      <c r="G455">
        <f>IF(E455="","",E455/100*XLOOKUP(XLOOKUP(C455,Portions!$A:$A,Portions!$B:$B),FoodItems!$A:$A,FoodItems!$C:$C))</f>
        <v/>
      </c>
      <c r="H455">
        <f>IF(E455="","",E455/100*XLOOKUP(XLOOKUP(C455,Portions!$A:$A,Portions!$B:$B),FoodItems!$A:$A,FoodItems!$D:$D))</f>
        <v/>
      </c>
      <c r="I455">
        <f>IF(E455="","",E455/100*XLOOKUP(XLOOKUP(C455,Portions!$A:$A,Portions!$B:$B),FoodItems!$A:$A,FoodItems!$E:$E))</f>
        <v/>
      </c>
    </row>
    <row r="456">
      <c r="E456">
        <f>IF(C456="","",D456*XLOOKUP(C456,Portions!$A:$A,Portions!$D:$D))</f>
        <v/>
      </c>
      <c r="F456">
        <f>IF(E456="","",E456/100*XLOOKUP(XLOOKUP(C456,Portions!$A:$A,Portions!$B:$B),FoodItems!$A:$A,FoodItems!$B:$B))</f>
        <v/>
      </c>
      <c r="G456">
        <f>IF(E456="","",E456/100*XLOOKUP(XLOOKUP(C456,Portions!$A:$A,Portions!$B:$B),FoodItems!$A:$A,FoodItems!$C:$C))</f>
        <v/>
      </c>
      <c r="H456">
        <f>IF(E456="","",E456/100*XLOOKUP(XLOOKUP(C456,Portions!$A:$A,Portions!$B:$B),FoodItems!$A:$A,FoodItems!$D:$D))</f>
        <v/>
      </c>
      <c r="I456">
        <f>IF(E456="","",E456/100*XLOOKUP(XLOOKUP(C456,Portions!$A:$A,Portions!$B:$B),FoodItems!$A:$A,FoodItems!$E:$E))</f>
        <v/>
      </c>
    </row>
    <row r="457">
      <c r="E457">
        <f>IF(C457="","",D457*XLOOKUP(C457,Portions!$A:$A,Portions!$D:$D))</f>
        <v/>
      </c>
      <c r="F457">
        <f>IF(E457="","",E457/100*XLOOKUP(XLOOKUP(C457,Portions!$A:$A,Portions!$B:$B),FoodItems!$A:$A,FoodItems!$B:$B))</f>
        <v/>
      </c>
      <c r="G457">
        <f>IF(E457="","",E457/100*XLOOKUP(XLOOKUP(C457,Portions!$A:$A,Portions!$B:$B),FoodItems!$A:$A,FoodItems!$C:$C))</f>
        <v/>
      </c>
      <c r="H457">
        <f>IF(E457="","",E457/100*XLOOKUP(XLOOKUP(C457,Portions!$A:$A,Portions!$B:$B),FoodItems!$A:$A,FoodItems!$D:$D))</f>
        <v/>
      </c>
      <c r="I457">
        <f>IF(E457="","",E457/100*XLOOKUP(XLOOKUP(C457,Portions!$A:$A,Portions!$B:$B),FoodItems!$A:$A,FoodItems!$E:$E))</f>
        <v/>
      </c>
    </row>
    <row r="458">
      <c r="E458">
        <f>IF(C458="","",D458*XLOOKUP(C458,Portions!$A:$A,Portions!$D:$D))</f>
        <v/>
      </c>
      <c r="F458">
        <f>IF(E458="","",E458/100*XLOOKUP(XLOOKUP(C458,Portions!$A:$A,Portions!$B:$B),FoodItems!$A:$A,FoodItems!$B:$B))</f>
        <v/>
      </c>
      <c r="G458">
        <f>IF(E458="","",E458/100*XLOOKUP(XLOOKUP(C458,Portions!$A:$A,Portions!$B:$B),FoodItems!$A:$A,FoodItems!$C:$C))</f>
        <v/>
      </c>
      <c r="H458">
        <f>IF(E458="","",E458/100*XLOOKUP(XLOOKUP(C458,Portions!$A:$A,Portions!$B:$B),FoodItems!$A:$A,FoodItems!$D:$D))</f>
        <v/>
      </c>
      <c r="I458">
        <f>IF(E458="","",E458/100*XLOOKUP(XLOOKUP(C458,Portions!$A:$A,Portions!$B:$B),FoodItems!$A:$A,FoodItems!$E:$E))</f>
        <v/>
      </c>
    </row>
    <row r="459">
      <c r="E459">
        <f>IF(C459="","",D459*XLOOKUP(C459,Portions!$A:$A,Portions!$D:$D))</f>
        <v/>
      </c>
      <c r="F459">
        <f>IF(E459="","",E459/100*XLOOKUP(XLOOKUP(C459,Portions!$A:$A,Portions!$B:$B),FoodItems!$A:$A,FoodItems!$B:$B))</f>
        <v/>
      </c>
      <c r="G459">
        <f>IF(E459="","",E459/100*XLOOKUP(XLOOKUP(C459,Portions!$A:$A,Portions!$B:$B),FoodItems!$A:$A,FoodItems!$C:$C))</f>
        <v/>
      </c>
      <c r="H459">
        <f>IF(E459="","",E459/100*XLOOKUP(XLOOKUP(C459,Portions!$A:$A,Portions!$B:$B),FoodItems!$A:$A,FoodItems!$D:$D))</f>
        <v/>
      </c>
      <c r="I459">
        <f>IF(E459="","",E459/100*XLOOKUP(XLOOKUP(C459,Portions!$A:$A,Portions!$B:$B),FoodItems!$A:$A,FoodItems!$E:$E))</f>
        <v/>
      </c>
    </row>
    <row r="460">
      <c r="E460">
        <f>IF(C460="","",D460*XLOOKUP(C460,Portions!$A:$A,Portions!$D:$D))</f>
        <v/>
      </c>
      <c r="F460">
        <f>IF(E460="","",E460/100*XLOOKUP(XLOOKUP(C460,Portions!$A:$A,Portions!$B:$B),FoodItems!$A:$A,FoodItems!$B:$B))</f>
        <v/>
      </c>
      <c r="G460">
        <f>IF(E460="","",E460/100*XLOOKUP(XLOOKUP(C460,Portions!$A:$A,Portions!$B:$B),FoodItems!$A:$A,FoodItems!$C:$C))</f>
        <v/>
      </c>
      <c r="H460">
        <f>IF(E460="","",E460/100*XLOOKUP(XLOOKUP(C460,Portions!$A:$A,Portions!$B:$B),FoodItems!$A:$A,FoodItems!$D:$D))</f>
        <v/>
      </c>
      <c r="I460">
        <f>IF(E460="","",E460/100*XLOOKUP(XLOOKUP(C460,Portions!$A:$A,Portions!$B:$B),FoodItems!$A:$A,FoodItems!$E:$E))</f>
        <v/>
      </c>
    </row>
    <row r="461">
      <c r="E461">
        <f>IF(C461="","",D461*XLOOKUP(C461,Portions!$A:$A,Portions!$D:$D))</f>
        <v/>
      </c>
      <c r="F461">
        <f>IF(E461="","",E461/100*XLOOKUP(XLOOKUP(C461,Portions!$A:$A,Portions!$B:$B),FoodItems!$A:$A,FoodItems!$B:$B))</f>
        <v/>
      </c>
      <c r="G461">
        <f>IF(E461="","",E461/100*XLOOKUP(XLOOKUP(C461,Portions!$A:$A,Portions!$B:$B),FoodItems!$A:$A,FoodItems!$C:$C))</f>
        <v/>
      </c>
      <c r="H461">
        <f>IF(E461="","",E461/100*XLOOKUP(XLOOKUP(C461,Portions!$A:$A,Portions!$B:$B),FoodItems!$A:$A,FoodItems!$D:$D))</f>
        <v/>
      </c>
      <c r="I461">
        <f>IF(E461="","",E461/100*XLOOKUP(XLOOKUP(C461,Portions!$A:$A,Portions!$B:$B),FoodItems!$A:$A,FoodItems!$E:$E))</f>
        <v/>
      </c>
    </row>
    <row r="462">
      <c r="E462">
        <f>IF(C462="","",D462*XLOOKUP(C462,Portions!$A:$A,Portions!$D:$D))</f>
        <v/>
      </c>
      <c r="F462">
        <f>IF(E462="","",E462/100*XLOOKUP(XLOOKUP(C462,Portions!$A:$A,Portions!$B:$B),FoodItems!$A:$A,FoodItems!$B:$B))</f>
        <v/>
      </c>
      <c r="G462">
        <f>IF(E462="","",E462/100*XLOOKUP(XLOOKUP(C462,Portions!$A:$A,Portions!$B:$B),FoodItems!$A:$A,FoodItems!$C:$C))</f>
        <v/>
      </c>
      <c r="H462">
        <f>IF(E462="","",E462/100*XLOOKUP(XLOOKUP(C462,Portions!$A:$A,Portions!$B:$B),FoodItems!$A:$A,FoodItems!$D:$D))</f>
        <v/>
      </c>
      <c r="I462">
        <f>IF(E462="","",E462/100*XLOOKUP(XLOOKUP(C462,Portions!$A:$A,Portions!$B:$B),FoodItems!$A:$A,FoodItems!$E:$E))</f>
        <v/>
      </c>
    </row>
    <row r="463">
      <c r="E463">
        <f>IF(C463="","",D463*XLOOKUP(C463,Portions!$A:$A,Portions!$D:$D))</f>
        <v/>
      </c>
      <c r="F463">
        <f>IF(E463="","",E463/100*XLOOKUP(XLOOKUP(C463,Portions!$A:$A,Portions!$B:$B),FoodItems!$A:$A,FoodItems!$B:$B))</f>
        <v/>
      </c>
      <c r="G463">
        <f>IF(E463="","",E463/100*XLOOKUP(XLOOKUP(C463,Portions!$A:$A,Portions!$B:$B),FoodItems!$A:$A,FoodItems!$C:$C))</f>
        <v/>
      </c>
      <c r="H463">
        <f>IF(E463="","",E463/100*XLOOKUP(XLOOKUP(C463,Portions!$A:$A,Portions!$B:$B),FoodItems!$A:$A,FoodItems!$D:$D))</f>
        <v/>
      </c>
      <c r="I463">
        <f>IF(E463="","",E463/100*XLOOKUP(XLOOKUP(C463,Portions!$A:$A,Portions!$B:$B),FoodItems!$A:$A,FoodItems!$E:$E))</f>
        <v/>
      </c>
    </row>
    <row r="464">
      <c r="E464">
        <f>IF(C464="","",D464*XLOOKUP(C464,Portions!$A:$A,Portions!$D:$D))</f>
        <v/>
      </c>
      <c r="F464">
        <f>IF(E464="","",E464/100*XLOOKUP(XLOOKUP(C464,Portions!$A:$A,Portions!$B:$B),FoodItems!$A:$A,FoodItems!$B:$B))</f>
        <v/>
      </c>
      <c r="G464">
        <f>IF(E464="","",E464/100*XLOOKUP(XLOOKUP(C464,Portions!$A:$A,Portions!$B:$B),FoodItems!$A:$A,FoodItems!$C:$C))</f>
        <v/>
      </c>
      <c r="H464">
        <f>IF(E464="","",E464/100*XLOOKUP(XLOOKUP(C464,Portions!$A:$A,Portions!$B:$B),FoodItems!$A:$A,FoodItems!$D:$D))</f>
        <v/>
      </c>
      <c r="I464">
        <f>IF(E464="","",E464/100*XLOOKUP(XLOOKUP(C464,Portions!$A:$A,Portions!$B:$B),FoodItems!$A:$A,FoodItems!$E:$E))</f>
        <v/>
      </c>
    </row>
    <row r="465">
      <c r="E465">
        <f>IF(C465="","",D465*XLOOKUP(C465,Portions!$A:$A,Portions!$D:$D))</f>
        <v/>
      </c>
      <c r="F465">
        <f>IF(E465="","",E465/100*XLOOKUP(XLOOKUP(C465,Portions!$A:$A,Portions!$B:$B),FoodItems!$A:$A,FoodItems!$B:$B))</f>
        <v/>
      </c>
      <c r="G465">
        <f>IF(E465="","",E465/100*XLOOKUP(XLOOKUP(C465,Portions!$A:$A,Portions!$B:$B),FoodItems!$A:$A,FoodItems!$C:$C))</f>
        <v/>
      </c>
      <c r="H465">
        <f>IF(E465="","",E465/100*XLOOKUP(XLOOKUP(C465,Portions!$A:$A,Portions!$B:$B),FoodItems!$A:$A,FoodItems!$D:$D))</f>
        <v/>
      </c>
      <c r="I465">
        <f>IF(E465="","",E465/100*XLOOKUP(XLOOKUP(C465,Portions!$A:$A,Portions!$B:$B),FoodItems!$A:$A,FoodItems!$E:$E))</f>
        <v/>
      </c>
    </row>
    <row r="466">
      <c r="E466">
        <f>IF(C466="","",D466*XLOOKUP(C466,Portions!$A:$A,Portions!$D:$D))</f>
        <v/>
      </c>
      <c r="F466">
        <f>IF(E466="","",E466/100*XLOOKUP(XLOOKUP(C466,Portions!$A:$A,Portions!$B:$B),FoodItems!$A:$A,FoodItems!$B:$B))</f>
        <v/>
      </c>
      <c r="G466">
        <f>IF(E466="","",E466/100*XLOOKUP(XLOOKUP(C466,Portions!$A:$A,Portions!$B:$B),FoodItems!$A:$A,FoodItems!$C:$C))</f>
        <v/>
      </c>
      <c r="H466">
        <f>IF(E466="","",E466/100*XLOOKUP(XLOOKUP(C466,Portions!$A:$A,Portions!$B:$B),FoodItems!$A:$A,FoodItems!$D:$D))</f>
        <v/>
      </c>
      <c r="I466">
        <f>IF(E466="","",E466/100*XLOOKUP(XLOOKUP(C466,Portions!$A:$A,Portions!$B:$B),FoodItems!$A:$A,FoodItems!$E:$E))</f>
        <v/>
      </c>
    </row>
    <row r="467">
      <c r="E467">
        <f>IF(C467="","",D467*XLOOKUP(C467,Portions!$A:$A,Portions!$D:$D))</f>
        <v/>
      </c>
      <c r="F467">
        <f>IF(E467="","",E467/100*XLOOKUP(XLOOKUP(C467,Portions!$A:$A,Portions!$B:$B),FoodItems!$A:$A,FoodItems!$B:$B))</f>
        <v/>
      </c>
      <c r="G467">
        <f>IF(E467="","",E467/100*XLOOKUP(XLOOKUP(C467,Portions!$A:$A,Portions!$B:$B),FoodItems!$A:$A,FoodItems!$C:$C))</f>
        <v/>
      </c>
      <c r="H467">
        <f>IF(E467="","",E467/100*XLOOKUP(XLOOKUP(C467,Portions!$A:$A,Portions!$B:$B),FoodItems!$A:$A,FoodItems!$D:$D))</f>
        <v/>
      </c>
      <c r="I467">
        <f>IF(E467="","",E467/100*XLOOKUP(XLOOKUP(C467,Portions!$A:$A,Portions!$B:$B),FoodItems!$A:$A,FoodItems!$E:$E))</f>
        <v/>
      </c>
    </row>
    <row r="468">
      <c r="E468">
        <f>IF(C468="","",D468*XLOOKUP(C468,Portions!$A:$A,Portions!$D:$D))</f>
        <v/>
      </c>
      <c r="F468">
        <f>IF(E468="","",E468/100*XLOOKUP(XLOOKUP(C468,Portions!$A:$A,Portions!$B:$B),FoodItems!$A:$A,FoodItems!$B:$B))</f>
        <v/>
      </c>
      <c r="G468">
        <f>IF(E468="","",E468/100*XLOOKUP(XLOOKUP(C468,Portions!$A:$A,Portions!$B:$B),FoodItems!$A:$A,FoodItems!$C:$C))</f>
        <v/>
      </c>
      <c r="H468">
        <f>IF(E468="","",E468/100*XLOOKUP(XLOOKUP(C468,Portions!$A:$A,Portions!$B:$B),FoodItems!$A:$A,FoodItems!$D:$D))</f>
        <v/>
      </c>
      <c r="I468">
        <f>IF(E468="","",E468/100*XLOOKUP(XLOOKUP(C468,Portions!$A:$A,Portions!$B:$B),FoodItems!$A:$A,FoodItems!$E:$E))</f>
        <v/>
      </c>
    </row>
    <row r="469">
      <c r="E469">
        <f>IF(C469="","",D469*XLOOKUP(C469,Portions!$A:$A,Portions!$D:$D))</f>
        <v/>
      </c>
      <c r="F469">
        <f>IF(E469="","",E469/100*XLOOKUP(XLOOKUP(C469,Portions!$A:$A,Portions!$B:$B),FoodItems!$A:$A,FoodItems!$B:$B))</f>
        <v/>
      </c>
      <c r="G469">
        <f>IF(E469="","",E469/100*XLOOKUP(XLOOKUP(C469,Portions!$A:$A,Portions!$B:$B),FoodItems!$A:$A,FoodItems!$C:$C))</f>
        <v/>
      </c>
      <c r="H469">
        <f>IF(E469="","",E469/100*XLOOKUP(XLOOKUP(C469,Portions!$A:$A,Portions!$B:$B),FoodItems!$A:$A,FoodItems!$D:$D))</f>
        <v/>
      </c>
      <c r="I469">
        <f>IF(E469="","",E469/100*XLOOKUP(XLOOKUP(C469,Portions!$A:$A,Portions!$B:$B),FoodItems!$A:$A,FoodItems!$E:$E))</f>
        <v/>
      </c>
    </row>
    <row r="470">
      <c r="E470">
        <f>IF(C470="","",D470*XLOOKUP(C470,Portions!$A:$A,Portions!$D:$D))</f>
        <v/>
      </c>
      <c r="F470">
        <f>IF(E470="","",E470/100*XLOOKUP(XLOOKUP(C470,Portions!$A:$A,Portions!$B:$B),FoodItems!$A:$A,FoodItems!$B:$B))</f>
        <v/>
      </c>
      <c r="G470">
        <f>IF(E470="","",E470/100*XLOOKUP(XLOOKUP(C470,Portions!$A:$A,Portions!$B:$B),FoodItems!$A:$A,FoodItems!$C:$C))</f>
        <v/>
      </c>
      <c r="H470">
        <f>IF(E470="","",E470/100*XLOOKUP(XLOOKUP(C470,Portions!$A:$A,Portions!$B:$B),FoodItems!$A:$A,FoodItems!$D:$D))</f>
        <v/>
      </c>
      <c r="I470">
        <f>IF(E470="","",E470/100*XLOOKUP(XLOOKUP(C470,Portions!$A:$A,Portions!$B:$B),FoodItems!$A:$A,FoodItems!$E:$E))</f>
        <v/>
      </c>
    </row>
    <row r="471">
      <c r="E471">
        <f>IF(C471="","",D471*XLOOKUP(C471,Portions!$A:$A,Portions!$D:$D))</f>
        <v/>
      </c>
      <c r="F471">
        <f>IF(E471="","",E471/100*XLOOKUP(XLOOKUP(C471,Portions!$A:$A,Portions!$B:$B),FoodItems!$A:$A,FoodItems!$B:$B))</f>
        <v/>
      </c>
      <c r="G471">
        <f>IF(E471="","",E471/100*XLOOKUP(XLOOKUP(C471,Portions!$A:$A,Portions!$B:$B),FoodItems!$A:$A,FoodItems!$C:$C))</f>
        <v/>
      </c>
      <c r="H471">
        <f>IF(E471="","",E471/100*XLOOKUP(XLOOKUP(C471,Portions!$A:$A,Portions!$B:$B),FoodItems!$A:$A,FoodItems!$D:$D))</f>
        <v/>
      </c>
      <c r="I471">
        <f>IF(E471="","",E471/100*XLOOKUP(XLOOKUP(C471,Portions!$A:$A,Portions!$B:$B),FoodItems!$A:$A,FoodItems!$E:$E))</f>
        <v/>
      </c>
    </row>
    <row r="472">
      <c r="E472">
        <f>IF(C472="","",D472*XLOOKUP(C472,Portions!$A:$A,Portions!$D:$D))</f>
        <v/>
      </c>
      <c r="F472">
        <f>IF(E472="","",E472/100*XLOOKUP(XLOOKUP(C472,Portions!$A:$A,Portions!$B:$B),FoodItems!$A:$A,FoodItems!$B:$B))</f>
        <v/>
      </c>
      <c r="G472">
        <f>IF(E472="","",E472/100*XLOOKUP(XLOOKUP(C472,Portions!$A:$A,Portions!$B:$B),FoodItems!$A:$A,FoodItems!$C:$C))</f>
        <v/>
      </c>
      <c r="H472">
        <f>IF(E472="","",E472/100*XLOOKUP(XLOOKUP(C472,Portions!$A:$A,Portions!$B:$B),FoodItems!$A:$A,FoodItems!$D:$D))</f>
        <v/>
      </c>
      <c r="I472">
        <f>IF(E472="","",E472/100*XLOOKUP(XLOOKUP(C472,Portions!$A:$A,Portions!$B:$B),FoodItems!$A:$A,FoodItems!$E:$E))</f>
        <v/>
      </c>
    </row>
    <row r="473">
      <c r="E473">
        <f>IF(C473="","",D473*XLOOKUP(C473,Portions!$A:$A,Portions!$D:$D))</f>
        <v/>
      </c>
      <c r="F473">
        <f>IF(E473="","",E473/100*XLOOKUP(XLOOKUP(C473,Portions!$A:$A,Portions!$B:$B),FoodItems!$A:$A,FoodItems!$B:$B))</f>
        <v/>
      </c>
      <c r="G473">
        <f>IF(E473="","",E473/100*XLOOKUP(XLOOKUP(C473,Portions!$A:$A,Portions!$B:$B),FoodItems!$A:$A,FoodItems!$C:$C))</f>
        <v/>
      </c>
      <c r="H473">
        <f>IF(E473="","",E473/100*XLOOKUP(XLOOKUP(C473,Portions!$A:$A,Portions!$B:$B),FoodItems!$A:$A,FoodItems!$D:$D))</f>
        <v/>
      </c>
      <c r="I473">
        <f>IF(E473="","",E473/100*XLOOKUP(XLOOKUP(C473,Portions!$A:$A,Portions!$B:$B),FoodItems!$A:$A,FoodItems!$E:$E))</f>
        <v/>
      </c>
    </row>
    <row r="474">
      <c r="E474">
        <f>IF(C474="","",D474*XLOOKUP(C474,Portions!$A:$A,Portions!$D:$D))</f>
        <v/>
      </c>
      <c r="F474">
        <f>IF(E474="","",E474/100*XLOOKUP(XLOOKUP(C474,Portions!$A:$A,Portions!$B:$B),FoodItems!$A:$A,FoodItems!$B:$B))</f>
        <v/>
      </c>
      <c r="G474">
        <f>IF(E474="","",E474/100*XLOOKUP(XLOOKUP(C474,Portions!$A:$A,Portions!$B:$B),FoodItems!$A:$A,FoodItems!$C:$C))</f>
        <v/>
      </c>
      <c r="H474">
        <f>IF(E474="","",E474/100*XLOOKUP(XLOOKUP(C474,Portions!$A:$A,Portions!$B:$B),FoodItems!$A:$A,FoodItems!$D:$D))</f>
        <v/>
      </c>
      <c r="I474">
        <f>IF(E474="","",E474/100*XLOOKUP(XLOOKUP(C474,Portions!$A:$A,Portions!$B:$B),FoodItems!$A:$A,FoodItems!$E:$E))</f>
        <v/>
      </c>
    </row>
    <row r="475">
      <c r="E475">
        <f>IF(C475="","",D475*XLOOKUP(C475,Portions!$A:$A,Portions!$D:$D))</f>
        <v/>
      </c>
      <c r="F475">
        <f>IF(E475="","",E475/100*XLOOKUP(XLOOKUP(C475,Portions!$A:$A,Portions!$B:$B),FoodItems!$A:$A,FoodItems!$B:$B))</f>
        <v/>
      </c>
      <c r="G475">
        <f>IF(E475="","",E475/100*XLOOKUP(XLOOKUP(C475,Portions!$A:$A,Portions!$B:$B),FoodItems!$A:$A,FoodItems!$C:$C))</f>
        <v/>
      </c>
      <c r="H475">
        <f>IF(E475="","",E475/100*XLOOKUP(XLOOKUP(C475,Portions!$A:$A,Portions!$B:$B),FoodItems!$A:$A,FoodItems!$D:$D))</f>
        <v/>
      </c>
      <c r="I475">
        <f>IF(E475="","",E475/100*XLOOKUP(XLOOKUP(C475,Portions!$A:$A,Portions!$B:$B),FoodItems!$A:$A,FoodItems!$E:$E))</f>
        <v/>
      </c>
    </row>
    <row r="476">
      <c r="E476">
        <f>IF(C476="","",D476*XLOOKUP(C476,Portions!$A:$A,Portions!$D:$D))</f>
        <v/>
      </c>
      <c r="F476">
        <f>IF(E476="","",E476/100*XLOOKUP(XLOOKUP(C476,Portions!$A:$A,Portions!$B:$B),FoodItems!$A:$A,FoodItems!$B:$B))</f>
        <v/>
      </c>
      <c r="G476">
        <f>IF(E476="","",E476/100*XLOOKUP(XLOOKUP(C476,Portions!$A:$A,Portions!$B:$B),FoodItems!$A:$A,FoodItems!$C:$C))</f>
        <v/>
      </c>
      <c r="H476">
        <f>IF(E476="","",E476/100*XLOOKUP(XLOOKUP(C476,Portions!$A:$A,Portions!$B:$B),FoodItems!$A:$A,FoodItems!$D:$D))</f>
        <v/>
      </c>
      <c r="I476">
        <f>IF(E476="","",E476/100*XLOOKUP(XLOOKUP(C476,Portions!$A:$A,Portions!$B:$B),FoodItems!$A:$A,FoodItems!$E:$E))</f>
        <v/>
      </c>
    </row>
    <row r="477">
      <c r="E477">
        <f>IF(C477="","",D477*XLOOKUP(C477,Portions!$A:$A,Portions!$D:$D))</f>
        <v/>
      </c>
      <c r="F477">
        <f>IF(E477="","",E477/100*XLOOKUP(XLOOKUP(C477,Portions!$A:$A,Portions!$B:$B),FoodItems!$A:$A,FoodItems!$B:$B))</f>
        <v/>
      </c>
      <c r="G477">
        <f>IF(E477="","",E477/100*XLOOKUP(XLOOKUP(C477,Portions!$A:$A,Portions!$B:$B),FoodItems!$A:$A,FoodItems!$C:$C))</f>
        <v/>
      </c>
      <c r="H477">
        <f>IF(E477="","",E477/100*XLOOKUP(XLOOKUP(C477,Portions!$A:$A,Portions!$B:$B),FoodItems!$A:$A,FoodItems!$D:$D))</f>
        <v/>
      </c>
      <c r="I477">
        <f>IF(E477="","",E477/100*XLOOKUP(XLOOKUP(C477,Portions!$A:$A,Portions!$B:$B),FoodItems!$A:$A,FoodItems!$E:$E))</f>
        <v/>
      </c>
    </row>
    <row r="478">
      <c r="E478">
        <f>IF(C478="","",D478*XLOOKUP(C478,Portions!$A:$A,Portions!$D:$D))</f>
        <v/>
      </c>
      <c r="F478">
        <f>IF(E478="","",E478/100*XLOOKUP(XLOOKUP(C478,Portions!$A:$A,Portions!$B:$B),FoodItems!$A:$A,FoodItems!$B:$B))</f>
        <v/>
      </c>
      <c r="G478">
        <f>IF(E478="","",E478/100*XLOOKUP(XLOOKUP(C478,Portions!$A:$A,Portions!$B:$B),FoodItems!$A:$A,FoodItems!$C:$C))</f>
        <v/>
      </c>
      <c r="H478">
        <f>IF(E478="","",E478/100*XLOOKUP(XLOOKUP(C478,Portions!$A:$A,Portions!$B:$B),FoodItems!$A:$A,FoodItems!$D:$D))</f>
        <v/>
      </c>
      <c r="I478">
        <f>IF(E478="","",E478/100*XLOOKUP(XLOOKUP(C478,Portions!$A:$A,Portions!$B:$B),FoodItems!$A:$A,FoodItems!$E:$E))</f>
        <v/>
      </c>
    </row>
    <row r="479">
      <c r="E479">
        <f>IF(C479="","",D479*XLOOKUP(C479,Portions!$A:$A,Portions!$D:$D))</f>
        <v/>
      </c>
      <c r="F479">
        <f>IF(E479="","",E479/100*XLOOKUP(XLOOKUP(C479,Portions!$A:$A,Portions!$B:$B),FoodItems!$A:$A,FoodItems!$B:$B))</f>
        <v/>
      </c>
      <c r="G479">
        <f>IF(E479="","",E479/100*XLOOKUP(XLOOKUP(C479,Portions!$A:$A,Portions!$B:$B),FoodItems!$A:$A,FoodItems!$C:$C))</f>
        <v/>
      </c>
      <c r="H479">
        <f>IF(E479="","",E479/100*XLOOKUP(XLOOKUP(C479,Portions!$A:$A,Portions!$B:$B),FoodItems!$A:$A,FoodItems!$D:$D))</f>
        <v/>
      </c>
      <c r="I479">
        <f>IF(E479="","",E479/100*XLOOKUP(XLOOKUP(C479,Portions!$A:$A,Portions!$B:$B),FoodItems!$A:$A,FoodItems!$E:$E))</f>
        <v/>
      </c>
    </row>
    <row r="480">
      <c r="E480">
        <f>IF(C480="","",D480*XLOOKUP(C480,Portions!$A:$A,Portions!$D:$D))</f>
        <v/>
      </c>
      <c r="F480">
        <f>IF(E480="","",E480/100*XLOOKUP(XLOOKUP(C480,Portions!$A:$A,Portions!$B:$B),FoodItems!$A:$A,FoodItems!$B:$B))</f>
        <v/>
      </c>
      <c r="G480">
        <f>IF(E480="","",E480/100*XLOOKUP(XLOOKUP(C480,Portions!$A:$A,Portions!$B:$B),FoodItems!$A:$A,FoodItems!$C:$C))</f>
        <v/>
      </c>
      <c r="H480">
        <f>IF(E480="","",E480/100*XLOOKUP(XLOOKUP(C480,Portions!$A:$A,Portions!$B:$B),FoodItems!$A:$A,FoodItems!$D:$D))</f>
        <v/>
      </c>
      <c r="I480">
        <f>IF(E480="","",E480/100*XLOOKUP(XLOOKUP(C480,Portions!$A:$A,Portions!$B:$B),FoodItems!$A:$A,FoodItems!$E:$E))</f>
        <v/>
      </c>
    </row>
    <row r="481">
      <c r="E481">
        <f>IF(C481="","",D481*XLOOKUP(C481,Portions!$A:$A,Portions!$D:$D))</f>
        <v/>
      </c>
      <c r="F481">
        <f>IF(E481="","",E481/100*XLOOKUP(XLOOKUP(C481,Portions!$A:$A,Portions!$B:$B),FoodItems!$A:$A,FoodItems!$B:$B))</f>
        <v/>
      </c>
      <c r="G481">
        <f>IF(E481="","",E481/100*XLOOKUP(XLOOKUP(C481,Portions!$A:$A,Portions!$B:$B),FoodItems!$A:$A,FoodItems!$C:$C))</f>
        <v/>
      </c>
      <c r="H481">
        <f>IF(E481="","",E481/100*XLOOKUP(XLOOKUP(C481,Portions!$A:$A,Portions!$B:$B),FoodItems!$A:$A,FoodItems!$D:$D))</f>
        <v/>
      </c>
      <c r="I481">
        <f>IF(E481="","",E481/100*XLOOKUP(XLOOKUP(C481,Portions!$A:$A,Portions!$B:$B),FoodItems!$A:$A,FoodItems!$E:$E))</f>
        <v/>
      </c>
    </row>
    <row r="482">
      <c r="E482">
        <f>IF(C482="","",D482*XLOOKUP(C482,Portions!$A:$A,Portions!$D:$D))</f>
        <v/>
      </c>
      <c r="F482">
        <f>IF(E482="","",E482/100*XLOOKUP(XLOOKUP(C482,Portions!$A:$A,Portions!$B:$B),FoodItems!$A:$A,FoodItems!$B:$B))</f>
        <v/>
      </c>
      <c r="G482">
        <f>IF(E482="","",E482/100*XLOOKUP(XLOOKUP(C482,Portions!$A:$A,Portions!$B:$B),FoodItems!$A:$A,FoodItems!$C:$C))</f>
        <v/>
      </c>
      <c r="H482">
        <f>IF(E482="","",E482/100*XLOOKUP(XLOOKUP(C482,Portions!$A:$A,Portions!$B:$B),FoodItems!$A:$A,FoodItems!$D:$D))</f>
        <v/>
      </c>
      <c r="I482">
        <f>IF(E482="","",E482/100*XLOOKUP(XLOOKUP(C482,Portions!$A:$A,Portions!$B:$B),FoodItems!$A:$A,FoodItems!$E:$E))</f>
        <v/>
      </c>
    </row>
    <row r="483">
      <c r="E483">
        <f>IF(C483="","",D483*XLOOKUP(C483,Portions!$A:$A,Portions!$D:$D))</f>
        <v/>
      </c>
      <c r="F483">
        <f>IF(E483="","",E483/100*XLOOKUP(XLOOKUP(C483,Portions!$A:$A,Portions!$B:$B),FoodItems!$A:$A,FoodItems!$B:$B))</f>
        <v/>
      </c>
      <c r="G483">
        <f>IF(E483="","",E483/100*XLOOKUP(XLOOKUP(C483,Portions!$A:$A,Portions!$B:$B),FoodItems!$A:$A,FoodItems!$C:$C))</f>
        <v/>
      </c>
      <c r="H483">
        <f>IF(E483="","",E483/100*XLOOKUP(XLOOKUP(C483,Portions!$A:$A,Portions!$B:$B),FoodItems!$A:$A,FoodItems!$D:$D))</f>
        <v/>
      </c>
      <c r="I483">
        <f>IF(E483="","",E483/100*XLOOKUP(XLOOKUP(C483,Portions!$A:$A,Portions!$B:$B),FoodItems!$A:$A,FoodItems!$E:$E))</f>
        <v/>
      </c>
    </row>
    <row r="484">
      <c r="E484">
        <f>IF(C484="","",D484*XLOOKUP(C484,Portions!$A:$A,Portions!$D:$D))</f>
        <v/>
      </c>
      <c r="F484">
        <f>IF(E484="","",E484/100*XLOOKUP(XLOOKUP(C484,Portions!$A:$A,Portions!$B:$B),FoodItems!$A:$A,FoodItems!$B:$B))</f>
        <v/>
      </c>
      <c r="G484">
        <f>IF(E484="","",E484/100*XLOOKUP(XLOOKUP(C484,Portions!$A:$A,Portions!$B:$B),FoodItems!$A:$A,FoodItems!$C:$C))</f>
        <v/>
      </c>
      <c r="H484">
        <f>IF(E484="","",E484/100*XLOOKUP(XLOOKUP(C484,Portions!$A:$A,Portions!$B:$B),FoodItems!$A:$A,FoodItems!$D:$D))</f>
        <v/>
      </c>
      <c r="I484">
        <f>IF(E484="","",E484/100*XLOOKUP(XLOOKUP(C484,Portions!$A:$A,Portions!$B:$B),FoodItems!$A:$A,FoodItems!$E:$E))</f>
        <v/>
      </c>
    </row>
    <row r="485">
      <c r="E485">
        <f>IF(C485="","",D485*XLOOKUP(C485,Portions!$A:$A,Portions!$D:$D))</f>
        <v/>
      </c>
      <c r="F485">
        <f>IF(E485="","",E485/100*XLOOKUP(XLOOKUP(C485,Portions!$A:$A,Portions!$B:$B),FoodItems!$A:$A,FoodItems!$B:$B))</f>
        <v/>
      </c>
      <c r="G485">
        <f>IF(E485="","",E485/100*XLOOKUP(XLOOKUP(C485,Portions!$A:$A,Portions!$B:$B),FoodItems!$A:$A,FoodItems!$C:$C))</f>
        <v/>
      </c>
      <c r="H485">
        <f>IF(E485="","",E485/100*XLOOKUP(XLOOKUP(C485,Portions!$A:$A,Portions!$B:$B),FoodItems!$A:$A,FoodItems!$D:$D))</f>
        <v/>
      </c>
      <c r="I485">
        <f>IF(E485="","",E485/100*XLOOKUP(XLOOKUP(C485,Portions!$A:$A,Portions!$B:$B),FoodItems!$A:$A,FoodItems!$E:$E))</f>
        <v/>
      </c>
    </row>
    <row r="486">
      <c r="E486">
        <f>IF(C486="","",D486*XLOOKUP(C486,Portions!$A:$A,Portions!$D:$D))</f>
        <v/>
      </c>
      <c r="F486">
        <f>IF(E486="","",E486/100*XLOOKUP(XLOOKUP(C486,Portions!$A:$A,Portions!$B:$B),FoodItems!$A:$A,FoodItems!$B:$B))</f>
        <v/>
      </c>
      <c r="G486">
        <f>IF(E486="","",E486/100*XLOOKUP(XLOOKUP(C486,Portions!$A:$A,Portions!$B:$B),FoodItems!$A:$A,FoodItems!$C:$C))</f>
        <v/>
      </c>
      <c r="H486">
        <f>IF(E486="","",E486/100*XLOOKUP(XLOOKUP(C486,Portions!$A:$A,Portions!$B:$B),FoodItems!$A:$A,FoodItems!$D:$D))</f>
        <v/>
      </c>
      <c r="I486">
        <f>IF(E486="","",E486/100*XLOOKUP(XLOOKUP(C486,Portions!$A:$A,Portions!$B:$B),FoodItems!$A:$A,FoodItems!$E:$E))</f>
        <v/>
      </c>
    </row>
    <row r="487">
      <c r="E487">
        <f>IF(C487="","",D487*XLOOKUP(C487,Portions!$A:$A,Portions!$D:$D))</f>
        <v/>
      </c>
      <c r="F487">
        <f>IF(E487="","",E487/100*XLOOKUP(XLOOKUP(C487,Portions!$A:$A,Portions!$B:$B),FoodItems!$A:$A,FoodItems!$B:$B))</f>
        <v/>
      </c>
      <c r="G487">
        <f>IF(E487="","",E487/100*XLOOKUP(XLOOKUP(C487,Portions!$A:$A,Portions!$B:$B),FoodItems!$A:$A,FoodItems!$C:$C))</f>
        <v/>
      </c>
      <c r="H487">
        <f>IF(E487="","",E487/100*XLOOKUP(XLOOKUP(C487,Portions!$A:$A,Portions!$B:$B),FoodItems!$A:$A,FoodItems!$D:$D))</f>
        <v/>
      </c>
      <c r="I487">
        <f>IF(E487="","",E487/100*XLOOKUP(XLOOKUP(C487,Portions!$A:$A,Portions!$B:$B),FoodItems!$A:$A,FoodItems!$E:$E))</f>
        <v/>
      </c>
    </row>
    <row r="488">
      <c r="E488">
        <f>IF(C488="","",D488*XLOOKUP(C488,Portions!$A:$A,Portions!$D:$D))</f>
        <v/>
      </c>
      <c r="F488">
        <f>IF(E488="","",E488/100*XLOOKUP(XLOOKUP(C488,Portions!$A:$A,Portions!$B:$B),FoodItems!$A:$A,FoodItems!$B:$B))</f>
        <v/>
      </c>
      <c r="G488">
        <f>IF(E488="","",E488/100*XLOOKUP(XLOOKUP(C488,Portions!$A:$A,Portions!$B:$B),FoodItems!$A:$A,FoodItems!$C:$C))</f>
        <v/>
      </c>
      <c r="H488">
        <f>IF(E488="","",E488/100*XLOOKUP(XLOOKUP(C488,Portions!$A:$A,Portions!$B:$B),FoodItems!$A:$A,FoodItems!$D:$D))</f>
        <v/>
      </c>
      <c r="I488">
        <f>IF(E488="","",E488/100*XLOOKUP(XLOOKUP(C488,Portions!$A:$A,Portions!$B:$B),FoodItems!$A:$A,FoodItems!$E:$E))</f>
        <v/>
      </c>
    </row>
    <row r="489">
      <c r="E489">
        <f>IF(C489="","",D489*XLOOKUP(C489,Portions!$A:$A,Portions!$D:$D))</f>
        <v/>
      </c>
      <c r="F489">
        <f>IF(E489="","",E489/100*XLOOKUP(XLOOKUP(C489,Portions!$A:$A,Portions!$B:$B),FoodItems!$A:$A,FoodItems!$B:$B))</f>
        <v/>
      </c>
      <c r="G489">
        <f>IF(E489="","",E489/100*XLOOKUP(XLOOKUP(C489,Portions!$A:$A,Portions!$B:$B),FoodItems!$A:$A,FoodItems!$C:$C))</f>
        <v/>
      </c>
      <c r="H489">
        <f>IF(E489="","",E489/100*XLOOKUP(XLOOKUP(C489,Portions!$A:$A,Portions!$B:$B),FoodItems!$A:$A,FoodItems!$D:$D))</f>
        <v/>
      </c>
      <c r="I489">
        <f>IF(E489="","",E489/100*XLOOKUP(XLOOKUP(C489,Portions!$A:$A,Portions!$B:$B),FoodItems!$A:$A,FoodItems!$E:$E))</f>
        <v/>
      </c>
    </row>
    <row r="490">
      <c r="E490">
        <f>IF(C490="","",D490*XLOOKUP(C490,Portions!$A:$A,Portions!$D:$D))</f>
        <v/>
      </c>
      <c r="F490">
        <f>IF(E490="","",E490/100*XLOOKUP(XLOOKUP(C490,Portions!$A:$A,Portions!$B:$B),FoodItems!$A:$A,FoodItems!$B:$B))</f>
        <v/>
      </c>
      <c r="G490">
        <f>IF(E490="","",E490/100*XLOOKUP(XLOOKUP(C490,Portions!$A:$A,Portions!$B:$B),FoodItems!$A:$A,FoodItems!$C:$C))</f>
        <v/>
      </c>
      <c r="H490">
        <f>IF(E490="","",E490/100*XLOOKUP(XLOOKUP(C490,Portions!$A:$A,Portions!$B:$B),FoodItems!$A:$A,FoodItems!$D:$D))</f>
        <v/>
      </c>
      <c r="I490">
        <f>IF(E490="","",E490/100*XLOOKUP(XLOOKUP(C490,Portions!$A:$A,Portions!$B:$B),FoodItems!$A:$A,FoodItems!$E:$E))</f>
        <v/>
      </c>
    </row>
    <row r="491">
      <c r="E491">
        <f>IF(C491="","",D491*XLOOKUP(C491,Portions!$A:$A,Portions!$D:$D))</f>
        <v/>
      </c>
      <c r="F491">
        <f>IF(E491="","",E491/100*XLOOKUP(XLOOKUP(C491,Portions!$A:$A,Portions!$B:$B),FoodItems!$A:$A,FoodItems!$B:$B))</f>
        <v/>
      </c>
      <c r="G491">
        <f>IF(E491="","",E491/100*XLOOKUP(XLOOKUP(C491,Portions!$A:$A,Portions!$B:$B),FoodItems!$A:$A,FoodItems!$C:$C))</f>
        <v/>
      </c>
      <c r="H491">
        <f>IF(E491="","",E491/100*XLOOKUP(XLOOKUP(C491,Portions!$A:$A,Portions!$B:$B),FoodItems!$A:$A,FoodItems!$D:$D))</f>
        <v/>
      </c>
      <c r="I491">
        <f>IF(E491="","",E491/100*XLOOKUP(XLOOKUP(C491,Portions!$A:$A,Portions!$B:$B),FoodItems!$A:$A,FoodItems!$E:$E))</f>
        <v/>
      </c>
    </row>
    <row r="492">
      <c r="E492">
        <f>IF(C492="","",D492*XLOOKUP(C492,Portions!$A:$A,Portions!$D:$D))</f>
        <v/>
      </c>
      <c r="F492">
        <f>IF(E492="","",E492/100*XLOOKUP(XLOOKUP(C492,Portions!$A:$A,Portions!$B:$B),FoodItems!$A:$A,FoodItems!$B:$B))</f>
        <v/>
      </c>
      <c r="G492">
        <f>IF(E492="","",E492/100*XLOOKUP(XLOOKUP(C492,Portions!$A:$A,Portions!$B:$B),FoodItems!$A:$A,FoodItems!$C:$C))</f>
        <v/>
      </c>
      <c r="H492">
        <f>IF(E492="","",E492/100*XLOOKUP(XLOOKUP(C492,Portions!$A:$A,Portions!$B:$B),FoodItems!$A:$A,FoodItems!$D:$D))</f>
        <v/>
      </c>
      <c r="I492">
        <f>IF(E492="","",E492/100*XLOOKUP(XLOOKUP(C492,Portions!$A:$A,Portions!$B:$B),FoodItems!$A:$A,FoodItems!$E:$E))</f>
        <v/>
      </c>
    </row>
    <row r="493">
      <c r="E493">
        <f>IF(C493="","",D493*XLOOKUP(C493,Portions!$A:$A,Portions!$D:$D))</f>
        <v/>
      </c>
      <c r="F493">
        <f>IF(E493="","",E493/100*XLOOKUP(XLOOKUP(C493,Portions!$A:$A,Portions!$B:$B),FoodItems!$A:$A,FoodItems!$B:$B))</f>
        <v/>
      </c>
      <c r="G493">
        <f>IF(E493="","",E493/100*XLOOKUP(XLOOKUP(C493,Portions!$A:$A,Portions!$B:$B),FoodItems!$A:$A,FoodItems!$C:$C))</f>
        <v/>
      </c>
      <c r="H493">
        <f>IF(E493="","",E493/100*XLOOKUP(XLOOKUP(C493,Portions!$A:$A,Portions!$B:$B),FoodItems!$A:$A,FoodItems!$D:$D))</f>
        <v/>
      </c>
      <c r="I493">
        <f>IF(E493="","",E493/100*XLOOKUP(XLOOKUP(C493,Portions!$A:$A,Portions!$B:$B),FoodItems!$A:$A,FoodItems!$E:$E))</f>
        <v/>
      </c>
    </row>
    <row r="494">
      <c r="E494">
        <f>IF(C494="","",D494*XLOOKUP(C494,Portions!$A:$A,Portions!$D:$D))</f>
        <v/>
      </c>
      <c r="F494">
        <f>IF(E494="","",E494/100*XLOOKUP(XLOOKUP(C494,Portions!$A:$A,Portions!$B:$B),FoodItems!$A:$A,FoodItems!$B:$B))</f>
        <v/>
      </c>
      <c r="G494">
        <f>IF(E494="","",E494/100*XLOOKUP(XLOOKUP(C494,Portions!$A:$A,Portions!$B:$B),FoodItems!$A:$A,FoodItems!$C:$C))</f>
        <v/>
      </c>
      <c r="H494">
        <f>IF(E494="","",E494/100*XLOOKUP(XLOOKUP(C494,Portions!$A:$A,Portions!$B:$B),FoodItems!$A:$A,FoodItems!$D:$D))</f>
        <v/>
      </c>
      <c r="I494">
        <f>IF(E494="","",E494/100*XLOOKUP(XLOOKUP(C494,Portions!$A:$A,Portions!$B:$B),FoodItems!$A:$A,FoodItems!$E:$E))</f>
        <v/>
      </c>
    </row>
    <row r="495">
      <c r="E495">
        <f>IF(C495="","",D495*XLOOKUP(C495,Portions!$A:$A,Portions!$D:$D))</f>
        <v/>
      </c>
      <c r="F495">
        <f>IF(E495="","",E495/100*XLOOKUP(XLOOKUP(C495,Portions!$A:$A,Portions!$B:$B),FoodItems!$A:$A,FoodItems!$B:$B))</f>
        <v/>
      </c>
      <c r="G495">
        <f>IF(E495="","",E495/100*XLOOKUP(XLOOKUP(C495,Portions!$A:$A,Portions!$B:$B),FoodItems!$A:$A,FoodItems!$C:$C))</f>
        <v/>
      </c>
      <c r="H495">
        <f>IF(E495="","",E495/100*XLOOKUP(XLOOKUP(C495,Portions!$A:$A,Portions!$B:$B),FoodItems!$A:$A,FoodItems!$D:$D))</f>
        <v/>
      </c>
      <c r="I495">
        <f>IF(E495="","",E495/100*XLOOKUP(XLOOKUP(C495,Portions!$A:$A,Portions!$B:$B),FoodItems!$A:$A,FoodItems!$E:$E))</f>
        <v/>
      </c>
    </row>
    <row r="496">
      <c r="E496">
        <f>IF(C496="","",D496*XLOOKUP(C496,Portions!$A:$A,Portions!$D:$D))</f>
        <v/>
      </c>
      <c r="F496">
        <f>IF(E496="","",E496/100*XLOOKUP(XLOOKUP(C496,Portions!$A:$A,Portions!$B:$B),FoodItems!$A:$A,FoodItems!$B:$B))</f>
        <v/>
      </c>
      <c r="G496">
        <f>IF(E496="","",E496/100*XLOOKUP(XLOOKUP(C496,Portions!$A:$A,Portions!$B:$B),FoodItems!$A:$A,FoodItems!$C:$C))</f>
        <v/>
      </c>
      <c r="H496">
        <f>IF(E496="","",E496/100*XLOOKUP(XLOOKUP(C496,Portions!$A:$A,Portions!$B:$B),FoodItems!$A:$A,FoodItems!$D:$D))</f>
        <v/>
      </c>
      <c r="I496">
        <f>IF(E496="","",E496/100*XLOOKUP(XLOOKUP(C496,Portions!$A:$A,Portions!$B:$B),FoodItems!$A:$A,FoodItems!$E:$E))</f>
        <v/>
      </c>
    </row>
    <row r="497">
      <c r="E497">
        <f>IF(C497="","",D497*XLOOKUP(C497,Portions!$A:$A,Portions!$D:$D))</f>
        <v/>
      </c>
      <c r="F497">
        <f>IF(E497="","",E497/100*XLOOKUP(XLOOKUP(C497,Portions!$A:$A,Portions!$B:$B),FoodItems!$A:$A,FoodItems!$B:$B))</f>
        <v/>
      </c>
      <c r="G497">
        <f>IF(E497="","",E497/100*XLOOKUP(XLOOKUP(C497,Portions!$A:$A,Portions!$B:$B),FoodItems!$A:$A,FoodItems!$C:$C))</f>
        <v/>
      </c>
      <c r="H497">
        <f>IF(E497="","",E497/100*XLOOKUP(XLOOKUP(C497,Portions!$A:$A,Portions!$B:$B),FoodItems!$A:$A,FoodItems!$D:$D))</f>
        <v/>
      </c>
      <c r="I497">
        <f>IF(E497="","",E497/100*XLOOKUP(XLOOKUP(C497,Portions!$A:$A,Portions!$B:$B),FoodItems!$A:$A,FoodItems!$E:$E))</f>
        <v/>
      </c>
    </row>
    <row r="498">
      <c r="E498">
        <f>IF(C498="","",D498*XLOOKUP(C498,Portions!$A:$A,Portions!$D:$D))</f>
        <v/>
      </c>
      <c r="F498">
        <f>IF(E498="","",E498/100*XLOOKUP(XLOOKUP(C498,Portions!$A:$A,Portions!$B:$B),FoodItems!$A:$A,FoodItems!$B:$B))</f>
        <v/>
      </c>
      <c r="G498">
        <f>IF(E498="","",E498/100*XLOOKUP(XLOOKUP(C498,Portions!$A:$A,Portions!$B:$B),FoodItems!$A:$A,FoodItems!$C:$C))</f>
        <v/>
      </c>
      <c r="H498">
        <f>IF(E498="","",E498/100*XLOOKUP(XLOOKUP(C498,Portions!$A:$A,Portions!$B:$B),FoodItems!$A:$A,FoodItems!$D:$D))</f>
        <v/>
      </c>
      <c r="I498">
        <f>IF(E498="","",E498/100*XLOOKUP(XLOOKUP(C498,Portions!$A:$A,Portions!$B:$B),FoodItems!$A:$A,FoodItems!$E:$E))</f>
        <v/>
      </c>
    </row>
    <row r="499">
      <c r="E499">
        <f>IF(C499="","",D499*XLOOKUP(C499,Portions!$A:$A,Portions!$D:$D))</f>
        <v/>
      </c>
      <c r="F499">
        <f>IF(E499="","",E499/100*XLOOKUP(XLOOKUP(C499,Portions!$A:$A,Portions!$B:$B),FoodItems!$A:$A,FoodItems!$B:$B))</f>
        <v/>
      </c>
      <c r="G499">
        <f>IF(E499="","",E499/100*XLOOKUP(XLOOKUP(C499,Portions!$A:$A,Portions!$B:$B),FoodItems!$A:$A,FoodItems!$C:$C))</f>
        <v/>
      </c>
      <c r="H499">
        <f>IF(E499="","",E499/100*XLOOKUP(XLOOKUP(C499,Portions!$A:$A,Portions!$B:$B),FoodItems!$A:$A,FoodItems!$D:$D))</f>
        <v/>
      </c>
      <c r="I499">
        <f>IF(E499="","",E499/100*XLOOKUP(XLOOKUP(C499,Portions!$A:$A,Portions!$B:$B),FoodItems!$A:$A,FoodItems!$E:$E))</f>
        <v/>
      </c>
    </row>
    <row r="500">
      <c r="E500">
        <f>IF(C500="","",D500*XLOOKUP(C500,Portions!$A:$A,Portions!$D:$D))</f>
        <v/>
      </c>
      <c r="F500">
        <f>IF(E500="","",E500/100*XLOOKUP(XLOOKUP(C500,Portions!$A:$A,Portions!$B:$B),FoodItems!$A:$A,FoodItems!$B:$B))</f>
        <v/>
      </c>
      <c r="G500">
        <f>IF(E500="","",E500/100*XLOOKUP(XLOOKUP(C500,Portions!$A:$A,Portions!$B:$B),FoodItems!$A:$A,FoodItems!$C:$C))</f>
        <v/>
      </c>
      <c r="H500">
        <f>IF(E500="","",E500/100*XLOOKUP(XLOOKUP(C500,Portions!$A:$A,Portions!$B:$B),FoodItems!$A:$A,FoodItems!$D:$D))</f>
        <v/>
      </c>
      <c r="I500">
        <f>IF(E500="","",E500/100*XLOOKUP(XLOOKUP(C500,Portions!$A:$A,Portions!$B:$B),FoodItems!$A:$A,FoodItems!$E:$E))</f>
        <v/>
      </c>
    </row>
    <row r="501">
      <c r="E501">
        <f>IF(C501="","",D501*XLOOKUP(C501,Portions!$A:$A,Portions!$D:$D))</f>
        <v/>
      </c>
      <c r="F501">
        <f>IF(E501="","",E501/100*XLOOKUP(XLOOKUP(C501,Portions!$A:$A,Portions!$B:$B),FoodItems!$A:$A,FoodItems!$B:$B))</f>
        <v/>
      </c>
      <c r="G501">
        <f>IF(E501="","",E501/100*XLOOKUP(XLOOKUP(C501,Portions!$A:$A,Portions!$B:$B),FoodItems!$A:$A,FoodItems!$C:$C))</f>
        <v/>
      </c>
      <c r="H501">
        <f>IF(E501="","",E501/100*XLOOKUP(XLOOKUP(C501,Portions!$A:$A,Portions!$B:$B),FoodItems!$A:$A,FoodItems!$D:$D))</f>
        <v/>
      </c>
      <c r="I501">
        <f>IF(E501="","",E501/100*XLOOKUP(XLOOKUP(C501,Portions!$A:$A,Portions!$B:$B),FoodItems!$A:$A,FoodItems!$E:$E))</f>
        <v/>
      </c>
    </row>
  </sheetData>
  <dataValidations count="1">
    <dataValidation sqref="C2:C500" showDropDown="0" showInputMessage="0" showErrorMessage="0" allowBlank="1" type="list">
      <formula1>=Portions!$A$2:$A$200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22" customHeight="1">
      <c r="A1" s="1" t="inlineStr">
        <is>
          <t>Дата</t>
        </is>
      </c>
      <c r="B1" s="1" t="inlineStr">
        <is>
          <t>Время</t>
        </is>
      </c>
      <c r="C1" s="1" t="inlineStr">
        <is>
          <t>Категория</t>
        </is>
      </c>
      <c r="D1" s="1" t="inlineStr">
        <is>
          <t>Подкатегория</t>
        </is>
      </c>
      <c r="E1" s="1" t="inlineStr">
        <is>
          <t>Минут</t>
        </is>
      </c>
      <c r="F1" s="1" t="inlineStr">
        <is>
          <t>Комментарий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 ht="22" customHeight="1">
      <c r="A1" s="1" t="inlineStr">
        <is>
          <t>Продукт</t>
        </is>
      </c>
      <c r="B1" s="1" t="inlineStr">
        <is>
          <t>Белки_на_100г</t>
        </is>
      </c>
      <c r="C1" s="1" t="inlineStr">
        <is>
          <t>Жиры_на_100г</t>
        </is>
      </c>
      <c r="D1" s="1" t="inlineStr">
        <is>
          <t>Угли_на_100г</t>
        </is>
      </c>
      <c r="E1" s="1" t="inlineStr">
        <is>
          <t>Ккал_на_100г</t>
        </is>
      </c>
    </row>
    <row r="2">
      <c r="A2" t="inlineStr">
        <is>
          <t>Творог</t>
        </is>
      </c>
      <c r="B2" t="n">
        <v>18</v>
      </c>
      <c r="C2" t="n">
        <v>1.8</v>
      </c>
      <c r="D2" t="n">
        <v>3.3</v>
      </c>
      <c r="E2" t="n">
        <v>102</v>
      </c>
    </row>
    <row r="3">
      <c r="A3" t="inlineStr">
        <is>
          <t>Яйца</t>
        </is>
      </c>
      <c r="B3" t="n">
        <v>12.5</v>
      </c>
      <c r="C3" t="n">
        <v>10</v>
      </c>
      <c r="D3" t="n">
        <v>0.7</v>
      </c>
      <c r="E3" t="n">
        <v>150</v>
      </c>
    </row>
    <row r="4">
      <c r="A4" t="inlineStr">
        <is>
          <t>Грудка</t>
        </is>
      </c>
      <c r="B4" t="n">
        <v>22</v>
      </c>
      <c r="C4" t="n">
        <v>1</v>
      </c>
      <c r="D4" t="n">
        <v>0</v>
      </c>
      <c r="E4" t="n">
        <v>104</v>
      </c>
    </row>
    <row r="5">
      <c r="A5" t="inlineStr">
        <is>
          <t>Рис</t>
        </is>
      </c>
      <c r="B5" t="n">
        <v>7</v>
      </c>
      <c r="C5" t="n">
        <v>0.4</v>
      </c>
      <c r="D5" t="n">
        <v>77</v>
      </c>
      <c r="E5" t="n">
        <v>340</v>
      </c>
    </row>
    <row r="6">
      <c r="A6" t="inlineStr">
        <is>
          <t>Овсянка</t>
        </is>
      </c>
      <c r="B6" t="n">
        <v>13</v>
      </c>
      <c r="C6" t="n">
        <v>6</v>
      </c>
      <c r="D6" t="n">
        <v>66</v>
      </c>
      <c r="E6" t="n">
        <v>370</v>
      </c>
    </row>
    <row r="7">
      <c r="A7" t="inlineStr">
        <is>
          <t>Картоха</t>
        </is>
      </c>
      <c r="B7" t="n">
        <v>2</v>
      </c>
      <c r="C7" t="n">
        <v>0.4</v>
      </c>
      <c r="D7" t="n">
        <v>16</v>
      </c>
      <c r="E7" t="n">
        <v>80</v>
      </c>
    </row>
    <row r="8">
      <c r="A8" t="inlineStr">
        <is>
          <t>Гречка</t>
        </is>
      </c>
      <c r="B8" t="n">
        <v>14</v>
      </c>
      <c r="C8" t="n">
        <v>3</v>
      </c>
      <c r="D8" t="n">
        <v>58</v>
      </c>
      <c r="E8" t="n">
        <v>320</v>
      </c>
    </row>
    <row r="9">
      <c r="A9" t="inlineStr">
        <is>
          <t>Банан</t>
        </is>
      </c>
      <c r="B9" t="n">
        <v>1.5</v>
      </c>
      <c r="C9" t="n">
        <v>0.35</v>
      </c>
      <c r="D9" t="n">
        <v>21</v>
      </c>
      <c r="E9" t="n">
        <v>93</v>
      </c>
    </row>
    <row r="10">
      <c r="A10" t="inlineStr">
        <is>
          <t>Зефир</t>
        </is>
      </c>
      <c r="B10" t="n">
        <v>0.7</v>
      </c>
      <c r="C10" t="n">
        <v>0.1</v>
      </c>
      <c r="D10" t="n">
        <v>80</v>
      </c>
      <c r="E10" t="n">
        <v>315</v>
      </c>
    </row>
    <row r="11">
      <c r="A11" t="inlineStr">
        <is>
          <t>Греческий йогурт</t>
        </is>
      </c>
      <c r="B11" t="n">
        <v>7.5</v>
      </c>
      <c r="C11" t="n">
        <v>2</v>
      </c>
      <c r="D11" t="n">
        <v>4.4</v>
      </c>
      <c r="E11" t="n">
        <v>66</v>
      </c>
    </row>
    <row r="12">
      <c r="A12" t="inlineStr">
        <is>
          <t>Обезжир. йогурт</t>
        </is>
      </c>
      <c r="B12" t="n">
        <v>3</v>
      </c>
      <c r="C12" t="n">
        <v>1.5</v>
      </c>
      <c r="D12" t="n">
        <v>7.8</v>
      </c>
      <c r="E12" t="n">
        <v>57</v>
      </c>
    </row>
    <row r="13">
      <c r="A13" t="inlineStr">
        <is>
          <t>Йогурт типа чудо</t>
        </is>
      </c>
      <c r="B13" t="n">
        <v>3</v>
      </c>
      <c r="C13" t="n">
        <v>4</v>
      </c>
      <c r="D13" t="n">
        <v>10.5</v>
      </c>
      <c r="E13" t="n">
        <v>85.3</v>
      </c>
    </row>
    <row r="14">
      <c r="A14" t="inlineStr">
        <is>
          <t>Булочка венская</t>
        </is>
      </c>
      <c r="B14" t="n">
        <v>5.25</v>
      </c>
      <c r="C14" t="n">
        <v>1.5</v>
      </c>
      <c r="D14" t="n">
        <v>42.75</v>
      </c>
      <c r="E14" t="n">
        <v>285</v>
      </c>
    </row>
    <row r="15">
      <c r="A15" t="inlineStr">
        <is>
          <t>Печенье американское</t>
        </is>
      </c>
      <c r="B15" t="n">
        <v>11.2</v>
      </c>
      <c r="C15" t="n">
        <v>48</v>
      </c>
      <c r="D15" t="n">
        <v>126</v>
      </c>
      <c r="E15" t="n">
        <v>960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</cols>
  <sheetData>
    <row r="1" ht="22" customHeight="1">
      <c r="A1" t="inlineStr">
        <is>
          <t>???_??????</t>
        </is>
      </c>
      <c r="B1" t="inlineStr">
        <is>
          <t>???????</t>
        </is>
      </c>
      <c r="C1" t="inlineStr">
        <is>
          <t>????????</t>
        </is>
      </c>
      <c r="D1" t="inlineStr">
        <is>
          <t>?????_?_??????</t>
        </is>
      </c>
    </row>
    <row r="2">
      <c r="A2" t="inlineStr">
        <is>
          <t>EGG_C2_1</t>
        </is>
      </c>
      <c r="B2" t="inlineStr">
        <is>
          <t>????</t>
        </is>
      </c>
      <c r="C2" t="inlineStr">
        <is>
          <t>C2 (1 ??) ? ????? ??????</t>
        </is>
      </c>
      <c r="D2" t="n">
        <v>45</v>
      </c>
    </row>
    <row r="3">
      <c r="A3" t="inlineStr">
        <is>
          <t>EGG_C1_1</t>
        </is>
      </c>
      <c r="B3" t="inlineStr">
        <is>
          <t>????</t>
        </is>
      </c>
      <c r="C3" t="inlineStr">
        <is>
          <t>C1 (1 ??) ? ????? ??????</t>
        </is>
      </c>
      <c r="D3" t="n">
        <v>52</v>
      </c>
    </row>
    <row r="4">
      <c r="A4" t="inlineStr">
        <is>
          <t>EGG_C0_1</t>
        </is>
      </c>
      <c r="B4" t="inlineStr">
        <is>
          <t>????</t>
        </is>
      </c>
      <c r="C4" t="inlineStr">
        <is>
          <t>C0 (1 ??) ? ????? ??????</t>
        </is>
      </c>
      <c r="D4" t="n">
        <v>60</v>
      </c>
    </row>
    <row r="5">
      <c r="A5" t="inlineStr">
        <is>
          <t>CURD_180</t>
        </is>
      </c>
      <c r="B5" t="inlineStr">
        <is>
          <t>??????</t>
        </is>
      </c>
      <c r="C5" t="inlineStr">
        <is>
          <t>????? 180 ?</t>
        </is>
      </c>
      <c r="D5" t="n">
        <v>180</v>
      </c>
    </row>
    <row r="6">
      <c r="A6" t="inlineStr">
        <is>
          <t>CURD_300</t>
        </is>
      </c>
      <c r="B6" t="inlineStr">
        <is>
          <t>??????</t>
        </is>
      </c>
      <c r="C6" t="inlineStr">
        <is>
          <t>????? 300 ?</t>
        </is>
      </c>
      <c r="D6" t="n">
        <v>300</v>
      </c>
    </row>
    <row r="7">
      <c r="A7" t="inlineStr">
        <is>
          <t>CHICK_100</t>
        </is>
      </c>
      <c r="B7" t="inlineStr">
        <is>
          <t>??????</t>
        </is>
      </c>
      <c r="C7" t="inlineStr">
        <is>
          <t>100 ?</t>
        </is>
      </c>
      <c r="D7" t="n">
        <v>100</v>
      </c>
    </row>
    <row r="8">
      <c r="A8" t="inlineStr">
        <is>
          <t>CHICK_150</t>
        </is>
      </c>
      <c r="B8" t="inlineStr">
        <is>
          <t>??????</t>
        </is>
      </c>
      <c r="C8" t="inlineStr">
        <is>
          <t>150 ?</t>
        </is>
      </c>
      <c r="D8" t="n">
        <v>150</v>
      </c>
    </row>
    <row r="9">
      <c r="A9" t="inlineStr">
        <is>
          <t>CHICK_200</t>
        </is>
      </c>
      <c r="B9" t="inlineStr">
        <is>
          <t>??????</t>
        </is>
      </c>
      <c r="C9" t="inlineStr">
        <is>
          <t>200 ?</t>
        </is>
      </c>
      <c r="D9" t="n">
        <v>200</v>
      </c>
    </row>
    <row r="10">
      <c r="A10" t="inlineStr">
        <is>
          <t>CHICK_250</t>
        </is>
      </c>
      <c r="B10" t="inlineStr">
        <is>
          <t>??????</t>
        </is>
      </c>
      <c r="C10" t="inlineStr">
        <is>
          <t>250 ?</t>
        </is>
      </c>
      <c r="D10" t="n">
        <v>250</v>
      </c>
    </row>
    <row r="11">
      <c r="A11" t="inlineStr">
        <is>
          <t>CHICK_300</t>
        </is>
      </c>
      <c r="B11" t="inlineStr">
        <is>
          <t>??????</t>
        </is>
      </c>
      <c r="C11" t="inlineStr">
        <is>
          <t>300 ?</t>
        </is>
      </c>
      <c r="D11" t="n">
        <v>300</v>
      </c>
    </row>
    <row r="12">
      <c r="A12" t="inlineStr">
        <is>
          <t>CHICK_350</t>
        </is>
      </c>
      <c r="B12" t="inlineStr">
        <is>
          <t>??????</t>
        </is>
      </c>
      <c r="C12" t="inlineStr">
        <is>
          <t>350 ?</t>
        </is>
      </c>
      <c r="D12" t="n">
        <v>350</v>
      </c>
    </row>
    <row r="13">
      <c r="A13" t="inlineStr">
        <is>
          <t>RICE_100</t>
        </is>
      </c>
      <c r="B13" t="inlineStr">
        <is>
          <t>???</t>
        </is>
      </c>
      <c r="C13" t="inlineStr">
        <is>
          <t>100 ? (???.)</t>
        </is>
      </c>
      <c r="D13" t="n">
        <v>100</v>
      </c>
    </row>
    <row r="14">
      <c r="A14" t="inlineStr">
        <is>
          <t>OAT_100</t>
        </is>
      </c>
      <c r="B14" t="inlineStr">
        <is>
          <t>???????</t>
        </is>
      </c>
      <c r="C14" t="inlineStr">
        <is>
          <t>100 ?</t>
        </is>
      </c>
      <c r="D14" t="n">
        <v>100</v>
      </c>
    </row>
    <row r="15">
      <c r="A15" t="inlineStr">
        <is>
          <t>POT_100</t>
        </is>
      </c>
      <c r="B15" t="inlineStr">
        <is>
          <t>???????</t>
        </is>
      </c>
      <c r="C15" t="inlineStr">
        <is>
          <t>100 ?</t>
        </is>
      </c>
      <c r="D15" t="n">
        <v>100</v>
      </c>
    </row>
    <row r="16">
      <c r="A16" t="inlineStr">
        <is>
          <t>BCKW_100</t>
        </is>
      </c>
      <c r="B16" t="inlineStr">
        <is>
          <t>??????</t>
        </is>
      </c>
      <c r="C16" t="inlineStr">
        <is>
          <t>100 ?</t>
        </is>
      </c>
      <c r="D16" t="n">
        <v>100</v>
      </c>
    </row>
    <row r="17">
      <c r="A17" t="inlineStr">
        <is>
          <t>BANANA_1</t>
        </is>
      </c>
      <c r="B17" t="inlineStr">
        <is>
          <t>?????</t>
        </is>
      </c>
      <c r="C17" t="inlineStr">
        <is>
          <t>1 ?? ? ????? ??????</t>
        </is>
      </c>
      <c r="D17" t="n">
        <v>120</v>
      </c>
    </row>
    <row r="18">
      <c r="A18" t="inlineStr">
        <is>
          <t>MARSH_1</t>
        </is>
      </c>
      <c r="B18" t="inlineStr">
        <is>
          <t>?????</t>
        </is>
      </c>
      <c r="C18" t="inlineStr">
        <is>
          <t>1 ??????? ~30 ?</t>
        </is>
      </c>
      <c r="D18" t="n">
        <v>30</v>
      </c>
    </row>
    <row r="19">
      <c r="A19" t="inlineStr">
        <is>
          <t>GREEK_140</t>
        </is>
      </c>
      <c r="B19" t="inlineStr">
        <is>
          <t>????????? ??????</t>
        </is>
      </c>
      <c r="C19" t="inlineStr">
        <is>
          <t>140 ?</t>
        </is>
      </c>
      <c r="D19" t="n">
        <v>140</v>
      </c>
    </row>
    <row r="20">
      <c r="A20" t="inlineStr">
        <is>
          <t>GREEK_250</t>
        </is>
      </c>
      <c r="B20" t="inlineStr">
        <is>
          <t>????????? ??????</t>
        </is>
      </c>
      <c r="C20" t="inlineStr">
        <is>
          <t>250 ?</t>
        </is>
      </c>
      <c r="D20" t="n">
        <v>250</v>
      </c>
    </row>
    <row r="21">
      <c r="A21" t="inlineStr">
        <is>
          <t>FATFREE_260</t>
        </is>
      </c>
      <c r="B21" t="inlineStr">
        <is>
          <t>???????. ??????</t>
        </is>
      </c>
      <c r="C21" t="inlineStr">
        <is>
          <t>260 ?</t>
        </is>
      </c>
      <c r="D21" t="n">
        <v>260</v>
      </c>
    </row>
    <row r="22">
      <c r="A22" t="inlineStr">
        <is>
          <t>CHUDO_100</t>
        </is>
      </c>
      <c r="B22" t="inlineStr">
        <is>
          <t>?????? ???? ????</t>
        </is>
      </c>
      <c r="C22" t="inlineStr">
        <is>
          <t>100 ?</t>
        </is>
      </c>
      <c r="D22" t="n">
        <v>100</v>
      </c>
    </row>
    <row r="23">
      <c r="A23" t="inlineStr">
        <is>
          <t>CHUDO_140</t>
        </is>
      </c>
      <c r="B23" t="inlineStr">
        <is>
          <t>?????? ???? ????</t>
        </is>
      </c>
      <c r="C23" t="inlineStr">
        <is>
          <t>140 ?</t>
        </is>
      </c>
      <c r="D23" t="n">
        <v>140</v>
      </c>
    </row>
    <row r="24">
      <c r="A24" t="inlineStr">
        <is>
          <t>CHUDO_260</t>
        </is>
      </c>
      <c r="B24" t="inlineStr">
        <is>
          <t>?????? ???? ????</t>
        </is>
      </c>
      <c r="C24" t="inlineStr">
        <is>
          <t>260 ?</t>
        </is>
      </c>
      <c r="D24" t="n">
        <v>260</v>
      </c>
    </row>
    <row r="25">
      <c r="A25" t="inlineStr">
        <is>
          <t>CHUDO_300</t>
        </is>
      </c>
      <c r="B25" t="inlineStr">
        <is>
          <t>?????? ???? ????</t>
        </is>
      </c>
      <c r="C25" t="inlineStr">
        <is>
          <t>300 ?</t>
        </is>
      </c>
      <c r="D25" t="n">
        <v>300</v>
      </c>
    </row>
    <row r="26">
      <c r="A26" t="inlineStr">
        <is>
          <t>BUN_1</t>
        </is>
      </c>
      <c r="B26" t="inlineStr">
        <is>
          <t>??????? ???????</t>
        </is>
      </c>
      <c r="C26" t="inlineStr">
        <is>
          <t>1 ?? ? ????? ??????</t>
        </is>
      </c>
      <c r="D26" t="n">
        <v>95</v>
      </c>
    </row>
    <row r="27">
      <c r="A27" t="inlineStr">
        <is>
          <t>COOKIE_1</t>
        </is>
      </c>
      <c r="B27" t="inlineStr">
        <is>
          <t>??????? ????????????</t>
        </is>
      </c>
      <c r="C27" t="inlineStr">
        <is>
          <t>1 ?? ~55 ?</t>
        </is>
      </c>
      <c r="D27" t="n">
        <v>55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8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</cols>
  <sheetData>
    <row r="1" ht="22" customHeight="1">
      <c r="A1" t="inlineStr">
        <is>
          <t>?????????</t>
        </is>
      </c>
      <c r="B1" t="inlineStr">
        <is>
          <t>????????</t>
        </is>
      </c>
      <c r="C1" t="inlineStr">
        <is>
          <t>Score</t>
        </is>
      </c>
    </row>
    <row r="2">
      <c r="A2" t="inlineStr">
        <is>
          <t>??????????</t>
        </is>
      </c>
      <c r="B2" t="inlineStr">
        <is>
          <t>?????????</t>
        </is>
      </c>
      <c r="C2" t="n">
        <v>0</v>
      </c>
    </row>
    <row r="3">
      <c r="A3" t="inlineStr">
        <is>
          <t>??????????</t>
        </is>
      </c>
      <c r="B3" t="inlineStr">
        <is>
          <t>?????</t>
        </is>
      </c>
      <c r="C3" t="n">
        <v>0.6</v>
      </c>
    </row>
    <row r="4">
      <c r="A4" t="inlineStr">
        <is>
          <t>??????????</t>
        </is>
      </c>
      <c r="B4" t="inlineStr">
        <is>
          <t>????</t>
        </is>
      </c>
      <c r="C4" t="n">
        <v>1</v>
      </c>
    </row>
    <row r="5">
      <c r="A5" t="inlineStr">
        <is>
          <t>??????????</t>
        </is>
      </c>
      <c r="B5" t="inlineStr">
        <is>
          <t>????</t>
        </is>
      </c>
      <c r="C5" t="n">
        <v>1</v>
      </c>
    </row>
    <row r="6">
      <c r="A6" t="inlineStr">
        <is>
          <t>??????</t>
        </is>
      </c>
      <c r="B6" t="inlineStr">
        <is>
          <t>0</t>
        </is>
      </c>
      <c r="C6" t="n">
        <v>0</v>
      </c>
    </row>
    <row r="7">
      <c r="A7" t="inlineStr">
        <is>
          <t>??????</t>
        </is>
      </c>
      <c r="B7" t="inlineStr">
        <is>
          <t>10</t>
        </is>
      </c>
      <c r="C7" t="n">
        <v>0.25</v>
      </c>
    </row>
    <row r="8">
      <c r="A8" t="inlineStr">
        <is>
          <t>??????</t>
        </is>
      </c>
      <c r="B8" t="inlineStr">
        <is>
          <t>20</t>
        </is>
      </c>
      <c r="C8" t="n">
        <v>0.5</v>
      </c>
    </row>
    <row r="9">
      <c r="A9" t="inlineStr">
        <is>
          <t>??????</t>
        </is>
      </c>
      <c r="B9" t="inlineStr">
        <is>
          <t>30</t>
        </is>
      </c>
      <c r="C9" t="n">
        <v>0.75</v>
      </c>
    </row>
    <row r="10">
      <c r="A10" t="inlineStr">
        <is>
          <t>??????</t>
        </is>
      </c>
      <c r="B10" t="inlineStr">
        <is>
          <t>40</t>
        </is>
      </c>
      <c r="C10" t="n">
        <v>1</v>
      </c>
    </row>
    <row r="11">
      <c r="A11" t="inlineStr">
        <is>
          <t>????</t>
        </is>
      </c>
      <c r="B11" t="inlineStr">
        <is>
          <t>&lt;5k</t>
        </is>
      </c>
      <c r="C11" t="n">
        <v>0</v>
      </c>
    </row>
    <row r="12">
      <c r="A12" t="inlineStr">
        <is>
          <t>????</t>
        </is>
      </c>
      <c r="B12" t="inlineStr">
        <is>
          <t>5-7k</t>
        </is>
      </c>
      <c r="C12" t="n">
        <v>0.25</v>
      </c>
    </row>
    <row r="13">
      <c r="A13" t="inlineStr">
        <is>
          <t>????</t>
        </is>
      </c>
      <c r="B13" t="inlineStr">
        <is>
          <t>7-10k</t>
        </is>
      </c>
      <c r="C13" t="n">
        <v>0.5</v>
      </c>
    </row>
    <row r="14">
      <c r="A14" t="inlineStr">
        <is>
          <t>????</t>
        </is>
      </c>
      <c r="B14" t="inlineStr">
        <is>
          <t>10-12k</t>
        </is>
      </c>
      <c r="C14" t="n">
        <v>0.75</v>
      </c>
    </row>
    <row r="15">
      <c r="A15" t="inlineStr">
        <is>
          <t>????</t>
        </is>
      </c>
      <c r="B15" t="inlineStr">
        <is>
          <t>12-15k</t>
        </is>
      </c>
      <c r="C15" t="n">
        <v>0.9</v>
      </c>
    </row>
    <row r="16">
      <c r="A16" t="inlineStr">
        <is>
          <t>????</t>
        </is>
      </c>
      <c r="B16" t="inlineStr">
        <is>
          <t>15k+</t>
        </is>
      </c>
      <c r="C16" t="n">
        <v>1</v>
      </c>
    </row>
    <row r="17">
      <c r="A17" t="inlineStr">
        <is>
          <t>??????????_???</t>
        </is>
      </c>
      <c r="B17" t="inlineStr">
        <is>
          <t>15</t>
        </is>
      </c>
      <c r="C17" t="n">
        <v>0.25</v>
      </c>
    </row>
    <row r="18">
      <c r="A18" t="inlineStr">
        <is>
          <t>??????????_???</t>
        </is>
      </c>
      <c r="B18" t="inlineStr">
        <is>
          <t>30</t>
        </is>
      </c>
      <c r="C18" t="n">
        <v>0.5</v>
      </c>
    </row>
    <row r="19">
      <c r="A19" t="inlineStr">
        <is>
          <t>??????????_???</t>
        </is>
      </c>
      <c r="B19" t="inlineStr">
        <is>
          <t>45</t>
        </is>
      </c>
      <c r="C19" t="n">
        <v>0.6</v>
      </c>
    </row>
    <row r="20">
      <c r="A20" t="inlineStr">
        <is>
          <t>??????????_???</t>
        </is>
      </c>
      <c r="B20" t="inlineStr">
        <is>
          <t>60</t>
        </is>
      </c>
      <c r="C20" t="n">
        <v>0.7</v>
      </c>
    </row>
    <row r="21">
      <c r="A21" t="inlineStr">
        <is>
          <t>??????????_???</t>
        </is>
      </c>
      <c r="B21" t="inlineStr">
        <is>
          <t>90</t>
        </is>
      </c>
      <c r="C21" t="n">
        <v>0.85</v>
      </c>
    </row>
    <row r="22">
      <c r="A22" t="inlineStr">
        <is>
          <t>??????????_???</t>
        </is>
      </c>
      <c r="B22" t="inlineStr">
        <is>
          <t>120</t>
        </is>
      </c>
      <c r="C22" t="n">
        <v>1</v>
      </c>
    </row>
    <row r="23">
      <c r="A23" t="inlineStr">
        <is>
          <t>???_?????</t>
        </is>
      </c>
      <c r="B23" t="inlineStr">
        <is>
          <t>???</t>
        </is>
      </c>
      <c r="C23" t="n">
        <v>1</v>
      </c>
    </row>
    <row r="24">
      <c r="A24" t="inlineStr">
        <is>
          <t>???_?????</t>
        </is>
      </c>
      <c r="B24" t="inlineStr">
        <is>
          <t>? ???????</t>
        </is>
      </c>
      <c r="C24" t="n">
        <v>1</v>
      </c>
    </row>
    <row r="25">
      <c r="A25" t="inlineStr">
        <is>
          <t>???_?????</t>
        </is>
      </c>
      <c r="B25" t="inlineStr">
        <is>
          <t>???? ???</t>
        </is>
      </c>
      <c r="C25" t="n">
        <v>1</v>
      </c>
    </row>
    <row r="26">
      <c r="A26" t="inlineStr">
        <is>
          <t>???_????</t>
        </is>
      </c>
      <c r="B26" t="inlineStr">
        <is>
          <t>??</t>
        </is>
      </c>
      <c r="C26" t="n">
        <v>1</v>
      </c>
    </row>
    <row r="27">
      <c r="A27" t="inlineStr">
        <is>
          <t>???_????</t>
        </is>
      </c>
      <c r="B27" t="inlineStr">
        <is>
          <t>??????</t>
        </is>
      </c>
      <c r="C27" t="n">
        <v>1</v>
      </c>
    </row>
    <row r="28">
      <c r="A28" t="inlineStr">
        <is>
          <t>???_????</t>
        </is>
      </c>
      <c r="B28" t="inlineStr">
        <is>
          <t>???</t>
        </is>
      </c>
      <c r="C28" t="n">
        <v>1</v>
      </c>
    </row>
    <row r="29">
      <c r="A29" t="inlineStr">
        <is>
          <t>???_????</t>
        </is>
      </c>
      <c r="B29" t="inlineStr">
        <is>
          <t>???</t>
        </is>
      </c>
      <c r="C29" t="n">
        <v>1</v>
      </c>
    </row>
    <row r="30">
      <c r="A30" t="inlineStr">
        <is>
          <t>??????_???</t>
        </is>
      </c>
      <c r="B30" t="inlineStr">
        <is>
          <t>10</t>
        </is>
      </c>
      <c r="C30" t="n">
        <v>0.1</v>
      </c>
    </row>
    <row r="31">
      <c r="A31" t="inlineStr">
        <is>
          <t>??????_???</t>
        </is>
      </c>
      <c r="B31" t="inlineStr">
        <is>
          <t>20</t>
        </is>
      </c>
      <c r="C31" t="n">
        <v>0.2</v>
      </c>
    </row>
    <row r="32">
      <c r="A32" t="inlineStr">
        <is>
          <t>??????_???</t>
        </is>
      </c>
      <c r="B32" t="inlineStr">
        <is>
          <t>30</t>
        </is>
      </c>
      <c r="C32" t="n">
        <v>0.3</v>
      </c>
    </row>
    <row r="33">
      <c r="A33" t="inlineStr">
        <is>
          <t>??????_???</t>
        </is>
      </c>
      <c r="B33" t="inlineStr">
        <is>
          <t>40</t>
        </is>
      </c>
      <c r="C33" t="n">
        <v>0.4</v>
      </c>
    </row>
    <row r="34">
      <c r="A34" t="inlineStr">
        <is>
          <t>??????_???</t>
        </is>
      </c>
      <c r="B34" t="inlineStr">
        <is>
          <t>50</t>
        </is>
      </c>
      <c r="C34" t="n">
        <v>0.5</v>
      </c>
    </row>
    <row r="35">
      <c r="A35" t="inlineStr">
        <is>
          <t>??????_???</t>
        </is>
      </c>
      <c r="B35" t="inlineStr">
        <is>
          <t>60</t>
        </is>
      </c>
      <c r="C35" t="n">
        <v>0.6</v>
      </c>
    </row>
    <row r="36">
      <c r="A36" t="inlineStr">
        <is>
          <t>??????_???</t>
        </is>
      </c>
      <c r="B36" t="inlineStr">
        <is>
          <t>70</t>
        </is>
      </c>
      <c r="C36" t="n">
        <v>0.7</v>
      </c>
    </row>
    <row r="37">
      <c r="A37" t="inlineStr">
        <is>
          <t>??????_???</t>
        </is>
      </c>
      <c r="B37" t="inlineStr">
        <is>
          <t>80</t>
        </is>
      </c>
      <c r="C37" t="n">
        <v>0.8</v>
      </c>
    </row>
    <row r="38">
      <c r="A38" t="inlineStr">
        <is>
          <t>??????_???</t>
        </is>
      </c>
      <c r="B38" t="inlineStr">
        <is>
          <t>90</t>
        </is>
      </c>
      <c r="C38" t="n">
        <v>0.9</v>
      </c>
    </row>
    <row r="39">
      <c r="A39" t="inlineStr">
        <is>
          <t>??????_???</t>
        </is>
      </c>
      <c r="B39" t="inlineStr">
        <is>
          <t>100</t>
        </is>
      </c>
      <c r="C39" t="n">
        <v>1</v>
      </c>
    </row>
    <row r="40">
      <c r="A40" t="inlineStr">
        <is>
          <t>?????_?????</t>
        </is>
      </c>
      <c r="B40" t="inlineStr">
        <is>
          <t>0?</t>
        </is>
      </c>
      <c r="C40" t="n">
        <v>0</v>
      </c>
    </row>
    <row r="41">
      <c r="A41" t="inlineStr">
        <is>
          <t>?????_?????</t>
        </is>
      </c>
      <c r="B41" t="inlineStr">
        <is>
          <t>1-3?</t>
        </is>
      </c>
      <c r="C41" t="n">
        <v>0.5</v>
      </c>
    </row>
    <row r="42">
      <c r="A42" t="inlineStr">
        <is>
          <t>?????_?????</t>
        </is>
      </c>
      <c r="B42" t="inlineStr">
        <is>
          <t>3-6?</t>
        </is>
      </c>
      <c r="C42" t="n">
        <v>0.7</v>
      </c>
    </row>
    <row r="43">
      <c r="A43" t="inlineStr">
        <is>
          <t>?????_?????</t>
        </is>
      </c>
      <c r="B43" t="inlineStr">
        <is>
          <t>??? ???</t>
        </is>
      </c>
      <c r="C43" t="n">
        <v>0.8</v>
      </c>
    </row>
    <row r="44">
      <c r="A44" t="inlineStr">
        <is>
          <t>?????_?????</t>
        </is>
      </c>
      <c r="B44" t="inlineStr">
        <is>
          <t>???? ????</t>
        </is>
      </c>
      <c r="C44" t="n">
        <v>0.6</v>
      </c>
    </row>
    <row r="45">
      <c r="A45" t="inlineStr">
        <is>
          <t>?????_???</t>
        </is>
      </c>
      <c r="B45" t="inlineStr">
        <is>
          <t>?????</t>
        </is>
      </c>
      <c r="C45" t="n">
        <v>0</v>
      </c>
    </row>
    <row r="46">
      <c r="A46" t="inlineStr">
        <is>
          <t>?????_???</t>
        </is>
      </c>
      <c r="B46" t="inlineStr">
        <is>
          <t>???????</t>
        </is>
      </c>
      <c r="C46" t="n">
        <v>0</v>
      </c>
    </row>
    <row r="47">
      <c r="A47" t="inlineStr">
        <is>
          <t>?????_???</t>
        </is>
      </c>
      <c r="B47" t="inlineStr">
        <is>
          <t>? ???????</t>
        </is>
      </c>
      <c r="C47" t="n">
        <v>0</v>
      </c>
    </row>
    <row r="48">
      <c r="A48" t="inlineStr">
        <is>
          <t>?????_???</t>
        </is>
      </c>
      <c r="B48" t="inlineStr">
        <is>
          <t>? ????????</t>
        </is>
      </c>
      <c r="C48" t="n">
        <v>0</v>
      </c>
    </row>
    <row r="49">
      <c r="A49" t="inlineStr">
        <is>
          <t>???_?????</t>
        </is>
      </c>
      <c r="B49" t="inlineStr">
        <is>
          <t>10</t>
        </is>
      </c>
      <c r="C49" t="n">
        <v>0</v>
      </c>
    </row>
    <row r="50">
      <c r="A50" t="inlineStr">
        <is>
          <t>???_?????</t>
        </is>
      </c>
      <c r="B50" t="inlineStr">
        <is>
          <t>11</t>
        </is>
      </c>
      <c r="C50" t="n">
        <v>0</v>
      </c>
    </row>
    <row r="51">
      <c r="A51" t="inlineStr">
        <is>
          <t>???_?????</t>
        </is>
      </c>
      <c r="B51" t="inlineStr">
        <is>
          <t>12</t>
        </is>
      </c>
      <c r="C51" t="n">
        <v>0</v>
      </c>
    </row>
    <row r="52">
      <c r="A52" t="inlineStr">
        <is>
          <t>???_?????</t>
        </is>
      </c>
      <c r="B52" t="inlineStr">
        <is>
          <t>1</t>
        </is>
      </c>
      <c r="C52" t="n">
        <v>0</v>
      </c>
    </row>
    <row r="53">
      <c r="A53" t="inlineStr">
        <is>
          <t>???_?????</t>
        </is>
      </c>
      <c r="B53" t="inlineStr">
        <is>
          <t>2</t>
        </is>
      </c>
      <c r="C53" t="n">
        <v>0</v>
      </c>
    </row>
    <row r="54">
      <c r="A54" t="inlineStr">
        <is>
          <t>???_?????</t>
        </is>
      </c>
      <c r="B54" t="inlineStr">
        <is>
          <t>3</t>
        </is>
      </c>
      <c r="C54" t="n">
        <v>0</v>
      </c>
    </row>
    <row r="55">
      <c r="A55" t="inlineStr">
        <is>
          <t>???_?????</t>
        </is>
      </c>
      <c r="B55" t="inlineStr">
        <is>
          <t>4</t>
        </is>
      </c>
      <c r="C55" t="n">
        <v>0</v>
      </c>
    </row>
    <row r="56">
      <c r="A56" t="inlineStr">
        <is>
          <t>???_?????</t>
        </is>
      </c>
      <c r="B56" t="inlineStr">
        <is>
          <t>5</t>
        </is>
      </c>
      <c r="C56" t="n">
        <v>0</v>
      </c>
    </row>
    <row r="57">
      <c r="A57" t="inlineStr">
        <is>
          <t>???_?????</t>
        </is>
      </c>
      <c r="B57" t="inlineStr">
        <is>
          <t>6</t>
        </is>
      </c>
      <c r="C57" t="n">
        <v>0</v>
      </c>
    </row>
    <row r="58">
      <c r="A58" t="inlineStr">
        <is>
          <t>???_????</t>
        </is>
      </c>
      <c r="B58" t="inlineStr">
        <is>
          <t>&lt;6</t>
        </is>
      </c>
      <c r="C58" t="n">
        <v>0</v>
      </c>
    </row>
    <row r="59">
      <c r="A59" t="inlineStr">
        <is>
          <t>???_????</t>
        </is>
      </c>
      <c r="B59" t="inlineStr">
        <is>
          <t>6-8</t>
        </is>
      </c>
      <c r="C59" t="n">
        <v>1</v>
      </c>
    </row>
    <row r="60">
      <c r="A60" t="inlineStr">
        <is>
          <t>???_????</t>
        </is>
      </c>
      <c r="B60" t="inlineStr">
        <is>
          <t>&gt;8</t>
        </is>
      </c>
      <c r="C60" t="n">
        <v>0.8</v>
      </c>
    </row>
    <row r="61">
      <c r="A61" t="inlineStr">
        <is>
          <t>?????</t>
        </is>
      </c>
      <c r="B61" t="inlineStr">
        <is>
          <t>????</t>
        </is>
      </c>
      <c r="C61" t="n">
        <v>0.3</v>
      </c>
    </row>
    <row r="62">
      <c r="A62" t="inlineStr">
        <is>
          <t>?????</t>
        </is>
      </c>
      <c r="B62" t="inlineStr">
        <is>
          <t>?? ????</t>
        </is>
      </c>
      <c r="C62" t="n">
        <v>1</v>
      </c>
    </row>
    <row r="63">
      <c r="A63" t="inlineStr">
        <is>
          <t>??????????????</t>
        </is>
      </c>
      <c r="B63" t="inlineStr">
        <is>
          <t>0</t>
        </is>
      </c>
      <c r="C63" t="n">
        <v>0</v>
      </c>
    </row>
    <row r="64">
      <c r="A64" t="inlineStr">
        <is>
          <t>??????????????</t>
        </is>
      </c>
      <c r="B64" t="inlineStr">
        <is>
          <t>25</t>
        </is>
      </c>
      <c r="C64" t="n">
        <v>0.25</v>
      </c>
    </row>
    <row r="65">
      <c r="A65" t="inlineStr">
        <is>
          <t>??????????????</t>
        </is>
      </c>
      <c r="B65" t="inlineStr">
        <is>
          <t>50</t>
        </is>
      </c>
      <c r="C65" t="n">
        <v>0.5</v>
      </c>
    </row>
    <row r="66">
      <c r="A66" t="inlineStr">
        <is>
          <t>??????????????</t>
        </is>
      </c>
      <c r="B66" t="inlineStr">
        <is>
          <t>75</t>
        </is>
      </c>
      <c r="C66" t="n">
        <v>0.75</v>
      </c>
    </row>
    <row r="67">
      <c r="A67" t="inlineStr">
        <is>
          <t>??????????????</t>
        </is>
      </c>
      <c r="B67" t="inlineStr">
        <is>
          <t>100</t>
        </is>
      </c>
      <c r="C67" t="n">
        <v>1</v>
      </c>
    </row>
    <row r="68">
      <c r="A68" t="inlineStr">
        <is>
          <t>??????????</t>
        </is>
      </c>
      <c r="B68" t="inlineStr">
        <is>
          <t>????????</t>
        </is>
      </c>
      <c r="C68" t="n">
        <v>1</v>
      </c>
    </row>
    <row r="69">
      <c r="A69" t="inlineStr">
        <is>
          <t>??????????</t>
        </is>
      </c>
      <c r="B69" t="inlineStr">
        <is>
          <t>???????</t>
        </is>
      </c>
      <c r="C69" t="n">
        <v>0.85</v>
      </c>
    </row>
    <row r="70">
      <c r="A70" t="inlineStr">
        <is>
          <t>??????????</t>
        </is>
      </c>
      <c r="B70" t="inlineStr">
        <is>
          <t>???????</t>
        </is>
      </c>
      <c r="C70" t="n">
        <v>0.7</v>
      </c>
    </row>
    <row r="71">
      <c r="A71" t="inlineStr">
        <is>
          <t>??????????</t>
        </is>
      </c>
      <c r="B71" t="inlineStr">
        <is>
          <t>?????????</t>
        </is>
      </c>
      <c r="C71" t="n">
        <v>0.6</v>
      </c>
    </row>
    <row r="72">
      <c r="A72" t="inlineStr">
        <is>
          <t>??????????</t>
        </is>
      </c>
      <c r="B72" t="inlineStr">
        <is>
          <t>????????????</t>
        </is>
      </c>
      <c r="C72" t="n">
        <v>0.4</v>
      </c>
    </row>
    <row r="73">
      <c r="A73" t="inlineStr">
        <is>
          <t>??????????</t>
        </is>
      </c>
      <c r="B73" t="inlineStr">
        <is>
          <t>???????????</t>
        </is>
      </c>
      <c r="C73" t="n">
        <v>0.3</v>
      </c>
    </row>
    <row r="74">
      <c r="A74" t="inlineStr">
        <is>
          <t>??????????</t>
        </is>
      </c>
      <c r="B74" t="inlineStr">
        <is>
          <t>????</t>
        </is>
      </c>
      <c r="C74" t="n">
        <v>0.2</v>
      </c>
    </row>
    <row r="75">
      <c r="A75" t="inlineStr">
        <is>
          <t>???????</t>
        </is>
      </c>
      <c r="B75" t="inlineStr">
        <is>
          <t>???</t>
        </is>
      </c>
      <c r="C75" t="n">
        <v>0</v>
      </c>
    </row>
    <row r="76">
      <c r="A76" t="inlineStr">
        <is>
          <t>???????</t>
        </is>
      </c>
      <c r="B76" t="inlineStr">
        <is>
          <t>????</t>
        </is>
      </c>
      <c r="C76" t="n">
        <v>0.33</v>
      </c>
    </row>
    <row r="77">
      <c r="A77" t="inlineStr">
        <is>
          <t>???????</t>
        </is>
      </c>
      <c r="B77" t="inlineStr">
        <is>
          <t>????</t>
        </is>
      </c>
      <c r="C77" t="n">
        <v>0.66</v>
      </c>
    </row>
    <row r="78">
      <c r="A78" t="inlineStr">
        <is>
          <t>???????</t>
        </is>
      </c>
      <c r="B78" t="inlineStr">
        <is>
          <t>? ??????</t>
        </is>
      </c>
      <c r="C78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</cols>
  <sheetData>
    <row r="1">
      <c r="A1" t="inlineStr">
        <is>
          <t>Dashboard</t>
        </is>
      </c>
    </row>
    <row r="2">
      <c r="A2" t="inlineStr">
        <is>
          <t>????:</t>
        </is>
      </c>
      <c r="B2">
        <f>TODAY()</f>
        <v/>
      </c>
    </row>
    <row r="3">
      <c r="A3" t="inlineStr">
        <is>
          <t>???????? ???:</t>
        </is>
      </c>
      <c r="B3">
        <f>IFERROR(XLOOKUP($B$2,Daily!$A:$A,Daily!$Y:$Y),"")</f>
        <v/>
      </c>
    </row>
    <row r="4">
      <c r="A4" t="inlineStr">
        <is>
          <t>?? ?????????:</t>
        </is>
      </c>
      <c r="B4">
        <f>IFERROR(XLOOKUP($B$2,Daily!$A:$A,Daily!$Z:$Z),"")</f>
        <v/>
      </c>
    </row>
    <row r="5">
      <c r="A5" t="inlineStr">
        <is>
          <t>????:</t>
        </is>
      </c>
      <c r="B5">
        <f>IFERROR(XLOOKUP($B$2,Daily!$A:$A,Daily!$U:$U),"")</f>
        <v/>
      </c>
    </row>
    <row r="6">
      <c r="A6" t="inlineStr">
        <is>
          <t>?????:</t>
        </is>
      </c>
      <c r="B6">
        <f>IFERROR(XLOOKUP($B$2,Daily!$A:$A,Daily!$V:$V),"")</f>
        <v/>
      </c>
    </row>
    <row r="7">
      <c r="A7" t="inlineStr">
        <is>
          <t>????:</t>
        </is>
      </c>
      <c r="B7">
        <f>IFERROR(XLOOKUP($B$2,Daily!$A:$A,Daily!$W:$W),"")</f>
        <v/>
      </c>
    </row>
    <row r="8">
      <c r="A8" t="inlineStr">
        <is>
          <t>????:</t>
        </is>
      </c>
      <c r="B8">
        <f>IFERROR(XLOOKUP($B$2,Daily!$A:$A,Daily!$X:$X),"")</f>
        <v/>
      </c>
    </row>
    <row r="10">
      <c r="A10" t="inlineStr">
        <is>
          <t>??????? ???????? ?? 7 ????:</t>
        </is>
      </c>
      <c r="B10">
        <f>IFERROR(AVERAGE(OFFSET(Daily!$Y$2,COUNTA(Daily!$A:$A)-8,0,7,1)),"")</f>
        <v/>
      </c>
    </row>
    <row r="11">
      <c r="A11" t="inlineStr">
        <is>
          <t>??????? ??????? ?? 7 ????:</t>
        </is>
      </c>
      <c r="B11">
        <f>IFERROR(AVERAGE(OFFSET(Daily!$U$2,COUNTA(Daily!$A:$A)-8,0,7,1)),"")</f>
        <v/>
      </c>
    </row>
    <row r="12">
      <c r="A12" t="inlineStr">
        <is>
          <t>??????? ????? ?? 7 ????:</t>
        </is>
      </c>
      <c r="B12">
        <f>IFERROR(AVERAGE(OFFSET(Daily!$V$2,COUNTA(Daily!$A:$A)-8,0,7,1)),"")</f>
        <v/>
      </c>
    </row>
    <row r="13">
      <c r="A13" t="inlineStr">
        <is>
          <t>??????? ???? ?? 7 ????:</t>
        </is>
      </c>
      <c r="B13">
        <f>IFERROR(AVERAGE(OFFSET(Daily!$W$2,COUNTA(Daily!$A:$A)-8,0,7,1)),"")</f>
        <v/>
      </c>
    </row>
    <row r="14">
      <c r="A14" t="inlineStr">
        <is>
          <t>??????? ???? ?? 7 ????:</t>
        </is>
      </c>
      <c r="B14">
        <f>IFERROR(AVERAGE(OFFSET(Daily!$X$2,COUNTA(Daily!$A:$A)-8,0,7,1)),"")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2026-01-30T10:35:42Z</dcterms:created>
  <dcterms:modified xsi:type="dcterms:W3CDTF">2026-01-30T11:47:55Z</dcterms:modified>
</cp:coreProperties>
</file>